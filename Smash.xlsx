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6213CF85-C7AF-408E-B03A-9D4C997E881E}" xr6:coauthVersionLast="47" xr6:coauthVersionMax="47" xr10:uidLastSave="{00000000-0000-0000-0000-000000000000}"/>
  <bookViews>
    <workbookView xWindow="-120" yWindow="-120" windowWidth="38640" windowHeight="2112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5" l="1"/>
  <c r="L52" i="15"/>
  <c r="N34" i="15"/>
  <c r="L34" i="15"/>
  <c r="N41" i="15"/>
  <c r="L41" i="15"/>
  <c r="N53" i="15"/>
  <c r="L53" i="15"/>
  <c r="N64" i="15"/>
  <c r="L64" i="15"/>
  <c r="N18" i="15"/>
  <c r="L18" i="15"/>
  <c r="N63" i="15"/>
  <c r="L63" i="15"/>
  <c r="N45" i="15"/>
  <c r="L45" i="15"/>
  <c r="N15" i="15"/>
  <c r="L15" i="15"/>
  <c r="N40" i="15"/>
  <c r="L40" i="15"/>
  <c r="N31" i="15"/>
  <c r="L31" i="15"/>
  <c r="N57" i="15"/>
  <c r="L57" i="15"/>
  <c r="S48" i="16"/>
  <c r="R48" i="16"/>
  <c r="S9" i="16"/>
  <c r="R9" i="16"/>
  <c r="S23" i="16"/>
  <c r="R23" i="16"/>
  <c r="S41" i="16"/>
  <c r="R41" i="16"/>
  <c r="S13" i="16"/>
  <c r="R13" i="16"/>
  <c r="S50" i="16"/>
  <c r="R50" i="16"/>
  <c r="S4" i="16"/>
  <c r="R4" i="16"/>
  <c r="S20" i="16"/>
  <c r="R20" i="16"/>
  <c r="S30" i="16"/>
  <c r="R30" i="16"/>
  <c r="S55" i="16"/>
  <c r="R55" i="16"/>
  <c r="S15" i="16"/>
  <c r="R15" i="16"/>
  <c r="S25" i="16"/>
  <c r="R25" i="16"/>
  <c r="S34" i="16"/>
  <c r="R34" i="16"/>
  <c r="S5" i="16"/>
  <c r="R5" i="16"/>
  <c r="S14" i="16"/>
  <c r="R14" i="16"/>
  <c r="S47" i="16"/>
  <c r="R47" i="16"/>
  <c r="S10" i="16"/>
  <c r="R10" i="16"/>
  <c r="S31" i="16"/>
  <c r="R31" i="16"/>
  <c r="S29" i="16"/>
  <c r="R29" i="16"/>
  <c r="S22" i="16"/>
  <c r="R22" i="16"/>
  <c r="S3" i="16"/>
  <c r="R3" i="16"/>
  <c r="S56" i="16"/>
  <c r="R56" i="16"/>
  <c r="S46" i="16"/>
  <c r="R46" i="16"/>
  <c r="S36" i="16"/>
  <c r="R36" i="16"/>
  <c r="S16" i="16"/>
  <c r="R16" i="16"/>
  <c r="S39" i="16"/>
  <c r="R39" i="16"/>
  <c r="S37" i="16"/>
  <c r="R37" i="16"/>
  <c r="S21" i="16"/>
  <c r="R21" i="16"/>
  <c r="S7" i="16"/>
  <c r="R7" i="16"/>
  <c r="S8" i="16"/>
  <c r="R8" i="16"/>
  <c r="S40" i="16"/>
  <c r="R40" i="16"/>
  <c r="S12" i="16"/>
  <c r="R12" i="16"/>
  <c r="S38" i="16"/>
  <c r="R38" i="16"/>
  <c r="S33" i="16"/>
  <c r="R33" i="16"/>
  <c r="S54" i="16"/>
  <c r="R54" i="16"/>
  <c r="S24" i="16"/>
  <c r="R24" i="16"/>
  <c r="S32" i="16"/>
  <c r="R32" i="16"/>
  <c r="S6" i="16"/>
  <c r="R6" i="16"/>
  <c r="S19" i="16"/>
  <c r="R19" i="16"/>
  <c r="S49" i="16"/>
  <c r="R49" i="16"/>
  <c r="S17" i="16"/>
  <c r="R17" i="16"/>
  <c r="S44" i="16"/>
  <c r="R44" i="16"/>
  <c r="S11" i="16"/>
  <c r="R11" i="16"/>
  <c r="S51" i="16"/>
  <c r="R51" i="16"/>
  <c r="S42" i="16"/>
  <c r="R42" i="16"/>
  <c r="S45" i="16"/>
  <c r="R45" i="16"/>
  <c r="S53" i="16"/>
  <c r="R53" i="16"/>
  <c r="S52" i="16"/>
  <c r="R52" i="16"/>
  <c r="S35" i="16"/>
  <c r="R35" i="16"/>
  <c r="S28" i="16"/>
  <c r="R28" i="16"/>
  <c r="S2" i="16"/>
  <c r="R2" i="16"/>
  <c r="S26" i="16"/>
  <c r="R26" i="16"/>
  <c r="S43" i="16"/>
  <c r="R43" i="16"/>
  <c r="S18" i="16"/>
  <c r="R18" i="16"/>
  <c r="S27" i="16"/>
  <c r="R27" i="16"/>
  <c r="N47" i="15"/>
  <c r="L47" i="15"/>
  <c r="N58" i="15"/>
  <c r="L58" i="15"/>
  <c r="N48" i="15"/>
  <c r="L48" i="15"/>
  <c r="N16" i="15"/>
  <c r="L16" i="15"/>
  <c r="N39" i="15"/>
  <c r="L39" i="15"/>
  <c r="N62" i="15"/>
  <c r="L62" i="15"/>
  <c r="N44" i="15"/>
  <c r="L44" i="15"/>
  <c r="N56" i="15"/>
  <c r="L56" i="15"/>
  <c r="N26" i="15"/>
  <c r="L26" i="15"/>
  <c r="N43" i="15"/>
  <c r="L43" i="15"/>
  <c r="N59" i="15"/>
  <c r="L59" i="15"/>
  <c r="N67" i="15"/>
  <c r="L67" i="15"/>
  <c r="N42" i="15"/>
  <c r="L42" i="15"/>
  <c r="N14" i="15"/>
  <c r="L14" i="15"/>
  <c r="N66" i="15"/>
  <c r="L66" i="15"/>
  <c r="N61" i="15" l="1"/>
  <c r="L61" i="15"/>
  <c r="N24" i="15"/>
  <c r="L24" i="15"/>
  <c r="N37" i="15"/>
  <c r="L37" i="15"/>
  <c r="N51" i="15"/>
  <c r="L51" i="15"/>
  <c r="N60" i="15" l="1"/>
  <c r="L60" i="15"/>
  <c r="N25" i="15"/>
  <c r="L25" i="15"/>
  <c r="N38" i="15"/>
  <c r="L38" i="15"/>
  <c r="N50" i="15"/>
  <c r="L50" i="15"/>
  <c r="N17" i="15"/>
  <c r="L17" i="15"/>
  <c r="N29" i="15"/>
  <c r="L29" i="15"/>
  <c r="N65" i="15"/>
  <c r="L65" i="15"/>
  <c r="N23" i="15"/>
  <c r="L23" i="15"/>
  <c r="N32" i="15"/>
  <c r="L32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35" i="15"/>
  <c r="L35" i="15"/>
  <c r="N49" i="15"/>
  <c r="L49" i="15"/>
  <c r="N55" i="15"/>
  <c r="L55" i="15"/>
  <c r="N30" i="15"/>
  <c r="L30" i="15"/>
  <c r="N20" i="15"/>
  <c r="L20" i="15"/>
  <c r="N27" i="15" l="1"/>
  <c r="L27" i="15"/>
  <c r="N28" i="15"/>
  <c r="L28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6" i="15" l="1"/>
  <c r="L46" i="15"/>
  <c r="N22" i="15"/>
  <c r="L22" i="15"/>
  <c r="L33" i="15"/>
  <c r="N33" i="15"/>
  <c r="L36" i="15"/>
  <c r="N36" i="15"/>
  <c r="L54" i="15"/>
  <c r="N54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<sst xmlns="http://schemas.openxmlformats.org/spreadsheetml/2006/main" count="18041" uniqueCount="612">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</sst>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80"/>
  <sheetViews>
    <sheetView topLeftCell="A331" zoomScaleNormal="100" workbookViewId="0">
      <selection activeCell="T372" sqref="T372:AH38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2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2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2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2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2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2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2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37" x14ac:dyDescent="0.2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37" x14ac:dyDescent="0.2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37" x14ac:dyDescent="0.2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  <c r="T372" s="1">
        <v>46268</v>
      </c>
      <c r="U372" s="1">
        <v>46268</v>
      </c>
      <c r="V372" s="1">
        <v>46268</v>
      </c>
      <c r="W372" s="1">
        <v>46268</v>
      </c>
      <c r="X372" s="1">
        <v>46269</v>
      </c>
      <c r="Y372" s="1">
        <v>46269</v>
      </c>
      <c r="Z372" s="1">
        <v>46269</v>
      </c>
      <c r="AA372" s="1">
        <v>46270</v>
      </c>
      <c r="AB372" s="1">
        <v>46270</v>
      </c>
      <c r="AC372" s="1">
        <v>46270</v>
      </c>
      <c r="AD372" s="1">
        <v>46270</v>
      </c>
      <c r="AE372" s="1">
        <v>46270</v>
      </c>
      <c r="AF372" s="1">
        <v>46270</v>
      </c>
      <c r="AG372" s="1">
        <v>46270</v>
      </c>
      <c r="AH372" s="1">
        <v>46270</v>
      </c>
    </row>
    <row r="373" spans="10:37" x14ac:dyDescent="0.2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  <c r="T373" t="s">
        <v>123</v>
      </c>
      <c r="U373" t="s">
        <v>2</v>
      </c>
      <c r="V373" t="s">
        <v>552</v>
      </c>
      <c r="W373" t="s">
        <v>26</v>
      </c>
      <c r="X373" t="s">
        <v>1</v>
      </c>
      <c r="Y373" t="s">
        <v>552</v>
      </c>
      <c r="Z373" t="s">
        <v>552</v>
      </c>
      <c r="AA373" t="s">
        <v>572</v>
      </c>
      <c r="AB373" t="s">
        <v>104</v>
      </c>
      <c r="AC373" t="s">
        <v>99</v>
      </c>
      <c r="AD373" t="s">
        <v>122</v>
      </c>
      <c r="AE373" t="s">
        <v>21</v>
      </c>
      <c r="AF373" t="s">
        <v>28</v>
      </c>
      <c r="AG373" t="s">
        <v>58</v>
      </c>
      <c r="AH373" t="s">
        <v>232</v>
      </c>
    </row>
    <row r="374" spans="10:37" x14ac:dyDescent="0.2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  <c r="T374" t="s">
        <v>7</v>
      </c>
      <c r="U374" t="s">
        <v>232</v>
      </c>
      <c r="V374" t="s">
        <v>35</v>
      </c>
      <c r="W374" t="s">
        <v>34</v>
      </c>
      <c r="X374" t="s">
        <v>232</v>
      </c>
      <c r="Y374" t="s">
        <v>585</v>
      </c>
      <c r="Z374" t="s">
        <v>553</v>
      </c>
      <c r="AA374" t="s">
        <v>104</v>
      </c>
      <c r="AB374" t="s">
        <v>552</v>
      </c>
      <c r="AC374" t="s">
        <v>15</v>
      </c>
      <c r="AD374" t="s">
        <v>1</v>
      </c>
      <c r="AE374" t="s">
        <v>232</v>
      </c>
      <c r="AF374" t="s">
        <v>232</v>
      </c>
      <c r="AG374" t="s">
        <v>552</v>
      </c>
      <c r="AH374" t="s">
        <v>403</v>
      </c>
    </row>
    <row r="375" spans="10:37" x14ac:dyDescent="0.2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  <c r="T375" t="s">
        <v>116</v>
      </c>
      <c r="U375" t="s">
        <v>87</v>
      </c>
      <c r="V375" t="s">
        <v>15</v>
      </c>
      <c r="W375" t="s">
        <v>35</v>
      </c>
      <c r="X375" t="s">
        <v>8</v>
      </c>
      <c r="Y375" t="s">
        <v>87</v>
      </c>
      <c r="Z375" t="s">
        <v>9</v>
      </c>
      <c r="AA375" t="s">
        <v>2</v>
      </c>
      <c r="AB375" t="s">
        <v>553</v>
      </c>
      <c r="AC375" t="s">
        <v>37</v>
      </c>
      <c r="AD375" t="s">
        <v>553</v>
      </c>
      <c r="AE375" t="s">
        <v>49</v>
      </c>
      <c r="AF375" t="s">
        <v>8</v>
      </c>
      <c r="AG375" t="s">
        <v>12</v>
      </c>
      <c r="AH375" t="s">
        <v>21</v>
      </c>
    </row>
    <row r="376" spans="10:37" x14ac:dyDescent="0.2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  <c r="T376" t="s">
        <v>28</v>
      </c>
      <c r="U376" t="s">
        <v>7</v>
      </c>
      <c r="V376" t="s">
        <v>572</v>
      </c>
      <c r="W376" t="s">
        <v>122</v>
      </c>
      <c r="X376" t="s">
        <v>123</v>
      </c>
      <c r="Y376" t="s">
        <v>553</v>
      </c>
      <c r="Z376" t="s">
        <v>28</v>
      </c>
      <c r="AA376" t="s">
        <v>552</v>
      </c>
      <c r="AB376" t="s">
        <v>99</v>
      </c>
      <c r="AC376" t="s">
        <v>124</v>
      </c>
      <c r="AD376" t="s">
        <v>37</v>
      </c>
      <c r="AE376" t="s">
        <v>31</v>
      </c>
      <c r="AF376" t="s">
        <v>21</v>
      </c>
      <c r="AG376" t="s">
        <v>15</v>
      </c>
      <c r="AH376" t="s">
        <v>15</v>
      </c>
    </row>
    <row r="377" spans="10:37" x14ac:dyDescent="0.2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  <c r="T377" t="s">
        <v>2</v>
      </c>
      <c r="U377" t="s">
        <v>31</v>
      </c>
      <c r="V377" t="s">
        <v>49</v>
      </c>
      <c r="W377" t="s">
        <v>33</v>
      </c>
      <c r="X377" t="s">
        <v>0</v>
      </c>
      <c r="Y377" t="s">
        <v>9</v>
      </c>
      <c r="Z377" t="s">
        <v>123</v>
      </c>
      <c r="AA377" t="s">
        <v>78</v>
      </c>
      <c r="AB377" t="s">
        <v>124</v>
      </c>
      <c r="AC377" t="s">
        <v>129</v>
      </c>
      <c r="AD377" t="s">
        <v>129</v>
      </c>
      <c r="AE377" t="s">
        <v>28</v>
      </c>
      <c r="AF377" t="s">
        <v>49</v>
      </c>
      <c r="AG377" t="s">
        <v>61</v>
      </c>
      <c r="AH377" t="s">
        <v>61</v>
      </c>
    </row>
    <row r="378" spans="10:37" x14ac:dyDescent="0.2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  <c r="T378" t="s">
        <v>31</v>
      </c>
      <c r="U378" t="s">
        <v>116</v>
      </c>
      <c r="V378" t="s">
        <v>26</v>
      </c>
      <c r="W378" t="s">
        <v>572</v>
      </c>
      <c r="X378" t="s">
        <v>28</v>
      </c>
      <c r="Y378" t="s">
        <v>232</v>
      </c>
      <c r="Z378" t="s">
        <v>8</v>
      </c>
      <c r="AA378" t="s">
        <v>99</v>
      </c>
      <c r="AB378" t="s">
        <v>15</v>
      </c>
      <c r="AC378" t="s">
        <v>122</v>
      </c>
      <c r="AD378" t="s">
        <v>99</v>
      </c>
      <c r="AE378" t="s">
        <v>87</v>
      </c>
      <c r="AF378" t="s">
        <v>31</v>
      </c>
      <c r="AG378" t="s">
        <v>9</v>
      </c>
      <c r="AH378" t="s">
        <v>9</v>
      </c>
    </row>
    <row r="379" spans="10:37" x14ac:dyDescent="0.2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  <c r="T379" t="s">
        <v>82</v>
      </c>
      <c r="U379" t="s">
        <v>28</v>
      </c>
      <c r="V379" t="s">
        <v>33</v>
      </c>
      <c r="W379" t="s">
        <v>15</v>
      </c>
      <c r="X379" t="s">
        <v>21</v>
      </c>
      <c r="Y379" t="s">
        <v>63</v>
      </c>
      <c r="Z379" t="s">
        <v>12</v>
      </c>
      <c r="AA379" t="s">
        <v>124</v>
      </c>
      <c r="AB379" t="s">
        <v>26</v>
      </c>
      <c r="AC379" t="s">
        <v>1</v>
      </c>
      <c r="AD379" t="s">
        <v>552</v>
      </c>
      <c r="AE379" t="s">
        <v>82</v>
      </c>
      <c r="AF379" t="s">
        <v>87</v>
      </c>
      <c r="AG379" t="s">
        <v>26</v>
      </c>
      <c r="AH379" t="s">
        <v>610</v>
      </c>
    </row>
    <row r="380" spans="10:37" x14ac:dyDescent="0.2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  <c r="T380" t="s">
        <v>87</v>
      </c>
      <c r="U380" t="s">
        <v>4</v>
      </c>
      <c r="V380" t="s">
        <v>122</v>
      </c>
      <c r="W380" t="s">
        <v>552</v>
      </c>
      <c r="X380" t="s">
        <v>87</v>
      </c>
      <c r="Y380" t="s">
        <v>21</v>
      </c>
      <c r="Z380" t="s">
        <v>589</v>
      </c>
      <c r="AA380" t="s">
        <v>26</v>
      </c>
      <c r="AB380" t="s">
        <v>78</v>
      </c>
      <c r="AC380" t="s">
        <v>16</v>
      </c>
      <c r="AD380" t="s">
        <v>16</v>
      </c>
      <c r="AE380" t="s">
        <v>609</v>
      </c>
      <c r="AF380" t="s">
        <v>9</v>
      </c>
      <c r="AG380" t="s">
        <v>63</v>
      </c>
      <c r="AH380" t="s">
        <v>552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M47" sqref="M47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tabSelected="1" topLeftCell="A19" workbookViewId="0">
      <selection activeCell="I52" sqref="I52:N52"/>
    </sheetView>
  </sheetViews>
  <sheetFormatPr defaultRowHeight="15" x14ac:dyDescent="0.25"/>
  <cols>
    <col min="4" max="4" width="13.5703125" bestFit="1" customWidth="1"/>
    <col min="6" max="6" width="12.5703125" bestFit="1" customWidth="1"/>
  </cols>
  <sheetData>
    <row r="1" spans="1:14 16384:16384" x14ac:dyDescent="0.25">
      <c r="A1" s="1">
        <v>46275</v>
      </c>
      <c r="B1" s="1">
        <v>46275</v>
      </c>
      <c r="C1" s="1">
        <v>46275</v>
      </c>
      <c r="D1" s="1">
        <v>46276</v>
      </c>
      <c r="E1" s="1">
        <v>46276</v>
      </c>
      <c r="F1" s="1">
        <v>46282</v>
      </c>
      <c r="G1" s="1">
        <v>46282</v>
      </c>
      <c r="H1" s="1">
        <v>46282</v>
      </c>
      <c r="I1" s="1">
        <v>46282</v>
      </c>
      <c r="J1" s="1">
        <v>46283</v>
      </c>
      <c r="K1" s="1">
        <v>46283</v>
      </c>
      <c r="XFD1" s="1"/>
    </row>
    <row r="2" spans="1:14 16384:16384" x14ac:dyDescent="0.25">
      <c r="A2" t="s">
        <v>8</v>
      </c>
      <c r="B2" t="s">
        <v>585</v>
      </c>
      <c r="C2" t="s">
        <v>49</v>
      </c>
    </row>
    <row r="3" spans="1:14 16384:16384" x14ac:dyDescent="0.25">
      <c r="A3" t="s">
        <v>21</v>
      </c>
      <c r="B3" t="s">
        <v>27</v>
      </c>
      <c r="C3" t="s">
        <v>52</v>
      </c>
    </row>
    <row r="4" spans="1:14 16384:16384" x14ac:dyDescent="0.25">
      <c r="A4" t="s">
        <v>585</v>
      </c>
      <c r="B4" t="s">
        <v>21</v>
      </c>
      <c r="C4" t="s">
        <v>20</v>
      </c>
    </row>
    <row r="5" spans="1:14 16384:16384" x14ac:dyDescent="0.25">
      <c r="A5" t="s">
        <v>22</v>
      </c>
      <c r="B5" t="s">
        <v>31</v>
      </c>
      <c r="C5" t="s">
        <v>29</v>
      </c>
    </row>
    <row r="6" spans="1:14 16384:16384" x14ac:dyDescent="0.25">
      <c r="A6" t="s">
        <v>28</v>
      </c>
      <c r="B6" t="s">
        <v>28</v>
      </c>
      <c r="C6" t="s">
        <v>51</v>
      </c>
    </row>
    <row r="7" spans="1:14 16384:16384" x14ac:dyDescent="0.25">
      <c r="A7" t="s">
        <v>27</v>
      </c>
      <c r="B7" t="s">
        <v>122</v>
      </c>
      <c r="C7" t="s">
        <v>585</v>
      </c>
    </row>
    <row r="8" spans="1:14 16384:16384" x14ac:dyDescent="0.25">
      <c r="A8" t="s">
        <v>31</v>
      </c>
      <c r="B8" t="s">
        <v>237</v>
      </c>
      <c r="C8" t="s">
        <v>15</v>
      </c>
    </row>
    <row r="9" spans="1:14 16384:16384" x14ac:dyDescent="0.25">
      <c r="A9" t="s">
        <v>122</v>
      </c>
      <c r="B9" t="s">
        <v>8</v>
      </c>
      <c r="C9" t="s">
        <v>30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8" si="2">M13/J13</f>
        <v>4.375</v>
      </c>
      <c r="M13" s="18">
        <v>175</v>
      </c>
      <c r="N13" s="18">
        <f t="shared" ref="N13:N18" si="3">K13/J13</f>
        <v>0.05</v>
      </c>
    </row>
    <row r="14" spans="1:14 16384:16384" x14ac:dyDescent="0.25">
      <c r="A14" s="18" t="s">
        <v>104</v>
      </c>
      <c r="B14" s="18">
        <v>138</v>
      </c>
      <c r="C14" s="18">
        <v>10</v>
      </c>
      <c r="D14" s="18">
        <f t="shared" si="0"/>
        <v>4.2463768115942031</v>
      </c>
      <c r="E14" s="18">
        <v>586</v>
      </c>
      <c r="F14" s="18">
        <f t="shared" si="1"/>
        <v>7.2463768115942032E-2</v>
      </c>
      <c r="G14" s="32">
        <v>2.3273733406281498</v>
      </c>
      <c r="I14" s="18" t="s">
        <v>104</v>
      </c>
      <c r="J14" s="18">
        <v>138</v>
      </c>
      <c r="K14" s="18">
        <v>10</v>
      </c>
      <c r="L14" s="18">
        <f t="shared" si="2"/>
        <v>4.2463768115942031</v>
      </c>
      <c r="M14" s="18">
        <v>586</v>
      </c>
      <c r="N14" s="18">
        <f t="shared" si="3"/>
        <v>7.2463768115942032E-2</v>
      </c>
    </row>
    <row r="15" spans="1:14 16384:16384" x14ac:dyDescent="0.25">
      <c r="A15" s="18" t="s">
        <v>31</v>
      </c>
      <c r="B15" s="18">
        <v>292</v>
      </c>
      <c r="C15" s="18">
        <v>24</v>
      </c>
      <c r="D15" s="18">
        <f t="shared" si="0"/>
        <v>5.0342465753424657</v>
      </c>
      <c r="E15" s="18">
        <v>1470</v>
      </c>
      <c r="F15" s="18">
        <f t="shared" si="1"/>
        <v>8.2191780821917804E-2</v>
      </c>
      <c r="G15" s="32">
        <v>1.87082869338697</v>
      </c>
      <c r="I15" s="18" t="s">
        <v>31</v>
      </c>
      <c r="J15" s="18">
        <v>292</v>
      </c>
      <c r="K15" s="18">
        <v>24</v>
      </c>
      <c r="L15" s="18">
        <f t="shared" si="2"/>
        <v>5.0342465753424657</v>
      </c>
      <c r="M15" s="18">
        <v>1470</v>
      </c>
      <c r="N15" s="18">
        <f t="shared" si="3"/>
        <v>8.2191780821917804E-2</v>
      </c>
    </row>
    <row r="16" spans="1:14 16384:16384" x14ac:dyDescent="0.25">
      <c r="A16" s="18" t="s">
        <v>105</v>
      </c>
      <c r="B16" s="18">
        <v>46</v>
      </c>
      <c r="C16" s="18">
        <v>6</v>
      </c>
      <c r="D16" s="18">
        <f t="shared" si="0"/>
        <v>4.3695652173913047</v>
      </c>
      <c r="E16" s="18">
        <v>201</v>
      </c>
      <c r="F16" s="18">
        <f t="shared" si="1"/>
        <v>0.13043478260869565</v>
      </c>
      <c r="G16" s="32">
        <v>1.8165902124584901</v>
      </c>
      <c r="I16" s="18" t="s">
        <v>105</v>
      </c>
      <c r="J16" s="18">
        <v>46</v>
      </c>
      <c r="K16" s="18">
        <v>6</v>
      </c>
      <c r="L16" s="18">
        <f t="shared" si="2"/>
        <v>4.3695652173913047</v>
      </c>
      <c r="M16" s="18">
        <v>201</v>
      </c>
      <c r="N16" s="18">
        <f t="shared" si="3"/>
        <v>0.13043478260869565</v>
      </c>
    </row>
    <row r="17" spans="1:14" x14ac:dyDescent="0.2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25">
      <c r="A18" s="18" t="s">
        <v>8</v>
      </c>
      <c r="B18" s="18">
        <v>54</v>
      </c>
      <c r="C18" s="18">
        <v>7</v>
      </c>
      <c r="D18" s="18">
        <f t="shared" si="0"/>
        <v>4.4074074074074074</v>
      </c>
      <c r="E18" s="18">
        <v>238</v>
      </c>
      <c r="F18" s="18">
        <f t="shared" si="1"/>
        <v>0.12962962962962962</v>
      </c>
      <c r="G18" s="32">
        <v>2.4994623077688098</v>
      </c>
      <c r="I18" s="18" t="s">
        <v>8</v>
      </c>
      <c r="J18" s="18">
        <v>54</v>
      </c>
      <c r="K18" s="18">
        <v>7</v>
      </c>
      <c r="L18" s="18">
        <f t="shared" si="2"/>
        <v>4.4074074074074074</v>
      </c>
      <c r="M18" s="18">
        <v>238</v>
      </c>
      <c r="N18" s="18">
        <f t="shared" si="3"/>
        <v>0.12962962962962962</v>
      </c>
    </row>
    <row r="19" spans="1:14" x14ac:dyDescent="0.25">
      <c r="A19" t="s">
        <v>37</v>
      </c>
      <c r="B19">
        <v>32</v>
      </c>
      <c r="C19">
        <v>2</v>
      </c>
      <c r="D19">
        <f t="shared" si="0"/>
        <v>4.96875</v>
      </c>
      <c r="E19">
        <v>159</v>
      </c>
      <c r="F19">
        <f t="shared" si="1"/>
        <v>6.25E-2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ref="L19" si="4">M19/J19</f>
        <v>4.7111111111111112</v>
      </c>
      <c r="M19" s="18">
        <v>212</v>
      </c>
      <c r="N19" s="18">
        <f t="shared" ref="N19" si="5"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6">M20/J20</f>
        <v>5.35</v>
      </c>
      <c r="M20" s="73">
        <v>214</v>
      </c>
      <c r="N20" s="73">
        <f t="shared" ref="N20" si="7">K20/J20</f>
        <v>7.4999999999999997E-2</v>
      </c>
    </row>
    <row r="21" spans="1:14" x14ac:dyDescent="0.2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257</v>
      </c>
      <c r="K23" s="18">
        <v>23</v>
      </c>
      <c r="L23" s="18">
        <f t="shared" ref="L23:L24" si="8">M23/J23</f>
        <v>5.0233463035019454</v>
      </c>
      <c r="M23" s="18">
        <v>1291</v>
      </c>
      <c r="N23" s="18">
        <f t="shared" ref="N23:N24" si="9">K23/J23</f>
        <v>8.9494163424124515E-2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41</v>
      </c>
      <c r="K24" s="18">
        <v>3</v>
      </c>
      <c r="L24" s="18">
        <f t="shared" si="8"/>
        <v>5.3170731707317076</v>
      </c>
      <c r="M24" s="18">
        <v>218</v>
      </c>
      <c r="N24" s="18">
        <f t="shared" si="9"/>
        <v>7.3170731707317069E-2</v>
      </c>
    </row>
    <row r="25" spans="1:14" x14ac:dyDescent="0.25">
      <c r="A25" t="s">
        <v>52</v>
      </c>
      <c r="B25">
        <v>38</v>
      </c>
      <c r="C25">
        <v>7</v>
      </c>
      <c r="D25">
        <f t="shared" si="0"/>
        <v>3.7105263157894739</v>
      </c>
      <c r="E25">
        <v>141</v>
      </c>
      <c r="F25">
        <f t="shared" si="1"/>
        <v>0.18421052631578946</v>
      </c>
      <c r="G25" s="32">
        <v>2.1794494717703299</v>
      </c>
      <c r="I25" s="18" t="s">
        <v>147</v>
      </c>
      <c r="J25" s="18">
        <v>145</v>
      </c>
      <c r="K25" s="18">
        <v>28</v>
      </c>
      <c r="L25" s="18">
        <f t="shared" ref="L25:L26" si="10">M25/J25</f>
        <v>3.8620689655172415</v>
      </c>
      <c r="M25" s="18">
        <v>560</v>
      </c>
      <c r="N25" s="18">
        <f t="shared" ref="N25:N26" si="11">K25/J25</f>
        <v>0.19310344827586207</v>
      </c>
    </row>
    <row r="26" spans="1:14" x14ac:dyDescent="0.25">
      <c r="A26" t="s">
        <v>20</v>
      </c>
      <c r="B26">
        <v>38</v>
      </c>
      <c r="C26">
        <v>2</v>
      </c>
      <c r="D26">
        <f t="shared" si="0"/>
        <v>5.2894736842105265</v>
      </c>
      <c r="E26">
        <v>201</v>
      </c>
      <c r="F26">
        <f t="shared" si="1"/>
        <v>5.2631578947368418E-2</v>
      </c>
      <c r="G26" s="32">
        <v>2.3159525823376299</v>
      </c>
      <c r="I26" s="18" t="s">
        <v>87</v>
      </c>
      <c r="J26" s="18">
        <v>212</v>
      </c>
      <c r="K26" s="18">
        <v>25</v>
      </c>
      <c r="L26" s="18">
        <f t="shared" si="10"/>
        <v>5.033018867924528</v>
      </c>
      <c r="M26" s="18">
        <v>1067</v>
      </c>
      <c r="N26" s="18">
        <f t="shared" si="11"/>
        <v>0.11792452830188679</v>
      </c>
    </row>
    <row r="27" spans="1:14" x14ac:dyDescent="0.25">
      <c r="A27" s="18" t="s">
        <v>25</v>
      </c>
      <c r="B27" s="18">
        <v>257</v>
      </c>
      <c r="C27" s="18">
        <v>23</v>
      </c>
      <c r="D27" s="18">
        <f t="shared" si="0"/>
        <v>5.0233463035019454</v>
      </c>
      <c r="E27" s="18">
        <v>1291</v>
      </c>
      <c r="F27" s="18">
        <f t="shared" si="1"/>
        <v>8.9494163424124515E-2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2">M27/J27</f>
        <v>4.1749999999999998</v>
      </c>
      <c r="M27" s="18">
        <v>167</v>
      </c>
      <c r="N27" s="18">
        <f t="shared" ref="N27" si="13">K27/J27</f>
        <v>0.1</v>
      </c>
    </row>
    <row r="28" spans="1:14" x14ac:dyDescent="0.2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2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36</v>
      </c>
      <c r="J29" s="18">
        <v>40</v>
      </c>
      <c r="K29" s="18">
        <v>3</v>
      </c>
      <c r="L29" s="18">
        <f t="shared" ref="L29" si="14">M29/J29</f>
        <v>4.2750000000000004</v>
      </c>
      <c r="M29" s="18">
        <v>171</v>
      </c>
      <c r="N29" s="18">
        <f t="shared" ref="N29" si="15">K29/J29</f>
        <v>7.4999999999999997E-2</v>
      </c>
    </row>
    <row r="30" spans="1:14" x14ac:dyDescent="0.25">
      <c r="A30" s="18" t="s">
        <v>87</v>
      </c>
      <c r="B30" s="18">
        <v>212</v>
      </c>
      <c r="C30" s="18">
        <v>25</v>
      </c>
      <c r="D30" s="18">
        <f t="shared" si="0"/>
        <v>5.033018867924528</v>
      </c>
      <c r="E30" s="18">
        <v>1067</v>
      </c>
      <c r="F30" s="18">
        <f t="shared" si="1"/>
        <v>0.11792452830188679</v>
      </c>
      <c r="G30" s="32">
        <v>1.7888543819998299</v>
      </c>
      <c r="I30" s="18" t="s">
        <v>112</v>
      </c>
      <c r="J30" s="18">
        <v>42</v>
      </c>
      <c r="K30" s="18">
        <v>8</v>
      </c>
      <c r="L30" s="18">
        <f t="shared" ref="L30:L31" si="16">M30/J30</f>
        <v>3.7619047619047619</v>
      </c>
      <c r="M30" s="18">
        <v>158</v>
      </c>
      <c r="N30" s="18">
        <f t="shared" ref="N30:N31" si="17">K30/J30</f>
        <v>0.19047619047619047</v>
      </c>
    </row>
    <row r="31" spans="1:14" x14ac:dyDescent="0.2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27</v>
      </c>
      <c r="J31" s="18">
        <v>42</v>
      </c>
      <c r="K31" s="18">
        <v>3</v>
      </c>
      <c r="L31" s="18">
        <f t="shared" si="16"/>
        <v>4.5476190476190474</v>
      </c>
      <c r="M31" s="18">
        <v>191</v>
      </c>
      <c r="N31" s="18">
        <f t="shared" si="17"/>
        <v>7.1428571428571425E-2</v>
      </c>
    </row>
    <row r="32" spans="1:14" x14ac:dyDescent="0.2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117</v>
      </c>
      <c r="J32" s="18">
        <v>40</v>
      </c>
      <c r="K32" s="18">
        <v>7</v>
      </c>
      <c r="L32" s="18">
        <f t="shared" ref="L32" si="18">M32/J32</f>
        <v>4.3250000000000002</v>
      </c>
      <c r="M32" s="18">
        <v>173</v>
      </c>
      <c r="N32" s="18">
        <f t="shared" ref="N32" si="19">K32/J32</f>
        <v>0.17499999999999999</v>
      </c>
    </row>
    <row r="33" spans="1:14" x14ac:dyDescent="0.2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401</v>
      </c>
      <c r="J33" s="18">
        <v>71</v>
      </c>
      <c r="K33" s="18">
        <v>3</v>
      </c>
      <c r="L33" s="18">
        <f t="shared" ref="L33:L34" si="20">M33/J33</f>
        <v>5.3661971830985919</v>
      </c>
      <c r="M33" s="18">
        <v>381</v>
      </c>
      <c r="N33" s="18">
        <f t="shared" ref="N33:N34" si="21">K33/J33</f>
        <v>4.2253521126760563E-2</v>
      </c>
    </row>
    <row r="34" spans="1:14" x14ac:dyDescent="0.2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15</v>
      </c>
      <c r="J34" s="18">
        <v>289</v>
      </c>
      <c r="K34" s="18">
        <v>40</v>
      </c>
      <c r="L34" s="18">
        <f t="shared" si="20"/>
        <v>4.6297577854671284</v>
      </c>
      <c r="M34" s="18">
        <v>1338</v>
      </c>
      <c r="N34" s="18">
        <f t="shared" si="21"/>
        <v>0.13840830449826991</v>
      </c>
    </row>
    <row r="35" spans="1:14" x14ac:dyDescent="0.25">
      <c r="A35" s="18" t="s">
        <v>27</v>
      </c>
      <c r="B35" s="18">
        <v>42</v>
      </c>
      <c r="C35" s="18">
        <v>3</v>
      </c>
      <c r="D35" s="18">
        <f t="shared" si="0"/>
        <v>4.5476190476190474</v>
      </c>
      <c r="E35" s="18">
        <v>191</v>
      </c>
      <c r="F35" s="18">
        <f t="shared" si="1"/>
        <v>7.1428571428571425E-2</v>
      </c>
      <c r="G35" s="32">
        <v>2.54950975679639</v>
      </c>
      <c r="I35" s="18" t="s">
        <v>13</v>
      </c>
      <c r="J35" s="18">
        <v>40</v>
      </c>
      <c r="K35" s="18">
        <v>2</v>
      </c>
      <c r="L35" s="18">
        <f t="shared" ref="L35" si="22">M35/J35</f>
        <v>4.9000000000000004</v>
      </c>
      <c r="M35" s="18">
        <v>196</v>
      </c>
      <c r="N35" s="18">
        <f t="shared" ref="N35" si="23">K35/J35</f>
        <v>0.05</v>
      </c>
    </row>
    <row r="36" spans="1:14" x14ac:dyDescent="0.25">
      <c r="A36" s="18" t="s">
        <v>117</v>
      </c>
      <c r="B36" s="18">
        <v>40</v>
      </c>
      <c r="C36" s="18">
        <v>7</v>
      </c>
      <c r="D36" s="18">
        <f t="shared" si="0"/>
        <v>4.3250000000000002</v>
      </c>
      <c r="E36" s="18">
        <v>173</v>
      </c>
      <c r="F36" s="18">
        <f t="shared" si="1"/>
        <v>0.17499999999999999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>M36/J36</f>
        <v>3.9452054794520546</v>
      </c>
      <c r="M36" s="18">
        <v>288</v>
      </c>
      <c r="N36" s="18">
        <f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</v>
      </c>
      <c r="J37" s="18">
        <v>41</v>
      </c>
      <c r="K37" s="18">
        <v>5</v>
      </c>
      <c r="L37" s="18">
        <f t="shared" ref="L37" si="24">M37/J37</f>
        <v>4.975609756097561</v>
      </c>
      <c r="M37" s="18">
        <v>204</v>
      </c>
      <c r="N37" s="18">
        <f t="shared" ref="N37" si="25">K37/J37</f>
        <v>0.12195121951219512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121</v>
      </c>
      <c r="J38" s="18">
        <v>117</v>
      </c>
      <c r="K38" s="18">
        <v>27</v>
      </c>
      <c r="L38" s="18">
        <f t="shared" ref="L38:L41" si="26">M38/J38</f>
        <v>3.7948717948717947</v>
      </c>
      <c r="M38" s="18">
        <v>444</v>
      </c>
      <c r="N38" s="18">
        <f t="shared" ref="N38:N41" si="27">K38/J38</f>
        <v>0.23076923076923078</v>
      </c>
    </row>
    <row r="39" spans="1:14" x14ac:dyDescent="0.25">
      <c r="A39" s="18" t="s">
        <v>15</v>
      </c>
      <c r="B39" s="18">
        <v>289</v>
      </c>
      <c r="C39" s="18">
        <v>40</v>
      </c>
      <c r="D39" s="18">
        <f t="shared" si="0"/>
        <v>4.6297577854671284</v>
      </c>
      <c r="E39" s="18">
        <v>1338</v>
      </c>
      <c r="F39" s="18">
        <f t="shared" si="1"/>
        <v>0.13840830449826991</v>
      </c>
      <c r="G39" s="32">
        <v>2.3694389634605302</v>
      </c>
      <c r="I39" s="18" t="s">
        <v>232</v>
      </c>
      <c r="J39" s="18">
        <v>199</v>
      </c>
      <c r="K39" s="18">
        <v>45</v>
      </c>
      <c r="L39" s="18">
        <f t="shared" si="26"/>
        <v>3.7839195979899496</v>
      </c>
      <c r="M39" s="18">
        <v>753</v>
      </c>
      <c r="N39" s="18">
        <f t="shared" si="27"/>
        <v>0.22613065326633167</v>
      </c>
    </row>
    <row r="40" spans="1:14" x14ac:dyDescent="0.25">
      <c r="A40" s="18" t="s">
        <v>13</v>
      </c>
      <c r="B40" s="18">
        <v>40</v>
      </c>
      <c r="C40" s="18">
        <v>2</v>
      </c>
      <c r="D40" s="18">
        <f t="shared" si="0"/>
        <v>4.9000000000000004</v>
      </c>
      <c r="E40" s="18">
        <v>196</v>
      </c>
      <c r="F40" s="18">
        <f t="shared" si="1"/>
        <v>0.05</v>
      </c>
      <c r="G40" s="32">
        <v>2.1392325234704299</v>
      </c>
      <c r="I40" s="18" t="s">
        <v>21</v>
      </c>
      <c r="J40" s="18">
        <v>187</v>
      </c>
      <c r="K40" s="18">
        <v>26</v>
      </c>
      <c r="L40" s="18">
        <f t="shared" si="26"/>
        <v>4.2941176470588234</v>
      </c>
      <c r="M40" s="18">
        <v>803</v>
      </c>
      <c r="N40" s="18">
        <f t="shared" si="27"/>
        <v>0.13903743315508021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51</v>
      </c>
      <c r="J41" s="18">
        <v>48</v>
      </c>
      <c r="K41" s="18">
        <v>4</v>
      </c>
      <c r="L41" s="18">
        <f t="shared" si="26"/>
        <v>4.8125</v>
      </c>
      <c r="M41" s="18">
        <v>231</v>
      </c>
      <c r="N41" s="18">
        <f t="shared" si="27"/>
        <v>8.3333333333333329E-2</v>
      </c>
    </row>
    <row r="42" spans="1:14" x14ac:dyDescent="0.25">
      <c r="A42" t="s">
        <v>63</v>
      </c>
      <c r="B42">
        <v>37</v>
      </c>
      <c r="C42">
        <v>5</v>
      </c>
      <c r="D42">
        <f t="shared" si="0"/>
        <v>4.7027027027027026</v>
      </c>
      <c r="E42">
        <v>174</v>
      </c>
      <c r="F42">
        <f t="shared" si="1"/>
        <v>0.13513513513513514</v>
      </c>
      <c r="G42" s="32">
        <v>2.6394443859772201</v>
      </c>
      <c r="I42" s="18" t="s">
        <v>414</v>
      </c>
      <c r="J42" s="18">
        <v>40</v>
      </c>
      <c r="K42" s="18">
        <v>4</v>
      </c>
      <c r="L42" s="18">
        <f t="shared" ref="L42:L45" si="28">M42/J42</f>
        <v>4.9000000000000004</v>
      </c>
      <c r="M42" s="18">
        <v>196</v>
      </c>
      <c r="N42" s="18">
        <f t="shared" ref="N42:N45" si="29">K42/J42</f>
        <v>0.1</v>
      </c>
    </row>
    <row r="43" spans="1:14" x14ac:dyDescent="0.25">
      <c r="A43" s="18" t="s">
        <v>4</v>
      </c>
      <c r="B43" s="18">
        <v>41</v>
      </c>
      <c r="C43" s="18">
        <v>5</v>
      </c>
      <c r="D43" s="18">
        <f t="shared" si="0"/>
        <v>4.975609756097561</v>
      </c>
      <c r="E43" s="18">
        <v>204</v>
      </c>
      <c r="F43" s="18">
        <f t="shared" si="1"/>
        <v>0.12195121951219512</v>
      </c>
      <c r="G43" s="32">
        <v>2.08832734769027</v>
      </c>
      <c r="I43" s="18" t="s">
        <v>0</v>
      </c>
      <c r="J43" s="18">
        <v>85</v>
      </c>
      <c r="K43" s="18">
        <v>14</v>
      </c>
      <c r="L43" s="18">
        <f t="shared" si="28"/>
        <v>4.1647058823529415</v>
      </c>
      <c r="M43" s="18">
        <v>354</v>
      </c>
      <c r="N43" s="18">
        <f t="shared" si="29"/>
        <v>0.16470588235294117</v>
      </c>
    </row>
    <row r="44" spans="1:14" x14ac:dyDescent="0.25">
      <c r="A44" s="18" t="s">
        <v>121</v>
      </c>
      <c r="B44" s="18">
        <v>117</v>
      </c>
      <c r="C44" s="18">
        <v>27</v>
      </c>
      <c r="D44" s="18">
        <f t="shared" si="0"/>
        <v>3.7948717948717947</v>
      </c>
      <c r="E44" s="18">
        <v>444</v>
      </c>
      <c r="F44" s="18">
        <f t="shared" si="1"/>
        <v>0.23076923076923078</v>
      </c>
      <c r="G44" s="32">
        <v>2.2233267457082899</v>
      </c>
      <c r="I44" s="18" t="s">
        <v>1</v>
      </c>
      <c r="J44" s="18">
        <v>131</v>
      </c>
      <c r="K44" s="18">
        <v>7</v>
      </c>
      <c r="L44" s="18">
        <f t="shared" si="28"/>
        <v>4.7175572519083966</v>
      </c>
      <c r="M44" s="18">
        <v>618</v>
      </c>
      <c r="N44" s="18">
        <f t="shared" si="29"/>
        <v>5.3435114503816793E-2</v>
      </c>
    </row>
    <row r="45" spans="1:14" x14ac:dyDescent="0.25">
      <c r="A45" s="18" t="s">
        <v>232</v>
      </c>
      <c r="B45" s="18">
        <v>199</v>
      </c>
      <c r="C45" s="18">
        <v>45</v>
      </c>
      <c r="D45" s="18">
        <f t="shared" si="0"/>
        <v>3.7839195979899496</v>
      </c>
      <c r="E45" s="18">
        <v>753</v>
      </c>
      <c r="F45" s="18">
        <f t="shared" si="1"/>
        <v>0.22613065326633167</v>
      </c>
      <c r="G45" s="32">
        <v>2.2509257354845502</v>
      </c>
      <c r="I45" s="18" t="s">
        <v>28</v>
      </c>
      <c r="J45" s="18">
        <v>126</v>
      </c>
      <c r="K45" s="18">
        <v>9</v>
      </c>
      <c r="L45" s="18">
        <f t="shared" si="28"/>
        <v>5.1031746031746028</v>
      </c>
      <c r="M45" s="18">
        <v>643</v>
      </c>
      <c r="N45" s="18">
        <f t="shared" si="29"/>
        <v>7.1428571428571425E-2</v>
      </c>
    </row>
    <row r="46" spans="1:14" x14ac:dyDescent="0.25">
      <c r="A46" s="18" t="s">
        <v>21</v>
      </c>
      <c r="B46" s="18">
        <v>187</v>
      </c>
      <c r="C46" s="18">
        <v>26</v>
      </c>
      <c r="D46" s="18">
        <f t="shared" si="0"/>
        <v>4.2941176470588234</v>
      </c>
      <c r="E46" s="18">
        <v>803</v>
      </c>
      <c r="F46" s="18">
        <f t="shared" si="1"/>
        <v>0.13903743315508021</v>
      </c>
      <c r="G46" s="32">
        <v>2.0655911179772799</v>
      </c>
      <c r="I46" s="18" t="s">
        <v>253</v>
      </c>
      <c r="J46" s="18">
        <v>61</v>
      </c>
      <c r="K46" s="18">
        <v>4</v>
      </c>
      <c r="L46" s="18">
        <f t="shared" ref="L46:L48" si="30">M46/J46</f>
        <v>5.6065573770491799</v>
      </c>
      <c r="M46" s="18">
        <v>342</v>
      </c>
      <c r="N46" s="18">
        <f t="shared" ref="N46:N47" si="31">K46/J46</f>
        <v>6.5573770491803282E-2</v>
      </c>
    </row>
    <row r="47" spans="1:14" x14ac:dyDescent="0.25">
      <c r="A47" s="18" t="s">
        <v>51</v>
      </c>
      <c r="B47" s="18">
        <v>48</v>
      </c>
      <c r="C47" s="18">
        <v>4</v>
      </c>
      <c r="D47" s="18">
        <f t="shared" si="0"/>
        <v>4.8125</v>
      </c>
      <c r="E47" s="18">
        <v>231</v>
      </c>
      <c r="F47" s="18">
        <f t="shared" si="1"/>
        <v>8.3333333333333329E-2</v>
      </c>
      <c r="G47" s="32">
        <v>2.2967049878400898</v>
      </c>
      <c r="I47" s="18" t="s">
        <v>175</v>
      </c>
      <c r="J47" s="18">
        <v>83</v>
      </c>
      <c r="K47" s="18">
        <v>22</v>
      </c>
      <c r="L47" s="18">
        <f t="shared" si="30"/>
        <v>3.5060240963855422</v>
      </c>
      <c r="M47" s="18">
        <v>291</v>
      </c>
      <c r="N47" s="18">
        <f t="shared" si="31"/>
        <v>0.26506024096385544</v>
      </c>
    </row>
    <row r="48" spans="1:14" x14ac:dyDescent="0.2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61</v>
      </c>
      <c r="J48" s="18">
        <v>86</v>
      </c>
      <c r="K48" s="18">
        <v>18</v>
      </c>
      <c r="L48" s="18">
        <f t="shared" si="30"/>
        <v>4.3139534883720927</v>
      </c>
      <c r="M48" s="18">
        <v>371</v>
      </c>
      <c r="N48" s="18">
        <f>K48/J48</f>
        <v>0.20930232558139536</v>
      </c>
    </row>
    <row r="49" spans="1:14" x14ac:dyDescent="0.25">
      <c r="A49" s="18" t="s">
        <v>0</v>
      </c>
      <c r="B49" s="18">
        <v>85</v>
      </c>
      <c r="C49" s="18">
        <v>14</v>
      </c>
      <c r="D49" s="18">
        <f t="shared" si="0"/>
        <v>4.1647058823529415</v>
      </c>
      <c r="E49" s="18">
        <v>354</v>
      </c>
      <c r="F49" s="18">
        <f t="shared" si="1"/>
        <v>0.16470588235294117</v>
      </c>
      <c r="G49" s="32">
        <v>2.16465107712866</v>
      </c>
      <c r="I49" s="18" t="s">
        <v>115</v>
      </c>
      <c r="J49" s="18">
        <v>40</v>
      </c>
      <c r="K49" s="18">
        <v>3</v>
      </c>
      <c r="L49" s="18">
        <f t="shared" ref="L49:L50" si="32">M49/J49</f>
        <v>4.4749999999999996</v>
      </c>
      <c r="M49" s="18">
        <v>179</v>
      </c>
      <c r="N49" s="18">
        <f t="shared" ref="N49:N50" si="33">K49/J49</f>
        <v>7.4999999999999997E-2</v>
      </c>
    </row>
    <row r="50" spans="1:14" x14ac:dyDescent="0.25">
      <c r="A50" s="18" t="s">
        <v>1</v>
      </c>
      <c r="B50" s="18">
        <v>131</v>
      </c>
      <c r="C50" s="18">
        <v>7</v>
      </c>
      <c r="D50" s="18">
        <f t="shared" si="0"/>
        <v>4.7175572519083966</v>
      </c>
      <c r="E50" s="18">
        <v>618</v>
      </c>
      <c r="F50" s="18">
        <f t="shared" si="1"/>
        <v>5.3435114503816793E-2</v>
      </c>
      <c r="G50" s="32">
        <v>2.0412414523193099</v>
      </c>
      <c r="I50" s="18" t="s">
        <v>24</v>
      </c>
      <c r="J50" s="18">
        <v>103</v>
      </c>
      <c r="K50" s="18">
        <v>12</v>
      </c>
      <c r="L50" s="18">
        <f t="shared" si="32"/>
        <v>4.5533980582524274</v>
      </c>
      <c r="M50" s="18">
        <v>469</v>
      </c>
      <c r="N50" s="18">
        <f t="shared" si="33"/>
        <v>0.11650485436893204</v>
      </c>
    </row>
    <row r="51" spans="1:14" x14ac:dyDescent="0.25">
      <c r="A51" s="18" t="s">
        <v>28</v>
      </c>
      <c r="B51" s="18">
        <v>126</v>
      </c>
      <c r="C51" s="18">
        <v>9</v>
      </c>
      <c r="D51" s="18">
        <f t="shared" si="0"/>
        <v>5.1031746031746028</v>
      </c>
      <c r="E51" s="18">
        <v>643</v>
      </c>
      <c r="F51" s="18">
        <f t="shared" si="1"/>
        <v>7.1428571428571425E-2</v>
      </c>
      <c r="G51" s="32">
        <v>1.30384048104052</v>
      </c>
      <c r="I51" s="18" t="s">
        <v>116</v>
      </c>
      <c r="J51" s="18">
        <v>40</v>
      </c>
      <c r="K51" s="18">
        <v>5</v>
      </c>
      <c r="L51" s="18">
        <f>M51/J51</f>
        <v>3.85</v>
      </c>
      <c r="M51" s="18">
        <v>154</v>
      </c>
      <c r="N51" s="18">
        <f>K51/J51</f>
        <v>0.125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30</v>
      </c>
      <c r="J52" s="18">
        <v>66</v>
      </c>
      <c r="K52" s="18">
        <v>5</v>
      </c>
      <c r="L52" s="18">
        <f t="shared" ref="L52" si="34">M52/J52</f>
        <v>5.166666666666667</v>
      </c>
      <c r="M52" s="18">
        <v>341</v>
      </c>
      <c r="N52" s="18">
        <f t="shared" ref="N52" si="35">K52/J52</f>
        <v>7.575757575757576E-2</v>
      </c>
    </row>
    <row r="53" spans="1:14" x14ac:dyDescent="0.25">
      <c r="A53" s="18" t="s">
        <v>175</v>
      </c>
      <c r="B53" s="18">
        <v>83</v>
      </c>
      <c r="C53" s="18">
        <v>22</v>
      </c>
      <c r="D53" s="18">
        <f t="shared" si="0"/>
        <v>3.5060240963855422</v>
      </c>
      <c r="E53" s="18">
        <v>291</v>
      </c>
      <c r="F53" s="18">
        <f t="shared" si="1"/>
        <v>0.26506024096385544</v>
      </c>
      <c r="G53" s="32">
        <v>2</v>
      </c>
      <c r="I53" s="18" t="s">
        <v>29</v>
      </c>
      <c r="J53" s="18">
        <v>144</v>
      </c>
      <c r="K53" s="18">
        <v>21</v>
      </c>
      <c r="L53" s="18">
        <f t="shared" ref="L52:L56" si="36">M53/J53</f>
        <v>3.9791666666666665</v>
      </c>
      <c r="M53" s="18">
        <v>573</v>
      </c>
      <c r="N53" s="18">
        <f t="shared" ref="N52:N56" si="37">K53/J53</f>
        <v>0.14583333333333334</v>
      </c>
    </row>
    <row r="54" spans="1:14" x14ac:dyDescent="0.25">
      <c r="A54" s="18" t="s">
        <v>61</v>
      </c>
      <c r="B54" s="18">
        <v>86</v>
      </c>
      <c r="C54" s="18">
        <v>18</v>
      </c>
      <c r="D54" s="18">
        <f t="shared" si="0"/>
        <v>4.3139534883720927</v>
      </c>
      <c r="E54" s="18">
        <v>371</v>
      </c>
      <c r="F54" s="18">
        <f>C54/B54</f>
        <v>0.20930232558139536</v>
      </c>
      <c r="G54" s="32">
        <v>3.2403703492039302</v>
      </c>
      <c r="I54" s="18" t="s">
        <v>148</v>
      </c>
      <c r="J54" s="18">
        <v>42</v>
      </c>
      <c r="K54" s="18">
        <v>8</v>
      </c>
      <c r="L54" s="18">
        <f t="shared" si="36"/>
        <v>3.7380952380952381</v>
      </c>
      <c r="M54" s="18">
        <v>157</v>
      </c>
      <c r="N54" s="18">
        <f t="shared" si="37"/>
        <v>0.19047619047619047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79</v>
      </c>
      <c r="J55" s="18">
        <v>55</v>
      </c>
      <c r="K55" s="18">
        <v>6</v>
      </c>
      <c r="L55" s="18">
        <f t="shared" si="36"/>
        <v>4.6363636363636367</v>
      </c>
      <c r="M55" s="18">
        <v>255</v>
      </c>
      <c r="N55" s="18">
        <f t="shared" si="37"/>
        <v>0.10909090909090909</v>
      </c>
    </row>
    <row r="56" spans="1:14" x14ac:dyDescent="0.25">
      <c r="A56" s="18" t="s">
        <v>115</v>
      </c>
      <c r="B56" s="18">
        <v>40</v>
      </c>
      <c r="C56" s="18">
        <v>3</v>
      </c>
      <c r="D56" s="18">
        <f t="shared" si="0"/>
        <v>4.4749999999999996</v>
      </c>
      <c r="E56" s="18">
        <v>179</v>
      </c>
      <c r="F56" s="18">
        <f t="shared" si="1"/>
        <v>7.4999999999999997E-2</v>
      </c>
      <c r="G56" s="32">
        <v>1.71824938596844</v>
      </c>
      <c r="I56" s="18" t="s">
        <v>123</v>
      </c>
      <c r="J56" s="18">
        <v>49</v>
      </c>
      <c r="K56" s="18">
        <v>7</v>
      </c>
      <c r="L56" s="18">
        <f t="shared" si="36"/>
        <v>4.3265306122448983</v>
      </c>
      <c r="M56" s="18">
        <v>212</v>
      </c>
      <c r="N56" s="18">
        <f t="shared" si="37"/>
        <v>0.14285714285714285</v>
      </c>
    </row>
    <row r="57" spans="1:14" x14ac:dyDescent="0.2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22</v>
      </c>
      <c r="J57" s="18">
        <v>186</v>
      </c>
      <c r="K57" s="18">
        <v>30</v>
      </c>
      <c r="L57" s="18">
        <f>M57/J57</f>
        <v>4.123655913978495</v>
      </c>
      <c r="M57" s="18">
        <v>767</v>
      </c>
      <c r="N57" s="18">
        <f>K57/J57</f>
        <v>0.16129032258064516</v>
      </c>
    </row>
    <row r="58" spans="1:14" x14ac:dyDescent="0.2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33</v>
      </c>
      <c r="J58" s="18">
        <v>73</v>
      </c>
      <c r="K58" s="18">
        <v>4</v>
      </c>
      <c r="L58" s="18">
        <f t="shared" ref="L58" si="38">M58/J58</f>
        <v>5.5342465753424657</v>
      </c>
      <c r="M58" s="18">
        <v>404</v>
      </c>
      <c r="N58" s="18">
        <f t="shared" ref="N58" si="39">K58/J58</f>
        <v>5.4794520547945202E-2</v>
      </c>
    </row>
    <row r="59" spans="1:14" x14ac:dyDescent="0.2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  <c r="I59" s="18" t="s">
        <v>129</v>
      </c>
      <c r="J59" s="18">
        <v>51</v>
      </c>
      <c r="K59" s="18">
        <v>8</v>
      </c>
      <c r="L59" s="18">
        <f t="shared" ref="L59" si="40">M59/J59</f>
        <v>4.5490196078431371</v>
      </c>
      <c r="M59" s="18">
        <v>232</v>
      </c>
      <c r="N59" s="18">
        <f t="shared" ref="N59" si="41">K59/J59</f>
        <v>0.15686274509803921</v>
      </c>
    </row>
    <row r="60" spans="1:14" x14ac:dyDescent="0.25">
      <c r="A60" t="s">
        <v>58</v>
      </c>
      <c r="B60">
        <v>32</v>
      </c>
      <c r="C60">
        <v>7</v>
      </c>
      <c r="D60">
        <f t="shared" si="0"/>
        <v>3.71875</v>
      </c>
      <c r="E60">
        <v>119</v>
      </c>
      <c r="F60">
        <f t="shared" si="1"/>
        <v>0.21875</v>
      </c>
      <c r="G60" s="32">
        <v>2.33809038890002</v>
      </c>
      <c r="I60" s="18" t="s">
        <v>113</v>
      </c>
      <c r="J60" s="18">
        <v>41</v>
      </c>
      <c r="K60" s="18">
        <v>1</v>
      </c>
      <c r="L60" s="18">
        <f t="shared" ref="L60:L64" si="42">M60/J60</f>
        <v>4.2926829268292686</v>
      </c>
      <c r="M60" s="18">
        <v>176</v>
      </c>
      <c r="N60" s="18">
        <f t="shared" ref="N60:N64" si="43">K60/J60</f>
        <v>2.4390243902439025E-2</v>
      </c>
    </row>
    <row r="61" spans="1:14" x14ac:dyDescent="0.25">
      <c r="A61" s="18" t="s">
        <v>30</v>
      </c>
      <c r="B61" s="18">
        <v>66</v>
      </c>
      <c r="C61" s="18">
        <v>5</v>
      </c>
      <c r="D61" s="18">
        <f t="shared" si="0"/>
        <v>5.166666666666667</v>
      </c>
      <c r="E61" s="18">
        <v>341</v>
      </c>
      <c r="F61" s="18">
        <f t="shared" si="1"/>
        <v>7.575757575757576E-2</v>
      </c>
      <c r="G61" s="32">
        <v>2.5226248955475601</v>
      </c>
      <c r="I61" s="18" t="s">
        <v>35</v>
      </c>
      <c r="J61" s="18">
        <v>199</v>
      </c>
      <c r="K61" s="18">
        <v>47</v>
      </c>
      <c r="L61" s="18">
        <f t="shared" si="42"/>
        <v>3.5376884422110555</v>
      </c>
      <c r="M61" s="18">
        <v>704</v>
      </c>
      <c r="N61" s="18">
        <f t="shared" si="43"/>
        <v>0.23618090452261306</v>
      </c>
    </row>
    <row r="62" spans="1:14" x14ac:dyDescent="0.25">
      <c r="A62" s="18" t="s">
        <v>29</v>
      </c>
      <c r="B62" s="18">
        <v>144</v>
      </c>
      <c r="C62" s="18">
        <v>21</v>
      </c>
      <c r="D62" s="18">
        <f t="shared" si="0"/>
        <v>3.9791666666666665</v>
      </c>
      <c r="E62" s="18">
        <v>573</v>
      </c>
      <c r="F62" s="18">
        <f t="shared" si="1"/>
        <v>0.14583333333333334</v>
      </c>
      <c r="G62" s="32">
        <v>2.0875571218153701</v>
      </c>
      <c r="I62" s="18" t="s">
        <v>26</v>
      </c>
      <c r="J62" s="18">
        <v>116</v>
      </c>
      <c r="K62" s="18">
        <v>7</v>
      </c>
      <c r="L62" s="18">
        <f t="shared" si="42"/>
        <v>5.25</v>
      </c>
      <c r="M62" s="18">
        <v>609</v>
      </c>
      <c r="N62" s="18">
        <f t="shared" si="43"/>
        <v>6.0344827586206899E-2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122</v>
      </c>
      <c r="J63" s="18">
        <v>188</v>
      </c>
      <c r="K63" s="18">
        <v>21</v>
      </c>
      <c r="L63" s="18">
        <f t="shared" si="42"/>
        <v>4.0053191489361701</v>
      </c>
      <c r="M63" s="18">
        <v>753</v>
      </c>
      <c r="N63" s="18">
        <f t="shared" si="43"/>
        <v>0.11170212765957446</v>
      </c>
    </row>
    <row r="64" spans="1:14" x14ac:dyDescent="0.25">
      <c r="A64" t="s">
        <v>9</v>
      </c>
      <c r="B64">
        <v>36</v>
      </c>
      <c r="C64">
        <v>4</v>
      </c>
      <c r="D64">
        <f t="shared" si="0"/>
        <v>3.9722222222222223</v>
      </c>
      <c r="E64">
        <v>143</v>
      </c>
      <c r="F64">
        <f t="shared" si="1"/>
        <v>0.1111111111111111</v>
      </c>
      <c r="G64" s="32">
        <v>2.42097317438899</v>
      </c>
      <c r="I64" s="18" t="s">
        <v>49</v>
      </c>
      <c r="J64" s="18">
        <v>157</v>
      </c>
      <c r="K64" s="18">
        <v>10</v>
      </c>
      <c r="L64" s="18">
        <f t="shared" si="42"/>
        <v>4.9872611464968148</v>
      </c>
      <c r="M64" s="18">
        <v>783</v>
      </c>
      <c r="N64" s="18">
        <f t="shared" si="43"/>
        <v>6.3694267515923567E-2</v>
      </c>
    </row>
    <row r="65" spans="1:14" x14ac:dyDescent="0.2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 t="s">
        <v>3</v>
      </c>
      <c r="J65" s="18">
        <v>54</v>
      </c>
      <c r="K65" s="18">
        <v>7</v>
      </c>
      <c r="L65" s="18">
        <f t="shared" ref="L65" si="44">M65/J65</f>
        <v>4.3148148148148149</v>
      </c>
      <c r="M65" s="18">
        <v>233</v>
      </c>
      <c r="N65" s="18">
        <f t="shared" ref="N65" si="45">K65/J65</f>
        <v>0.12962962962962962</v>
      </c>
    </row>
    <row r="66" spans="1:14" x14ac:dyDescent="0.25">
      <c r="A66" t="s">
        <v>428</v>
      </c>
      <c r="B66">
        <v>36</v>
      </c>
      <c r="C66">
        <v>6</v>
      </c>
      <c r="D66">
        <f t="shared" si="0"/>
        <v>4.083333333333333</v>
      </c>
      <c r="E66">
        <v>147</v>
      </c>
      <c r="F66">
        <f t="shared" si="1"/>
        <v>0.16666666666666666</v>
      </c>
      <c r="G66" s="32">
        <v>1.9414506867882999</v>
      </c>
      <c r="I66" s="18" t="s">
        <v>2</v>
      </c>
      <c r="J66" s="18">
        <v>40</v>
      </c>
      <c r="K66" s="18">
        <v>10</v>
      </c>
      <c r="L66" s="18">
        <f t="shared" ref="L66" si="46">M66/J66</f>
        <v>3.8</v>
      </c>
      <c r="M66" s="18">
        <v>152</v>
      </c>
      <c r="N66" s="18">
        <f t="shared" ref="N66" si="47">K66/J66</f>
        <v>0.25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124</v>
      </c>
      <c r="J67" s="18">
        <v>40</v>
      </c>
      <c r="K67" s="18">
        <v>1</v>
      </c>
      <c r="L67" s="18">
        <f t="shared" ref="L67" si="48">M67/J67</f>
        <v>5.15</v>
      </c>
      <c r="M67" s="18">
        <v>206</v>
      </c>
      <c r="N67" s="18">
        <f t="shared" ref="N67" si="49">K67/J67</f>
        <v>2.5000000000000001E-2</v>
      </c>
    </row>
    <row r="68" spans="1:14" x14ac:dyDescent="0.2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</row>
    <row r="69" spans="1:14" x14ac:dyDescent="0.2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</row>
    <row r="70" spans="1:14" x14ac:dyDescent="0.25">
      <c r="A70" s="18" t="s">
        <v>123</v>
      </c>
      <c r="B70" s="18">
        <v>49</v>
      </c>
      <c r="C70" s="18">
        <v>7</v>
      </c>
      <c r="D70" s="18">
        <f t="shared" si="0"/>
        <v>4.3265306122448983</v>
      </c>
      <c r="E70" s="18">
        <v>212</v>
      </c>
      <c r="F70" s="18">
        <f t="shared" si="1"/>
        <v>0.14285714285714285</v>
      </c>
      <c r="G70" s="32">
        <v>2</v>
      </c>
    </row>
    <row r="71" spans="1:14" x14ac:dyDescent="0.25">
      <c r="A71" t="s">
        <v>12</v>
      </c>
      <c r="B71">
        <v>33</v>
      </c>
      <c r="C71">
        <v>1</v>
      </c>
      <c r="D71">
        <f t="shared" si="0"/>
        <v>4.9090909090909092</v>
      </c>
      <c r="E71">
        <v>162</v>
      </c>
      <c r="F71">
        <f t="shared" si="1"/>
        <v>3.0303030303030304E-2</v>
      </c>
      <c r="G71" s="32">
        <v>2.44584195260913</v>
      </c>
    </row>
    <row r="72" spans="1:14" x14ac:dyDescent="0.25">
      <c r="A72" t="s">
        <v>404</v>
      </c>
      <c r="B72">
        <v>35</v>
      </c>
      <c r="C72">
        <v>3</v>
      </c>
      <c r="D72">
        <f t="shared" si="0"/>
        <v>5.0571428571428569</v>
      </c>
      <c r="E72">
        <v>177</v>
      </c>
      <c r="F72">
        <f t="shared" si="1"/>
        <v>8.5714285714285715E-2</v>
      </c>
      <c r="G72" s="32">
        <v>2.3094010767584998</v>
      </c>
    </row>
    <row r="73" spans="1:14" x14ac:dyDescent="0.25">
      <c r="A73" s="18" t="s">
        <v>22</v>
      </c>
      <c r="B73" s="18">
        <v>186</v>
      </c>
      <c r="C73" s="18">
        <v>30</v>
      </c>
      <c r="D73" s="18">
        <f>E73/B73</f>
        <v>4.123655913978495</v>
      </c>
      <c r="E73" s="18">
        <v>767</v>
      </c>
      <c r="F73" s="18">
        <f>C73/B73</f>
        <v>0.16129032258064516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</row>
    <row r="76" spans="1:14" x14ac:dyDescent="0.25">
      <c r="A76" t="s">
        <v>82</v>
      </c>
      <c r="B76">
        <v>32</v>
      </c>
      <c r="C76">
        <v>1</v>
      </c>
      <c r="D76">
        <f t="shared" ref="D76:D91" si="50">E76/B76</f>
        <v>5.3125</v>
      </c>
      <c r="E76">
        <v>170</v>
      </c>
      <c r="F76">
        <f>C76/B76</f>
        <v>3.125E-2</v>
      </c>
      <c r="G76" s="32">
        <v>2</v>
      </c>
    </row>
    <row r="77" spans="1:14" x14ac:dyDescent="0.25">
      <c r="A77" s="18" t="s">
        <v>33</v>
      </c>
      <c r="B77" s="18">
        <v>73</v>
      </c>
      <c r="C77" s="18">
        <v>4</v>
      </c>
      <c r="D77" s="18">
        <f t="shared" si="50"/>
        <v>5.5342465753424657</v>
      </c>
      <c r="E77" s="18">
        <v>404</v>
      </c>
      <c r="F77" s="18">
        <f t="shared" ref="F77:F91" si="51">C77/B77</f>
        <v>5.4794520547945202E-2</v>
      </c>
      <c r="G77" s="32">
        <v>2.14993539954627</v>
      </c>
    </row>
    <row r="78" spans="1:14" x14ac:dyDescent="0.25">
      <c r="A78" t="s">
        <v>99</v>
      </c>
      <c r="B78">
        <v>34</v>
      </c>
      <c r="C78">
        <v>3</v>
      </c>
      <c r="D78">
        <f t="shared" si="50"/>
        <v>5.0882352941176467</v>
      </c>
      <c r="E78">
        <v>173</v>
      </c>
      <c r="F78">
        <f t="shared" si="51"/>
        <v>8.8235294117647065E-2</v>
      </c>
      <c r="G78" s="32">
        <v>2.6687491868330699</v>
      </c>
    </row>
    <row r="79" spans="1:14" x14ac:dyDescent="0.25">
      <c r="A79" t="s">
        <v>7</v>
      </c>
      <c r="B79">
        <v>35</v>
      </c>
      <c r="C79">
        <v>8</v>
      </c>
      <c r="D79">
        <f t="shared" si="50"/>
        <v>3.7428571428571429</v>
      </c>
      <c r="E79">
        <v>131</v>
      </c>
      <c r="F79">
        <f t="shared" si="51"/>
        <v>0.22857142857142856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0"/>
        <v>4</v>
      </c>
      <c r="E80" s="41">
        <v>20</v>
      </c>
      <c r="F80" s="41">
        <f t="shared" si="51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0"/>
        <v>4.1818181818181817</v>
      </c>
      <c r="E81" s="41">
        <v>46</v>
      </c>
      <c r="F81" s="41">
        <f t="shared" si="51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51</v>
      </c>
      <c r="C82" s="18">
        <v>8</v>
      </c>
      <c r="D82" s="18">
        <f t="shared" si="50"/>
        <v>4.5490196078431371</v>
      </c>
      <c r="E82" s="18">
        <v>232</v>
      </c>
      <c r="F82" s="18">
        <f t="shared" si="51"/>
        <v>0.15686274509803921</v>
      </c>
      <c r="G82" s="32">
        <v>2.1315096371664199</v>
      </c>
    </row>
    <row r="83" spans="1:7" x14ac:dyDescent="0.25">
      <c r="A83" s="18" t="s">
        <v>113</v>
      </c>
      <c r="B83" s="18">
        <v>41</v>
      </c>
      <c r="C83" s="18">
        <v>1</v>
      </c>
      <c r="D83" s="18">
        <f t="shared" si="50"/>
        <v>4.2926829268292686</v>
      </c>
      <c r="E83" s="18">
        <v>176</v>
      </c>
      <c r="F83" s="18">
        <f t="shared" si="51"/>
        <v>2.4390243902439025E-2</v>
      </c>
      <c r="G83" s="32">
        <v>2.4899799195977401</v>
      </c>
    </row>
    <row r="84" spans="1:7" x14ac:dyDescent="0.25">
      <c r="A84" s="18" t="s">
        <v>35</v>
      </c>
      <c r="B84" s="18">
        <v>199</v>
      </c>
      <c r="C84" s="18">
        <v>47</v>
      </c>
      <c r="D84" s="18">
        <f t="shared" si="50"/>
        <v>3.5376884422110555</v>
      </c>
      <c r="E84" s="18">
        <v>704</v>
      </c>
      <c r="F84" s="18">
        <f t="shared" si="51"/>
        <v>0.23618090452261306</v>
      </c>
      <c r="G84" s="32">
        <v>2.6214406763289899</v>
      </c>
    </row>
    <row r="85" spans="1:7" x14ac:dyDescent="0.25">
      <c r="A85" s="18" t="s">
        <v>26</v>
      </c>
      <c r="B85" s="18">
        <v>116</v>
      </c>
      <c r="C85" s="18">
        <v>7</v>
      </c>
      <c r="D85" s="18">
        <f t="shared" si="50"/>
        <v>5.25</v>
      </c>
      <c r="E85" s="18">
        <v>609</v>
      </c>
      <c r="F85" s="18">
        <f t="shared" si="51"/>
        <v>6.0344827586206899E-2</v>
      </c>
      <c r="G85" s="32">
        <v>2.4494897427831699</v>
      </c>
    </row>
    <row r="86" spans="1:7" x14ac:dyDescent="0.25">
      <c r="A86" s="18" t="s">
        <v>122</v>
      </c>
      <c r="B86" s="18">
        <v>188</v>
      </c>
      <c r="C86" s="18">
        <v>21</v>
      </c>
      <c r="D86" s="18">
        <f t="shared" si="50"/>
        <v>4.0053191489361701</v>
      </c>
      <c r="E86" s="18">
        <v>753</v>
      </c>
      <c r="F86" s="18">
        <f t="shared" si="51"/>
        <v>0.11170212765957446</v>
      </c>
      <c r="G86" s="32">
        <v>1.6329931618554501</v>
      </c>
    </row>
    <row r="87" spans="1:7" x14ac:dyDescent="0.25">
      <c r="A87" s="18" t="s">
        <v>49</v>
      </c>
      <c r="B87" s="18">
        <v>157</v>
      </c>
      <c r="C87" s="18">
        <v>10</v>
      </c>
      <c r="D87" s="18">
        <f t="shared" si="50"/>
        <v>4.9872611464968148</v>
      </c>
      <c r="E87" s="18">
        <v>783</v>
      </c>
      <c r="F87" s="18">
        <f t="shared" si="51"/>
        <v>6.3694267515923567E-2</v>
      </c>
      <c r="G87" s="32">
        <v>2.79455252402308</v>
      </c>
    </row>
    <row r="88" spans="1:7" x14ac:dyDescent="0.25">
      <c r="A88" s="18" t="s">
        <v>3</v>
      </c>
      <c r="B88" s="18">
        <v>54</v>
      </c>
      <c r="C88" s="18">
        <v>7</v>
      </c>
      <c r="D88" s="18">
        <f t="shared" si="50"/>
        <v>4.3148148148148149</v>
      </c>
      <c r="E88" s="18">
        <v>233</v>
      </c>
      <c r="F88" s="18">
        <f t="shared" si="51"/>
        <v>0.12962962962962962</v>
      </c>
      <c r="G88" s="32">
        <v>2.3731557327466102</v>
      </c>
    </row>
    <row r="89" spans="1:7" x14ac:dyDescent="0.25">
      <c r="A89" t="s">
        <v>230</v>
      </c>
      <c r="B89">
        <v>32</v>
      </c>
      <c r="C89">
        <v>4</v>
      </c>
      <c r="D89">
        <f t="shared" si="50"/>
        <v>5.0625</v>
      </c>
      <c r="E89">
        <v>162</v>
      </c>
      <c r="F89">
        <f t="shared" si="51"/>
        <v>0.125</v>
      </c>
      <c r="G89" s="32">
        <v>2.7748873851023199</v>
      </c>
    </row>
    <row r="90" spans="1:7" x14ac:dyDescent="0.25">
      <c r="A90" s="18" t="s">
        <v>2</v>
      </c>
      <c r="B90" s="18">
        <v>40</v>
      </c>
      <c r="C90" s="18">
        <v>10</v>
      </c>
      <c r="D90" s="18">
        <f t="shared" si="50"/>
        <v>3.8</v>
      </c>
      <c r="E90" s="18">
        <v>152</v>
      </c>
      <c r="F90" s="18">
        <f t="shared" si="51"/>
        <v>0.25</v>
      </c>
      <c r="G90" s="32">
        <v>2.5876449587894599</v>
      </c>
    </row>
    <row r="91" spans="1:7" x14ac:dyDescent="0.25">
      <c r="A91" s="18" t="s">
        <v>124</v>
      </c>
      <c r="B91" s="18">
        <v>40</v>
      </c>
      <c r="C91" s="18">
        <v>1</v>
      </c>
      <c r="D91" s="18">
        <f t="shared" si="50"/>
        <v>5.15</v>
      </c>
      <c r="E91" s="18">
        <v>206</v>
      </c>
      <c r="F91" s="18">
        <f t="shared" si="51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56"/>
  <sheetViews>
    <sheetView zoomScale="90" zoomScaleNormal="90" workbookViewId="0">
      <selection activeCell="AA35" sqref="AA35"/>
    </sheetView>
  </sheetViews>
  <sheetFormatPr defaultRowHeight="15" x14ac:dyDescent="0.25"/>
  <cols>
    <col min="8" max="8" width="17.7109375" bestFit="1" customWidth="1"/>
    <col min="9" max="9" width="7.140625" bestFit="1" customWidth="1"/>
    <col min="10" max="10" width="8.7109375" bestFit="1" customWidth="1"/>
    <col min="11" max="12" width="12" bestFit="1" customWidth="1"/>
    <col min="13" max="13" width="5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9" width="13.28515625" bestFit="1" customWidth="1"/>
  </cols>
  <sheetData>
    <row r="1" spans="1:21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1" x14ac:dyDescent="0.2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  <c r="O2" s="18" t="s">
        <v>128</v>
      </c>
      <c r="P2" s="18">
        <v>119</v>
      </c>
      <c r="Q2" s="18">
        <v>38</v>
      </c>
      <c r="R2" s="18">
        <f t="shared" ref="R2:R33" si="4">U2/P2</f>
        <v>3.2184873949579833</v>
      </c>
      <c r="S2" s="18">
        <f t="shared" ref="S2:S33" si="5">Q2/P2</f>
        <v>0.31932773109243695</v>
      </c>
      <c r="U2" s="18">
        <v>383</v>
      </c>
    </row>
    <row r="3" spans="1:21" x14ac:dyDescent="0.2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  <c r="O3" s="18" t="s">
        <v>175</v>
      </c>
      <c r="P3" s="18">
        <v>83</v>
      </c>
      <c r="Q3" s="18">
        <v>22</v>
      </c>
      <c r="R3" s="18">
        <f t="shared" si="4"/>
        <v>3.5060240963855422</v>
      </c>
      <c r="S3" s="18">
        <f t="shared" si="5"/>
        <v>0.26506024096385544</v>
      </c>
      <c r="U3" s="18">
        <v>291</v>
      </c>
    </row>
    <row r="4" spans="1:21" x14ac:dyDescent="0.2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  <c r="O4" s="59" t="s">
        <v>35</v>
      </c>
      <c r="P4" s="59">
        <v>199</v>
      </c>
      <c r="Q4" s="59">
        <v>47</v>
      </c>
      <c r="R4" s="59">
        <f t="shared" si="4"/>
        <v>3.5376884422110555</v>
      </c>
      <c r="S4" s="59">
        <f t="shared" si="5"/>
        <v>0.23618090452261306</v>
      </c>
      <c r="U4" s="18">
        <v>704</v>
      </c>
    </row>
    <row r="5" spans="1:21" x14ac:dyDescent="0.2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  <c r="O5" s="59" t="s">
        <v>148</v>
      </c>
      <c r="P5" s="59">
        <v>42</v>
      </c>
      <c r="Q5" s="59">
        <v>8</v>
      </c>
      <c r="R5" s="59">
        <f t="shared" si="4"/>
        <v>3.7380952380952381</v>
      </c>
      <c r="S5" s="59">
        <f t="shared" si="5"/>
        <v>0.19047619047619047</v>
      </c>
      <c r="U5" s="18">
        <v>157</v>
      </c>
    </row>
    <row r="6" spans="1:21" x14ac:dyDescent="0.2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  <c r="O6" s="59" t="s">
        <v>112</v>
      </c>
      <c r="P6" s="59">
        <v>42</v>
      </c>
      <c r="Q6" s="59">
        <v>8</v>
      </c>
      <c r="R6" s="59">
        <f t="shared" si="4"/>
        <v>3.7619047619047619</v>
      </c>
      <c r="S6" s="59">
        <f t="shared" si="5"/>
        <v>0.19047619047619047</v>
      </c>
      <c r="U6" s="18">
        <v>158</v>
      </c>
    </row>
    <row r="7" spans="1:21" x14ac:dyDescent="0.2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  <c r="O7" s="59" t="s">
        <v>232</v>
      </c>
      <c r="P7" s="59">
        <v>199</v>
      </c>
      <c r="Q7" s="59">
        <v>45</v>
      </c>
      <c r="R7" s="59">
        <f t="shared" si="4"/>
        <v>3.7839195979899496</v>
      </c>
      <c r="S7" s="59">
        <f t="shared" si="5"/>
        <v>0.22613065326633167</v>
      </c>
      <c r="U7" s="18">
        <v>753</v>
      </c>
    </row>
    <row r="8" spans="1:21" x14ac:dyDescent="0.2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  <c r="O8" s="59" t="s">
        <v>121</v>
      </c>
      <c r="P8" s="59">
        <v>117</v>
      </c>
      <c r="Q8" s="59">
        <v>27</v>
      </c>
      <c r="R8" s="59">
        <f t="shared" si="4"/>
        <v>3.7948717948717947</v>
      </c>
      <c r="S8" s="59">
        <f t="shared" si="5"/>
        <v>0.23076923076923078</v>
      </c>
      <c r="U8" s="18">
        <v>444</v>
      </c>
    </row>
    <row r="9" spans="1:21" x14ac:dyDescent="0.2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  <c r="O9" s="59" t="s">
        <v>2</v>
      </c>
      <c r="P9" s="59">
        <v>40</v>
      </c>
      <c r="Q9" s="59">
        <v>10</v>
      </c>
      <c r="R9" s="59">
        <f t="shared" si="4"/>
        <v>3.8</v>
      </c>
      <c r="S9" s="59">
        <f t="shared" si="5"/>
        <v>0.25</v>
      </c>
      <c r="T9" s="11" t="s">
        <v>611</v>
      </c>
      <c r="U9" s="18">
        <v>152</v>
      </c>
    </row>
    <row r="10" spans="1:21" x14ac:dyDescent="0.2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  <c r="O10" s="59" t="s">
        <v>116</v>
      </c>
      <c r="P10" s="59">
        <v>40</v>
      </c>
      <c r="Q10" s="59">
        <v>5</v>
      </c>
      <c r="R10" s="59">
        <f t="shared" si="4"/>
        <v>3.85</v>
      </c>
      <c r="S10" s="59">
        <f t="shared" si="5"/>
        <v>0.125</v>
      </c>
      <c r="T10" s="58" t="s">
        <v>611</v>
      </c>
      <c r="U10" s="18">
        <v>154</v>
      </c>
    </row>
    <row r="11" spans="1:21" x14ac:dyDescent="0.2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  <c r="O11" s="59" t="s">
        <v>147</v>
      </c>
      <c r="P11" s="59">
        <v>145</v>
      </c>
      <c r="Q11" s="59">
        <v>28</v>
      </c>
      <c r="R11" s="59">
        <f t="shared" si="4"/>
        <v>3.8620689655172415</v>
      </c>
      <c r="S11" s="59">
        <f t="shared" si="5"/>
        <v>0.19310344827586207</v>
      </c>
      <c r="T11" s="3" t="s">
        <v>45</v>
      </c>
      <c r="U11" s="18">
        <v>560</v>
      </c>
    </row>
    <row r="12" spans="1:21" x14ac:dyDescent="0.2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  <c r="O12" s="59" t="s">
        <v>10</v>
      </c>
      <c r="P12" s="59">
        <v>73</v>
      </c>
      <c r="Q12" s="59">
        <v>13</v>
      </c>
      <c r="R12" s="59">
        <f t="shared" si="4"/>
        <v>3.9452054794520546</v>
      </c>
      <c r="S12" s="59">
        <f t="shared" si="5"/>
        <v>0.17808219178082191</v>
      </c>
      <c r="T12" s="3" t="s">
        <v>46</v>
      </c>
      <c r="U12" s="18">
        <v>288</v>
      </c>
    </row>
    <row r="13" spans="1:21" x14ac:dyDescent="0.2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  <c r="O13" s="59" t="s">
        <v>122</v>
      </c>
      <c r="P13" s="59">
        <v>186</v>
      </c>
      <c r="Q13" s="59">
        <v>21</v>
      </c>
      <c r="R13" s="59">
        <f t="shared" si="4"/>
        <v>3.9731182795698925</v>
      </c>
      <c r="S13" s="59">
        <f t="shared" si="5"/>
        <v>0.11290322580645161</v>
      </c>
      <c r="T13" s="3" t="s">
        <v>54</v>
      </c>
      <c r="U13" s="18">
        <v>739</v>
      </c>
    </row>
    <row r="14" spans="1:21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  <c r="O14" s="59" t="s">
        <v>29</v>
      </c>
      <c r="P14" s="59">
        <v>143</v>
      </c>
      <c r="Q14" s="59">
        <v>21</v>
      </c>
      <c r="R14" s="59">
        <f t="shared" si="4"/>
        <v>3.9790209790209792</v>
      </c>
      <c r="S14" s="59">
        <f t="shared" si="5"/>
        <v>0.14685314685314685</v>
      </c>
      <c r="T14" s="3" t="s">
        <v>45</v>
      </c>
      <c r="U14" s="18">
        <v>569</v>
      </c>
    </row>
    <row r="15" spans="1:21" x14ac:dyDescent="0.2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  <c r="O15" s="32" t="s">
        <v>22</v>
      </c>
      <c r="P15" s="32">
        <v>185</v>
      </c>
      <c r="Q15" s="32">
        <v>30</v>
      </c>
      <c r="R15" s="32">
        <f t="shared" si="4"/>
        <v>4.1243243243243244</v>
      </c>
      <c r="S15" s="32">
        <f t="shared" si="5"/>
        <v>0.16216216216216217</v>
      </c>
      <c r="T15" s="3" t="s">
        <v>45</v>
      </c>
      <c r="U15" s="18">
        <v>763</v>
      </c>
    </row>
    <row r="16" spans="1:21" x14ac:dyDescent="0.2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  <c r="O16" s="32" t="s">
        <v>0</v>
      </c>
      <c r="P16" s="32">
        <v>85</v>
      </c>
      <c r="Q16" s="32">
        <v>14</v>
      </c>
      <c r="R16" s="32">
        <f t="shared" si="4"/>
        <v>4.1647058823529415</v>
      </c>
      <c r="S16" s="32">
        <f t="shared" si="5"/>
        <v>0.16470588235294117</v>
      </c>
      <c r="T16" s="3" t="s">
        <v>45</v>
      </c>
      <c r="U16" s="18">
        <v>354</v>
      </c>
    </row>
    <row r="17" spans="1:21" x14ac:dyDescent="0.2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  <c r="O17" s="32" t="s">
        <v>50</v>
      </c>
      <c r="P17" s="32">
        <v>40</v>
      </c>
      <c r="Q17" s="32">
        <v>4</v>
      </c>
      <c r="R17" s="32">
        <f t="shared" si="4"/>
        <v>4.1749999999999998</v>
      </c>
      <c r="S17" s="32">
        <f t="shared" si="5"/>
        <v>0.1</v>
      </c>
      <c r="T17" s="3" t="s">
        <v>45</v>
      </c>
      <c r="U17" s="18">
        <v>167</v>
      </c>
    </row>
    <row r="18" spans="1:21" x14ac:dyDescent="0.2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  <c r="O18" s="32" t="s">
        <v>104</v>
      </c>
      <c r="P18" s="32">
        <v>138</v>
      </c>
      <c r="Q18" s="32">
        <v>10</v>
      </c>
      <c r="R18" s="32">
        <f t="shared" si="4"/>
        <v>4.2463768115942031</v>
      </c>
      <c r="S18" s="32">
        <f t="shared" si="5"/>
        <v>7.2463768115942032E-2</v>
      </c>
      <c r="T18" s="3" t="s">
        <v>45</v>
      </c>
      <c r="U18" s="18">
        <v>586</v>
      </c>
    </row>
    <row r="19" spans="1:21" x14ac:dyDescent="0.2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  <c r="O19" s="32" t="s">
        <v>36</v>
      </c>
      <c r="P19" s="32">
        <v>40</v>
      </c>
      <c r="Q19" s="32">
        <v>3</v>
      </c>
      <c r="R19" s="32">
        <f t="shared" si="4"/>
        <v>4.2750000000000004</v>
      </c>
      <c r="S19" s="32">
        <f t="shared" si="5"/>
        <v>7.4999999999999997E-2</v>
      </c>
      <c r="T19" s="12" t="s">
        <v>611</v>
      </c>
      <c r="U19" s="18">
        <v>171</v>
      </c>
    </row>
    <row r="20" spans="1:21" x14ac:dyDescent="0.2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  <c r="O20" s="32" t="s">
        <v>113</v>
      </c>
      <c r="P20" s="32">
        <v>41</v>
      </c>
      <c r="Q20" s="32">
        <v>1</v>
      </c>
      <c r="R20" s="32">
        <f t="shared" si="4"/>
        <v>4.2926829268292686</v>
      </c>
      <c r="S20" s="32">
        <f t="shared" si="5"/>
        <v>2.4390243902439025E-2</v>
      </c>
      <c r="T20" s="3" t="s">
        <v>54</v>
      </c>
      <c r="U20" s="18">
        <v>176</v>
      </c>
    </row>
    <row r="21" spans="1:21" x14ac:dyDescent="0.2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  <c r="O21" s="32" t="s">
        <v>21</v>
      </c>
      <c r="P21" s="32">
        <v>185</v>
      </c>
      <c r="Q21" s="32">
        <v>26</v>
      </c>
      <c r="R21" s="32">
        <f t="shared" si="4"/>
        <v>4.3135135135135139</v>
      </c>
      <c r="S21" s="32">
        <f t="shared" si="5"/>
        <v>0.14054054054054055</v>
      </c>
      <c r="T21" s="3" t="s">
        <v>54</v>
      </c>
      <c r="U21" s="18">
        <v>798</v>
      </c>
    </row>
    <row r="22" spans="1:21" x14ac:dyDescent="0.2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  <c r="O22" s="32" t="s">
        <v>61</v>
      </c>
      <c r="P22" s="32">
        <v>86</v>
      </c>
      <c r="Q22" s="32">
        <v>18</v>
      </c>
      <c r="R22" s="32">
        <f t="shared" si="4"/>
        <v>4.3139534883720927</v>
      </c>
      <c r="S22" s="32">
        <f t="shared" si="5"/>
        <v>0.20930232558139536</v>
      </c>
      <c r="T22" s="74" t="s">
        <v>44</v>
      </c>
      <c r="U22" s="18">
        <v>371</v>
      </c>
    </row>
    <row r="23" spans="1:21" x14ac:dyDescent="0.2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  <c r="O23" s="32" t="s">
        <v>3</v>
      </c>
      <c r="P23" s="32">
        <v>54</v>
      </c>
      <c r="Q23" s="32">
        <v>7</v>
      </c>
      <c r="R23" s="32">
        <f t="shared" si="4"/>
        <v>4.3148148148148149</v>
      </c>
      <c r="S23" s="32">
        <f t="shared" si="5"/>
        <v>0.12962962962962962</v>
      </c>
      <c r="T23" s="3" t="s">
        <v>55</v>
      </c>
      <c r="U23" s="18">
        <v>233</v>
      </c>
    </row>
    <row r="24" spans="1:21" x14ac:dyDescent="0.2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  <c r="O24" s="32" t="s">
        <v>117</v>
      </c>
      <c r="P24" s="32">
        <v>40</v>
      </c>
      <c r="Q24" s="32">
        <v>7</v>
      </c>
      <c r="R24" s="32">
        <f t="shared" si="4"/>
        <v>4.3250000000000002</v>
      </c>
      <c r="S24" s="32">
        <f t="shared" si="5"/>
        <v>0.17499999999999999</v>
      </c>
      <c r="T24" s="14" t="s">
        <v>611</v>
      </c>
      <c r="U24" s="18">
        <v>173</v>
      </c>
    </row>
    <row r="25" spans="1:21" x14ac:dyDescent="0.2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  <c r="O25" s="32" t="s">
        <v>123</v>
      </c>
      <c r="P25" s="32">
        <v>49</v>
      </c>
      <c r="Q25" s="32">
        <v>7</v>
      </c>
      <c r="R25" s="32">
        <f t="shared" si="4"/>
        <v>4.3265306122448983</v>
      </c>
      <c r="S25" s="32">
        <f t="shared" si="5"/>
        <v>0.14285714285714285</v>
      </c>
      <c r="T25" s="3" t="s">
        <v>55</v>
      </c>
      <c r="U25" s="18">
        <v>212</v>
      </c>
    </row>
    <row r="26" spans="1:21" x14ac:dyDescent="0.2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  <c r="O26" s="32" t="s">
        <v>105</v>
      </c>
      <c r="P26" s="32">
        <v>46</v>
      </c>
      <c r="Q26" s="32">
        <v>6</v>
      </c>
      <c r="R26" s="32">
        <f t="shared" si="4"/>
        <v>4.3695652173913047</v>
      </c>
      <c r="S26" s="32">
        <f t="shared" si="5"/>
        <v>0.13043478260869565</v>
      </c>
      <c r="U26" s="18">
        <v>201</v>
      </c>
    </row>
    <row r="27" spans="1:21" x14ac:dyDescent="0.2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  <c r="O27" s="32" t="s">
        <v>125</v>
      </c>
      <c r="P27" s="32">
        <v>40</v>
      </c>
      <c r="Q27" s="32">
        <v>2</v>
      </c>
      <c r="R27" s="32">
        <f t="shared" si="4"/>
        <v>4.375</v>
      </c>
      <c r="S27" s="32">
        <f t="shared" si="5"/>
        <v>0.05</v>
      </c>
      <c r="T27" s="3" t="s">
        <v>282</v>
      </c>
      <c r="U27" s="18">
        <v>175</v>
      </c>
    </row>
    <row r="28" spans="1:21" x14ac:dyDescent="0.2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  <c r="O28" s="41" t="s">
        <v>8</v>
      </c>
      <c r="P28" s="41">
        <v>52</v>
      </c>
      <c r="Q28" s="41">
        <v>6</v>
      </c>
      <c r="R28" s="41">
        <f t="shared" si="4"/>
        <v>4.4038461538461542</v>
      </c>
      <c r="S28" s="41">
        <f t="shared" si="5"/>
        <v>0.11538461538461539</v>
      </c>
      <c r="T28" s="3" t="s">
        <v>555</v>
      </c>
      <c r="U28" s="18">
        <v>229</v>
      </c>
    </row>
    <row r="29" spans="1:21" x14ac:dyDescent="0.2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  <c r="O29" s="41" t="s">
        <v>115</v>
      </c>
      <c r="P29" s="41">
        <v>40</v>
      </c>
      <c r="Q29" s="41">
        <v>3</v>
      </c>
      <c r="R29" s="41">
        <f t="shared" si="4"/>
        <v>4.4749999999999996</v>
      </c>
      <c r="S29" s="41">
        <f t="shared" si="5"/>
        <v>7.4999999999999997E-2</v>
      </c>
      <c r="T29" s="3" t="s">
        <v>494</v>
      </c>
      <c r="U29" s="18">
        <v>179</v>
      </c>
    </row>
    <row r="30" spans="1:21" x14ac:dyDescent="0.2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  <c r="O30" s="41" t="s">
        <v>129</v>
      </c>
      <c r="P30" s="41">
        <v>51</v>
      </c>
      <c r="Q30" s="41">
        <v>8</v>
      </c>
      <c r="R30" s="41">
        <f t="shared" si="4"/>
        <v>4.5490196078431371</v>
      </c>
      <c r="S30" s="41">
        <f t="shared" si="5"/>
        <v>0.15686274509803921</v>
      </c>
      <c r="T30" s="3" t="s">
        <v>54</v>
      </c>
      <c r="U30" s="18">
        <v>232</v>
      </c>
    </row>
    <row r="31" spans="1:21" x14ac:dyDescent="0.2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  <c r="O31" s="41" t="s">
        <v>24</v>
      </c>
      <c r="P31" s="41">
        <v>103</v>
      </c>
      <c r="Q31" s="41">
        <v>12</v>
      </c>
      <c r="R31" s="41">
        <f t="shared" si="4"/>
        <v>4.5533980582524274</v>
      </c>
      <c r="S31" s="41">
        <f t="shared" si="5"/>
        <v>0.11650485436893204</v>
      </c>
      <c r="T31" s="3" t="s">
        <v>555</v>
      </c>
      <c r="U31" s="18">
        <v>469</v>
      </c>
    </row>
    <row r="32" spans="1:21" x14ac:dyDescent="0.2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  <c r="O32" s="41" t="s">
        <v>27</v>
      </c>
      <c r="P32" s="41">
        <v>40</v>
      </c>
      <c r="Q32" s="41">
        <v>3</v>
      </c>
      <c r="R32" s="41">
        <f t="shared" si="4"/>
        <v>4.5750000000000002</v>
      </c>
      <c r="S32" s="41">
        <f t="shared" si="5"/>
        <v>7.4999999999999997E-2</v>
      </c>
      <c r="T32" s="3" t="s">
        <v>55</v>
      </c>
      <c r="U32" s="18">
        <v>183</v>
      </c>
    </row>
    <row r="33" spans="1:21" x14ac:dyDescent="0.2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  <c r="O33" s="41" t="s">
        <v>15</v>
      </c>
      <c r="P33" s="41">
        <v>288</v>
      </c>
      <c r="Q33" s="41">
        <v>40</v>
      </c>
      <c r="R33" s="41">
        <f t="shared" si="4"/>
        <v>4.6215277777777777</v>
      </c>
      <c r="S33" s="41">
        <f t="shared" si="5"/>
        <v>0.1388888888888889</v>
      </c>
      <c r="T33" s="3" t="s">
        <v>55</v>
      </c>
      <c r="U33" s="18">
        <v>1331</v>
      </c>
    </row>
    <row r="34" spans="1:21" x14ac:dyDescent="0.2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  <c r="O34" s="41" t="s">
        <v>79</v>
      </c>
      <c r="P34" s="41">
        <v>55</v>
      </c>
      <c r="Q34" s="41">
        <v>6</v>
      </c>
      <c r="R34" s="41">
        <f t="shared" ref="R34:R56" si="6">U34/P34</f>
        <v>4.6363636363636367</v>
      </c>
      <c r="S34" s="41">
        <f t="shared" ref="S34:S56" si="7">Q34/P34</f>
        <v>0.10909090909090909</v>
      </c>
      <c r="T34" s="3" t="s">
        <v>55</v>
      </c>
      <c r="U34" s="18">
        <v>255</v>
      </c>
    </row>
    <row r="35" spans="1:21" x14ac:dyDescent="0.2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  <c r="O35" s="41" t="s">
        <v>14</v>
      </c>
      <c r="P35" s="41">
        <v>45</v>
      </c>
      <c r="Q35" s="41">
        <v>3</v>
      </c>
      <c r="R35" s="41">
        <f t="shared" si="6"/>
        <v>4.7111111111111112</v>
      </c>
      <c r="S35" s="41">
        <f t="shared" si="7"/>
        <v>6.6666666666666666E-2</v>
      </c>
      <c r="T35" s="3" t="s">
        <v>54</v>
      </c>
      <c r="U35" s="18">
        <v>212</v>
      </c>
    </row>
    <row r="36" spans="1:21" x14ac:dyDescent="0.2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  <c r="O36" s="41" t="s">
        <v>1</v>
      </c>
      <c r="P36" s="41">
        <v>131</v>
      </c>
      <c r="Q36" s="41">
        <v>7</v>
      </c>
      <c r="R36" s="41">
        <f t="shared" si="6"/>
        <v>4.7175572519083966</v>
      </c>
      <c r="S36" s="41">
        <f t="shared" si="7"/>
        <v>5.3435114503816793E-2</v>
      </c>
      <c r="T36" s="3" t="s">
        <v>494</v>
      </c>
      <c r="U36" s="18">
        <v>618</v>
      </c>
    </row>
    <row r="37" spans="1:21" x14ac:dyDescent="0.2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  <c r="O37" s="38" t="s">
        <v>51</v>
      </c>
      <c r="P37" s="38">
        <v>47</v>
      </c>
      <c r="Q37" s="38">
        <v>4</v>
      </c>
      <c r="R37" s="38">
        <f t="shared" si="6"/>
        <v>4.8085106382978724</v>
      </c>
      <c r="S37" s="38">
        <f t="shared" si="7"/>
        <v>8.5106382978723402E-2</v>
      </c>
      <c r="T37" s="3" t="s">
        <v>55</v>
      </c>
      <c r="U37" s="18">
        <v>226</v>
      </c>
    </row>
    <row r="38" spans="1:21" x14ac:dyDescent="0.2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  <c r="O38" s="38" t="s">
        <v>13</v>
      </c>
      <c r="P38" s="38">
        <v>40</v>
      </c>
      <c r="Q38" s="38">
        <v>2</v>
      </c>
      <c r="R38" s="38">
        <f t="shared" si="6"/>
        <v>4.9000000000000004</v>
      </c>
      <c r="S38" s="38">
        <f t="shared" si="7"/>
        <v>0.05</v>
      </c>
      <c r="T38" s="3" t="s">
        <v>55</v>
      </c>
      <c r="U38" s="18">
        <v>196</v>
      </c>
    </row>
    <row r="39" spans="1:21" x14ac:dyDescent="0.2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  <c r="O39" s="38" t="s">
        <v>414</v>
      </c>
      <c r="P39" s="38">
        <v>40</v>
      </c>
      <c r="Q39" s="38">
        <v>4</v>
      </c>
      <c r="R39" s="38">
        <f t="shared" si="6"/>
        <v>4.9000000000000004</v>
      </c>
      <c r="S39" s="38">
        <f t="shared" si="7"/>
        <v>0.1</v>
      </c>
      <c r="T39" s="20" t="s">
        <v>611</v>
      </c>
      <c r="U39" s="18">
        <v>196</v>
      </c>
    </row>
    <row r="40" spans="1:21" x14ac:dyDescent="0.2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  <c r="O40" s="38" t="s">
        <v>4</v>
      </c>
      <c r="P40" s="38">
        <v>41</v>
      </c>
      <c r="Q40" s="38">
        <v>5</v>
      </c>
      <c r="R40" s="38">
        <f t="shared" si="6"/>
        <v>4.975609756097561</v>
      </c>
      <c r="S40" s="38">
        <f t="shared" si="7"/>
        <v>0.12195121951219512</v>
      </c>
      <c r="T40" s="10" t="s">
        <v>611</v>
      </c>
      <c r="U40" s="18">
        <v>204</v>
      </c>
    </row>
    <row r="41" spans="1:21" x14ac:dyDescent="0.2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  <c r="O41" s="38" t="s">
        <v>49</v>
      </c>
      <c r="P41" s="38">
        <v>156</v>
      </c>
      <c r="Q41" s="38">
        <v>9</v>
      </c>
      <c r="R41" s="38">
        <f t="shared" si="6"/>
        <v>5.0128205128205128</v>
      </c>
      <c r="S41" s="38">
        <f t="shared" si="7"/>
        <v>5.7692307692307696E-2</v>
      </c>
      <c r="T41" s="3" t="s">
        <v>54</v>
      </c>
      <c r="U41" s="18">
        <v>782</v>
      </c>
    </row>
    <row r="42" spans="1:21" x14ac:dyDescent="0.2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  <c r="O42" s="38" t="s">
        <v>25</v>
      </c>
      <c r="P42" s="38">
        <v>257</v>
      </c>
      <c r="Q42" s="38">
        <v>23</v>
      </c>
      <c r="R42" s="38">
        <f t="shared" si="6"/>
        <v>5.0233463035019454</v>
      </c>
      <c r="S42" s="38">
        <f t="shared" si="7"/>
        <v>8.9494163424124515E-2</v>
      </c>
      <c r="T42" s="3" t="s">
        <v>555</v>
      </c>
      <c r="U42" s="18">
        <v>1291</v>
      </c>
    </row>
    <row r="43" spans="1:21" x14ac:dyDescent="0.2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  <c r="O43" s="38" t="s">
        <v>31</v>
      </c>
      <c r="P43" s="38">
        <v>290</v>
      </c>
      <c r="Q43" s="38">
        <v>24</v>
      </c>
      <c r="R43" s="38">
        <f t="shared" si="6"/>
        <v>5.0310344827586206</v>
      </c>
      <c r="S43" s="38">
        <f t="shared" si="7"/>
        <v>8.2758620689655171E-2</v>
      </c>
      <c r="T43" s="3" t="s">
        <v>555</v>
      </c>
      <c r="U43" s="18">
        <v>1459</v>
      </c>
    </row>
    <row r="44" spans="1:21" x14ac:dyDescent="0.2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  <c r="O44" s="38" t="s">
        <v>87</v>
      </c>
      <c r="P44" s="38">
        <v>212</v>
      </c>
      <c r="Q44" s="38">
        <v>25</v>
      </c>
      <c r="R44" s="38">
        <f t="shared" si="6"/>
        <v>5.033018867924528</v>
      </c>
      <c r="S44" s="38">
        <f t="shared" si="7"/>
        <v>0.11792452830188679</v>
      </c>
      <c r="T44" s="3" t="s">
        <v>495</v>
      </c>
      <c r="U44" s="18">
        <v>1067</v>
      </c>
    </row>
    <row r="45" spans="1:21" x14ac:dyDescent="0.2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  <c r="O45" s="38" t="s">
        <v>56</v>
      </c>
      <c r="P45" s="38">
        <v>40</v>
      </c>
      <c r="Q45" s="38">
        <v>0</v>
      </c>
      <c r="R45" s="38">
        <f t="shared" si="6"/>
        <v>5.0750000000000002</v>
      </c>
      <c r="S45" s="38">
        <f t="shared" si="7"/>
        <v>0</v>
      </c>
      <c r="T45" s="3" t="s">
        <v>555</v>
      </c>
      <c r="U45" s="18">
        <v>203</v>
      </c>
    </row>
    <row r="46" spans="1:21" x14ac:dyDescent="0.2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  <c r="O46" s="38" t="s">
        <v>28</v>
      </c>
      <c r="P46" s="38">
        <v>124</v>
      </c>
      <c r="Q46" s="38">
        <v>9</v>
      </c>
      <c r="R46" s="38">
        <f t="shared" si="6"/>
        <v>5.104838709677419</v>
      </c>
      <c r="S46" s="38">
        <f t="shared" si="7"/>
        <v>7.2580645161290328E-2</v>
      </c>
      <c r="T46" s="3" t="s">
        <v>555</v>
      </c>
      <c r="U46" s="18">
        <v>633</v>
      </c>
    </row>
    <row r="47" spans="1:21" x14ac:dyDescent="0.2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  <c r="O47" s="38" t="s">
        <v>30</v>
      </c>
      <c r="P47" s="38">
        <v>65</v>
      </c>
      <c r="Q47" s="38">
        <v>5</v>
      </c>
      <c r="R47" s="38">
        <f t="shared" si="6"/>
        <v>5.1230769230769226</v>
      </c>
      <c r="S47" s="38">
        <f t="shared" si="7"/>
        <v>7.6923076923076927E-2</v>
      </c>
      <c r="T47" s="3" t="s">
        <v>555</v>
      </c>
      <c r="U47" s="18">
        <v>333</v>
      </c>
    </row>
    <row r="48" spans="1:21" x14ac:dyDescent="0.2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  <c r="O48" s="38" t="s">
        <v>124</v>
      </c>
      <c r="P48" s="38">
        <v>40</v>
      </c>
      <c r="Q48" s="38">
        <v>1</v>
      </c>
      <c r="R48" s="38">
        <f t="shared" si="6"/>
        <v>5.15</v>
      </c>
      <c r="S48" s="38">
        <f t="shared" si="7"/>
        <v>2.5000000000000001E-2</v>
      </c>
      <c r="T48" s="79" t="s">
        <v>611</v>
      </c>
      <c r="U48" s="18">
        <v>206</v>
      </c>
    </row>
    <row r="49" spans="8:21" x14ac:dyDescent="0.2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  <c r="O49" s="38" t="s">
        <v>81</v>
      </c>
      <c r="P49" s="38">
        <v>89</v>
      </c>
      <c r="Q49" s="38">
        <v>6</v>
      </c>
      <c r="R49" s="38">
        <f t="shared" si="6"/>
        <v>5.1797752808988768</v>
      </c>
      <c r="S49" s="38">
        <f t="shared" si="7"/>
        <v>6.741573033707865E-2</v>
      </c>
      <c r="T49" s="3" t="s">
        <v>282</v>
      </c>
      <c r="U49" s="18">
        <v>461</v>
      </c>
    </row>
    <row r="50" spans="8:21" x14ac:dyDescent="0.25">
      <c r="O50" s="67" t="s">
        <v>26</v>
      </c>
      <c r="P50" s="67">
        <v>116</v>
      </c>
      <c r="Q50" s="67">
        <v>7</v>
      </c>
      <c r="R50" s="67">
        <f t="shared" si="6"/>
        <v>5.25</v>
      </c>
      <c r="S50" s="67">
        <f t="shared" si="7"/>
        <v>6.0344827586206899E-2</v>
      </c>
      <c r="T50" s="3" t="s">
        <v>282</v>
      </c>
      <c r="U50" s="18">
        <v>609</v>
      </c>
    </row>
    <row r="51" spans="8:21" x14ac:dyDescent="0.25">
      <c r="O51" s="67" t="s">
        <v>34</v>
      </c>
      <c r="P51" s="67">
        <v>41</v>
      </c>
      <c r="Q51" s="67">
        <v>3</v>
      </c>
      <c r="R51" s="67">
        <f t="shared" si="6"/>
        <v>5.3170731707317076</v>
      </c>
      <c r="S51" s="67">
        <f t="shared" si="7"/>
        <v>7.3170731707317069E-2</v>
      </c>
      <c r="T51" s="3" t="s">
        <v>55</v>
      </c>
      <c r="U51" s="18">
        <v>218</v>
      </c>
    </row>
    <row r="52" spans="8:21" x14ac:dyDescent="0.25">
      <c r="O52" s="67" t="s">
        <v>90</v>
      </c>
      <c r="P52" s="67">
        <v>40</v>
      </c>
      <c r="Q52" s="67">
        <v>3</v>
      </c>
      <c r="R52" s="67">
        <f t="shared" si="6"/>
        <v>5.35</v>
      </c>
      <c r="S52" s="67">
        <f t="shared" si="7"/>
        <v>7.4999999999999997E-2</v>
      </c>
      <c r="T52" s="3" t="s">
        <v>296</v>
      </c>
      <c r="U52" s="73">
        <v>214</v>
      </c>
    </row>
    <row r="53" spans="8:21" x14ac:dyDescent="0.25">
      <c r="O53" s="67" t="s">
        <v>6</v>
      </c>
      <c r="P53" s="67">
        <v>45</v>
      </c>
      <c r="Q53" s="67">
        <v>3</v>
      </c>
      <c r="R53" s="67">
        <f t="shared" si="6"/>
        <v>5.3555555555555552</v>
      </c>
      <c r="S53" s="67">
        <f t="shared" si="7"/>
        <v>6.6666666666666666E-2</v>
      </c>
      <c r="T53" s="3" t="s">
        <v>296</v>
      </c>
      <c r="U53" s="18">
        <v>241</v>
      </c>
    </row>
    <row r="54" spans="8:21" x14ac:dyDescent="0.25">
      <c r="O54" s="67" t="s">
        <v>401</v>
      </c>
      <c r="P54" s="67">
        <v>71</v>
      </c>
      <c r="Q54" s="67">
        <v>3</v>
      </c>
      <c r="R54" s="67">
        <f t="shared" si="6"/>
        <v>5.3661971830985919</v>
      </c>
      <c r="S54" s="67">
        <f t="shared" si="7"/>
        <v>4.2253521126760563E-2</v>
      </c>
      <c r="T54" s="3" t="s">
        <v>296</v>
      </c>
      <c r="U54" s="18">
        <v>381</v>
      </c>
    </row>
    <row r="55" spans="8:21" x14ac:dyDescent="0.25">
      <c r="O55" s="67" t="s">
        <v>33</v>
      </c>
      <c r="P55" s="67">
        <v>73</v>
      </c>
      <c r="Q55" s="67">
        <v>4</v>
      </c>
      <c r="R55" s="67">
        <f t="shared" si="6"/>
        <v>5.5342465753424657</v>
      </c>
      <c r="S55" s="67">
        <f t="shared" si="7"/>
        <v>5.4794520547945202E-2</v>
      </c>
      <c r="T55" s="3" t="s">
        <v>282</v>
      </c>
      <c r="U55" s="18">
        <v>404</v>
      </c>
    </row>
    <row r="56" spans="8:21" x14ac:dyDescent="0.25">
      <c r="O56" s="67" t="s">
        <v>253</v>
      </c>
      <c r="P56" s="67">
        <v>61</v>
      </c>
      <c r="Q56" s="67">
        <v>4</v>
      </c>
      <c r="R56" s="67">
        <f t="shared" si="6"/>
        <v>5.6065573770491799</v>
      </c>
      <c r="S56" s="67">
        <f t="shared" si="7"/>
        <v>6.5573770491803282E-2</v>
      </c>
      <c r="T56" s="3" t="s">
        <v>282</v>
      </c>
      <c r="U56" s="18">
        <v>342</v>
      </c>
    </row>
  </sheetData>
  <sortState xmlns:xlrd2="http://schemas.microsoft.com/office/spreadsheetml/2017/richdata2" ref="O2:U56">
    <sortCondition ref="R2:R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2026-09-11T17:55:00Z</dcterms:modified>
</cp:coreProperties>
</file>