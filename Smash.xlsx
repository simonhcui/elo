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486FB8AE-E513-4709-9CA6-AF45C880B15B}" xr6:coauthVersionLast="47" xr6:coauthVersionMax="47" xr10:uidLastSave="{00000000-0000-0000-0000-000000000000}"/>
  <bookViews>
    <workbookView xWindow="-120" yWindow="-120" windowWidth="38640" windowHeight="21120" firstSheet="2" activeTab="11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4" l="1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23" i="13"/>
  <c r="L23" i="13"/>
  <c r="N26" i="13"/>
  <c r="L26" i="13"/>
  <c r="N15" i="13"/>
  <c r="L15" i="13"/>
  <c r="N43" i="13"/>
  <c r="L43" i="13"/>
  <c r="N36" i="13"/>
  <c r="L36" i="13"/>
  <c r="N38" i="13"/>
  <c r="L38" i="13"/>
  <c r="N59" i="13"/>
  <c r="L59" i="13"/>
  <c r="N37" i="13"/>
  <c r="L37" i="13"/>
  <c r="N58" i="13"/>
  <c r="L58" i="13"/>
  <c r="N30" i="13"/>
  <c r="L30" i="13"/>
  <c r="N33" i="13"/>
  <c r="L33" i="13"/>
  <c r="N50" i="13"/>
  <c r="L50" i="13"/>
  <c r="N40" i="13"/>
  <c r="L40" i="13"/>
  <c r="N60" i="13"/>
  <c r="L60" i="13"/>
  <c r="N49" i="13"/>
  <c r="L49" i="13"/>
  <c r="N57" i="13"/>
  <c r="L57" i="13"/>
  <c r="N39" i="13"/>
  <c r="L39" i="13"/>
  <c r="N17" i="13"/>
  <c r="L17" i="13"/>
  <c r="N53" i="13"/>
  <c r="L53" i="13"/>
  <c r="N46" i="13"/>
  <c r="L46" i="13"/>
  <c r="N45" i="13"/>
  <c r="L45" i="13"/>
  <c r="N44" i="13"/>
  <c r="L44" i="13"/>
  <c r="N14" i="13"/>
  <c r="L14" i="13"/>
  <c r="N29" i="13"/>
  <c r="L29" i="13"/>
  <c r="N28" i="13"/>
  <c r="L28" i="13"/>
  <c r="N42" i="13" l="1"/>
  <c r="L42" i="13"/>
  <c r="N51" i="13"/>
  <c r="L51" i="13"/>
  <c r="N48" i="13"/>
  <c r="L48" i="13"/>
  <c r="N32" i="13" l="1"/>
  <c r="L32" i="13"/>
  <c r="N27" i="13"/>
  <c r="L27" i="13"/>
  <c r="N22" i="13" l="1"/>
  <c r="L22" i="13"/>
  <c r="N25" i="13"/>
  <c r="L25" i="13"/>
  <c r="N24" i="13"/>
  <c r="L24" i="13"/>
  <c r="N61" i="13"/>
  <c r="L61" i="13"/>
  <c r="F30" i="13" l="1"/>
  <c r="D30" i="13"/>
  <c r="N35" i="13" l="1"/>
  <c r="L35" i="13"/>
  <c r="N16" i="13"/>
  <c r="L16" i="13"/>
  <c r="N13" i="13" l="1"/>
  <c r="L13" i="13"/>
  <c r="N56" i="13"/>
  <c r="L56" i="13"/>
  <c r="N20" i="13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N55" i="13"/>
  <c r="L55" i="13"/>
  <c r="F71" i="13"/>
  <c r="D71" i="13"/>
  <c r="N54" i="13"/>
  <c r="L54" i="13"/>
  <c r="F70" i="13"/>
  <c r="D70" i="13"/>
  <c r="F69" i="13"/>
  <c r="D69" i="13"/>
  <c r="F68" i="13"/>
  <c r="D68" i="13"/>
  <c r="F67" i="13"/>
  <c r="D67" i="13"/>
  <c r="N52" i="13"/>
  <c r="L52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47" i="13"/>
  <c r="L47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1" i="13"/>
  <c r="L41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4" i="13"/>
  <c r="L34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N18" i="13"/>
  <c r="L18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<sst xmlns="http://schemas.openxmlformats.org/spreadsheetml/2006/main" count="16091" uniqueCount="585">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</sst>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0" fillId="0" borderId="0" xfId="0" applyFill="1"/>
    <xf numFmtId="0" fontId="2" fillId="0" borderId="0" xfId="0" applyFont="1" applyFill="1" applyAlignment="1">
      <alignment vertical="center"/>
    </xf>
    <xf numFmtId="0" fontId="1" fillId="0" borderId="0" xfId="0" applyFont="1" applyFill="1"/>
    <xf numFmtId="0" fontId="29" fillId="0" borderId="0" xfId="0" applyFont="1" applyFill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90"/>
  <sheetViews>
    <sheetView topLeftCell="A256" zoomScaleNormal="100" workbookViewId="0">
      <selection activeCell="T282" sqref="T282:AH29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opLeftCell="A16" zoomScale="90" zoomScaleNormal="90" workbookViewId="0">
      <selection activeCell="I12" sqref="I12:N61"/>
    </sheetView>
  </sheetViews>
  <sheetFormatPr defaultRowHeight="15" x14ac:dyDescent="0.25"/>
  <sheetData>
    <row r="1" spans="1:14 16384:16384" x14ac:dyDescent="0.25">
      <c r="A1" s="1">
        <v>46087</v>
      </c>
      <c r="B1" s="1">
        <v>46087</v>
      </c>
      <c r="C1" s="1">
        <v>46093</v>
      </c>
      <c r="D1" s="1">
        <v>46093</v>
      </c>
      <c r="E1" s="1">
        <v>46093</v>
      </c>
      <c r="F1" s="1">
        <v>46093</v>
      </c>
      <c r="G1" s="1">
        <v>46094</v>
      </c>
      <c r="H1" s="1">
        <v>46094</v>
      </c>
      <c r="I1" s="1">
        <v>46095</v>
      </c>
      <c r="J1" s="1">
        <v>46095</v>
      </c>
      <c r="K1" s="1">
        <v>46095</v>
      </c>
      <c r="L1" s="1">
        <v>46095</v>
      </c>
      <c r="XFD1" s="1"/>
    </row>
    <row r="2" spans="1:14 16384:16384" x14ac:dyDescent="0.25">
      <c r="A2" t="s">
        <v>87</v>
      </c>
      <c r="B2" t="s">
        <v>124</v>
      </c>
    </row>
    <row r="3" spans="1:14 16384:16384" x14ac:dyDescent="0.25">
      <c r="A3" t="s">
        <v>124</v>
      </c>
      <c r="B3" t="s">
        <v>232</v>
      </c>
    </row>
    <row r="4" spans="1:14 16384:16384" x14ac:dyDescent="0.25">
      <c r="A4" t="s">
        <v>28</v>
      </c>
      <c r="B4" t="s">
        <v>4</v>
      </c>
    </row>
    <row r="5" spans="1:14 16384:16384" x14ac:dyDescent="0.25">
      <c r="A5" t="s">
        <v>4</v>
      </c>
      <c r="B5" t="s">
        <v>28</v>
      </c>
    </row>
    <row r="6" spans="1:14 16384:16384" x14ac:dyDescent="0.25">
      <c r="A6" t="s">
        <v>63</v>
      </c>
      <c r="B6" t="s">
        <v>31</v>
      </c>
    </row>
    <row r="7" spans="1:14 16384:16384" x14ac:dyDescent="0.25">
      <c r="A7" t="s">
        <v>121</v>
      </c>
      <c r="B7" t="s">
        <v>87</v>
      </c>
    </row>
    <row r="8" spans="1:14 16384:16384" x14ac:dyDescent="0.25">
      <c r="A8" t="s">
        <v>31</v>
      </c>
      <c r="B8" t="s">
        <v>63</v>
      </c>
    </row>
    <row r="9" spans="1:14 16384:16384" x14ac:dyDescent="0.25">
      <c r="A9" t="s">
        <v>25</v>
      </c>
      <c r="B9" t="s">
        <v>25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31</v>
      </c>
      <c r="C13" s="18">
        <v>2</v>
      </c>
      <c r="D13" s="18">
        <f t="shared" ref="D13:D72" si="0">E13/B13</f>
        <v>4</v>
      </c>
      <c r="E13" s="18">
        <v>124</v>
      </c>
      <c r="F13" s="18">
        <f t="shared" ref="F13:F72" si="1">C13/B13</f>
        <v>6.4516129032258063E-2</v>
      </c>
      <c r="G13" s="32">
        <v>2.3664319132398401</v>
      </c>
      <c r="I13" s="18" t="s">
        <v>125</v>
      </c>
      <c r="J13" s="18">
        <v>31</v>
      </c>
      <c r="K13" s="18">
        <v>2</v>
      </c>
      <c r="L13" s="18">
        <f t="shared" ref="L13:L15" si="2">M13/J13</f>
        <v>4</v>
      </c>
      <c r="M13" s="18">
        <v>124</v>
      </c>
      <c r="N13" s="18">
        <f t="shared" ref="N13:N15" si="3">K13/J13</f>
        <v>6.4516129032258063E-2</v>
      </c>
    </row>
    <row r="14" spans="1:14 16384:16384" x14ac:dyDescent="0.25">
      <c r="A14" s="18" t="s">
        <v>104</v>
      </c>
      <c r="B14" s="18">
        <v>107</v>
      </c>
      <c r="C14" s="18">
        <v>8</v>
      </c>
      <c r="D14" s="18">
        <f t="shared" si="0"/>
        <v>4.2056074766355138</v>
      </c>
      <c r="E14" s="18">
        <v>450</v>
      </c>
      <c r="F14" s="18">
        <f t="shared" si="1"/>
        <v>7.476635514018691E-2</v>
      </c>
      <c r="G14" s="32">
        <v>2.3273733406281498</v>
      </c>
      <c r="I14" s="18" t="s">
        <v>104</v>
      </c>
      <c r="J14" s="18">
        <v>107</v>
      </c>
      <c r="K14" s="18">
        <v>8</v>
      </c>
      <c r="L14" s="18">
        <f t="shared" si="2"/>
        <v>4.2056074766355138</v>
      </c>
      <c r="M14" s="18">
        <v>450</v>
      </c>
      <c r="N14" s="18">
        <f t="shared" si="3"/>
        <v>7.476635514018691E-2</v>
      </c>
    </row>
    <row r="15" spans="1:14 16384:16384" x14ac:dyDescent="0.25">
      <c r="A15" s="18" t="s">
        <v>31</v>
      </c>
      <c r="B15" s="18">
        <v>205</v>
      </c>
      <c r="C15" s="18">
        <v>13</v>
      </c>
      <c r="D15" s="18">
        <f t="shared" si="0"/>
        <v>5.2780487804878051</v>
      </c>
      <c r="E15" s="18">
        <v>1082</v>
      </c>
      <c r="F15" s="18">
        <f t="shared" si="1"/>
        <v>6.3414634146341464E-2</v>
      </c>
      <c r="G15" s="32">
        <v>1.87082869338697</v>
      </c>
      <c r="I15" s="18" t="s">
        <v>31</v>
      </c>
      <c r="J15" s="18">
        <v>205</v>
      </c>
      <c r="K15" s="18">
        <v>13</v>
      </c>
      <c r="L15" s="18">
        <f t="shared" si="2"/>
        <v>5.2780487804878051</v>
      </c>
      <c r="M15" s="18">
        <v>1082</v>
      </c>
      <c r="N15" s="18">
        <f t="shared" si="3"/>
        <v>6.3414634146341464E-2</v>
      </c>
    </row>
    <row r="16" spans="1:14 16384:16384" x14ac:dyDescent="0.25">
      <c r="A16" s="18" t="s">
        <v>105</v>
      </c>
      <c r="B16" s="18">
        <v>30</v>
      </c>
      <c r="C16" s="18">
        <v>4</v>
      </c>
      <c r="D16" s="18">
        <f t="shared" si="0"/>
        <v>4.6333333333333337</v>
      </c>
      <c r="E16" s="18">
        <v>139</v>
      </c>
      <c r="F16" s="18">
        <f t="shared" si="1"/>
        <v>0.13333333333333333</v>
      </c>
      <c r="G16" s="32">
        <v>1.8165902124584901</v>
      </c>
      <c r="I16" s="18" t="s">
        <v>105</v>
      </c>
      <c r="J16" s="18">
        <v>30</v>
      </c>
      <c r="K16" s="18">
        <v>4</v>
      </c>
      <c r="L16" s="18">
        <f t="shared" ref="L16:L17" si="4">M16/J16</f>
        <v>4.6333333333333337</v>
      </c>
      <c r="M16" s="18">
        <v>139</v>
      </c>
      <c r="N16" s="18">
        <f t="shared" ref="N16:N17" si="5">K16/J16</f>
        <v>0.13333333333333333</v>
      </c>
    </row>
    <row r="17" spans="1:14" x14ac:dyDescent="0.25">
      <c r="A17" s="18" t="s">
        <v>128</v>
      </c>
      <c r="B17" s="18">
        <v>106</v>
      </c>
      <c r="C17" s="18">
        <v>32</v>
      </c>
      <c r="D17" s="18">
        <f t="shared" si="0"/>
        <v>3.2169811320754715</v>
      </c>
      <c r="E17" s="18">
        <v>341</v>
      </c>
      <c r="F17" s="18">
        <f t="shared" si="1"/>
        <v>0.30188679245283018</v>
      </c>
      <c r="G17" s="32">
        <v>2.03049835952651</v>
      </c>
      <c r="I17" s="18" t="s">
        <v>128</v>
      </c>
      <c r="J17" s="18">
        <v>106</v>
      </c>
      <c r="K17" s="18">
        <v>32</v>
      </c>
      <c r="L17" s="18">
        <f t="shared" si="4"/>
        <v>3.2169811320754715</v>
      </c>
      <c r="M17" s="18">
        <v>341</v>
      </c>
      <c r="N17" s="18">
        <f t="shared" si="5"/>
        <v>0.30188679245283018</v>
      </c>
    </row>
    <row r="18" spans="1:14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>M18/J18</f>
        <v>4.4782608695652177</v>
      </c>
      <c r="M18" s="18">
        <v>206</v>
      </c>
      <c r="N18" s="18">
        <f>K18/J18</f>
        <v>0.10869565217391304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6">M20/J20</f>
        <v>5.6</v>
      </c>
      <c r="M20" s="73">
        <v>168</v>
      </c>
      <c r="N20" s="73">
        <f t="shared" ref="N20" si="7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30</v>
      </c>
      <c r="K22" s="18">
        <v>3</v>
      </c>
      <c r="L22" s="18">
        <f t="shared" ref="L22:L23" si="8">M22/J22</f>
        <v>5.166666666666667</v>
      </c>
      <c r="M22" s="18">
        <v>155</v>
      </c>
      <c r="N22" s="18">
        <f t="shared" ref="N22:N23" si="9">K22/J22</f>
        <v>0.1</v>
      </c>
    </row>
    <row r="23" spans="1:14" x14ac:dyDescent="0.25">
      <c r="A23" s="18" t="s">
        <v>19</v>
      </c>
      <c r="B23" s="18">
        <v>30</v>
      </c>
      <c r="C23" s="18">
        <v>3</v>
      </c>
      <c r="D23" s="18">
        <f t="shared" si="0"/>
        <v>5.166666666666667</v>
      </c>
      <c r="E23" s="18">
        <v>155</v>
      </c>
      <c r="F23" s="18">
        <f t="shared" si="1"/>
        <v>0.1</v>
      </c>
      <c r="G23" s="32">
        <v>2.3299294900428702</v>
      </c>
      <c r="I23" s="18" t="s">
        <v>25</v>
      </c>
      <c r="J23" s="18">
        <v>172</v>
      </c>
      <c r="K23" s="18">
        <v>17</v>
      </c>
      <c r="L23" s="18">
        <f t="shared" si="8"/>
        <v>5.0348837209302326</v>
      </c>
      <c r="M23" s="18">
        <v>866</v>
      </c>
      <c r="N23" s="18">
        <f t="shared" si="9"/>
        <v>9.8837209302325577E-2</v>
      </c>
    </row>
    <row r="24" spans="1:14" x14ac:dyDescent="0.25">
      <c r="A24" t="s">
        <v>56</v>
      </c>
      <c r="B24">
        <v>23</v>
      </c>
      <c r="C24">
        <v>0</v>
      </c>
      <c r="D24">
        <f t="shared" si="0"/>
        <v>5.2608695652173916</v>
      </c>
      <c r="E24">
        <v>121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0">M24/J24</f>
        <v>5.5333333333333332</v>
      </c>
      <c r="M24" s="18">
        <v>166</v>
      </c>
      <c r="N24" s="18">
        <f t="shared" ref="N24:N26" si="11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0"/>
        <v>3.6991869918699187</v>
      </c>
      <c r="M25" s="18">
        <v>455</v>
      </c>
      <c r="N25" s="18">
        <f t="shared" si="11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128</v>
      </c>
      <c r="K26" s="18">
        <v>16</v>
      </c>
      <c r="L26" s="18">
        <f t="shared" si="10"/>
        <v>4.8125</v>
      </c>
      <c r="M26" s="18">
        <v>616</v>
      </c>
      <c r="N26" s="18">
        <f t="shared" si="11"/>
        <v>0.125</v>
      </c>
    </row>
    <row r="27" spans="1:14" x14ac:dyDescent="0.25">
      <c r="A27" s="18" t="s">
        <v>25</v>
      </c>
      <c r="B27" s="18">
        <v>172</v>
      </c>
      <c r="C27" s="18">
        <v>17</v>
      </c>
      <c r="D27" s="18">
        <f t="shared" si="0"/>
        <v>5.0348837209302326</v>
      </c>
      <c r="E27" s="18">
        <v>866</v>
      </c>
      <c r="F27" s="18">
        <f t="shared" si="1"/>
        <v>9.8837209302325577E-2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2">M27/J27</f>
        <v>4.3</v>
      </c>
      <c r="M27" s="18">
        <v>129</v>
      </c>
      <c r="N27" s="18">
        <f t="shared" ref="N27:N28" si="13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74</v>
      </c>
      <c r="K28" s="18">
        <v>5</v>
      </c>
      <c r="L28" s="18">
        <f t="shared" si="12"/>
        <v>5.1891891891891895</v>
      </c>
      <c r="M28" s="18">
        <v>384</v>
      </c>
      <c r="N28" s="18">
        <f t="shared" si="13"/>
        <v>6.7567567567567571E-2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4">M29/J29</f>
        <v>4.5333333333333332</v>
      </c>
      <c r="M29" s="18">
        <v>136</v>
      </c>
      <c r="N29" s="18">
        <f t="shared" ref="N29" si="15">K29/J29</f>
        <v>0</v>
      </c>
    </row>
    <row r="30" spans="1:14" x14ac:dyDescent="0.25">
      <c r="A30" s="18" t="s">
        <v>87</v>
      </c>
      <c r="B30" s="18">
        <v>128</v>
      </c>
      <c r="C30" s="18">
        <v>16</v>
      </c>
      <c r="D30" s="18">
        <f t="shared" si="0"/>
        <v>4.8125</v>
      </c>
      <c r="E30" s="18">
        <v>616</v>
      </c>
      <c r="F30" s="18">
        <f t="shared" si="1"/>
        <v>0.125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6">M30/J30</f>
        <v>4.166666666666667</v>
      </c>
      <c r="M30" s="18">
        <v>125</v>
      </c>
      <c r="N30" s="18">
        <f t="shared" ref="N30" si="17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74</v>
      </c>
      <c r="C32" s="18">
        <v>5</v>
      </c>
      <c r="D32" s="18">
        <f t="shared" si="0"/>
        <v>5.1891891891891895</v>
      </c>
      <c r="E32" s="18">
        <v>384</v>
      </c>
      <c r="F32" s="18">
        <f t="shared" si="1"/>
        <v>6.7567567567567571E-2</v>
      </c>
      <c r="G32" s="32">
        <v>1.76776695296636</v>
      </c>
      <c r="I32" s="18" t="s">
        <v>401</v>
      </c>
      <c r="J32" s="18">
        <v>63</v>
      </c>
      <c r="K32" s="18">
        <v>3</v>
      </c>
      <c r="L32" s="18">
        <f t="shared" ref="L32:L33" si="18">M32/J32</f>
        <v>5.4761904761904763</v>
      </c>
      <c r="M32" s="18">
        <v>345</v>
      </c>
      <c r="N32" s="18">
        <f t="shared" ref="N32:N33" si="19">K32/J32</f>
        <v>4.7619047619047616E-2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15</v>
      </c>
      <c r="J33" s="18">
        <v>242</v>
      </c>
      <c r="K33" s="18">
        <v>36</v>
      </c>
      <c r="L33" s="18">
        <f t="shared" si="18"/>
        <v>4.5909090909090908</v>
      </c>
      <c r="M33" s="18">
        <v>1111</v>
      </c>
      <c r="N33" s="18">
        <f t="shared" si="19"/>
        <v>0.1487603305785124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13</v>
      </c>
      <c r="J34" s="18">
        <v>36</v>
      </c>
      <c r="K34" s="18">
        <v>2</v>
      </c>
      <c r="L34" s="18">
        <f>M34/J34</f>
        <v>4.7222222222222223</v>
      </c>
      <c r="M34" s="18">
        <v>170</v>
      </c>
      <c r="N34" s="18">
        <f>K34/J34</f>
        <v>5.5555555555555552E-2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10</v>
      </c>
      <c r="J35" s="18">
        <v>67</v>
      </c>
      <c r="K35" s="18">
        <v>13</v>
      </c>
      <c r="L35" s="18">
        <f t="shared" ref="L35:L39" si="20">M35/J35</f>
        <v>3.8955223880597014</v>
      </c>
      <c r="M35" s="18">
        <v>261</v>
      </c>
      <c r="N35" s="18">
        <f t="shared" ref="N35:N39" si="21">K35/J35</f>
        <v>0.19402985074626866</v>
      </c>
    </row>
    <row r="36" spans="1:14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4</v>
      </c>
      <c r="J36" s="18">
        <v>30</v>
      </c>
      <c r="K36" s="18">
        <v>4</v>
      </c>
      <c r="L36" s="18">
        <f t="shared" ref="L36" si="22">M36/J36</f>
        <v>4.8</v>
      </c>
      <c r="M36" s="18">
        <v>144</v>
      </c>
      <c r="N36" s="18">
        <f t="shared" ref="N36" si="23">K36/J36</f>
        <v>0.13333333333333333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121</v>
      </c>
      <c r="J37" s="18">
        <v>94</v>
      </c>
      <c r="K37" s="18">
        <v>21</v>
      </c>
      <c r="L37" s="18">
        <f>M37/J37</f>
        <v>3.8936170212765959</v>
      </c>
      <c r="M37" s="18">
        <v>366</v>
      </c>
      <c r="N37" s="18">
        <f>K37/J37</f>
        <v>0.22340425531914893</v>
      </c>
    </row>
    <row r="38" spans="1:14" x14ac:dyDescent="0.25">
      <c r="A38" s="18" t="s">
        <v>401</v>
      </c>
      <c r="B38" s="18">
        <v>63</v>
      </c>
      <c r="C38" s="18">
        <v>3</v>
      </c>
      <c r="D38" s="18">
        <f t="shared" si="0"/>
        <v>5.4761904761904763</v>
      </c>
      <c r="E38" s="18">
        <v>345</v>
      </c>
      <c r="F38" s="18">
        <f t="shared" si="1"/>
        <v>4.7619047619047616E-2</v>
      </c>
      <c r="G38" s="32">
        <v>2.1248885888797799</v>
      </c>
      <c r="I38" s="18" t="s">
        <v>232</v>
      </c>
      <c r="J38" s="18">
        <v>112</v>
      </c>
      <c r="K38" s="18">
        <v>20</v>
      </c>
      <c r="L38" s="18">
        <f>M38/J38</f>
        <v>3.8928571428571428</v>
      </c>
      <c r="M38" s="18">
        <v>436</v>
      </c>
      <c r="N38" s="18">
        <f>K38/J38</f>
        <v>0.17857142857142858</v>
      </c>
    </row>
    <row r="39" spans="1:14" x14ac:dyDescent="0.25">
      <c r="A39" s="18" t="s">
        <v>15</v>
      </c>
      <c r="B39" s="18">
        <v>242</v>
      </c>
      <c r="C39" s="18">
        <v>36</v>
      </c>
      <c r="D39" s="18">
        <f t="shared" si="0"/>
        <v>4.5909090909090908</v>
      </c>
      <c r="E39" s="18">
        <v>1111</v>
      </c>
      <c r="F39" s="18">
        <f t="shared" si="1"/>
        <v>0.1487603305785124</v>
      </c>
      <c r="G39" s="32">
        <v>2.3694389634605302</v>
      </c>
      <c r="I39" s="18" t="s">
        <v>21</v>
      </c>
      <c r="J39" s="18">
        <v>160</v>
      </c>
      <c r="K39" s="18">
        <v>24</v>
      </c>
      <c r="L39" s="18">
        <f>M39/J39</f>
        <v>4.2937500000000002</v>
      </c>
      <c r="M39" s="18">
        <v>687</v>
      </c>
      <c r="N39" s="18">
        <f>K39/J39</f>
        <v>0.15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51</v>
      </c>
      <c r="J40" s="18">
        <v>42</v>
      </c>
      <c r="K40" s="18">
        <v>3</v>
      </c>
      <c r="L40" s="18">
        <f>M40/J40</f>
        <v>4.833333333333333</v>
      </c>
      <c r="M40" s="18">
        <v>203</v>
      </c>
      <c r="N40" s="18">
        <f>K40/J40</f>
        <v>7.1428571428571425E-2</v>
      </c>
    </row>
    <row r="41" spans="1:14" x14ac:dyDescent="0.25">
      <c r="A41" s="18" t="s">
        <v>10</v>
      </c>
      <c r="B41" s="18">
        <v>67</v>
      </c>
      <c r="C41" s="18">
        <v>13</v>
      </c>
      <c r="D41" s="18">
        <f t="shared" si="0"/>
        <v>3.8955223880597014</v>
      </c>
      <c r="E41" s="18">
        <v>261</v>
      </c>
      <c r="F41" s="18">
        <f t="shared" si="1"/>
        <v>0.19402985074626866</v>
      </c>
      <c r="G41" s="32">
        <v>2.2086889501029501</v>
      </c>
      <c r="I41" s="18" t="s">
        <v>0</v>
      </c>
      <c r="J41" s="18">
        <v>84</v>
      </c>
      <c r="K41" s="18">
        <v>14</v>
      </c>
      <c r="L41" s="18">
        <f>M41/J41</f>
        <v>4.1547619047619051</v>
      </c>
      <c r="M41" s="18">
        <v>349</v>
      </c>
      <c r="N41" s="18">
        <f>K41/J41</f>
        <v>0.16666666666666666</v>
      </c>
    </row>
    <row r="42" spans="1:14" x14ac:dyDescent="0.25">
      <c r="A42" t="s">
        <v>63</v>
      </c>
      <c r="B42">
        <v>27</v>
      </c>
      <c r="C42">
        <v>4</v>
      </c>
      <c r="D42">
        <f t="shared" si="0"/>
        <v>4.2962962962962967</v>
      </c>
      <c r="E42">
        <v>116</v>
      </c>
      <c r="F42">
        <f t="shared" si="1"/>
        <v>0.14814814814814814</v>
      </c>
      <c r="G42" s="32">
        <v>2.6394443859772201</v>
      </c>
      <c r="I42" s="18" t="s">
        <v>1</v>
      </c>
      <c r="J42" s="18">
        <v>103</v>
      </c>
      <c r="K42" s="18">
        <v>6</v>
      </c>
      <c r="L42" s="18">
        <f>M42/J42</f>
        <v>4.6116504854368934</v>
      </c>
      <c r="M42" s="18">
        <v>475</v>
      </c>
      <c r="N42" s="18">
        <f>K42/J42</f>
        <v>5.8252427184466021E-2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28</v>
      </c>
      <c r="J43" s="18">
        <v>30</v>
      </c>
      <c r="K43" s="18">
        <v>0</v>
      </c>
      <c r="L43" s="18">
        <f t="shared" ref="L43" si="24">M43/J43</f>
        <v>5.833333333333333</v>
      </c>
      <c r="M43" s="18">
        <v>175</v>
      </c>
      <c r="N43" s="18">
        <f t="shared" ref="N43" si="25">K43/J43</f>
        <v>0</v>
      </c>
    </row>
    <row r="44" spans="1:14" x14ac:dyDescent="0.25">
      <c r="A44" s="18" t="s">
        <v>121</v>
      </c>
      <c r="B44" s="18">
        <v>94</v>
      </c>
      <c r="C44" s="18">
        <v>21</v>
      </c>
      <c r="D44" s="18">
        <f t="shared" si="0"/>
        <v>3.8936170212765959</v>
      </c>
      <c r="E44" s="18">
        <v>366</v>
      </c>
      <c r="F44" s="18">
        <f t="shared" si="1"/>
        <v>0.22340425531914893</v>
      </c>
      <c r="G44" s="32">
        <v>2.2233267457082899</v>
      </c>
      <c r="I44" s="18" t="s">
        <v>253</v>
      </c>
      <c r="J44" s="18">
        <v>36</v>
      </c>
      <c r="K44" s="18">
        <v>1</v>
      </c>
      <c r="L44" s="18">
        <f t="shared" ref="L43:L46" si="26">M44/J44</f>
        <v>5.3611111111111107</v>
      </c>
      <c r="M44" s="18">
        <v>193</v>
      </c>
      <c r="N44" s="18">
        <f t="shared" ref="N43:N45" si="27">K44/J44</f>
        <v>2.7777777777777776E-2</v>
      </c>
    </row>
    <row r="45" spans="1:14" x14ac:dyDescent="0.25">
      <c r="A45" s="18" t="s">
        <v>232</v>
      </c>
      <c r="B45" s="18">
        <v>112</v>
      </c>
      <c r="C45" s="18">
        <v>20</v>
      </c>
      <c r="D45" s="18">
        <f t="shared" si="0"/>
        <v>3.8928571428571428</v>
      </c>
      <c r="E45" s="18">
        <v>436</v>
      </c>
      <c r="F45" s="18">
        <f t="shared" si="1"/>
        <v>0.17857142857142858</v>
      </c>
      <c r="G45" s="32">
        <v>2.2509257354845502</v>
      </c>
      <c r="I45" s="18" t="s">
        <v>175</v>
      </c>
      <c r="J45" s="18">
        <v>48</v>
      </c>
      <c r="K45" s="18">
        <v>13</v>
      </c>
      <c r="L45" s="18">
        <f t="shared" si="26"/>
        <v>3.2083333333333335</v>
      </c>
      <c r="M45" s="18">
        <v>154</v>
      </c>
      <c r="N45" s="18">
        <f t="shared" si="27"/>
        <v>0.27083333333333331</v>
      </c>
    </row>
    <row r="46" spans="1:14" x14ac:dyDescent="0.25">
      <c r="A46" s="18" t="s">
        <v>21</v>
      </c>
      <c r="B46" s="18">
        <v>160</v>
      </c>
      <c r="C46" s="18">
        <v>24</v>
      </c>
      <c r="D46" s="18">
        <f t="shared" si="0"/>
        <v>4.2937500000000002</v>
      </c>
      <c r="E46" s="18">
        <v>687</v>
      </c>
      <c r="F46" s="18">
        <f t="shared" si="1"/>
        <v>0.15</v>
      </c>
      <c r="G46" s="32">
        <v>2.0655911179772799</v>
      </c>
      <c r="I46" s="18" t="s">
        <v>61</v>
      </c>
      <c r="J46" s="18">
        <v>46</v>
      </c>
      <c r="K46" s="18">
        <v>8</v>
      </c>
      <c r="L46" s="18">
        <f t="shared" si="26"/>
        <v>4.8260869565217392</v>
      </c>
      <c r="M46" s="18">
        <v>222</v>
      </c>
      <c r="N46" s="18">
        <f>K46/J46</f>
        <v>0.17391304347826086</v>
      </c>
    </row>
    <row r="47" spans="1:14" x14ac:dyDescent="0.25">
      <c r="A47" s="18" t="s">
        <v>51</v>
      </c>
      <c r="B47" s="18">
        <v>42</v>
      </c>
      <c r="C47" s="18">
        <v>3</v>
      </c>
      <c r="D47" s="18">
        <f t="shared" si="0"/>
        <v>4.833333333333333</v>
      </c>
      <c r="E47" s="18">
        <v>203</v>
      </c>
      <c r="F47" s="18">
        <f t="shared" si="1"/>
        <v>7.1428571428571425E-2</v>
      </c>
      <c r="G47" s="32">
        <v>2.2967049878400898</v>
      </c>
      <c r="I47" s="18" t="s">
        <v>115</v>
      </c>
      <c r="J47" s="18">
        <v>39</v>
      </c>
      <c r="K47" s="18">
        <v>3</v>
      </c>
      <c r="L47" s="18">
        <f t="shared" ref="L47:L54" si="28">M47/J47</f>
        <v>4.384615384615385</v>
      </c>
      <c r="M47" s="18">
        <v>171</v>
      </c>
      <c r="N47" s="18">
        <f t="shared" ref="N47:N54" si="29">K47/J47</f>
        <v>7.6923076923076927E-2</v>
      </c>
    </row>
    <row r="48" spans="1:14" x14ac:dyDescent="0.25">
      <c r="A48" t="s">
        <v>414</v>
      </c>
      <c r="B48">
        <v>22</v>
      </c>
      <c r="C48">
        <v>2</v>
      </c>
      <c r="D48">
        <f t="shared" si="0"/>
        <v>4.6818181818181817</v>
      </c>
      <c r="E48">
        <v>103</v>
      </c>
      <c r="F48">
        <f t="shared" si="1"/>
        <v>9.0909090909090912E-2</v>
      </c>
      <c r="G48" s="32">
        <v>2.8702082220799299</v>
      </c>
      <c r="I48" s="18" t="s">
        <v>24</v>
      </c>
      <c r="J48" s="18">
        <v>101</v>
      </c>
      <c r="K48" s="18">
        <v>12</v>
      </c>
      <c r="L48" s="18">
        <f t="shared" si="28"/>
        <v>4.5247524752475243</v>
      </c>
      <c r="M48" s="18">
        <v>457</v>
      </c>
      <c r="N48" s="18">
        <f t="shared" si="29"/>
        <v>0.11881188118811881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30</v>
      </c>
      <c r="J49" s="18">
        <v>55</v>
      </c>
      <c r="K49" s="18">
        <v>4</v>
      </c>
      <c r="L49" s="18">
        <f t="shared" si="28"/>
        <v>5.0363636363636362</v>
      </c>
      <c r="M49" s="18">
        <v>277</v>
      </c>
      <c r="N49" s="18">
        <f t="shared" si="29"/>
        <v>7.2727272727272724E-2</v>
      </c>
    </row>
    <row r="50" spans="1:14" x14ac:dyDescent="0.25">
      <c r="A50" s="18" t="s">
        <v>1</v>
      </c>
      <c r="B50" s="18">
        <v>103</v>
      </c>
      <c r="C50" s="18">
        <v>6</v>
      </c>
      <c r="D50" s="18">
        <f t="shared" si="0"/>
        <v>4.6116504854368934</v>
      </c>
      <c r="E50" s="18">
        <v>475</v>
      </c>
      <c r="F50" s="18">
        <f t="shared" si="1"/>
        <v>5.8252427184466021E-2</v>
      </c>
      <c r="G50" s="32">
        <v>2.0412414523193099</v>
      </c>
      <c r="I50" s="18" t="s">
        <v>29</v>
      </c>
      <c r="J50" s="18">
        <v>115</v>
      </c>
      <c r="K50" s="18">
        <v>16</v>
      </c>
      <c r="L50" s="18">
        <f t="shared" si="28"/>
        <v>3.9043478260869566</v>
      </c>
      <c r="M50" s="18">
        <v>449</v>
      </c>
      <c r="N50" s="18">
        <f t="shared" si="29"/>
        <v>0.1391304347826087</v>
      </c>
    </row>
    <row r="51" spans="1:14" x14ac:dyDescent="0.25">
      <c r="A51" s="18" t="s">
        <v>28</v>
      </c>
      <c r="B51" s="18">
        <v>30</v>
      </c>
      <c r="C51" s="18">
        <v>0</v>
      </c>
      <c r="D51" s="18">
        <f t="shared" si="0"/>
        <v>5.833333333333333</v>
      </c>
      <c r="E51" s="18">
        <v>175</v>
      </c>
      <c r="F51" s="18">
        <f t="shared" si="1"/>
        <v>0</v>
      </c>
      <c r="G51" s="32">
        <v>1.30384048104052</v>
      </c>
      <c r="I51" s="18" t="s">
        <v>148</v>
      </c>
      <c r="J51" s="18">
        <v>42</v>
      </c>
      <c r="K51" s="18">
        <v>8</v>
      </c>
      <c r="L51" s="18">
        <f t="shared" si="28"/>
        <v>3.7380952380952381</v>
      </c>
      <c r="M51" s="18">
        <v>157</v>
      </c>
      <c r="N51" s="18">
        <f t="shared" si="29"/>
        <v>0.19047619047619047</v>
      </c>
    </row>
    <row r="52" spans="1:14" x14ac:dyDescent="0.25">
      <c r="A52" s="18" t="s">
        <v>253</v>
      </c>
      <c r="B52" s="18">
        <v>36</v>
      </c>
      <c r="C52" s="18">
        <v>1</v>
      </c>
      <c r="D52" s="18">
        <f t="shared" si="0"/>
        <v>5.3611111111111107</v>
      </c>
      <c r="E52" s="18">
        <v>193</v>
      </c>
      <c r="F52" s="18">
        <f t="shared" si="1"/>
        <v>2.7777777777777776E-2</v>
      </c>
      <c r="G52" s="32"/>
      <c r="I52" s="18" t="s">
        <v>79</v>
      </c>
      <c r="J52" s="18">
        <v>54</v>
      </c>
      <c r="K52" s="18">
        <v>6</v>
      </c>
      <c r="L52" s="18">
        <f t="shared" si="28"/>
        <v>4.6296296296296298</v>
      </c>
      <c r="M52" s="18">
        <v>250</v>
      </c>
      <c r="N52" s="18">
        <f t="shared" si="29"/>
        <v>0.1111111111111111</v>
      </c>
    </row>
    <row r="53" spans="1:14" x14ac:dyDescent="0.25">
      <c r="A53" s="18" t="s">
        <v>175</v>
      </c>
      <c r="B53" s="18">
        <v>48</v>
      </c>
      <c r="C53" s="18">
        <v>13</v>
      </c>
      <c r="D53" s="18">
        <f t="shared" si="0"/>
        <v>3.2083333333333335</v>
      </c>
      <c r="E53" s="18">
        <v>154</v>
      </c>
      <c r="F53" s="18">
        <f t="shared" si="1"/>
        <v>0.27083333333333331</v>
      </c>
      <c r="G53" s="32">
        <v>2</v>
      </c>
      <c r="I53" s="18" t="s">
        <v>123</v>
      </c>
      <c r="J53" s="18">
        <v>35</v>
      </c>
      <c r="K53" s="18">
        <v>6</v>
      </c>
      <c r="L53" s="18">
        <f t="shared" si="28"/>
        <v>4.4571428571428573</v>
      </c>
      <c r="M53" s="18">
        <v>156</v>
      </c>
      <c r="N53" s="18">
        <f t="shared" si="29"/>
        <v>0.17142857142857143</v>
      </c>
    </row>
    <row r="54" spans="1:14" x14ac:dyDescent="0.25">
      <c r="A54" s="18" t="s">
        <v>61</v>
      </c>
      <c r="B54" s="18">
        <v>46</v>
      </c>
      <c r="C54" s="18">
        <v>8</v>
      </c>
      <c r="D54" s="18">
        <f t="shared" si="0"/>
        <v>4.8260869565217392</v>
      </c>
      <c r="E54" s="18">
        <v>222</v>
      </c>
      <c r="F54" s="18">
        <f>C54/B54</f>
        <v>0.17391304347826086</v>
      </c>
      <c r="G54" s="32">
        <v>3.2403703492039302</v>
      </c>
      <c r="I54" s="18" t="s">
        <v>22</v>
      </c>
      <c r="J54" s="18">
        <v>182</v>
      </c>
      <c r="K54" s="18">
        <v>30</v>
      </c>
      <c r="L54" s="18">
        <f t="shared" si="28"/>
        <v>4.104395604395604</v>
      </c>
      <c r="M54" s="18">
        <v>747</v>
      </c>
      <c r="N54" s="18">
        <f t="shared" si="29"/>
        <v>0.16483516483516483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33</v>
      </c>
      <c r="J55" s="18">
        <v>64</v>
      </c>
      <c r="K55" s="18">
        <v>4</v>
      </c>
      <c r="L55" s="18">
        <f t="shared" ref="L55:L61" si="30">M55/J55</f>
        <v>5.515625</v>
      </c>
      <c r="M55" s="18">
        <v>353</v>
      </c>
      <c r="N55" s="18">
        <f t="shared" ref="N55:N61" si="31">K55/J55</f>
        <v>6.25E-2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129</v>
      </c>
      <c r="J56" s="18">
        <v>42</v>
      </c>
      <c r="K56" s="18">
        <v>7</v>
      </c>
      <c r="L56" s="18">
        <f t="shared" si="30"/>
        <v>4.5714285714285712</v>
      </c>
      <c r="M56" s="18">
        <v>192</v>
      </c>
      <c r="N56" s="18">
        <f t="shared" si="31"/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35</v>
      </c>
      <c r="J57" s="18">
        <v>163</v>
      </c>
      <c r="K57" s="18">
        <v>42</v>
      </c>
      <c r="L57" s="18">
        <f t="shared" si="30"/>
        <v>3.5582822085889569</v>
      </c>
      <c r="M57" s="18">
        <v>580</v>
      </c>
      <c r="N57" s="18">
        <f t="shared" si="31"/>
        <v>0.25766871165644173</v>
      </c>
    </row>
    <row r="58" spans="1:14" x14ac:dyDescent="0.25">
      <c r="A58" t="s">
        <v>116</v>
      </c>
      <c r="B58">
        <v>20</v>
      </c>
      <c r="C58">
        <v>4</v>
      </c>
      <c r="D58">
        <f t="shared" si="0"/>
        <v>4.05</v>
      </c>
      <c r="E58">
        <v>81</v>
      </c>
      <c r="F58">
        <f t="shared" si="1"/>
        <v>0.2</v>
      </c>
      <c r="G58" s="32">
        <v>1.7043362064926899</v>
      </c>
      <c r="I58" s="18" t="s">
        <v>26</v>
      </c>
      <c r="J58" s="18">
        <v>78</v>
      </c>
      <c r="K58" s="18">
        <v>5</v>
      </c>
      <c r="L58" s="18">
        <f t="shared" si="30"/>
        <v>5.2307692307692308</v>
      </c>
      <c r="M58" s="18">
        <v>408</v>
      </c>
      <c r="N58" s="18">
        <f t="shared" si="31"/>
        <v>6.4102564102564097E-2</v>
      </c>
    </row>
    <row r="59" spans="1:14" x14ac:dyDescent="0.25">
      <c r="A59" t="s">
        <v>5</v>
      </c>
      <c r="B59">
        <v>23</v>
      </c>
      <c r="C59">
        <v>1</v>
      </c>
      <c r="D59">
        <f t="shared" si="0"/>
        <v>4.6086956521739131</v>
      </c>
      <c r="E59">
        <v>106</v>
      </c>
      <c r="F59">
        <f t="shared" si="1"/>
        <v>4.3478260869565216E-2</v>
      </c>
      <c r="G59" s="32">
        <v>1.8898223650461301</v>
      </c>
      <c r="I59" s="18" t="s">
        <v>122</v>
      </c>
      <c r="J59" s="18">
        <v>116</v>
      </c>
      <c r="K59" s="18">
        <v>14</v>
      </c>
      <c r="L59" s="18">
        <f t="shared" si="30"/>
        <v>4.1120689655172411</v>
      </c>
      <c r="M59" s="18">
        <v>477</v>
      </c>
      <c r="N59" s="18">
        <f t="shared" si="31"/>
        <v>0.1206896551724138</v>
      </c>
    </row>
    <row r="60" spans="1:14" x14ac:dyDescent="0.25">
      <c r="A60" t="s">
        <v>58</v>
      </c>
      <c r="B60">
        <v>25</v>
      </c>
      <c r="C60">
        <v>5</v>
      </c>
      <c r="D60">
        <f t="shared" si="0"/>
        <v>3.72</v>
      </c>
      <c r="E60">
        <v>93</v>
      </c>
      <c r="F60">
        <f t="shared" si="1"/>
        <v>0.2</v>
      </c>
      <c r="G60" s="32">
        <v>2.33809038890002</v>
      </c>
      <c r="I60" s="18" t="s">
        <v>49</v>
      </c>
      <c r="J60" s="18">
        <v>122</v>
      </c>
      <c r="K60" s="18">
        <v>7</v>
      </c>
      <c r="L60" s="18">
        <f t="shared" si="30"/>
        <v>5.1475409836065573</v>
      </c>
      <c r="M60" s="18">
        <v>628</v>
      </c>
      <c r="N60" s="18">
        <f t="shared" si="31"/>
        <v>5.737704918032787E-2</v>
      </c>
    </row>
    <row r="61" spans="1:14" x14ac:dyDescent="0.25">
      <c r="A61" s="18" t="s">
        <v>30</v>
      </c>
      <c r="B61" s="18">
        <v>55</v>
      </c>
      <c r="C61" s="18">
        <v>4</v>
      </c>
      <c r="D61" s="18">
        <f t="shared" si="0"/>
        <v>5.0363636363636362</v>
      </c>
      <c r="E61" s="18">
        <v>277</v>
      </c>
      <c r="F61" s="18">
        <f t="shared" si="1"/>
        <v>7.2727272727272724E-2</v>
      </c>
      <c r="G61" s="32">
        <v>2.5226248955475601</v>
      </c>
      <c r="I61" s="18" t="s">
        <v>3</v>
      </c>
      <c r="J61" s="18">
        <v>46</v>
      </c>
      <c r="K61" s="18">
        <v>7</v>
      </c>
      <c r="L61" s="18">
        <f t="shared" si="30"/>
        <v>4.1304347826086953</v>
      </c>
      <c r="M61" s="18">
        <v>190</v>
      </c>
      <c r="N61" s="18">
        <f t="shared" si="31"/>
        <v>0.15217391304347827</v>
      </c>
    </row>
    <row r="62" spans="1:14" x14ac:dyDescent="0.25">
      <c r="A62" s="18" t="s">
        <v>29</v>
      </c>
      <c r="B62" s="18">
        <v>115</v>
      </c>
      <c r="C62" s="18">
        <v>16</v>
      </c>
      <c r="D62" s="18">
        <f t="shared" si="0"/>
        <v>3.9043478260869566</v>
      </c>
      <c r="E62" s="18">
        <v>449</v>
      </c>
      <c r="F62" s="18">
        <f t="shared" si="1"/>
        <v>0.1391304347826087</v>
      </c>
      <c r="G62" s="32">
        <v>2.0875571218153701</v>
      </c>
      <c r="I62" s="74"/>
      <c r="J62" s="74"/>
      <c r="K62" s="74"/>
      <c r="L62" s="74"/>
      <c r="M62" s="74"/>
      <c r="N62" s="74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74"/>
      <c r="J63" s="74"/>
      <c r="K63" s="74"/>
      <c r="L63" s="74"/>
      <c r="M63" s="74"/>
      <c r="N63" s="74"/>
    </row>
    <row r="64" spans="1:14" x14ac:dyDescent="0.25">
      <c r="A64" t="s">
        <v>9</v>
      </c>
      <c r="B64">
        <v>20</v>
      </c>
      <c r="C64">
        <v>2</v>
      </c>
      <c r="D64">
        <f t="shared" si="0"/>
        <v>4.1500000000000004</v>
      </c>
      <c r="E64">
        <v>83</v>
      </c>
      <c r="F64">
        <f t="shared" si="1"/>
        <v>0.1</v>
      </c>
      <c r="G64" s="32">
        <v>2.42097317438899</v>
      </c>
      <c r="I64" s="74"/>
      <c r="J64" s="74"/>
      <c r="K64" s="74"/>
      <c r="L64" s="74"/>
      <c r="M64" s="74"/>
      <c r="N64" s="74"/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74"/>
      <c r="J65" s="74"/>
      <c r="K65" s="74"/>
      <c r="L65" s="74"/>
      <c r="M65" s="74"/>
      <c r="N65" s="74"/>
    </row>
    <row r="66" spans="1:14" x14ac:dyDescent="0.25">
      <c r="A66" t="s">
        <v>428</v>
      </c>
      <c r="B66">
        <v>21</v>
      </c>
      <c r="C66">
        <v>0</v>
      </c>
      <c r="D66">
        <f t="shared" si="0"/>
        <v>4.6190476190476186</v>
      </c>
      <c r="E66">
        <v>97</v>
      </c>
      <c r="F66">
        <f t="shared" si="1"/>
        <v>0</v>
      </c>
      <c r="G66" s="32">
        <v>1.9414506867882999</v>
      </c>
      <c r="I66" s="74"/>
      <c r="J66" s="74"/>
      <c r="K66" s="74"/>
      <c r="L66" s="74"/>
      <c r="M66" s="74"/>
      <c r="N66" s="74"/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74"/>
      <c r="J67" s="74"/>
      <c r="K67" s="74"/>
      <c r="L67" s="74"/>
      <c r="M67" s="74"/>
      <c r="N67" s="74"/>
    </row>
    <row r="68" spans="1:14" x14ac:dyDescent="0.25">
      <c r="A68" t="s">
        <v>17</v>
      </c>
      <c r="B68">
        <v>20</v>
      </c>
      <c r="C68">
        <v>2</v>
      </c>
      <c r="D68">
        <f t="shared" si="0"/>
        <v>5.25</v>
      </c>
      <c r="E68">
        <v>105</v>
      </c>
      <c r="F68">
        <f t="shared" si="1"/>
        <v>0.1</v>
      </c>
      <c r="G68" s="32">
        <v>2.4832774042918899</v>
      </c>
      <c r="I68" s="74"/>
      <c r="J68" s="74"/>
      <c r="K68" s="74"/>
      <c r="L68" s="74"/>
      <c r="M68" s="74"/>
      <c r="N68" s="74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74"/>
      <c r="J69" s="74"/>
      <c r="K69" s="74"/>
      <c r="L69" s="74"/>
      <c r="M69" s="74"/>
      <c r="N69" s="74"/>
    </row>
    <row r="70" spans="1:14" x14ac:dyDescent="0.25">
      <c r="A70" s="18" t="s">
        <v>123</v>
      </c>
      <c r="B70" s="18">
        <v>35</v>
      </c>
      <c r="C70" s="18">
        <v>6</v>
      </c>
      <c r="D70" s="18">
        <f t="shared" si="0"/>
        <v>4.4571428571428573</v>
      </c>
      <c r="E70" s="18">
        <v>156</v>
      </c>
      <c r="F70" s="18">
        <f t="shared" si="1"/>
        <v>0.17142857142857143</v>
      </c>
      <c r="G70" s="32">
        <v>2</v>
      </c>
      <c r="I70" s="74"/>
      <c r="J70" s="74"/>
      <c r="K70" s="74"/>
      <c r="L70" s="74"/>
      <c r="M70" s="74"/>
      <c r="N70" s="74"/>
    </row>
    <row r="71" spans="1:14" x14ac:dyDescent="0.25">
      <c r="A71" t="s">
        <v>12</v>
      </c>
      <c r="B71">
        <v>20</v>
      </c>
      <c r="C71">
        <v>0</v>
      </c>
      <c r="D71">
        <f t="shared" si="0"/>
        <v>4.75</v>
      </c>
      <c r="E71">
        <v>95</v>
      </c>
      <c r="F71">
        <f t="shared" si="1"/>
        <v>0</v>
      </c>
      <c r="G71" s="32">
        <v>2.44584195260913</v>
      </c>
      <c r="I71" s="74"/>
      <c r="J71" s="74"/>
      <c r="K71" s="74"/>
      <c r="L71" s="74"/>
      <c r="M71" s="74"/>
      <c r="N71" s="74"/>
    </row>
    <row r="72" spans="1:14" x14ac:dyDescent="0.25">
      <c r="A72" t="s">
        <v>404</v>
      </c>
      <c r="B72">
        <v>20</v>
      </c>
      <c r="C72">
        <v>2</v>
      </c>
      <c r="D72">
        <f t="shared" si="0"/>
        <v>5.25</v>
      </c>
      <c r="E72">
        <v>105</v>
      </c>
      <c r="F72">
        <f t="shared" si="1"/>
        <v>0.1</v>
      </c>
      <c r="G72" s="32">
        <v>2.3094010767584998</v>
      </c>
      <c r="I72" s="74"/>
      <c r="J72" s="74"/>
      <c r="K72" s="74"/>
      <c r="L72" s="74"/>
      <c r="M72" s="74"/>
      <c r="N72" s="74"/>
    </row>
    <row r="73" spans="1:14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74"/>
      <c r="J73" s="74"/>
      <c r="K73" s="74"/>
      <c r="L73" s="74"/>
      <c r="M73" s="74"/>
      <c r="N73" s="74"/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74"/>
      <c r="J74" s="74"/>
      <c r="K74" s="74"/>
      <c r="L74" s="74"/>
      <c r="M74" s="74"/>
      <c r="N74" s="74"/>
    </row>
    <row r="75" spans="1:14" x14ac:dyDescent="0.25">
      <c r="A75" t="s">
        <v>110</v>
      </c>
      <c r="B75">
        <v>20</v>
      </c>
      <c r="C75">
        <v>1</v>
      </c>
      <c r="D75">
        <f>E75/B75</f>
        <v>5.15</v>
      </c>
      <c r="E75">
        <v>103</v>
      </c>
      <c r="F75">
        <f>C75/B75</f>
        <v>0.05</v>
      </c>
      <c r="G75" s="32">
        <v>1.9407902170679501</v>
      </c>
      <c r="I75" s="74"/>
      <c r="J75" s="74"/>
      <c r="K75" s="74"/>
      <c r="L75" s="74"/>
      <c r="M75" s="74"/>
      <c r="N75" s="74"/>
    </row>
    <row r="76" spans="1:14" x14ac:dyDescent="0.25">
      <c r="A76" t="s">
        <v>82</v>
      </c>
      <c r="B76">
        <v>20</v>
      </c>
      <c r="C76">
        <v>0</v>
      </c>
      <c r="D76">
        <f t="shared" ref="D76:D91" si="32">E76/B76</f>
        <v>5.15</v>
      </c>
      <c r="E76">
        <v>103</v>
      </c>
      <c r="F76">
        <f>C76/B76</f>
        <v>0</v>
      </c>
      <c r="G76" s="32">
        <v>2</v>
      </c>
      <c r="I76" s="74"/>
      <c r="J76" s="74"/>
      <c r="K76" s="74"/>
      <c r="L76" s="74"/>
      <c r="M76" s="74"/>
      <c r="N76" s="74"/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32"/>
        <v>5.515625</v>
      </c>
      <c r="E77" s="18">
        <v>353</v>
      </c>
      <c r="F77" s="18">
        <f t="shared" ref="F77:F91" si="33">C77/B77</f>
        <v>6.25E-2</v>
      </c>
      <c r="G77" s="32">
        <v>2.14993539954627</v>
      </c>
      <c r="I77" s="74"/>
      <c r="J77" s="74"/>
      <c r="K77" s="74"/>
      <c r="L77" s="74"/>
      <c r="M77" s="74"/>
      <c r="N77" s="74"/>
    </row>
    <row r="78" spans="1:14" x14ac:dyDescent="0.25">
      <c r="A78" t="s">
        <v>99</v>
      </c>
      <c r="B78">
        <v>20</v>
      </c>
      <c r="C78">
        <v>2</v>
      </c>
      <c r="D78">
        <f t="shared" si="32"/>
        <v>5.05</v>
      </c>
      <c r="E78">
        <v>101</v>
      </c>
      <c r="F78">
        <f t="shared" si="33"/>
        <v>0.1</v>
      </c>
      <c r="G78" s="32">
        <v>2.6687491868330699</v>
      </c>
      <c r="I78" s="74"/>
      <c r="J78" s="74"/>
      <c r="K78" s="74"/>
      <c r="L78" s="74"/>
      <c r="M78" s="74"/>
      <c r="N78" s="74"/>
    </row>
    <row r="79" spans="1:14" x14ac:dyDescent="0.25">
      <c r="A79" t="s">
        <v>7</v>
      </c>
      <c r="B79">
        <v>20</v>
      </c>
      <c r="C79">
        <v>4</v>
      </c>
      <c r="D79">
        <f t="shared" si="32"/>
        <v>4.0999999999999996</v>
      </c>
      <c r="E79">
        <v>82</v>
      </c>
      <c r="F79">
        <f t="shared" si="33"/>
        <v>0.2</v>
      </c>
      <c r="G79" s="32">
        <v>2.7888667551135802</v>
      </c>
      <c r="I79" s="74"/>
      <c r="J79" s="74"/>
      <c r="K79" s="74"/>
      <c r="L79" s="74"/>
      <c r="M79" s="74"/>
      <c r="N79" s="74"/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32"/>
        <v>4</v>
      </c>
      <c r="E80" s="41">
        <v>20</v>
      </c>
      <c r="F80" s="41">
        <f t="shared" si="33"/>
        <v>0.2</v>
      </c>
      <c r="G80" s="32">
        <v>2.2173557826083399</v>
      </c>
      <c r="I80" s="74"/>
      <c r="J80" s="74"/>
      <c r="K80" s="74"/>
      <c r="L80" s="74"/>
      <c r="M80" s="74"/>
      <c r="N80" s="74"/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32"/>
        <v>4.1818181818181817</v>
      </c>
      <c r="E81" s="41">
        <v>46</v>
      </c>
      <c r="F81" s="41">
        <f t="shared" si="33"/>
        <v>9.0909090909090912E-2</v>
      </c>
      <c r="G81" s="32">
        <v>1.8618986725025199</v>
      </c>
      <c r="I81" s="74"/>
      <c r="J81" s="74"/>
      <c r="K81" s="74"/>
      <c r="L81" s="74"/>
      <c r="M81" s="74"/>
      <c r="N81" s="74"/>
    </row>
    <row r="82" spans="1:14" x14ac:dyDescent="0.25">
      <c r="A82" s="18" t="s">
        <v>129</v>
      </c>
      <c r="B82" s="18">
        <v>42</v>
      </c>
      <c r="C82" s="18">
        <v>7</v>
      </c>
      <c r="D82" s="18">
        <f t="shared" si="32"/>
        <v>4.5714285714285712</v>
      </c>
      <c r="E82" s="18">
        <v>192</v>
      </c>
      <c r="F82" s="18">
        <f t="shared" si="33"/>
        <v>0.16666666666666666</v>
      </c>
      <c r="G82" s="32">
        <v>2.1315096371664199</v>
      </c>
      <c r="I82" s="74"/>
      <c r="J82" s="74"/>
      <c r="K82" s="74"/>
      <c r="L82" s="74"/>
      <c r="M82" s="74"/>
      <c r="N82" s="74"/>
    </row>
    <row r="83" spans="1:14" x14ac:dyDescent="0.25">
      <c r="A83" t="s">
        <v>113</v>
      </c>
      <c r="B83">
        <v>22</v>
      </c>
      <c r="C83">
        <v>0</v>
      </c>
      <c r="D83">
        <f t="shared" si="32"/>
        <v>4.4090909090909092</v>
      </c>
      <c r="E83">
        <v>97</v>
      </c>
      <c r="F83">
        <f t="shared" si="33"/>
        <v>0</v>
      </c>
      <c r="G83" s="32">
        <v>2.4899799195977401</v>
      </c>
      <c r="I83" s="74"/>
      <c r="J83" s="74"/>
      <c r="K83" s="74"/>
      <c r="L83" s="74"/>
      <c r="M83" s="74"/>
      <c r="N83" s="74"/>
    </row>
    <row r="84" spans="1:14" x14ac:dyDescent="0.25">
      <c r="A84" s="18" t="s">
        <v>35</v>
      </c>
      <c r="B84" s="18">
        <v>163</v>
      </c>
      <c r="C84" s="18">
        <v>42</v>
      </c>
      <c r="D84" s="18">
        <f t="shared" si="32"/>
        <v>3.5582822085889569</v>
      </c>
      <c r="E84" s="18">
        <v>580</v>
      </c>
      <c r="F84" s="18">
        <f t="shared" si="33"/>
        <v>0.25766871165644173</v>
      </c>
      <c r="G84" s="32">
        <v>2.6214406763289899</v>
      </c>
      <c r="I84" s="74"/>
      <c r="J84" s="74"/>
      <c r="K84" s="74"/>
      <c r="L84" s="74"/>
      <c r="M84" s="74"/>
      <c r="N84" s="74"/>
    </row>
    <row r="85" spans="1:14" x14ac:dyDescent="0.25">
      <c r="A85" s="18" t="s">
        <v>26</v>
      </c>
      <c r="B85" s="18">
        <v>78</v>
      </c>
      <c r="C85" s="18">
        <v>5</v>
      </c>
      <c r="D85" s="18">
        <f t="shared" si="32"/>
        <v>5.2307692307692308</v>
      </c>
      <c r="E85" s="18">
        <v>408</v>
      </c>
      <c r="F85" s="18">
        <f t="shared" si="33"/>
        <v>6.4102564102564097E-2</v>
      </c>
      <c r="G85" s="32">
        <v>2.4494897427831699</v>
      </c>
      <c r="I85" s="74"/>
      <c r="J85" s="74"/>
      <c r="K85" s="74"/>
      <c r="L85" s="74"/>
      <c r="M85" s="74"/>
      <c r="N85" s="74"/>
    </row>
    <row r="86" spans="1:14" x14ac:dyDescent="0.25">
      <c r="A86" s="18" t="s">
        <v>122</v>
      </c>
      <c r="B86" s="18">
        <v>116</v>
      </c>
      <c r="C86" s="18">
        <v>14</v>
      </c>
      <c r="D86" s="18">
        <f t="shared" si="32"/>
        <v>4.1120689655172411</v>
      </c>
      <c r="E86" s="18">
        <v>477</v>
      </c>
      <c r="F86" s="18">
        <f t="shared" si="33"/>
        <v>0.1206896551724138</v>
      </c>
      <c r="G86" s="32">
        <v>1.6329931618554501</v>
      </c>
    </row>
    <row r="87" spans="1:14" x14ac:dyDescent="0.25">
      <c r="A87" s="18" t="s">
        <v>49</v>
      </c>
      <c r="B87" s="18">
        <v>122</v>
      </c>
      <c r="C87" s="18">
        <v>7</v>
      </c>
      <c r="D87" s="18">
        <f t="shared" si="32"/>
        <v>5.1475409836065573</v>
      </c>
      <c r="E87" s="18">
        <v>628</v>
      </c>
      <c r="F87" s="18">
        <f t="shared" si="33"/>
        <v>5.737704918032787E-2</v>
      </c>
      <c r="G87" s="32">
        <v>2.79455252402308</v>
      </c>
    </row>
    <row r="88" spans="1:14" x14ac:dyDescent="0.25">
      <c r="A88" s="18" t="s">
        <v>3</v>
      </c>
      <c r="B88" s="18">
        <v>46</v>
      </c>
      <c r="C88" s="18">
        <v>7</v>
      </c>
      <c r="D88" s="18">
        <f t="shared" si="32"/>
        <v>4.1304347826086953</v>
      </c>
      <c r="E88" s="18">
        <v>190</v>
      </c>
      <c r="F88" s="18">
        <f t="shared" si="33"/>
        <v>0.15217391304347827</v>
      </c>
      <c r="G88" s="32">
        <v>2.3731557327466102</v>
      </c>
    </row>
    <row r="89" spans="1:14" x14ac:dyDescent="0.25">
      <c r="A89" t="s">
        <v>230</v>
      </c>
      <c r="B89">
        <v>26</v>
      </c>
      <c r="C89">
        <v>4</v>
      </c>
      <c r="D89">
        <f t="shared" si="32"/>
        <v>4.8076923076923075</v>
      </c>
      <c r="E89">
        <v>125</v>
      </c>
      <c r="F89">
        <f t="shared" si="33"/>
        <v>0.15384615384615385</v>
      </c>
      <c r="G89" s="32">
        <v>2.7748873851023199</v>
      </c>
    </row>
    <row r="90" spans="1:14" x14ac:dyDescent="0.25">
      <c r="A90" t="s">
        <v>2</v>
      </c>
      <c r="B90">
        <v>28</v>
      </c>
      <c r="C90">
        <v>5</v>
      </c>
      <c r="D90">
        <f t="shared" si="32"/>
        <v>4.1428571428571432</v>
      </c>
      <c r="E90">
        <v>116</v>
      </c>
      <c r="F90">
        <f t="shared" si="33"/>
        <v>0.17857142857142858</v>
      </c>
      <c r="G90" s="32">
        <v>2.5876449587894599</v>
      </c>
    </row>
    <row r="91" spans="1:14" x14ac:dyDescent="0.25">
      <c r="A91" t="s">
        <v>124</v>
      </c>
      <c r="B91">
        <v>26</v>
      </c>
      <c r="C91">
        <v>1</v>
      </c>
      <c r="D91">
        <f t="shared" si="32"/>
        <v>4.9230769230769234</v>
      </c>
      <c r="E91">
        <v>128</v>
      </c>
      <c r="F91">
        <f t="shared" si="33"/>
        <v>3.8461538461538464E-2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I1" sqref="I1:O74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8C9A-E9E1-4BB7-8700-D002E681CBFD}">
  <dimension ref="A1:O74"/>
  <sheetViews>
    <sheetView tabSelected="1" topLeftCell="B1" workbookViewId="0">
      <selection activeCell="N25" sqref="N25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65" si="0">G2/B2</f>
        <v>3.236842105263158</v>
      </c>
      <c r="E2" s="60">
        <f t="shared" ref="E2:E65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>O2/J2</f>
        <v>3.2083333333333335</v>
      </c>
      <c r="M2" s="60">
        <f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>O3/J3</f>
        <v>3.2169811320754715</v>
      </c>
      <c r="M3" s="60">
        <f>K3/J3</f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>O4/J4</f>
        <v>3.5582822085889569</v>
      </c>
      <c r="M4" s="59">
        <f>K4/J4</f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>G5/B5</f>
        <v>3.6909090909090909</v>
      </c>
      <c r="E5" s="59">
        <f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>O5/J5</f>
        <v>3.6991869918699187</v>
      </c>
      <c r="M5" s="59">
        <f>K5/J5</f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>G6/B6</f>
        <v>3.7560975609756095</v>
      </c>
      <c r="E6" s="59">
        <f>C6/B6</f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>O6/J6</f>
        <v>3.7380952380952381</v>
      </c>
      <c r="M6" s="59">
        <f>K6/J6</f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>G7/B7</f>
        <v>3.8787878787878789</v>
      </c>
      <c r="E7" s="59">
        <f>C7/B7</f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>O7/J7</f>
        <v>3.8928571428571428</v>
      </c>
      <c r="M7" s="59">
        <f>K7/J7</f>
        <v>0.17857142857142858</v>
      </c>
      <c r="N7" s="78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>G8/B8</f>
        <v>3.9090909090909092</v>
      </c>
      <c r="E8" s="59">
        <f>C8/B8</f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>O8/J8</f>
        <v>3.8936170212765959</v>
      </c>
      <c r="M8" s="59">
        <f>K8/J8</f>
        <v>0.22340425531914893</v>
      </c>
      <c r="N8" s="78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>G9/B9</f>
        <v>3.9166666666666665</v>
      </c>
      <c r="E9" s="59">
        <f>C9/B9</f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>O9/J9</f>
        <v>3.8955223880597014</v>
      </c>
      <c r="M9" s="59">
        <f>K9/J9</f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>G10/B10</f>
        <v>3.9361702127659575</v>
      </c>
      <c r="E10" s="59">
        <f>C10/B10</f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>O10/J10</f>
        <v>3.9043478260869566</v>
      </c>
      <c r="M10" s="59">
        <f>K10/J10</f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>G11/B11</f>
        <v>4.104395604395604</v>
      </c>
      <c r="E11" s="41">
        <f>C11/B11</f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>O11/J11</f>
        <v>4</v>
      </c>
      <c r="M11" s="41">
        <f>K11/J11</f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>G12/B12</f>
        <v>4.1547619047619051</v>
      </c>
      <c r="E12" s="41">
        <f>C12/B12</f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>O12/J12</f>
        <v>4.104395604395604</v>
      </c>
      <c r="M12" s="41">
        <f>K12/J12</f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>G13/B13</f>
        <v>4.1627906976744189</v>
      </c>
      <c r="E13" s="41">
        <f>C13/B13</f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>O13/J13</f>
        <v>4.1120689655172411</v>
      </c>
      <c r="M13" s="41">
        <f>K13/J13</f>
        <v>0.1206896551724138</v>
      </c>
      <c r="N13" s="78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>G14/B14</f>
        <v>4.270833333333333</v>
      </c>
      <c r="E14" s="41">
        <f>C14/B14</f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>O14/J14</f>
        <v>4.1304347826086953</v>
      </c>
      <c r="M14" s="41">
        <f>K14/J14</f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>G15/B15</f>
        <v>4.2842105263157899</v>
      </c>
      <c r="E15" s="41">
        <f>C15/B15</f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>O15/J15</f>
        <v>4.1547619047619051</v>
      </c>
      <c r="M15" s="41">
        <f>K15/J15</f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>G16/B16</f>
        <v>4.3724137931034486</v>
      </c>
      <c r="E16" s="41">
        <f>C16/B16</f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>O16/J16</f>
        <v>4.166666666666667</v>
      </c>
      <c r="M16" s="41">
        <f>K16/J16</f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>G17/B17</f>
        <v>4.384615384615385</v>
      </c>
      <c r="E17" s="41">
        <f>C17/B17</f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>O17/J17</f>
        <v>4.2056074766355138</v>
      </c>
      <c r="M17" s="41">
        <f>K17/J17</f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>G18/B18</f>
        <v>4.4444444444444446</v>
      </c>
      <c r="E18" s="32">
        <f>C18/B18</f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>O18/J18</f>
        <v>4.2937500000000002</v>
      </c>
      <c r="M18" s="41">
        <f>K18/J18</f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>G19/B19</f>
        <v>4.45</v>
      </c>
      <c r="E19" s="32">
        <f>C19/B19</f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>O19/J19</f>
        <v>4.3</v>
      </c>
      <c r="M19" s="41">
        <f>K19/J19</f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>G20/B20</f>
        <v>4.4782608695652177</v>
      </c>
      <c r="E20" s="32">
        <f>C20/B20</f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>O20/J20</f>
        <v>4.384615384615385</v>
      </c>
      <c r="M20" s="41">
        <f>K20/J20</f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>G21/B21</f>
        <v>4.5309734513274336</v>
      </c>
      <c r="E21" s="32">
        <f>C21/B21</f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>O21/J21</f>
        <v>4.4444444444444446</v>
      </c>
      <c r="M21" s="32">
        <f>K21/J21</f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>G22/B22</f>
        <v>4.5510204081632653</v>
      </c>
      <c r="E22" s="32">
        <f>C22/B22</f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>O22/J22</f>
        <v>4.4571428571428573</v>
      </c>
      <c r="M22" s="32">
        <f>K22/J22</f>
        <v>0.17142857142857143</v>
      </c>
      <c r="N22" s="78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>G23/B23</f>
        <v>4.5773195876288657</v>
      </c>
      <c r="E23" s="32">
        <f>C23/B23</f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>O23/J23</f>
        <v>4.4782608695652177</v>
      </c>
      <c r="M23" s="32">
        <f>K23/J23</f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>G24/B24</f>
        <v>4.59375</v>
      </c>
      <c r="E24" s="32">
        <f>C24/B24</f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>O24/J24</f>
        <v>4.5247524752475243</v>
      </c>
      <c r="M24" s="32">
        <f>K24/J24</f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>G25/B25</f>
        <v>4.6296296296296298</v>
      </c>
      <c r="E25" s="32">
        <f>C25/B25</f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>O25/J25</f>
        <v>4.5333333333333332</v>
      </c>
      <c r="M25" s="32">
        <f>K25/J25</f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>G26/B26</f>
        <v>4.6764705882352944</v>
      </c>
      <c r="E26" s="32">
        <f>C26/B26</f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>O26/J26</f>
        <v>4.5714285714285712</v>
      </c>
      <c r="M26" s="32">
        <f>K26/J26</f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>G27/B27</f>
        <v>4.7111111111111112</v>
      </c>
      <c r="E27" s="32">
        <f>C27/B27</f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>O27/J27</f>
        <v>4.5909090909090908</v>
      </c>
      <c r="M27" s="32">
        <f>K27/J27</f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>G28/B28</f>
        <v>4.7222222222222223</v>
      </c>
      <c r="E28" s="32">
        <f>C28/B28</f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>O28/J28</f>
        <v>4.6116504854368934</v>
      </c>
      <c r="M28" s="32">
        <f>K28/J28</f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>G29/B29</f>
        <v>4.8529411764705879</v>
      </c>
      <c r="E29" s="38">
        <f>C29/B29</f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>O29/J29</f>
        <v>4.6296296296296298</v>
      </c>
      <c r="M29" s="32">
        <f>K29/J29</f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>G30/B30</f>
        <v>4.9189189189189193</v>
      </c>
      <c r="E30" s="38">
        <f>C30/B30</f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>O30/J30</f>
        <v>4.6333333333333337</v>
      </c>
      <c r="M30" s="32">
        <f>K30/J30</f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>G31/B31</f>
        <v>5.0140845070422539</v>
      </c>
      <c r="E31" s="38">
        <f>C31/B31</f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>O31/J31</f>
        <v>4.7111111111111112</v>
      </c>
      <c r="M31" s="38">
        <f>K31/J31</f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>G32/B32</f>
        <v>5.0634920634920633</v>
      </c>
      <c r="E32" s="38">
        <f>C32/B32</f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>O32/J32</f>
        <v>4.7222222222222223</v>
      </c>
      <c r="M32" s="38">
        <f>K32/J32</f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>G33/B33</f>
        <v>5.083333333333333</v>
      </c>
      <c r="E33" s="38">
        <f>C33/B33</f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>O33/J33</f>
        <v>4.8</v>
      </c>
      <c r="M33" s="38">
        <f>K33/J33</f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>G34/B34</f>
        <v>5.0999999999999996</v>
      </c>
      <c r="E34" s="38">
        <f>C34/B34</f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>O34/J34</f>
        <v>4.8125</v>
      </c>
      <c r="M34" s="38">
        <f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>G35/B35</f>
        <v>5.1415094339622645</v>
      </c>
      <c r="E35" s="38">
        <f>C35/B35</f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>O35/J35</f>
        <v>4.8260869565217392</v>
      </c>
      <c r="M35" s="38">
        <f>K35/J35</f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>G36/B36</f>
        <v>5.32</v>
      </c>
      <c r="E36" s="67">
        <f>C36/B36</f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>O36/J36</f>
        <v>4.833333333333333</v>
      </c>
      <c r="M36" s="38">
        <f>K36/J36</f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>G37/B37</f>
        <v>5.3555555555555552</v>
      </c>
      <c r="E37" s="67">
        <f>C37/B37</f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>O37/J37</f>
        <v>5.0348837209302326</v>
      </c>
      <c r="M37" s="38">
        <f>K37/J37</f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>G38/B38</f>
        <v>5.4375</v>
      </c>
      <c r="E38" s="67">
        <f>C38/B38</f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>O38/J38</f>
        <v>5.0363636363636362</v>
      </c>
      <c r="M38" s="38">
        <f>K38/J38</f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>G39/B39</f>
        <v>5.515625</v>
      </c>
      <c r="E39" s="67">
        <f>C39/B39</f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>O39/J39</f>
        <v>5.1475409836065573</v>
      </c>
      <c r="M39" s="38">
        <f>K39/J39</f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>G40/B40</f>
        <v>5.6271186440677967</v>
      </c>
      <c r="E40" s="67">
        <f>C40/B40</f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>O40/J40</f>
        <v>5.166666666666667</v>
      </c>
      <c r="M40" s="38">
        <f>K40/J40</f>
        <v>0.1</v>
      </c>
      <c r="N40" s="57" t="s">
        <v>580</v>
      </c>
      <c r="O40" s="18">
        <v>155</v>
      </c>
    </row>
    <row r="41" spans="1:15" x14ac:dyDescent="0.25">
      <c r="A41" s="74"/>
      <c r="B41" s="74"/>
      <c r="C41" s="74"/>
      <c r="D41" s="74"/>
      <c r="E41" s="74"/>
      <c r="F41" s="74"/>
      <c r="G41" s="74"/>
      <c r="I41" s="38" t="s">
        <v>81</v>
      </c>
      <c r="J41" s="38">
        <v>74</v>
      </c>
      <c r="K41" s="38">
        <v>5</v>
      </c>
      <c r="L41" s="38">
        <f>O41/J41</f>
        <v>5.1891891891891895</v>
      </c>
      <c r="M41" s="38">
        <f>K41/J41</f>
        <v>6.7567567567567571E-2</v>
      </c>
      <c r="N41" s="3" t="s">
        <v>495</v>
      </c>
      <c r="O41" s="18">
        <v>384</v>
      </c>
    </row>
    <row r="42" spans="1:15" x14ac:dyDescent="0.25">
      <c r="A42" s="74"/>
      <c r="B42" s="74"/>
      <c r="C42" s="74"/>
      <c r="D42" s="74"/>
      <c r="E42" s="74"/>
      <c r="F42" s="75"/>
      <c r="G42" s="74"/>
      <c r="I42" s="67" t="s">
        <v>26</v>
      </c>
      <c r="J42" s="67">
        <v>78</v>
      </c>
      <c r="K42" s="67">
        <v>5</v>
      </c>
      <c r="L42" s="67">
        <f>O42/J42</f>
        <v>5.2307692307692308</v>
      </c>
      <c r="M42" s="67">
        <f>K42/J42</f>
        <v>6.4102564102564097E-2</v>
      </c>
      <c r="N42" s="3" t="s">
        <v>495</v>
      </c>
      <c r="O42" s="18">
        <v>408</v>
      </c>
    </row>
    <row r="43" spans="1:15" x14ac:dyDescent="0.25">
      <c r="A43" s="74"/>
      <c r="B43" s="74"/>
      <c r="C43" s="74"/>
      <c r="D43" s="74"/>
      <c r="E43" s="74"/>
      <c r="F43" s="74"/>
      <c r="G43" s="74"/>
      <c r="I43" s="67" t="s">
        <v>31</v>
      </c>
      <c r="J43" s="67">
        <v>205</v>
      </c>
      <c r="K43" s="67">
        <v>13</v>
      </c>
      <c r="L43" s="67">
        <f>O43/J43</f>
        <v>5.2780487804878051</v>
      </c>
      <c r="M43" s="67">
        <f>K43/J43</f>
        <v>6.3414634146341464E-2</v>
      </c>
      <c r="N43" s="3" t="s">
        <v>69</v>
      </c>
      <c r="O43" s="18">
        <v>1082</v>
      </c>
    </row>
    <row r="44" spans="1:15" x14ac:dyDescent="0.25">
      <c r="A44" s="74"/>
      <c r="B44" s="74"/>
      <c r="C44" s="74"/>
      <c r="D44" s="74"/>
      <c r="E44" s="74"/>
      <c r="F44" s="74"/>
      <c r="G44" s="74"/>
      <c r="I44" s="67" t="s">
        <v>6</v>
      </c>
      <c r="J44" s="67">
        <v>45</v>
      </c>
      <c r="K44" s="67">
        <v>3</v>
      </c>
      <c r="L44" s="67">
        <f>O44/J44</f>
        <v>5.3555555555555552</v>
      </c>
      <c r="M44" s="67">
        <f>K44/J44</f>
        <v>6.6666666666666666E-2</v>
      </c>
      <c r="N44" s="3" t="s">
        <v>69</v>
      </c>
      <c r="O44" s="18">
        <v>241</v>
      </c>
    </row>
    <row r="45" spans="1:15" x14ac:dyDescent="0.25">
      <c r="A45" s="74"/>
      <c r="B45" s="74"/>
      <c r="C45" s="74"/>
      <c r="D45" s="74"/>
      <c r="E45" s="74"/>
      <c r="F45" s="74"/>
      <c r="G45" s="74"/>
      <c r="I45" s="67" t="s">
        <v>253</v>
      </c>
      <c r="J45" s="67">
        <v>36</v>
      </c>
      <c r="K45" s="67">
        <v>1</v>
      </c>
      <c r="L45" s="67">
        <f>O45/J45</f>
        <v>5.3611111111111107</v>
      </c>
      <c r="M45" s="67">
        <f>K45/J45</f>
        <v>2.7777777777777776E-2</v>
      </c>
      <c r="N45" s="3" t="s">
        <v>69</v>
      </c>
      <c r="O45" s="18">
        <v>193</v>
      </c>
    </row>
    <row r="46" spans="1:15" x14ac:dyDescent="0.25">
      <c r="A46" s="74"/>
      <c r="B46" s="74"/>
      <c r="C46" s="74"/>
      <c r="D46" s="74"/>
      <c r="E46" s="74"/>
      <c r="F46" s="75"/>
      <c r="G46" s="74"/>
      <c r="I46" s="67" t="s">
        <v>401</v>
      </c>
      <c r="J46" s="67">
        <v>63</v>
      </c>
      <c r="K46" s="67">
        <v>3</v>
      </c>
      <c r="L46" s="67">
        <f>O46/J46</f>
        <v>5.4761904761904763</v>
      </c>
      <c r="M46" s="67">
        <f>K46/J46</f>
        <v>4.7619047619047616E-2</v>
      </c>
      <c r="N46" s="3" t="s">
        <v>195</v>
      </c>
      <c r="O46" s="18">
        <v>345</v>
      </c>
    </row>
    <row r="47" spans="1:15" x14ac:dyDescent="0.25">
      <c r="A47" s="74"/>
      <c r="B47" s="74"/>
      <c r="C47" s="74"/>
      <c r="D47" s="74"/>
      <c r="E47" s="74"/>
      <c r="F47" s="75"/>
      <c r="G47" s="74"/>
      <c r="I47" s="67" t="s">
        <v>33</v>
      </c>
      <c r="J47" s="67">
        <v>64</v>
      </c>
      <c r="K47" s="67">
        <v>4</v>
      </c>
      <c r="L47" s="67">
        <f>O47/J47</f>
        <v>5.515625</v>
      </c>
      <c r="M47" s="67">
        <f>K47/J47</f>
        <v>6.25E-2</v>
      </c>
      <c r="N47" s="3" t="s">
        <v>296</v>
      </c>
      <c r="O47" s="18">
        <v>353</v>
      </c>
    </row>
    <row r="48" spans="1:15" x14ac:dyDescent="0.25">
      <c r="A48" s="74"/>
      <c r="B48" s="74"/>
      <c r="C48" s="74"/>
      <c r="D48" s="74"/>
      <c r="E48" s="74"/>
      <c r="F48" s="74"/>
      <c r="G48" s="74"/>
      <c r="I48" s="67" t="s">
        <v>34</v>
      </c>
      <c r="J48" s="67">
        <v>30</v>
      </c>
      <c r="K48" s="67">
        <v>2</v>
      </c>
      <c r="L48" s="67">
        <f>O48/J48</f>
        <v>5.5333333333333332</v>
      </c>
      <c r="M48" s="67">
        <f>K48/J48</f>
        <v>6.6666666666666666E-2</v>
      </c>
      <c r="N48" s="57" t="s">
        <v>577</v>
      </c>
      <c r="O48" s="18">
        <v>166</v>
      </c>
    </row>
    <row r="49" spans="1:15" x14ac:dyDescent="0.25">
      <c r="A49" s="74"/>
      <c r="B49" s="74"/>
      <c r="C49" s="74"/>
      <c r="D49" s="74"/>
      <c r="E49" s="74"/>
      <c r="F49" s="75"/>
      <c r="G49" s="74"/>
      <c r="I49" s="67" t="s">
        <v>90</v>
      </c>
      <c r="J49" s="67">
        <v>30</v>
      </c>
      <c r="K49" s="67">
        <v>3</v>
      </c>
      <c r="L49" s="67">
        <f>O49/J49</f>
        <v>5.6</v>
      </c>
      <c r="M49" s="67">
        <f>K49/J49</f>
        <v>0.1</v>
      </c>
      <c r="N49" s="79" t="s">
        <v>576</v>
      </c>
      <c r="O49" s="73">
        <v>168</v>
      </c>
    </row>
    <row r="50" spans="1:15" x14ac:dyDescent="0.25">
      <c r="A50" s="74"/>
      <c r="B50" s="74"/>
      <c r="C50" s="74"/>
      <c r="D50" s="74"/>
      <c r="E50" s="74"/>
      <c r="F50" s="75"/>
      <c r="G50" s="74"/>
      <c r="I50" s="67" t="s">
        <v>28</v>
      </c>
      <c r="J50" s="67">
        <v>30</v>
      </c>
      <c r="K50" s="67">
        <v>0</v>
      </c>
      <c r="L50" s="67">
        <f>O50/J50</f>
        <v>5.833333333333333</v>
      </c>
      <c r="M50" s="67">
        <f>K50/J50</f>
        <v>0</v>
      </c>
      <c r="N50" s="57" t="s">
        <v>579</v>
      </c>
      <c r="O50" s="18">
        <v>175</v>
      </c>
    </row>
    <row r="51" spans="1:15" x14ac:dyDescent="0.25">
      <c r="A51" s="74"/>
      <c r="B51" s="74"/>
      <c r="C51" s="74"/>
      <c r="D51" s="74"/>
      <c r="E51" s="74"/>
      <c r="F51" s="74"/>
      <c r="G51" s="74"/>
    </row>
    <row r="52" spans="1:15" x14ac:dyDescent="0.25">
      <c r="A52" s="74"/>
      <c r="B52" s="74"/>
      <c r="C52" s="74"/>
      <c r="D52" s="74"/>
      <c r="E52" s="74"/>
      <c r="F52" s="75"/>
      <c r="G52" s="74"/>
    </row>
    <row r="53" spans="1:15" x14ac:dyDescent="0.25">
      <c r="A53" s="74"/>
      <c r="B53" s="74"/>
      <c r="C53" s="74"/>
      <c r="D53" s="74"/>
      <c r="E53" s="74"/>
      <c r="F53" s="74"/>
      <c r="G53" s="74"/>
    </row>
    <row r="54" spans="1:15" x14ac:dyDescent="0.25">
      <c r="A54" s="74"/>
      <c r="B54" s="74"/>
      <c r="C54" s="74"/>
      <c r="D54" s="74"/>
      <c r="E54" s="74"/>
      <c r="F54" s="76"/>
      <c r="G54" s="74"/>
    </row>
    <row r="55" spans="1:15" x14ac:dyDescent="0.25">
      <c r="A55" s="74"/>
      <c r="B55" s="74"/>
      <c r="C55" s="74"/>
      <c r="D55" s="74"/>
      <c r="E55" s="74"/>
      <c r="F55" s="75"/>
      <c r="G55" s="74"/>
    </row>
    <row r="56" spans="1:15" x14ac:dyDescent="0.25">
      <c r="A56" s="74"/>
      <c r="B56" s="74"/>
      <c r="C56" s="74"/>
      <c r="D56" s="74"/>
      <c r="E56" s="74"/>
      <c r="F56" s="74"/>
      <c r="G56" s="74"/>
    </row>
    <row r="57" spans="1:15" x14ac:dyDescent="0.25">
      <c r="A57" s="74"/>
      <c r="B57" s="74"/>
      <c r="C57" s="74"/>
      <c r="D57" s="74"/>
      <c r="E57" s="74"/>
      <c r="F57" s="74"/>
      <c r="G57" s="74"/>
    </row>
    <row r="58" spans="1:15" x14ac:dyDescent="0.25">
      <c r="A58" s="74"/>
      <c r="B58" s="74"/>
      <c r="C58" s="74"/>
      <c r="D58" s="74"/>
      <c r="E58" s="74"/>
      <c r="F58" s="74"/>
      <c r="G58" s="74"/>
    </row>
    <row r="59" spans="1:15" x14ac:dyDescent="0.25">
      <c r="A59" s="74"/>
      <c r="B59" s="74"/>
      <c r="C59" s="74"/>
      <c r="D59" s="74"/>
      <c r="E59" s="74"/>
      <c r="F59" s="74"/>
      <c r="G59" s="74"/>
    </row>
    <row r="60" spans="1:15" x14ac:dyDescent="0.25">
      <c r="A60" s="74"/>
      <c r="B60" s="74"/>
      <c r="C60" s="74"/>
      <c r="D60" s="74"/>
      <c r="E60" s="74"/>
      <c r="F60" s="75"/>
      <c r="G60" s="74"/>
    </row>
    <row r="61" spans="1:15" x14ac:dyDescent="0.25">
      <c r="A61" s="74"/>
      <c r="B61" s="74"/>
      <c r="C61" s="74"/>
      <c r="D61" s="74"/>
      <c r="E61" s="74"/>
      <c r="F61" s="75"/>
      <c r="G61" s="74"/>
    </row>
    <row r="62" spans="1:15" x14ac:dyDescent="0.25">
      <c r="A62" s="74"/>
      <c r="B62" s="74"/>
      <c r="C62" s="74"/>
      <c r="D62" s="74"/>
      <c r="E62" s="74"/>
      <c r="F62" s="75"/>
      <c r="G62" s="74"/>
    </row>
    <row r="63" spans="1:15" x14ac:dyDescent="0.25">
      <c r="A63" s="74"/>
      <c r="B63" s="74"/>
      <c r="C63" s="74"/>
      <c r="D63" s="74"/>
      <c r="E63" s="74"/>
      <c r="F63" s="75"/>
      <c r="G63" s="74"/>
    </row>
    <row r="64" spans="1:15" x14ac:dyDescent="0.25">
      <c r="A64" s="74"/>
      <c r="B64" s="74"/>
      <c r="C64" s="74"/>
      <c r="D64" s="74"/>
      <c r="E64" s="74"/>
      <c r="F64" s="75"/>
      <c r="G64" s="74"/>
    </row>
    <row r="65" spans="1:7" x14ac:dyDescent="0.25">
      <c r="A65" s="74"/>
      <c r="B65" s="74"/>
      <c r="C65" s="74"/>
      <c r="D65" s="74"/>
      <c r="E65" s="74"/>
      <c r="F65" s="75"/>
      <c r="G65" s="74"/>
    </row>
    <row r="66" spans="1:7" x14ac:dyDescent="0.25">
      <c r="A66" s="74"/>
      <c r="B66" s="74"/>
      <c r="C66" s="74"/>
      <c r="D66" s="74"/>
      <c r="E66" s="74"/>
      <c r="F66" s="74"/>
      <c r="G66" s="74"/>
    </row>
    <row r="67" spans="1:7" x14ac:dyDescent="0.25">
      <c r="A67" s="74"/>
      <c r="B67" s="74"/>
      <c r="C67" s="74"/>
      <c r="D67" s="74"/>
      <c r="E67" s="74"/>
      <c r="F67" s="74"/>
      <c r="G67" s="74"/>
    </row>
    <row r="68" spans="1:7" x14ac:dyDescent="0.25">
      <c r="A68" s="77"/>
      <c r="B68" s="77"/>
      <c r="C68" s="77"/>
      <c r="D68" s="77"/>
      <c r="E68" s="77"/>
      <c r="F68" s="75"/>
      <c r="G68" s="74"/>
    </row>
    <row r="69" spans="1:7" x14ac:dyDescent="0.25">
      <c r="A69" s="74"/>
      <c r="B69" s="74"/>
      <c r="C69" s="74"/>
      <c r="D69" s="74"/>
      <c r="E69" s="74"/>
      <c r="F69" s="74"/>
      <c r="G69" s="74"/>
    </row>
    <row r="70" spans="1:7" x14ac:dyDescent="0.25">
      <c r="A70" s="77"/>
      <c r="B70" s="77"/>
      <c r="C70" s="77"/>
      <c r="D70" s="77"/>
      <c r="E70" s="77"/>
      <c r="F70" s="75"/>
      <c r="G70" s="74"/>
    </row>
    <row r="71" spans="1:7" x14ac:dyDescent="0.25">
      <c r="A71" s="74"/>
      <c r="B71" s="74"/>
      <c r="C71" s="74"/>
      <c r="D71" s="74"/>
      <c r="E71" s="74"/>
      <c r="F71" s="74"/>
      <c r="G71" s="74"/>
    </row>
    <row r="72" spans="1:7" x14ac:dyDescent="0.25">
      <c r="A72" s="74"/>
      <c r="B72" s="74"/>
      <c r="C72" s="74"/>
      <c r="D72" s="74"/>
      <c r="E72" s="74"/>
      <c r="F72" s="74"/>
      <c r="G72" s="74"/>
    </row>
    <row r="73" spans="1:7" x14ac:dyDescent="0.25">
      <c r="A73" s="77"/>
      <c r="B73" s="77"/>
      <c r="C73" s="77"/>
      <c r="D73" s="77"/>
      <c r="E73" s="77"/>
      <c r="F73" s="75"/>
      <c r="G73" s="74"/>
    </row>
    <row r="74" spans="1:7" x14ac:dyDescent="0.25">
      <c r="A74" s="77"/>
      <c r="B74" s="77"/>
      <c r="C74" s="77"/>
      <c r="D74" s="77"/>
      <c r="E74" s="77"/>
      <c r="F74" s="75"/>
      <c r="G74" s="74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Z101"/>
  <sheetViews>
    <sheetView workbookViewId="0">
      <selection activeCell="X30" sqref="X30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2026-03-09T23:25:56Z</dcterms:modified>
</cp:coreProperties>
</file>