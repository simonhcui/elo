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8_{FC524634-6C36-404B-BDA2-F96271E937FB}" xr6:coauthVersionLast="47" xr6:coauthVersionMax="47" xr10:uidLastSave="{00000000-0000-0000-0000-000000000000}"/>
  <bookViews>
    <workbookView xWindow="-108" yWindow="-108" windowWidth="23256" windowHeight="12456" firstSheet="2" activeTab="8" xr2:uid="{A1C7C724-35F3-4CF0-AE7A-F4B648825464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0" l="1"/>
  <c r="L75" i="10"/>
  <c r="N55" i="10"/>
  <c r="L55" i="10"/>
  <c r="T743" i="4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4" i="10"/>
  <c r="L64" i="10"/>
  <c r="N51" i="10"/>
  <c r="L51" i="10"/>
  <c r="N74" i="10"/>
  <c r="L74" i="10"/>
  <c r="N28" i="10"/>
  <c r="L28" i="10"/>
  <c r="N50" i="10"/>
  <c r="L50" i="10"/>
  <c r="N42" i="10"/>
  <c r="L42" i="10"/>
  <c r="N29" i="10"/>
  <c r="L29" i="10"/>
  <c r="N41" i="10"/>
  <c r="L41" i="10"/>
  <c r="N14" i="10"/>
  <c r="L14" i="10"/>
  <c r="N72" i="10"/>
  <c r="L72" i="10"/>
  <c r="N35" i="10"/>
  <c r="L35" i="10"/>
  <c r="N71" i="10"/>
  <c r="L71" i="10"/>
  <c r="N61" i="10"/>
  <c r="L61" i="10"/>
  <c r="N34" i="10"/>
  <c r="L34" i="10"/>
  <c r="N56" i="10"/>
  <c r="L56" i="10"/>
  <c r="N15" i="10"/>
  <c r="L15" i="10"/>
  <c r="N27" i="10"/>
  <c r="L27" i="10"/>
  <c r="N40" i="10"/>
  <c r="L40" i="10"/>
  <c r="N45" i="10"/>
  <c r="L45" i="10"/>
  <c r="N57" i="10"/>
  <c r="L57" i="10"/>
  <c r="N44" i="10"/>
  <c r="L44" i="10"/>
  <c r="N43" i="10"/>
  <c r="L43" i="10"/>
  <c r="N54" i="10"/>
  <c r="L54" i="10"/>
  <c r="N60" i="10"/>
  <c r="L60" i="10"/>
  <c r="N67" i="10"/>
  <c r="L67" i="10"/>
  <c r="N31" i="10"/>
  <c r="L31" i="10"/>
  <c r="N62" i="10"/>
  <c r="L62" i="10"/>
  <c r="N17" i="10"/>
  <c r="L17" i="10"/>
  <c r="N48" i="10"/>
  <c r="L48" i="10"/>
  <c r="N47" i="10"/>
  <c r="L47" i="10"/>
  <c r="N65" i="10"/>
  <c r="L65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69" i="10"/>
  <c r="L69" i="10"/>
  <c r="N63" i="10"/>
  <c r="L63" i="10"/>
  <c r="N39" i="10"/>
  <c r="L39" i="10"/>
  <c r="N25" i="10"/>
  <c r="L25" i="10"/>
  <c r="N49" i="10"/>
  <c r="L49" i="10"/>
  <c r="N46" i="10"/>
  <c r="L46" i="10"/>
  <c r="N32" i="10"/>
  <c r="L32" i="10"/>
  <c r="N68" i="10"/>
  <c r="L68" i="10"/>
  <c r="N33" i="10"/>
  <c r="L33" i="10"/>
  <c r="N38" i="10"/>
  <c r="L38" i="10"/>
  <c r="N73" i="10"/>
  <c r="L73" i="10"/>
  <c r="N24" i="10"/>
  <c r="L24" i="10"/>
  <c r="N66" i="10"/>
  <c r="L66" i="10"/>
  <c r="N53" i="10"/>
  <c r="L53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8" i="10"/>
  <c r="L58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59" i="10"/>
  <c r="L59" i="10"/>
  <c r="N70" i="10"/>
  <c r="L70" i="10"/>
  <c r="N76" i="10"/>
  <c r="L76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<sst xmlns="http://schemas.openxmlformats.org/spreadsheetml/2006/main" count="14134" uniqueCount="496">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</sst>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410-6487-4BD2-BF7F-731C75E23673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A6B16-A09F-42C7-9E4D-2FB2E53276EF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0366E-8B81-482E-95BF-6162EA824304}">
  <dimension ref="A1:AM220"/>
  <sheetViews>
    <sheetView topLeftCell="A191" workbookViewId="0">
      <selection activeCell="T212" sqref="T212:X2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F55A9-35F3-4B7A-A916-B663C9B30E46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FE741-1FCC-40E8-B99B-4A3B41871235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28021-ABED-4327-AACB-89FBCFE7291B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7A9B5-7DF2-4AC1-8632-0B09176EC62F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40E1-D10B-4E6F-A7E2-DC9B955D1126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4A69C-BAF3-4990-89B0-D82A538C4EF6}">
  <dimension ref="A1:AA97"/>
  <sheetViews>
    <sheetView tabSelected="1" workbookViewId="0">
      <selection activeCell="H16" sqref="H16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45960</v>
      </c>
      <c r="B1" s="1">
        <v>45960</v>
      </c>
      <c r="C1" s="1">
        <v>45960</v>
      </c>
      <c r="D1" s="1">
        <v>45960</v>
      </c>
      <c r="E1" s="1">
        <v>45961</v>
      </c>
      <c r="F1" s="1">
        <v>45961</v>
      </c>
      <c r="G1" s="1">
        <v>45967</v>
      </c>
      <c r="H1" s="1">
        <v>45967</v>
      </c>
      <c r="I1" s="1">
        <v>45967</v>
      </c>
      <c r="J1" s="1">
        <v>45967</v>
      </c>
      <c r="K1" s="1">
        <v>45968</v>
      </c>
      <c r="L1" s="1">
        <v>45969</v>
      </c>
      <c r="M1" s="1">
        <v>45969</v>
      </c>
      <c r="N1" s="1">
        <v>45969</v>
      </c>
      <c r="O1" s="1">
        <v>45969</v>
      </c>
    </row>
    <row r="2" spans="1:19" x14ac:dyDescent="0.25">
      <c r="A2" t="s">
        <v>147</v>
      </c>
      <c r="B2" t="s">
        <v>121</v>
      </c>
      <c r="C2" t="s">
        <v>148</v>
      </c>
      <c r="D2" t="s">
        <v>79</v>
      </c>
      <c r="E2" t="s">
        <v>115</v>
      </c>
      <c r="F2" t="s">
        <v>232</v>
      </c>
      <c r="G2" t="s">
        <v>29</v>
      </c>
    </row>
    <row r="3" spans="1:19" x14ac:dyDescent="0.25">
      <c r="A3" t="s">
        <v>31</v>
      </c>
      <c r="B3" t="s">
        <v>24</v>
      </c>
      <c r="C3" t="s">
        <v>89</v>
      </c>
      <c r="D3" t="s">
        <v>29</v>
      </c>
      <c r="E3" t="s">
        <v>232</v>
      </c>
      <c r="F3" t="s">
        <v>87</v>
      </c>
      <c r="G3" t="s">
        <v>3</v>
      </c>
    </row>
    <row r="4" spans="1:19" x14ac:dyDescent="0.25">
      <c r="A4" t="s">
        <v>25</v>
      </c>
      <c r="B4" t="s">
        <v>87</v>
      </c>
      <c r="C4" t="s">
        <v>104</v>
      </c>
      <c r="D4" t="s">
        <v>35</v>
      </c>
      <c r="E4" t="s">
        <v>87</v>
      </c>
      <c r="F4" t="s">
        <v>21</v>
      </c>
    </row>
    <row r="5" spans="1:19" x14ac:dyDescent="0.25">
      <c r="A5" t="s">
        <v>1</v>
      </c>
      <c r="B5" t="s">
        <v>25</v>
      </c>
      <c r="C5" t="s">
        <v>35</v>
      </c>
      <c r="D5" t="s">
        <v>21</v>
      </c>
      <c r="E5" t="s">
        <v>147</v>
      </c>
      <c r="F5" t="s">
        <v>115</v>
      </c>
    </row>
    <row r="6" spans="1:19" x14ac:dyDescent="0.25">
      <c r="A6" t="s">
        <v>79</v>
      </c>
      <c r="B6" t="s">
        <v>49</v>
      </c>
      <c r="C6" t="s">
        <v>21</v>
      </c>
      <c r="D6" t="s">
        <v>15</v>
      </c>
      <c r="E6" t="s">
        <v>21</v>
      </c>
      <c r="F6" t="s">
        <v>147</v>
      </c>
    </row>
    <row r="7" spans="1:19" x14ac:dyDescent="0.25">
      <c r="A7" t="s">
        <v>121</v>
      </c>
      <c r="B7" t="s">
        <v>31</v>
      </c>
      <c r="C7" t="s">
        <v>15</v>
      </c>
      <c r="D7" t="s">
        <v>147</v>
      </c>
      <c r="E7" t="s">
        <v>24</v>
      </c>
      <c r="F7" t="s">
        <v>49</v>
      </c>
    </row>
    <row r="8" spans="1:19" x14ac:dyDescent="0.25">
      <c r="A8" t="s">
        <v>24</v>
      </c>
      <c r="B8" t="s">
        <v>232</v>
      </c>
      <c r="C8" t="s">
        <v>26</v>
      </c>
      <c r="D8" t="s">
        <v>26</v>
      </c>
      <c r="E8" t="s">
        <v>49</v>
      </c>
      <c r="F8" t="s">
        <v>24</v>
      </c>
    </row>
    <row r="9" spans="1:19" x14ac:dyDescent="0.25">
      <c r="A9" t="s">
        <v>115</v>
      </c>
      <c r="B9" t="s">
        <v>115</v>
      </c>
      <c r="C9" t="s">
        <v>49</v>
      </c>
      <c r="D9" t="s">
        <v>104</v>
      </c>
      <c r="E9" t="s">
        <v>16</v>
      </c>
      <c r="F9" t="s">
        <v>16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145</v>
      </c>
      <c r="C15" s="18">
        <v>10</v>
      </c>
      <c r="D15" s="18">
        <f t="shared" si="0"/>
        <v>5.2068965517241379</v>
      </c>
      <c r="E15" s="18">
        <v>755</v>
      </c>
      <c r="F15" s="18">
        <f t="shared" si="1"/>
        <v>6.8965517241379309E-2</v>
      </c>
      <c r="G15" s="32">
        <v>1.87082869338697</v>
      </c>
      <c r="I15" s="18" t="s">
        <v>31</v>
      </c>
      <c r="J15" s="18">
        <v>145</v>
      </c>
      <c r="K15" s="18">
        <v>10</v>
      </c>
      <c r="L15" s="18">
        <f t="shared" si="2"/>
        <v>5.2068965517241379</v>
      </c>
      <c r="M15" s="18">
        <v>755</v>
      </c>
      <c r="N15" s="18">
        <f t="shared" si="3"/>
        <v>6.8965517241379309E-2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88</v>
      </c>
      <c r="C17" s="18">
        <v>27</v>
      </c>
      <c r="D17" s="18">
        <f t="shared" si="0"/>
        <v>3.0795454545454546</v>
      </c>
      <c r="E17" s="18">
        <v>271</v>
      </c>
      <c r="F17" s="18">
        <f t="shared" si="1"/>
        <v>0.30681818181818182</v>
      </c>
      <c r="G17" s="32">
        <v>2.03049835952651</v>
      </c>
      <c r="I17" s="18" t="s">
        <v>128</v>
      </c>
      <c r="J17" s="18">
        <v>88</v>
      </c>
      <c r="K17" s="18">
        <v>27</v>
      </c>
      <c r="L17" s="18">
        <f t="shared" si="4"/>
        <v>3.0795454545454546</v>
      </c>
      <c r="M17" s="18">
        <v>271</v>
      </c>
      <c r="N17" s="18">
        <f t="shared" si="5"/>
        <v>0.30681818181818182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23</v>
      </c>
      <c r="C23" s="18">
        <v>1</v>
      </c>
      <c r="D23" s="18">
        <f t="shared" si="0"/>
        <v>5.3478260869565215</v>
      </c>
      <c r="E23" s="18">
        <v>123</v>
      </c>
      <c r="F23" s="18">
        <f t="shared" si="1"/>
        <v>4.3478260869565216E-2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23</v>
      </c>
      <c r="K24" s="18">
        <v>1</v>
      </c>
      <c r="L24" s="18">
        <f t="shared" si="4"/>
        <v>5.3478260869565215</v>
      </c>
      <c r="M24" s="18">
        <v>123</v>
      </c>
      <c r="N24" s="18">
        <f t="shared" si="5"/>
        <v>4.3478260869565216E-2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105</v>
      </c>
      <c r="C27" s="18">
        <v>9</v>
      </c>
      <c r="D27" s="18">
        <f t="shared" si="0"/>
        <v>5.038095238095238</v>
      </c>
      <c r="E27" s="18">
        <v>529</v>
      </c>
      <c r="F27" s="18">
        <f t="shared" si="1"/>
        <v>8.5714285714285715E-2</v>
      </c>
      <c r="G27" s="32">
        <v>2.1609054109613202</v>
      </c>
      <c r="I27" s="18" t="s">
        <v>25</v>
      </c>
      <c r="J27" s="18">
        <v>105</v>
      </c>
      <c r="K27" s="18">
        <v>9</v>
      </c>
      <c r="L27" s="18">
        <f t="shared" ref="L27:L29" si="6">M27/J27</f>
        <v>5.038095238095238</v>
      </c>
      <c r="M27" s="18">
        <v>529</v>
      </c>
      <c r="N27" s="18">
        <f t="shared" ref="N27:N29" si="7">K27/J27</f>
        <v>8.5714285714285715E-2</v>
      </c>
      <c r="S27" s="18" t="s">
        <v>392</v>
      </c>
    </row>
    <row r="28" spans="1:27" x14ac:dyDescent="0.25">
      <c r="A28" t="s">
        <v>34</v>
      </c>
      <c r="B28">
        <v>12</v>
      </c>
      <c r="C28">
        <v>1</v>
      </c>
      <c r="D28">
        <f t="shared" si="0"/>
        <v>5.333333333333333</v>
      </c>
      <c r="E28">
        <v>64</v>
      </c>
      <c r="F28">
        <f t="shared" si="1"/>
        <v>8.3333333333333329E-2</v>
      </c>
      <c r="G28" s="32">
        <v>2.2360679774997898</v>
      </c>
      <c r="I28" s="18" t="s">
        <v>147</v>
      </c>
      <c r="J28" s="18">
        <v>88</v>
      </c>
      <c r="K28" s="18">
        <v>18</v>
      </c>
      <c r="L28" s="18">
        <f t="shared" si="6"/>
        <v>3.625</v>
      </c>
      <c r="M28" s="18">
        <v>319</v>
      </c>
      <c r="N28" s="18">
        <f t="shared" si="7"/>
        <v>0.20454545454545456</v>
      </c>
      <c r="S28" s="18" t="s">
        <v>392</v>
      </c>
    </row>
    <row r="29" spans="1:27" x14ac:dyDescent="0.25">
      <c r="A29" s="18" t="s">
        <v>147</v>
      </c>
      <c r="B29" s="18">
        <v>88</v>
      </c>
      <c r="C29" s="18">
        <v>18</v>
      </c>
      <c r="D29" s="18">
        <f t="shared" si="0"/>
        <v>3.625</v>
      </c>
      <c r="E29" s="18">
        <v>319</v>
      </c>
      <c r="F29" s="18">
        <f t="shared" si="1"/>
        <v>0.20454545454545456</v>
      </c>
      <c r="G29" s="32">
        <v>1.94935886896179</v>
      </c>
      <c r="I29" s="18" t="s">
        <v>87</v>
      </c>
      <c r="J29" s="18">
        <v>69</v>
      </c>
      <c r="K29" s="18">
        <v>9</v>
      </c>
      <c r="L29" s="18">
        <f t="shared" si="6"/>
        <v>4.8840579710144931</v>
      </c>
      <c r="M29" s="18">
        <v>337</v>
      </c>
      <c r="N29" s="18">
        <f t="shared" si="7"/>
        <v>0.13043478260869565</v>
      </c>
    </row>
    <row r="30" spans="1:27" x14ac:dyDescent="0.25">
      <c r="A30" s="18" t="s">
        <v>87</v>
      </c>
      <c r="B30" s="18">
        <v>69</v>
      </c>
      <c r="C30" s="18">
        <v>9</v>
      </c>
      <c r="D30" s="18">
        <f t="shared" si="0"/>
        <v>4.8840579710144931</v>
      </c>
      <c r="E30" s="18">
        <v>337</v>
      </c>
      <c r="F30" s="18">
        <f t="shared" si="1"/>
        <v>0.13043478260869565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8">M30/J30</f>
        <v>4.25</v>
      </c>
      <c r="M30" s="18">
        <v>85</v>
      </c>
      <c r="N30" s="18">
        <f t="shared" ref="N30:N35" si="9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8"/>
        <v>5</v>
      </c>
      <c r="M31" s="18">
        <v>265</v>
      </c>
      <c r="N31" s="18">
        <f t="shared" si="9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8"/>
        <v>4.2307692307692308</v>
      </c>
      <c r="M32" s="18">
        <v>110</v>
      </c>
      <c r="N32" s="18">
        <f t="shared" si="9"/>
        <v>0.19230769230769232</v>
      </c>
      <c r="S32" s="18" t="s">
        <v>392</v>
      </c>
    </row>
    <row r="33" spans="1:19" x14ac:dyDescent="0.25">
      <c r="A33" t="s">
        <v>36</v>
      </c>
      <c r="B33">
        <v>11</v>
      </c>
      <c r="C33">
        <v>0</v>
      </c>
      <c r="D33">
        <f t="shared" si="0"/>
        <v>4.3636363636363633</v>
      </c>
      <c r="E33">
        <v>48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8"/>
        <v>4.4444444444444446</v>
      </c>
      <c r="M33" s="18">
        <v>160</v>
      </c>
      <c r="N33" s="18">
        <f t="shared" si="9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53</v>
      </c>
      <c r="K34" s="18">
        <v>2</v>
      </c>
      <c r="L34" s="18">
        <f t="shared" si="8"/>
        <v>5.7358490566037732</v>
      </c>
      <c r="M34" s="18">
        <v>304</v>
      </c>
      <c r="N34" s="18">
        <f t="shared" si="9"/>
        <v>3.7735849056603772E-2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205</v>
      </c>
      <c r="K35" s="18">
        <v>33</v>
      </c>
      <c r="L35" s="18">
        <f t="shared" si="8"/>
        <v>4.5268292682926825</v>
      </c>
      <c r="M35" s="18">
        <v>928</v>
      </c>
      <c r="N35" s="18">
        <f t="shared" si="9"/>
        <v>0.16097560975609757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0">M36/J36</f>
        <v>4.7222222222222223</v>
      </c>
      <c r="M36" s="18">
        <v>170</v>
      </c>
      <c r="N36" s="18">
        <f t="shared" ref="N36:N38" si="11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0"/>
        <v>3.8787878787878789</v>
      </c>
      <c r="M37" s="18">
        <v>256</v>
      </c>
      <c r="N37" s="18">
        <f t="shared" si="11"/>
        <v>0.19696969696969696</v>
      </c>
    </row>
    <row r="38" spans="1:19" x14ac:dyDescent="0.25">
      <c r="A38" s="18" t="s">
        <v>401</v>
      </c>
      <c r="B38" s="18">
        <v>53</v>
      </c>
      <c r="C38" s="18">
        <v>2</v>
      </c>
      <c r="D38" s="18">
        <f t="shared" si="0"/>
        <v>5.7358490566037732</v>
      </c>
      <c r="E38" s="18">
        <v>304</v>
      </c>
      <c r="F38" s="18">
        <f t="shared" si="1"/>
        <v>3.7735849056603772E-2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0"/>
        <v>4.2380952380952381</v>
      </c>
      <c r="M38" s="18">
        <v>89</v>
      </c>
      <c r="N38" s="18">
        <f t="shared" si="11"/>
        <v>0.14285714285714285</v>
      </c>
    </row>
    <row r="39" spans="1:19" x14ac:dyDescent="0.25">
      <c r="A39" s="18" t="s">
        <v>15</v>
      </c>
      <c r="B39" s="18">
        <v>205</v>
      </c>
      <c r="C39" s="18">
        <v>33</v>
      </c>
      <c r="D39" s="18">
        <f t="shared" si="0"/>
        <v>4.5268292682926825</v>
      </c>
      <c r="E39" s="18">
        <v>928</v>
      </c>
      <c r="F39" s="18">
        <f t="shared" si="1"/>
        <v>0.16097560975609757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2">M39/J39</f>
        <v>4.95</v>
      </c>
      <c r="M39" s="18">
        <v>99</v>
      </c>
      <c r="N39" s="18">
        <f t="shared" ref="N39:N45" si="13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2"/>
        <v>3.9230769230769229</v>
      </c>
      <c r="M40" s="18">
        <v>306</v>
      </c>
      <c r="N40" s="18">
        <f t="shared" si="13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61</v>
      </c>
      <c r="K41" s="18">
        <v>13</v>
      </c>
      <c r="L41" s="18">
        <f t="shared" si="12"/>
        <v>3.918032786885246</v>
      </c>
      <c r="M41" s="18">
        <v>239</v>
      </c>
      <c r="N41" s="18">
        <f t="shared" si="13"/>
        <v>0.21311475409836064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125</v>
      </c>
      <c r="K42" s="18">
        <v>17</v>
      </c>
      <c r="L42" s="18">
        <f t="shared" si="12"/>
        <v>4.4080000000000004</v>
      </c>
      <c r="M42" s="18">
        <v>551</v>
      </c>
      <c r="N42" s="18">
        <f t="shared" si="13"/>
        <v>0.13600000000000001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35</v>
      </c>
      <c r="K43" s="18">
        <v>2</v>
      </c>
      <c r="L43" s="18">
        <f t="shared" si="12"/>
        <v>5.0857142857142854</v>
      </c>
      <c r="M43" s="18">
        <v>178</v>
      </c>
      <c r="N43" s="18">
        <f t="shared" si="13"/>
        <v>5.7142857142857141E-2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82</v>
      </c>
      <c r="K44" s="18">
        <v>14</v>
      </c>
      <c r="L44" s="18">
        <f t="shared" si="12"/>
        <v>4.1585365853658534</v>
      </c>
      <c r="M44" s="18">
        <v>341</v>
      </c>
      <c r="N44" s="18">
        <f t="shared" si="13"/>
        <v>0.17073170731707318</v>
      </c>
      <c r="S44" s="18" t="s">
        <v>392</v>
      </c>
    </row>
    <row r="45" spans="1:19" x14ac:dyDescent="0.25">
      <c r="A45" s="18" t="s">
        <v>232</v>
      </c>
      <c r="B45" s="18">
        <v>61</v>
      </c>
      <c r="C45" s="18">
        <v>13</v>
      </c>
      <c r="D45" s="18">
        <f t="shared" si="0"/>
        <v>3.918032786885246</v>
      </c>
      <c r="E45" s="18">
        <v>239</v>
      </c>
      <c r="F45" s="18">
        <f t="shared" si="1"/>
        <v>0.21311475409836064</v>
      </c>
      <c r="G45" s="32">
        <v>2.2509257354845502</v>
      </c>
      <c r="I45" s="18" t="s">
        <v>1</v>
      </c>
      <c r="J45" s="18">
        <v>88</v>
      </c>
      <c r="K45" s="18">
        <v>4</v>
      </c>
      <c r="L45" s="18">
        <f t="shared" si="12"/>
        <v>4.5681818181818183</v>
      </c>
      <c r="M45" s="18">
        <v>402</v>
      </c>
      <c r="N45" s="18">
        <f t="shared" si="13"/>
        <v>4.5454545454545456E-2</v>
      </c>
      <c r="S45" s="18" t="s">
        <v>392</v>
      </c>
    </row>
    <row r="46" spans="1:19" x14ac:dyDescent="0.25">
      <c r="A46" s="18" t="s">
        <v>21</v>
      </c>
      <c r="B46" s="18">
        <v>125</v>
      </c>
      <c r="C46" s="18">
        <v>17</v>
      </c>
      <c r="D46" s="18">
        <f t="shared" si="0"/>
        <v>4.4080000000000004</v>
      </c>
      <c r="E46" s="18">
        <v>551</v>
      </c>
      <c r="F46" s="18">
        <f t="shared" si="1"/>
        <v>0.13600000000000001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8" si="14">M46/J46</f>
        <v>5.65</v>
      </c>
      <c r="M46" s="18">
        <v>113</v>
      </c>
      <c r="N46" s="18">
        <f t="shared" ref="N46:N48" si="15">K46/J46</f>
        <v>0</v>
      </c>
    </row>
    <row r="47" spans="1:19" x14ac:dyDescent="0.25">
      <c r="A47" s="18" t="s">
        <v>51</v>
      </c>
      <c r="B47" s="18">
        <v>35</v>
      </c>
      <c r="C47" s="18">
        <v>2</v>
      </c>
      <c r="D47" s="18">
        <f t="shared" si="0"/>
        <v>5.0857142857142854</v>
      </c>
      <c r="E47" s="18">
        <v>178</v>
      </c>
      <c r="F47" s="18">
        <f t="shared" si="1"/>
        <v>5.7142857142857141E-2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4"/>
        <v>5.3103448275862073</v>
      </c>
      <c r="M47" s="18">
        <v>154</v>
      </c>
      <c r="N47" s="18">
        <f t="shared" si="15"/>
        <v>3.4482758620689655E-2</v>
      </c>
    </row>
    <row r="48" spans="1:19" x14ac:dyDescent="0.25">
      <c r="A48" t="s">
        <v>414</v>
      </c>
      <c r="B48">
        <v>13</v>
      </c>
      <c r="C48">
        <v>1</v>
      </c>
      <c r="D48">
        <f t="shared" si="0"/>
        <v>4.7692307692307692</v>
      </c>
      <c r="E48">
        <v>62</v>
      </c>
      <c r="F48">
        <f t="shared" si="1"/>
        <v>7.6923076923076927E-2</v>
      </c>
      <c r="G48" s="32">
        <v>2.8702082220799299</v>
      </c>
      <c r="I48" s="18" t="s">
        <v>175</v>
      </c>
      <c r="J48" s="18">
        <v>31</v>
      </c>
      <c r="K48" s="18">
        <v>8</v>
      </c>
      <c r="L48" s="18">
        <f t="shared" si="14"/>
        <v>3.3225806451612905</v>
      </c>
      <c r="M48" s="18">
        <v>103</v>
      </c>
      <c r="N48" s="18">
        <f t="shared" si="15"/>
        <v>0.25806451612903225</v>
      </c>
    </row>
    <row r="49" spans="1:26" x14ac:dyDescent="0.25">
      <c r="A49" s="18" t="s">
        <v>0</v>
      </c>
      <c r="B49" s="18">
        <v>82</v>
      </c>
      <c r="C49" s="18">
        <v>14</v>
      </c>
      <c r="D49" s="18">
        <f t="shared" si="0"/>
        <v>4.1585365853658534</v>
      </c>
      <c r="E49" s="18">
        <v>341</v>
      </c>
      <c r="F49" s="18">
        <f t="shared" si="1"/>
        <v>0.17073170731707318</v>
      </c>
      <c r="G49" s="32">
        <v>2.16465107712866</v>
      </c>
      <c r="I49" s="18" t="s">
        <v>61</v>
      </c>
      <c r="J49" s="18">
        <v>25</v>
      </c>
      <c r="K49" s="18">
        <v>6</v>
      </c>
      <c r="L49" s="18">
        <f t="shared" ref="L49:L51" si="16">M49/J49</f>
        <v>4.72</v>
      </c>
      <c r="M49" s="18">
        <v>118</v>
      </c>
      <c r="N49" s="18">
        <f t="shared" ref="N49:N51" si="17">K49/J49</f>
        <v>0.24</v>
      </c>
    </row>
    <row r="50" spans="1:26" x14ac:dyDescent="0.25">
      <c r="A50" s="18" t="s">
        <v>1</v>
      </c>
      <c r="B50" s="18">
        <v>88</v>
      </c>
      <c r="C50" s="18">
        <v>4</v>
      </c>
      <c r="D50" s="18">
        <f t="shared" si="0"/>
        <v>4.5681818181818183</v>
      </c>
      <c r="E50" s="18">
        <v>402</v>
      </c>
      <c r="F50" s="18">
        <f t="shared" si="1"/>
        <v>4.5454545454545456E-2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si="16"/>
        <v>4.384615384615385</v>
      </c>
      <c r="M50" s="18">
        <v>171</v>
      </c>
      <c r="N50" s="18">
        <f t="shared" si="17"/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6"/>
        <v>4.5287356321839081</v>
      </c>
      <c r="M51" s="18">
        <v>394</v>
      </c>
      <c r="N51" s="18">
        <f t="shared" si="17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" si="18">M52/J52</f>
        <v>4.05</v>
      </c>
      <c r="M52" s="18">
        <v>81</v>
      </c>
      <c r="N52" s="18">
        <f t="shared" ref="N52" si="19">K52/J52</f>
        <v>0.2</v>
      </c>
    </row>
    <row r="53" spans="1:26" x14ac:dyDescent="0.25">
      <c r="A53" s="18" t="s">
        <v>175</v>
      </c>
      <c r="B53" s="18">
        <v>31</v>
      </c>
      <c r="C53" s="18">
        <v>8</v>
      </c>
      <c r="D53" s="18">
        <f t="shared" si="0"/>
        <v>3.3225806451612905</v>
      </c>
      <c r="E53" s="18">
        <v>103</v>
      </c>
      <c r="F53" s="18">
        <f t="shared" si="1"/>
        <v>0.25806451612903225</v>
      </c>
      <c r="G53" s="32">
        <v>2</v>
      </c>
      <c r="I53" s="18" t="s">
        <v>58</v>
      </c>
      <c r="J53" s="18">
        <v>20</v>
      </c>
      <c r="K53" s="18">
        <v>3</v>
      </c>
      <c r="L53" s="18">
        <f t="shared" ref="L53:L56" si="20">M53/J53</f>
        <v>4.1500000000000004</v>
      </c>
      <c r="M53" s="18">
        <v>83</v>
      </c>
      <c r="N53" s="18">
        <f t="shared" ref="N53:N56" si="21">K53/J53</f>
        <v>0.15</v>
      </c>
    </row>
    <row r="54" spans="1:26" x14ac:dyDescent="0.25">
      <c r="A54" s="18" t="s">
        <v>61</v>
      </c>
      <c r="B54" s="18">
        <v>25</v>
      </c>
      <c r="C54" s="18">
        <v>6</v>
      </c>
      <c r="D54" s="18">
        <f t="shared" si="0"/>
        <v>4.72</v>
      </c>
      <c r="E54" s="18">
        <v>118</v>
      </c>
      <c r="F54" s="18">
        <f t="shared" si="1"/>
        <v>0.24</v>
      </c>
      <c r="G54" s="32">
        <v>3.2403703492039302</v>
      </c>
      <c r="I54" s="18" t="s">
        <v>30</v>
      </c>
      <c r="J54" s="18">
        <v>37</v>
      </c>
      <c r="K54" s="18">
        <v>3</v>
      </c>
      <c r="L54" s="18">
        <f t="shared" si="20"/>
        <v>5.243243243243243</v>
      </c>
      <c r="M54" s="18">
        <v>194</v>
      </c>
      <c r="N54" s="18">
        <f t="shared" si="21"/>
        <v>8.1081081081081086E-2</v>
      </c>
      <c r="S54" s="18" t="s">
        <v>392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29</v>
      </c>
      <c r="J55" s="18">
        <v>99</v>
      </c>
      <c r="K55" s="18">
        <v>15</v>
      </c>
      <c r="L55" s="18">
        <f t="shared" si="20"/>
        <v>3.808080808080808</v>
      </c>
      <c r="M55" s="18">
        <v>377</v>
      </c>
      <c r="N55" s="18">
        <f t="shared" si="21"/>
        <v>0.15151515151515152</v>
      </c>
      <c r="S55" s="18">
        <v>1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37</v>
      </c>
      <c r="K56" s="18">
        <v>8</v>
      </c>
      <c r="L56" s="18">
        <f t="shared" si="20"/>
        <v>3.7297297297297298</v>
      </c>
      <c r="M56" s="18">
        <v>138</v>
      </c>
      <c r="N56" s="18">
        <f t="shared" si="21"/>
        <v>0.21621621621621623</v>
      </c>
      <c r="S56" s="18" t="s">
        <v>392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9</v>
      </c>
      <c r="J57" s="18">
        <v>20</v>
      </c>
      <c r="K57" s="18">
        <v>2</v>
      </c>
      <c r="L57" s="18">
        <f t="shared" ref="L57" si="22">M57/J57</f>
        <v>4.1500000000000004</v>
      </c>
      <c r="M57" s="18">
        <v>83</v>
      </c>
      <c r="N57" s="18">
        <f t="shared" ref="N57" si="23">K57/J57</f>
        <v>0.1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139</v>
      </c>
      <c r="J58" s="18">
        <v>20</v>
      </c>
      <c r="K58" s="18">
        <v>2</v>
      </c>
      <c r="L58" s="18">
        <f t="shared" ref="L58" si="24">M58/J58</f>
        <v>4.3</v>
      </c>
      <c r="M58" s="18">
        <v>86</v>
      </c>
      <c r="N58" s="18">
        <f t="shared" ref="N58" si="25">K58/J58</f>
        <v>0.1</v>
      </c>
    </row>
    <row r="59" spans="1:26" x14ac:dyDescent="0.25">
      <c r="A59" t="s">
        <v>5</v>
      </c>
      <c r="B59">
        <v>15</v>
      </c>
      <c r="C59">
        <v>1</v>
      </c>
      <c r="D59">
        <f t="shared" si="0"/>
        <v>4</v>
      </c>
      <c r="E59">
        <v>60</v>
      </c>
      <c r="F59">
        <f t="shared" si="1"/>
        <v>6.6666666666666666E-2</v>
      </c>
      <c r="G59" s="32">
        <v>1.8898223650461301</v>
      </c>
      <c r="I59" t="s">
        <v>428</v>
      </c>
      <c r="J59">
        <v>21</v>
      </c>
      <c r="K59">
        <v>0</v>
      </c>
      <c r="L59">
        <f>M59/J59</f>
        <v>4.6190476190476186</v>
      </c>
      <c r="M59">
        <v>97</v>
      </c>
      <c r="N59">
        <f>K59/J59</f>
        <v>0</v>
      </c>
      <c r="S59" s="18" t="s">
        <v>392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s="18" t="s">
        <v>17</v>
      </c>
      <c r="J60" s="18">
        <v>20</v>
      </c>
      <c r="K60" s="18">
        <v>2</v>
      </c>
      <c r="L60" s="18">
        <f t="shared" ref="L60:L61" si="26">M60/J60</f>
        <v>5.25</v>
      </c>
      <c r="M60" s="18">
        <v>105</v>
      </c>
      <c r="N60" s="18">
        <f t="shared" ref="N60:N61" si="27">K60/J60</f>
        <v>0.1</v>
      </c>
    </row>
    <row r="61" spans="1:26" x14ac:dyDescent="0.25">
      <c r="A61" s="18" t="s">
        <v>30</v>
      </c>
      <c r="B61" s="18">
        <v>37</v>
      </c>
      <c r="C61" s="18">
        <v>3</v>
      </c>
      <c r="D61" s="18">
        <f t="shared" si="0"/>
        <v>5.243243243243243</v>
      </c>
      <c r="E61" s="18">
        <v>194</v>
      </c>
      <c r="F61" s="18">
        <f t="shared" si="1"/>
        <v>8.1081081081081086E-2</v>
      </c>
      <c r="G61" s="32">
        <v>2.5226248955475601</v>
      </c>
      <c r="I61" s="18" t="s">
        <v>79</v>
      </c>
      <c r="J61" s="18">
        <v>46</v>
      </c>
      <c r="K61" s="18">
        <v>6</v>
      </c>
      <c r="L61" s="18">
        <f t="shared" si="26"/>
        <v>4.5869565217391308</v>
      </c>
      <c r="M61" s="18">
        <v>211</v>
      </c>
      <c r="N61" s="18">
        <f t="shared" si="27"/>
        <v>0.13043478260869565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99</v>
      </c>
      <c r="C62" s="18">
        <v>15</v>
      </c>
      <c r="D62" s="18">
        <f t="shared" si="0"/>
        <v>3.808080808080808</v>
      </c>
      <c r="E62" s="18">
        <v>377</v>
      </c>
      <c r="F62" s="18">
        <f t="shared" si="1"/>
        <v>0.15151515151515152</v>
      </c>
      <c r="G62" s="32">
        <v>2.0875571218153701</v>
      </c>
      <c r="I62" s="18" t="s">
        <v>123</v>
      </c>
      <c r="J62" s="18">
        <v>27</v>
      </c>
      <c r="K62" s="18">
        <v>4</v>
      </c>
      <c r="L62" s="18">
        <f t="shared" ref="L62" si="28">M62/J62</f>
        <v>4.5925925925925926</v>
      </c>
      <c r="M62" s="18">
        <v>124</v>
      </c>
      <c r="N62" s="18">
        <f t="shared" ref="N62" si="29">K62/J62</f>
        <v>0.14814814814814814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</v>
      </c>
      <c r="J63" s="18">
        <v>20</v>
      </c>
      <c r="K63" s="18">
        <v>0</v>
      </c>
      <c r="L63" s="18">
        <f t="shared" ref="L63" si="30">M63/J63</f>
        <v>4.75</v>
      </c>
      <c r="M63" s="18">
        <v>95</v>
      </c>
      <c r="N63" s="18">
        <f t="shared" ref="N63" si="31">K63/J63</f>
        <v>0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404</v>
      </c>
      <c r="J64" s="18">
        <v>20</v>
      </c>
      <c r="K64" s="18">
        <v>2</v>
      </c>
      <c r="L64" s="18">
        <f>M64/J64</f>
        <v>5.25</v>
      </c>
      <c r="M64" s="18">
        <v>105</v>
      </c>
      <c r="N64" s="18">
        <f>K64/J64</f>
        <v>0.1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22</v>
      </c>
      <c r="J65" s="18">
        <v>174</v>
      </c>
      <c r="K65" s="18">
        <v>26</v>
      </c>
      <c r="L65" s="18">
        <f>M65/J65</f>
        <v>4.1781609195402298</v>
      </c>
      <c r="M65" s="18">
        <v>727</v>
      </c>
      <c r="N65" s="18">
        <f>K65/J65</f>
        <v>0.14942528735632185</v>
      </c>
      <c r="S65" s="18" t="s">
        <v>392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33</v>
      </c>
      <c r="J66" s="18">
        <v>64</v>
      </c>
      <c r="K66" s="18">
        <v>4</v>
      </c>
      <c r="L66" s="18">
        <f t="shared" ref="L66" si="32">M66/J66</f>
        <v>5.515625</v>
      </c>
      <c r="M66" s="18">
        <v>353</v>
      </c>
      <c r="N66" s="18">
        <f t="shared" ref="N66" si="33">K66/J66</f>
        <v>6.25E-2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82</v>
      </c>
      <c r="J67" s="18">
        <v>20</v>
      </c>
      <c r="K67" s="18">
        <v>0</v>
      </c>
      <c r="L67" s="18">
        <f t="shared" ref="L67" si="34">M67/J67</f>
        <v>5.15</v>
      </c>
      <c r="M67" s="18">
        <v>103</v>
      </c>
      <c r="N67" s="18">
        <f>K67/J67</f>
        <v>0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99</v>
      </c>
      <c r="J68" s="18">
        <v>20</v>
      </c>
      <c r="K68" s="18">
        <v>2</v>
      </c>
      <c r="L68" s="18">
        <f t="shared" ref="L68" si="35">M68/J68</f>
        <v>5.05</v>
      </c>
      <c r="M68" s="18">
        <v>101</v>
      </c>
      <c r="N68" s="18">
        <f t="shared" ref="N68" si="36">K68/J68</f>
        <v>0.1</v>
      </c>
    </row>
    <row r="69" spans="1:19" x14ac:dyDescent="0.25">
      <c r="A69" s="18" t="s">
        <v>79</v>
      </c>
      <c r="B69" s="18">
        <v>46</v>
      </c>
      <c r="C69" s="18">
        <v>6</v>
      </c>
      <c r="D69" s="18">
        <f t="shared" si="0"/>
        <v>4.5869565217391308</v>
      </c>
      <c r="E69" s="18">
        <v>211</v>
      </c>
      <c r="F69" s="18">
        <f t="shared" si="1"/>
        <v>0.13043478260869565</v>
      </c>
      <c r="G69" s="32">
        <v>2.05866345916355</v>
      </c>
      <c r="I69" s="18" t="s">
        <v>7</v>
      </c>
      <c r="J69" s="18">
        <v>20</v>
      </c>
      <c r="K69" s="18">
        <v>4</v>
      </c>
      <c r="L69" s="18">
        <f t="shared" ref="L69" si="37">M69/J69</f>
        <v>4.0999999999999996</v>
      </c>
      <c r="M69" s="18">
        <v>82</v>
      </c>
      <c r="N69" s="18">
        <f t="shared" ref="N69" si="38">K69/J69</f>
        <v>0.2</v>
      </c>
    </row>
    <row r="70" spans="1:19" x14ac:dyDescent="0.25">
      <c r="A70" s="18" t="s">
        <v>123</v>
      </c>
      <c r="B70" s="18">
        <v>27</v>
      </c>
      <c r="C70" s="18">
        <v>4</v>
      </c>
      <c r="D70" s="18">
        <f t="shared" si="0"/>
        <v>4.5925925925925926</v>
      </c>
      <c r="E70" s="18">
        <v>124</v>
      </c>
      <c r="F70" s="18">
        <f t="shared" si="1"/>
        <v>0.14814814814814814</v>
      </c>
      <c r="G70" s="32">
        <v>2</v>
      </c>
      <c r="I70" t="s">
        <v>129</v>
      </c>
      <c r="J70">
        <v>40</v>
      </c>
      <c r="K70">
        <v>7</v>
      </c>
      <c r="L70">
        <f>M70/J70</f>
        <v>4.45</v>
      </c>
      <c r="M70">
        <v>178</v>
      </c>
      <c r="N70">
        <f>K70/J70</f>
        <v>0.17499999999999999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35</v>
      </c>
      <c r="J71" s="18">
        <v>131</v>
      </c>
      <c r="K71" s="18">
        <v>36</v>
      </c>
      <c r="L71" s="18">
        <f t="shared" ref="L71:L72" si="39">M71/J71</f>
        <v>3.5419847328244276</v>
      </c>
      <c r="M71" s="18">
        <v>464</v>
      </c>
      <c r="N71" s="18">
        <f t="shared" ref="N71:N72" si="40">K71/J71</f>
        <v>0.27480916030534353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26</v>
      </c>
      <c r="J72" s="18">
        <v>42</v>
      </c>
      <c r="K72" s="18">
        <v>3</v>
      </c>
      <c r="L72" s="18">
        <f t="shared" si="39"/>
        <v>5.4761904761904763</v>
      </c>
      <c r="M72" s="18">
        <v>230</v>
      </c>
      <c r="N72" s="18">
        <f t="shared" si="40"/>
        <v>7.1428571428571425E-2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122</v>
      </c>
      <c r="J73" s="18">
        <v>72</v>
      </c>
      <c r="K73" s="18">
        <v>7</v>
      </c>
      <c r="L73" s="18">
        <f t="shared" ref="L73:L75" si="41">M73/J73</f>
        <v>4.2361111111111107</v>
      </c>
      <c r="M73" s="18">
        <v>305</v>
      </c>
      <c r="N73" s="18">
        <f t="shared" ref="N73:N75" si="42">K73/J73</f>
        <v>9.7222222222222224E-2</v>
      </c>
      <c r="S73" s="18" t="s">
        <v>392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49</v>
      </c>
      <c r="J74" s="18">
        <v>84</v>
      </c>
      <c r="K74" s="18">
        <v>6</v>
      </c>
      <c r="L74" s="18">
        <f t="shared" si="41"/>
        <v>5.3571428571428568</v>
      </c>
      <c r="M74" s="18">
        <v>450</v>
      </c>
      <c r="N74" s="18">
        <f t="shared" si="42"/>
        <v>7.1428571428571425E-2</v>
      </c>
      <c r="S74" s="18" t="s">
        <v>392</v>
      </c>
    </row>
    <row r="75" spans="1:19" x14ac:dyDescent="0.25">
      <c r="A75" t="s">
        <v>110</v>
      </c>
      <c r="B75">
        <v>13</v>
      </c>
      <c r="C75">
        <v>1</v>
      </c>
      <c r="D75">
        <f>E75/B75</f>
        <v>5.2307692307692308</v>
      </c>
      <c r="E75">
        <v>68</v>
      </c>
      <c r="F75">
        <f>C75/B75</f>
        <v>7.6923076923076927E-2</v>
      </c>
      <c r="G75" s="32">
        <v>1.9407902170679501</v>
      </c>
      <c r="I75" s="18" t="s">
        <v>3</v>
      </c>
      <c r="J75" s="18">
        <v>40</v>
      </c>
      <c r="K75" s="18">
        <v>6</v>
      </c>
      <c r="L75" s="18">
        <f t="shared" si="41"/>
        <v>4.0750000000000002</v>
      </c>
      <c r="M75" s="18">
        <v>163</v>
      </c>
      <c r="N75" s="18">
        <f t="shared" si="42"/>
        <v>0.15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2</v>
      </c>
      <c r="J76">
        <v>28</v>
      </c>
      <c r="K76">
        <v>5</v>
      </c>
      <c r="L76">
        <f>M76/J76</f>
        <v>4.1428571428571432</v>
      </c>
      <c r="M76">
        <v>116</v>
      </c>
      <c r="N76">
        <f>K76/J76</f>
        <v>0.17857142857142858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17</v>
      </c>
      <c r="C83">
        <v>0</v>
      </c>
      <c r="D83">
        <f t="shared" si="43"/>
        <v>4.0588235294117645</v>
      </c>
      <c r="E83">
        <v>69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131</v>
      </c>
      <c r="C84" s="18">
        <v>36</v>
      </c>
      <c r="D84" s="18">
        <f t="shared" si="43"/>
        <v>3.5419847328244276</v>
      </c>
      <c r="E84" s="18">
        <v>464</v>
      </c>
      <c r="F84" s="18">
        <f t="shared" si="44"/>
        <v>0.27480916030534353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42</v>
      </c>
      <c r="C85" s="18">
        <v>3</v>
      </c>
      <c r="D85" s="18">
        <f t="shared" si="43"/>
        <v>5.4761904761904763</v>
      </c>
      <c r="E85" s="18">
        <v>230</v>
      </c>
      <c r="F85" s="18">
        <f t="shared" si="44"/>
        <v>7.1428571428571425E-2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3"/>
        <v>4.2361111111111107</v>
      </c>
      <c r="E86" s="18">
        <v>305</v>
      </c>
      <c r="F86" s="18">
        <f t="shared" si="44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84</v>
      </c>
      <c r="C87" s="18">
        <v>6</v>
      </c>
      <c r="D87" s="18">
        <f t="shared" si="43"/>
        <v>5.3571428571428568</v>
      </c>
      <c r="E87" s="18">
        <v>450</v>
      </c>
      <c r="F87" s="18">
        <f t="shared" si="44"/>
        <v>7.1428571428571425E-2</v>
      </c>
      <c r="G87" s="32">
        <v>2.79455252402308</v>
      </c>
    </row>
    <row r="88" spans="1:16" x14ac:dyDescent="0.25">
      <c r="A88" s="18" t="s">
        <v>3</v>
      </c>
      <c r="B88" s="18">
        <v>40</v>
      </c>
      <c r="C88" s="18">
        <v>6</v>
      </c>
      <c r="D88" s="18">
        <f t="shared" si="43"/>
        <v>4.0750000000000002</v>
      </c>
      <c r="E88" s="18">
        <v>163</v>
      </c>
      <c r="F88" s="18">
        <f t="shared" si="44"/>
        <v>0.15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E0FCA-0571-4C22-8E97-66729590BEDC}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xmlns:xlrd2="http://schemas.microsoft.com/office/spreadsheetml/2017/richdata2"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2025-11-06T21:19:26Z</dcterms:modified>
</cp:coreProperties>
</file>