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8E3C5214-AEB2-45EB-83E1-4E50420D459F}" xr6:coauthVersionLast="47" xr6:coauthVersionMax="47" xr10:uidLastSave="{00000000-0000-0000-0000-000000000000}"/>
  <bookViews>
    <workbookView xWindow="-120" yWindow="-120" windowWidth="38640" windowHeight="211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3" l="1"/>
  <c r="L53" i="13"/>
  <c r="N27" i="13"/>
  <c r="L27" i="13"/>
  <c r="N30" i="13"/>
  <c r="L30" i="13"/>
  <c r="N36" i="13"/>
  <c r="L36" i="13"/>
  <c r="N45" i="13"/>
  <c r="L45" i="13"/>
  <c r="N52" i="13"/>
  <c r="L52" i="13"/>
  <c r="N34" i="13"/>
  <c r="L34" i="13"/>
  <c r="N44" i="13"/>
  <c r="L44" i="13"/>
  <c r="N55" i="13"/>
  <c r="L55" i="13"/>
  <c r="N22" i="13"/>
  <c r="L22" i="13"/>
  <c r="N43" i="13"/>
  <c r="L43" i="13"/>
  <c r="N15" i="13"/>
  <c r="L15" i="13"/>
  <c r="N26" i="13"/>
  <c r="L26" i="13"/>
  <c r="N23" i="13"/>
  <c r="L23" i="13"/>
  <c r="N25" i="13"/>
  <c r="L25" i="13"/>
  <c r="N33" i="13"/>
  <c r="L33" i="13"/>
  <c r="N38" i="13"/>
  <c r="L38" i="13"/>
  <c r="N24" i="13"/>
  <c r="L24" i="13"/>
  <c r="N40" i="13"/>
  <c r="L40" i="13"/>
  <c r="N41" i="13"/>
  <c r="L41" i="13"/>
  <c r="N29" i="13"/>
  <c r="L29" i="13"/>
  <c r="N56" i="13"/>
  <c r="L56" i="13"/>
  <c r="N54" i="13" l="1"/>
  <c r="L54" i="13"/>
  <c r="F30" i="13"/>
  <c r="D30" i="13"/>
  <c r="N17" i="13"/>
  <c r="L17" i="13"/>
  <c r="N48" i="13"/>
  <c r="L48" i="13"/>
  <c r="N14" i="13" l="1"/>
  <c r="L14" i="13"/>
  <c r="N35" i="13"/>
  <c r="L35" i="13"/>
  <c r="N32" i="13"/>
  <c r="L32" i="13"/>
  <c r="N16" i="13"/>
  <c r="L16" i="13"/>
  <c r="N13" i="13" l="1"/>
  <c r="L13" i="13"/>
  <c r="N51" i="13"/>
  <c r="L51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0" i="13"/>
  <c r="L50" i="13"/>
  <c r="F71" i="13"/>
  <c r="D71" i="13"/>
  <c r="N49" i="13"/>
  <c r="L49" i="13"/>
  <c r="F70" i="13"/>
  <c r="D70" i="13"/>
  <c r="F69" i="13"/>
  <c r="D69" i="13"/>
  <c r="F68" i="13"/>
  <c r="D68" i="13"/>
  <c r="F67" i="13"/>
  <c r="D67" i="13"/>
  <c r="N47" i="13"/>
  <c r="L47" i="13"/>
  <c r="F66" i="13"/>
  <c r="D66" i="13"/>
  <c r="F65" i="13"/>
  <c r="D65" i="13"/>
  <c r="F64" i="13"/>
  <c r="D64" i="13"/>
  <c r="F63" i="13"/>
  <c r="D63" i="13"/>
  <c r="F62" i="13"/>
  <c r="D62" i="13"/>
  <c r="N46" i="13"/>
  <c r="L46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2" i="13"/>
  <c r="L42" i="13"/>
  <c r="F54" i="13"/>
  <c r="D54" i="13"/>
  <c r="F53" i="13"/>
  <c r="D53" i="13"/>
  <c r="F52" i="13"/>
  <c r="D52" i="13"/>
  <c r="N39" i="13"/>
  <c r="L39" i="13"/>
  <c r="F51" i="13"/>
  <c r="D51" i="13"/>
  <c r="F50" i="13"/>
  <c r="D50" i="13"/>
  <c r="F49" i="13"/>
  <c r="D49" i="13"/>
  <c r="N37" i="13"/>
  <c r="L37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1" i="13"/>
  <c r="L31" i="13"/>
  <c r="F39" i="13"/>
  <c r="D39" i="13"/>
  <c r="F38" i="13"/>
  <c r="D38" i="13"/>
  <c r="F37" i="13"/>
  <c r="D37" i="13"/>
  <c r="F36" i="13"/>
  <c r="D36" i="13"/>
  <c r="N28" i="13"/>
  <c r="L28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<sst xmlns="http://schemas.openxmlformats.org/spreadsheetml/2006/main" count="15734" uniqueCount="572">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</sst>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80"/>
  <sheetViews>
    <sheetView topLeftCell="A253" zoomScaleNormal="100" workbookViewId="0">
      <selection activeCell="S272" sqref="S272:W28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23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23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23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23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23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23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23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23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workbookViewId="0">
      <selection sqref="A1:D9"/>
    </sheetView>
  </sheetViews>
  <sheetFormatPr defaultRowHeight="15" x14ac:dyDescent="0.25"/>
  <sheetData>
    <row r="1" spans="1:18 16384:16384" x14ac:dyDescent="0.25">
      <c r="A1" s="1">
        <v>46065</v>
      </c>
      <c r="B1" s="1">
        <v>46065</v>
      </c>
      <c r="C1" s="1">
        <v>46065</v>
      </c>
      <c r="D1" s="1">
        <v>46065</v>
      </c>
      <c r="R1" s="1"/>
      <c r="XFD1" s="1"/>
    </row>
    <row r="2" spans="1:18 16384:16384" x14ac:dyDescent="0.25">
      <c r="A2" t="s">
        <v>25</v>
      </c>
      <c r="B2" t="s">
        <v>25</v>
      </c>
      <c r="C2" t="s">
        <v>35</v>
      </c>
      <c r="D2" t="s">
        <v>232</v>
      </c>
    </row>
    <row r="3" spans="1:18 16384:16384" x14ac:dyDescent="0.25">
      <c r="A3" t="s">
        <v>121</v>
      </c>
      <c r="B3" t="s">
        <v>36</v>
      </c>
      <c r="C3" t="s">
        <v>49</v>
      </c>
      <c r="D3" t="s">
        <v>35</v>
      </c>
    </row>
    <row r="4" spans="1:18 16384:16384" x14ac:dyDescent="0.25">
      <c r="A4" t="s">
        <v>19</v>
      </c>
      <c r="B4" t="s">
        <v>139</v>
      </c>
      <c r="C4" t="s">
        <v>29</v>
      </c>
      <c r="D4" t="s">
        <v>29</v>
      </c>
    </row>
    <row r="5" spans="1:18 16384:16384" x14ac:dyDescent="0.25">
      <c r="A5" t="s">
        <v>36</v>
      </c>
      <c r="B5" t="s">
        <v>87</v>
      </c>
      <c r="C5" t="s">
        <v>51</v>
      </c>
      <c r="D5" t="s">
        <v>51</v>
      </c>
    </row>
    <row r="6" spans="1:18 16384:16384" x14ac:dyDescent="0.25">
      <c r="A6" t="s">
        <v>147</v>
      </c>
      <c r="B6" t="s">
        <v>31</v>
      </c>
      <c r="C6" t="s">
        <v>15</v>
      </c>
      <c r="D6" t="s">
        <v>49</v>
      </c>
    </row>
    <row r="7" spans="1:18 16384:16384" x14ac:dyDescent="0.25">
      <c r="A7" t="s">
        <v>50</v>
      </c>
      <c r="B7" t="s">
        <v>50</v>
      </c>
      <c r="C7" t="s">
        <v>30</v>
      </c>
      <c r="D7" t="s">
        <v>15</v>
      </c>
    </row>
    <row r="8" spans="1:18 16384:16384" x14ac:dyDescent="0.25">
      <c r="A8" t="s">
        <v>31</v>
      </c>
      <c r="B8" t="s">
        <v>24</v>
      </c>
      <c r="C8" t="s">
        <v>26</v>
      </c>
      <c r="D8" t="s">
        <v>81</v>
      </c>
    </row>
    <row r="9" spans="1:18 16384:16384" x14ac:dyDescent="0.25">
      <c r="A9" t="s">
        <v>87</v>
      </c>
      <c r="B9" t="s">
        <v>19</v>
      </c>
      <c r="C9" t="s">
        <v>81</v>
      </c>
      <c r="D9" t="s">
        <v>26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101</v>
      </c>
      <c r="C14" s="18">
        <v>6</v>
      </c>
      <c r="D14" s="18">
        <f t="shared" si="0"/>
        <v>4.2574257425742577</v>
      </c>
      <c r="E14" s="18">
        <v>430</v>
      </c>
      <c r="F14" s="18">
        <f t="shared" si="1"/>
        <v>5.9405940594059403E-2</v>
      </c>
      <c r="G14" s="32">
        <v>2.3273733406281498</v>
      </c>
      <c r="I14" s="18" t="s">
        <v>104</v>
      </c>
      <c r="J14" s="18">
        <v>101</v>
      </c>
      <c r="K14" s="18">
        <v>6</v>
      </c>
      <c r="L14" s="18">
        <f t="shared" si="2"/>
        <v>4.2574257425742577</v>
      </c>
      <c r="M14" s="18">
        <v>430</v>
      </c>
      <c r="N14" s="18">
        <f t="shared" si="3"/>
        <v>5.9405940594059403E-2</v>
      </c>
    </row>
    <row r="15" spans="1:18 16384:16384" x14ac:dyDescent="0.25">
      <c r="A15" s="18" t="s">
        <v>31</v>
      </c>
      <c r="B15" s="18">
        <v>195</v>
      </c>
      <c r="C15" s="18">
        <v>12</v>
      </c>
      <c r="D15" s="18">
        <f t="shared" si="0"/>
        <v>5.2615384615384615</v>
      </c>
      <c r="E15" s="18">
        <v>1026</v>
      </c>
      <c r="F15" s="18">
        <f t="shared" si="1"/>
        <v>6.1538461538461542E-2</v>
      </c>
      <c r="G15" s="32">
        <v>1.87082869338697</v>
      </c>
      <c r="I15" s="18" t="s">
        <v>31</v>
      </c>
      <c r="J15" s="18">
        <v>195</v>
      </c>
      <c r="K15" s="18">
        <v>12</v>
      </c>
      <c r="L15" s="18">
        <f t="shared" si="2"/>
        <v>5.2615384615384615</v>
      </c>
      <c r="M15" s="18">
        <v>1026</v>
      </c>
      <c r="N15" s="18">
        <f t="shared" si="3"/>
        <v>6.1538461538461542E-2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104</v>
      </c>
      <c r="C17" s="18">
        <v>31</v>
      </c>
      <c r="D17" s="18">
        <f t="shared" si="0"/>
        <v>3.25</v>
      </c>
      <c r="E17" s="18">
        <v>338</v>
      </c>
      <c r="F17" s="18">
        <f t="shared" si="1"/>
        <v>0.29807692307692307</v>
      </c>
      <c r="G17" s="32">
        <v>2.03049835952651</v>
      </c>
      <c r="I17" s="18" t="s">
        <v>128</v>
      </c>
      <c r="J17" s="18">
        <v>104</v>
      </c>
      <c r="K17" s="18">
        <v>31</v>
      </c>
      <c r="L17" s="18">
        <f t="shared" si="4"/>
        <v>3.25</v>
      </c>
      <c r="M17" s="18">
        <v>338</v>
      </c>
      <c r="N17" s="18">
        <f t="shared" si="5"/>
        <v>0.29807692307692307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" si="8">M22/J22</f>
        <v>5.166666666666667</v>
      </c>
      <c r="M22" s="18">
        <v>155</v>
      </c>
      <c r="N22" s="18">
        <f t="shared" ref="N22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160</v>
      </c>
      <c r="K23" s="18">
        <v>14</v>
      </c>
      <c r="L23" s="18">
        <f t="shared" ref="L23" si="10">M23/J23</f>
        <v>5.0750000000000002</v>
      </c>
      <c r="M23" s="18">
        <v>812</v>
      </c>
      <c r="N23" s="18">
        <f t="shared" ref="N23" si="11">K23/J23</f>
        <v>8.7499999999999994E-2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7" si="12">M24/J24</f>
        <v>5.5333333333333332</v>
      </c>
      <c r="M24" s="18">
        <v>166</v>
      </c>
      <c r="N24" s="18">
        <f t="shared" ref="N24:N27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116</v>
      </c>
      <c r="K26" s="18">
        <v>15</v>
      </c>
      <c r="L26" s="18">
        <f t="shared" si="12"/>
        <v>4.8275862068965516</v>
      </c>
      <c r="M26" s="18">
        <v>560</v>
      </c>
      <c r="N26" s="18">
        <f t="shared" si="13"/>
        <v>0.12931034482758622</v>
      </c>
    </row>
    <row r="27" spans="1:14" x14ac:dyDescent="0.25">
      <c r="A27" s="18" t="s">
        <v>25</v>
      </c>
      <c r="B27" s="18">
        <v>160</v>
      </c>
      <c r="C27" s="18">
        <v>14</v>
      </c>
      <c r="D27" s="18">
        <f t="shared" si="0"/>
        <v>5.0750000000000002</v>
      </c>
      <c r="E27" s="18">
        <v>812</v>
      </c>
      <c r="F27" s="18">
        <f t="shared" si="1"/>
        <v>8.7499999999999994E-2</v>
      </c>
      <c r="G27" s="32">
        <v>2.1609054109613202</v>
      </c>
      <c r="I27" s="18" t="s">
        <v>81</v>
      </c>
      <c r="J27" s="18">
        <v>71</v>
      </c>
      <c r="K27" s="18">
        <v>5</v>
      </c>
      <c r="L27" s="18">
        <f t="shared" si="12"/>
        <v>5.197183098591549</v>
      </c>
      <c r="M27" s="18">
        <v>369</v>
      </c>
      <c r="N27" s="18">
        <f t="shared" si="13"/>
        <v>7.0422535211267609E-2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27</v>
      </c>
      <c r="J28" s="18">
        <v>36</v>
      </c>
      <c r="K28" s="18">
        <v>3</v>
      </c>
      <c r="L28" s="18">
        <f>M28/J28</f>
        <v>4.4444444444444446</v>
      </c>
      <c r="M28" s="18">
        <v>160</v>
      </c>
      <c r="N28" s="18">
        <f>K28/J28</f>
        <v>8.3333333333333329E-2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401</v>
      </c>
      <c r="J29" s="18">
        <v>60</v>
      </c>
      <c r="K29" s="18">
        <v>3</v>
      </c>
      <c r="L29" s="18">
        <f t="shared" ref="L29:L30" si="14">M29/J29</f>
        <v>5.5666666666666664</v>
      </c>
      <c r="M29" s="18">
        <v>334</v>
      </c>
      <c r="N29" s="18">
        <f t="shared" ref="N29:N30" si="15">K29/J29</f>
        <v>0.05</v>
      </c>
    </row>
    <row r="30" spans="1:14" x14ac:dyDescent="0.25">
      <c r="A30" s="18" t="s">
        <v>87</v>
      </c>
      <c r="B30" s="18">
        <v>116</v>
      </c>
      <c r="C30" s="18">
        <v>15</v>
      </c>
      <c r="D30" s="18">
        <f t="shared" si="0"/>
        <v>4.8275862068965516</v>
      </c>
      <c r="E30" s="18">
        <v>560</v>
      </c>
      <c r="F30" s="18">
        <f t="shared" si="1"/>
        <v>0.12931034482758622</v>
      </c>
      <c r="G30" s="32">
        <v>1.7888543819998299</v>
      </c>
      <c r="I30" s="18" t="s">
        <v>15</v>
      </c>
      <c r="J30" s="18">
        <v>234</v>
      </c>
      <c r="K30" s="18">
        <v>35</v>
      </c>
      <c r="L30" s="18">
        <f t="shared" si="14"/>
        <v>4.5769230769230766</v>
      </c>
      <c r="M30" s="18">
        <v>1071</v>
      </c>
      <c r="N30" s="18">
        <f t="shared" si="15"/>
        <v>0.14957264957264957</v>
      </c>
    </row>
    <row r="31" spans="1:14" x14ac:dyDescent="0.25">
      <c r="A31" t="s">
        <v>50</v>
      </c>
      <c r="B31">
        <v>28</v>
      </c>
      <c r="C31">
        <v>1</v>
      </c>
      <c r="D31">
        <f t="shared" si="0"/>
        <v>4.2142857142857144</v>
      </c>
      <c r="E31">
        <v>118</v>
      </c>
      <c r="F31">
        <f t="shared" si="1"/>
        <v>3.5714285714285712E-2</v>
      </c>
      <c r="G31" s="32">
        <v>2.2360679774997898</v>
      </c>
      <c r="I31" s="18" t="s">
        <v>13</v>
      </c>
      <c r="J31" s="18">
        <v>36</v>
      </c>
      <c r="K31" s="18">
        <v>2</v>
      </c>
      <c r="L31" s="18">
        <f>M31/J31</f>
        <v>4.7222222222222223</v>
      </c>
      <c r="M31" s="18">
        <v>170</v>
      </c>
      <c r="N31" s="18">
        <f>K31/J31</f>
        <v>5.5555555555555552E-2</v>
      </c>
    </row>
    <row r="32" spans="1:14" x14ac:dyDescent="0.25">
      <c r="A32" s="18" t="s">
        <v>81</v>
      </c>
      <c r="B32" s="18">
        <v>71</v>
      </c>
      <c r="C32" s="18">
        <v>5</v>
      </c>
      <c r="D32" s="18">
        <f t="shared" si="0"/>
        <v>5.197183098591549</v>
      </c>
      <c r="E32" s="18">
        <v>369</v>
      </c>
      <c r="F32" s="18">
        <f t="shared" si="1"/>
        <v>7.0422535211267609E-2</v>
      </c>
      <c r="G32" s="32">
        <v>1.76776695296636</v>
      </c>
      <c r="I32" s="18" t="s">
        <v>10</v>
      </c>
      <c r="J32" s="18">
        <v>67</v>
      </c>
      <c r="K32" s="18">
        <v>13</v>
      </c>
      <c r="L32" s="18">
        <f t="shared" ref="L32:L34" si="16">M32/J32</f>
        <v>3.8955223880597014</v>
      </c>
      <c r="M32" s="18">
        <v>261</v>
      </c>
      <c r="N32" s="18">
        <f t="shared" ref="N32:N34" si="17">K32/J32</f>
        <v>0.19402985074626866</v>
      </c>
    </row>
    <row r="33" spans="1:14" x14ac:dyDescent="0.25">
      <c r="A33" t="s">
        <v>36</v>
      </c>
      <c r="B33">
        <v>23</v>
      </c>
      <c r="C33">
        <v>0</v>
      </c>
      <c r="D33">
        <f t="shared" si="0"/>
        <v>4.3478260869565215</v>
      </c>
      <c r="E33">
        <v>100</v>
      </c>
      <c r="F33">
        <f t="shared" si="1"/>
        <v>0</v>
      </c>
      <c r="G33" s="32">
        <v>2.6076809620810502</v>
      </c>
      <c r="I33" s="18" t="s">
        <v>121</v>
      </c>
      <c r="J33" s="18">
        <v>89</v>
      </c>
      <c r="K33" s="18">
        <v>20</v>
      </c>
      <c r="L33" s="18">
        <f t="shared" si="16"/>
        <v>3.9325842696629212</v>
      </c>
      <c r="M33" s="18">
        <v>350</v>
      </c>
      <c r="N33" s="18">
        <f t="shared" si="17"/>
        <v>0.2247191011235955</v>
      </c>
    </row>
    <row r="34" spans="1:14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232</v>
      </c>
      <c r="J34" s="18">
        <v>104</v>
      </c>
      <c r="K34" s="18">
        <v>20</v>
      </c>
      <c r="L34" s="18">
        <f t="shared" si="16"/>
        <v>3.8461538461538463</v>
      </c>
      <c r="M34" s="18">
        <v>400</v>
      </c>
      <c r="N34" s="18">
        <f t="shared" si="17"/>
        <v>0.19230769230769232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21</v>
      </c>
      <c r="J35" s="18">
        <v>152</v>
      </c>
      <c r="K35" s="18">
        <v>24</v>
      </c>
      <c r="L35" s="18">
        <f t="shared" ref="L35:L36" si="18">M35/J35</f>
        <v>4.3355263157894735</v>
      </c>
      <c r="M35" s="18">
        <v>659</v>
      </c>
      <c r="N35" s="18">
        <f t="shared" ref="N35:N36" si="19">K35/J35</f>
        <v>0.15789473684210525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51</v>
      </c>
      <c r="J36" s="18">
        <v>40</v>
      </c>
      <c r="K36" s="18">
        <v>3</v>
      </c>
      <c r="L36" s="18">
        <f t="shared" si="18"/>
        <v>4.9000000000000004</v>
      </c>
      <c r="M36" s="18">
        <v>196</v>
      </c>
      <c r="N36" s="18">
        <f t="shared" si="19"/>
        <v>7.4999999999999997E-2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0</v>
      </c>
      <c r="J37" s="18">
        <v>84</v>
      </c>
      <c r="K37" s="18">
        <v>14</v>
      </c>
      <c r="L37" s="18">
        <f>M37/J37</f>
        <v>4.1547619047619051</v>
      </c>
      <c r="M37" s="18">
        <v>349</v>
      </c>
      <c r="N37" s="18">
        <f>K37/J37</f>
        <v>0.16666666666666666</v>
      </c>
    </row>
    <row r="38" spans="1:14" x14ac:dyDescent="0.25">
      <c r="A38" s="18" t="s">
        <v>401</v>
      </c>
      <c r="B38" s="18">
        <v>60</v>
      </c>
      <c r="C38" s="18">
        <v>3</v>
      </c>
      <c r="D38" s="18">
        <f t="shared" si="0"/>
        <v>5.5666666666666664</v>
      </c>
      <c r="E38" s="18">
        <v>334</v>
      </c>
      <c r="F38" s="18">
        <f t="shared" si="1"/>
        <v>0.05</v>
      </c>
      <c r="G38" s="32">
        <v>2.1248885888797799</v>
      </c>
      <c r="I38" s="18" t="s">
        <v>1</v>
      </c>
      <c r="J38" s="18">
        <v>102</v>
      </c>
      <c r="K38" s="18">
        <v>6</v>
      </c>
      <c r="L38" s="18">
        <f t="shared" ref="L38" si="20">M38/J38</f>
        <v>4.5882352941176467</v>
      </c>
      <c r="M38" s="18">
        <v>468</v>
      </c>
      <c r="N38" s="18">
        <f t="shared" ref="N38" si="21">K38/J38</f>
        <v>5.8823529411764705E-2</v>
      </c>
    </row>
    <row r="39" spans="1:14" x14ac:dyDescent="0.25">
      <c r="A39" s="18" t="s">
        <v>15</v>
      </c>
      <c r="B39" s="18">
        <v>234</v>
      </c>
      <c r="C39" s="18">
        <v>35</v>
      </c>
      <c r="D39" s="18">
        <f t="shared" si="0"/>
        <v>4.5769230769230766</v>
      </c>
      <c r="E39" s="18">
        <v>1071</v>
      </c>
      <c r="F39" s="18">
        <f t="shared" si="1"/>
        <v>0.14957264957264957</v>
      </c>
      <c r="G39" s="32">
        <v>2.3694389634605302</v>
      </c>
      <c r="I39" s="18" t="s">
        <v>253</v>
      </c>
      <c r="J39" s="18">
        <v>32</v>
      </c>
      <c r="K39" s="18">
        <v>1</v>
      </c>
      <c r="L39" s="18">
        <f>M39/J39</f>
        <v>5.4375</v>
      </c>
      <c r="M39" s="18">
        <v>174</v>
      </c>
      <c r="N39" s="18">
        <f>K39/J39</f>
        <v>3.125E-2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175</v>
      </c>
      <c r="J40" s="18">
        <v>43</v>
      </c>
      <c r="K40" s="18">
        <v>10</v>
      </c>
      <c r="L40" s="18">
        <f t="shared" ref="L40" si="22">M40/J40</f>
        <v>3.3720930232558142</v>
      </c>
      <c r="M40" s="18">
        <v>145</v>
      </c>
      <c r="N40" s="18">
        <f t="shared" ref="N40" si="23">K40/J40</f>
        <v>0.23255813953488372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61</v>
      </c>
      <c r="J41" s="18">
        <v>38</v>
      </c>
      <c r="K41" s="18">
        <v>7</v>
      </c>
      <c r="L41" s="18">
        <f t="shared" ref="L41" si="24">M41/J41</f>
        <v>4.7368421052631575</v>
      </c>
      <c r="M41" s="18">
        <v>180</v>
      </c>
      <c r="N41" s="18">
        <f>K41/J41</f>
        <v>0.18421052631578946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115</v>
      </c>
      <c r="J42" s="18">
        <v>39</v>
      </c>
      <c r="K42" s="18">
        <v>3</v>
      </c>
      <c r="L42" s="18">
        <f t="shared" ref="L42:L49" si="25">M42/J42</f>
        <v>4.384615384615385</v>
      </c>
      <c r="M42" s="18">
        <v>171</v>
      </c>
      <c r="N42" s="18">
        <f t="shared" ref="N42:N49" si="26">K42/J42</f>
        <v>7.6923076923076927E-2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24</v>
      </c>
      <c r="J43" s="18">
        <v>100</v>
      </c>
      <c r="K43" s="18">
        <v>11</v>
      </c>
      <c r="L43" s="18">
        <f t="shared" si="25"/>
        <v>4.5599999999999996</v>
      </c>
      <c r="M43" s="18">
        <v>456</v>
      </c>
      <c r="N43" s="18">
        <f t="shared" si="26"/>
        <v>0.11</v>
      </c>
    </row>
    <row r="44" spans="1:14" x14ac:dyDescent="0.25">
      <c r="A44" s="18" t="s">
        <v>121</v>
      </c>
      <c r="B44" s="18">
        <v>89</v>
      </c>
      <c r="C44" s="18">
        <v>20</v>
      </c>
      <c r="D44" s="18">
        <f t="shared" si="0"/>
        <v>3.9325842696629212</v>
      </c>
      <c r="E44" s="18">
        <v>350</v>
      </c>
      <c r="F44" s="18">
        <f t="shared" si="1"/>
        <v>0.2247191011235955</v>
      </c>
      <c r="G44" s="32">
        <v>2.2233267457082899</v>
      </c>
      <c r="I44" s="18" t="s">
        <v>30</v>
      </c>
      <c r="J44" s="18">
        <v>54</v>
      </c>
      <c r="K44" s="18">
        <v>3</v>
      </c>
      <c r="L44" s="18">
        <f t="shared" si="25"/>
        <v>5.1111111111111107</v>
      </c>
      <c r="M44" s="18">
        <v>276</v>
      </c>
      <c r="N44" s="18">
        <f t="shared" si="26"/>
        <v>5.5555555555555552E-2</v>
      </c>
    </row>
    <row r="45" spans="1:14" x14ac:dyDescent="0.25">
      <c r="A45" s="18" t="s">
        <v>232</v>
      </c>
      <c r="B45" s="18">
        <v>104</v>
      </c>
      <c r="C45" s="18">
        <v>20</v>
      </c>
      <c r="D45" s="18">
        <f t="shared" si="0"/>
        <v>3.8461538461538463</v>
      </c>
      <c r="E45" s="18">
        <v>400</v>
      </c>
      <c r="F45" s="18">
        <f t="shared" si="1"/>
        <v>0.19230769230769232</v>
      </c>
      <c r="G45" s="32">
        <v>2.2509257354845502</v>
      </c>
      <c r="I45" s="18" t="s">
        <v>29</v>
      </c>
      <c r="J45" s="18">
        <v>113</v>
      </c>
      <c r="K45" s="18">
        <v>16</v>
      </c>
      <c r="L45" s="18">
        <f t="shared" si="25"/>
        <v>3.8849557522123894</v>
      </c>
      <c r="M45" s="18">
        <v>439</v>
      </c>
      <c r="N45" s="18">
        <f t="shared" si="26"/>
        <v>0.1415929203539823</v>
      </c>
    </row>
    <row r="46" spans="1:14" x14ac:dyDescent="0.25">
      <c r="A46" s="18" t="s">
        <v>21</v>
      </c>
      <c r="B46" s="18">
        <v>152</v>
      </c>
      <c r="C46" s="18">
        <v>24</v>
      </c>
      <c r="D46" s="18">
        <f t="shared" si="0"/>
        <v>4.3355263157894735</v>
      </c>
      <c r="E46" s="18">
        <v>659</v>
      </c>
      <c r="F46" s="18">
        <f t="shared" si="1"/>
        <v>0.15789473684210525</v>
      </c>
      <c r="G46" s="32">
        <v>2.0655911179772799</v>
      </c>
      <c r="I46" s="18" t="s">
        <v>148</v>
      </c>
      <c r="J46" s="18">
        <v>41</v>
      </c>
      <c r="K46" s="18">
        <v>8</v>
      </c>
      <c r="L46" s="18">
        <f t="shared" si="25"/>
        <v>3.7560975609756095</v>
      </c>
      <c r="M46" s="18">
        <v>154</v>
      </c>
      <c r="N46" s="18">
        <f t="shared" si="26"/>
        <v>0.1951219512195122</v>
      </c>
    </row>
    <row r="47" spans="1:14" x14ac:dyDescent="0.25">
      <c r="A47" s="18" t="s">
        <v>51</v>
      </c>
      <c r="B47" s="18">
        <v>40</v>
      </c>
      <c r="C47" s="18">
        <v>3</v>
      </c>
      <c r="D47" s="18">
        <f t="shared" si="0"/>
        <v>4.9000000000000004</v>
      </c>
      <c r="E47" s="18">
        <v>196</v>
      </c>
      <c r="F47" s="18">
        <f t="shared" si="1"/>
        <v>7.4999999999999997E-2</v>
      </c>
      <c r="G47" s="32">
        <v>2.2967049878400898</v>
      </c>
      <c r="I47" s="18" t="s">
        <v>79</v>
      </c>
      <c r="J47" s="18">
        <v>54</v>
      </c>
      <c r="K47" s="18">
        <v>6</v>
      </c>
      <c r="L47" s="18">
        <f t="shared" si="25"/>
        <v>4.6296296296296298</v>
      </c>
      <c r="M47" s="18">
        <v>250</v>
      </c>
      <c r="N47" s="18">
        <f t="shared" si="26"/>
        <v>0.1111111111111111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123</v>
      </c>
      <c r="J48" s="18">
        <v>34</v>
      </c>
      <c r="K48" s="18">
        <v>5</v>
      </c>
      <c r="L48" s="18">
        <f t="shared" si="25"/>
        <v>4.5588235294117645</v>
      </c>
      <c r="M48" s="18">
        <v>155</v>
      </c>
      <c r="N48" s="18">
        <f t="shared" si="26"/>
        <v>0.14705882352941177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22</v>
      </c>
      <c r="J49" s="18">
        <v>182</v>
      </c>
      <c r="K49" s="18">
        <v>30</v>
      </c>
      <c r="L49" s="18">
        <f t="shared" si="25"/>
        <v>4.104395604395604</v>
      </c>
      <c r="M49" s="18">
        <v>747</v>
      </c>
      <c r="N49" s="18">
        <f t="shared" si="26"/>
        <v>0.16483516483516483</v>
      </c>
    </row>
    <row r="50" spans="1:14" x14ac:dyDescent="0.25">
      <c r="A50" s="18" t="s">
        <v>1</v>
      </c>
      <c r="B50" s="18">
        <v>102</v>
      </c>
      <c r="C50" s="18">
        <v>6</v>
      </c>
      <c r="D50" s="18">
        <f t="shared" si="0"/>
        <v>4.5882352941176467</v>
      </c>
      <c r="E50" s="18">
        <v>468</v>
      </c>
      <c r="F50" s="18">
        <f t="shared" si="1"/>
        <v>5.8823529411764705E-2</v>
      </c>
      <c r="G50" s="32">
        <v>2.0412414523193099</v>
      </c>
      <c r="I50" s="18" t="s">
        <v>33</v>
      </c>
      <c r="J50" s="18">
        <v>64</v>
      </c>
      <c r="K50" s="18">
        <v>4</v>
      </c>
      <c r="L50" s="18">
        <f t="shared" ref="L50:L56" si="27">M50/J50</f>
        <v>5.515625</v>
      </c>
      <c r="M50" s="18">
        <v>353</v>
      </c>
      <c r="N50" s="18">
        <f t="shared" ref="N50:N56" si="28">K50/J50</f>
        <v>6.25E-2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129</v>
      </c>
      <c r="J51" s="18">
        <v>42</v>
      </c>
      <c r="K51" s="18">
        <v>7</v>
      </c>
      <c r="L51" s="18">
        <f t="shared" si="27"/>
        <v>4.5714285714285712</v>
      </c>
      <c r="M51" s="18">
        <v>192</v>
      </c>
      <c r="N51" s="18">
        <f t="shared" si="28"/>
        <v>0.16666666666666666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35</v>
      </c>
      <c r="J52" s="18">
        <v>159</v>
      </c>
      <c r="K52" s="18">
        <v>42</v>
      </c>
      <c r="L52" s="18">
        <f t="shared" si="27"/>
        <v>3.5157232704402515</v>
      </c>
      <c r="M52" s="18">
        <v>559</v>
      </c>
      <c r="N52" s="18">
        <f t="shared" si="28"/>
        <v>0.26415094339622641</v>
      </c>
    </row>
    <row r="53" spans="1:14" x14ac:dyDescent="0.25">
      <c r="A53" s="18" t="s">
        <v>175</v>
      </c>
      <c r="B53" s="18">
        <v>43</v>
      </c>
      <c r="C53" s="18">
        <v>10</v>
      </c>
      <c r="D53" s="18">
        <f t="shared" si="0"/>
        <v>3.3720930232558142</v>
      </c>
      <c r="E53" s="18">
        <v>145</v>
      </c>
      <c r="F53" s="18">
        <f t="shared" si="1"/>
        <v>0.23255813953488372</v>
      </c>
      <c r="G53" s="32">
        <v>2</v>
      </c>
      <c r="I53" s="18" t="s">
        <v>26</v>
      </c>
      <c r="J53" s="18">
        <v>71</v>
      </c>
      <c r="K53" s="18">
        <v>5</v>
      </c>
      <c r="L53" s="18">
        <f t="shared" si="27"/>
        <v>5.140845070422535</v>
      </c>
      <c r="M53" s="18">
        <v>365</v>
      </c>
      <c r="N53" s="18">
        <f t="shared" si="28"/>
        <v>7.0422535211267609E-2</v>
      </c>
    </row>
    <row r="54" spans="1:14" x14ac:dyDescent="0.25">
      <c r="A54" s="18" t="s">
        <v>61</v>
      </c>
      <c r="B54" s="18">
        <v>38</v>
      </c>
      <c r="C54" s="18">
        <v>7</v>
      </c>
      <c r="D54" s="18">
        <f t="shared" si="0"/>
        <v>4.7368421052631575</v>
      </c>
      <c r="E54" s="18">
        <v>180</v>
      </c>
      <c r="F54" s="18">
        <f>C54/B54</f>
        <v>0.18421052631578946</v>
      </c>
      <c r="G54" s="32">
        <v>3.2403703492039302</v>
      </c>
      <c r="I54" s="18" t="s">
        <v>122</v>
      </c>
      <c r="J54" s="18">
        <v>107</v>
      </c>
      <c r="K54" s="18">
        <v>13</v>
      </c>
      <c r="L54" s="18">
        <f t="shared" si="27"/>
        <v>4.1214953271028039</v>
      </c>
      <c r="M54" s="18">
        <v>441</v>
      </c>
      <c r="N54" s="18">
        <f t="shared" si="28"/>
        <v>0.12149532710280374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49</v>
      </c>
      <c r="J55" s="18">
        <v>115</v>
      </c>
      <c r="K55" s="18">
        <v>7</v>
      </c>
      <c r="L55" s="18">
        <f t="shared" si="27"/>
        <v>5.1304347826086953</v>
      </c>
      <c r="M55" s="18">
        <v>590</v>
      </c>
      <c r="N55" s="18">
        <f t="shared" si="28"/>
        <v>6.0869565217391307E-2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3</v>
      </c>
      <c r="J56" s="18">
        <v>46</v>
      </c>
      <c r="K56" s="18">
        <v>7</v>
      </c>
      <c r="L56" s="18">
        <f t="shared" si="27"/>
        <v>4.1304347826086953</v>
      </c>
      <c r="M56" s="18">
        <v>190</v>
      </c>
      <c r="N56" s="18">
        <f t="shared" si="28"/>
        <v>0.15217391304347827</v>
      </c>
    </row>
    <row r="57" spans="1:14" x14ac:dyDescent="0.25">
      <c r="A57" s="18" t="s">
        <v>24</v>
      </c>
      <c r="B57" s="18">
        <v>100</v>
      </c>
      <c r="C57" s="18">
        <v>11</v>
      </c>
      <c r="D57" s="18">
        <f t="shared" si="0"/>
        <v>4.5599999999999996</v>
      </c>
      <c r="E57" s="18">
        <v>456</v>
      </c>
      <c r="F57" s="18">
        <f t="shared" si="1"/>
        <v>0.11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54</v>
      </c>
      <c r="C61" s="18">
        <v>3</v>
      </c>
      <c r="D61" s="18">
        <f t="shared" si="0"/>
        <v>5.1111111111111107</v>
      </c>
      <c r="E61" s="18">
        <v>276</v>
      </c>
      <c r="F61" s="18">
        <f t="shared" si="1"/>
        <v>5.5555555555555552E-2</v>
      </c>
      <c r="G61" s="32">
        <v>2.5226248955475601</v>
      </c>
    </row>
    <row r="62" spans="1:14" x14ac:dyDescent="0.25">
      <c r="A62" s="18" t="s">
        <v>29</v>
      </c>
      <c r="B62" s="18">
        <v>113</v>
      </c>
      <c r="C62" s="18">
        <v>16</v>
      </c>
      <c r="D62" s="18">
        <f t="shared" si="0"/>
        <v>3.8849557522123894</v>
      </c>
      <c r="E62" s="18">
        <v>439</v>
      </c>
      <c r="F62" s="18">
        <f t="shared" si="1"/>
        <v>0.1415929203539823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29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29"/>
        <v>5.515625</v>
      </c>
      <c r="E77" s="18">
        <v>353</v>
      </c>
      <c r="F77" s="18">
        <f t="shared" ref="F77:F91" si="30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29"/>
        <v>5.05</v>
      </c>
      <c r="E78" s="18">
        <v>101</v>
      </c>
      <c r="F78" s="18">
        <f t="shared" si="30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29"/>
        <v>4.0999999999999996</v>
      </c>
      <c r="E79" s="18">
        <v>82</v>
      </c>
      <c r="F79" s="18">
        <f t="shared" si="30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29"/>
        <v>4</v>
      </c>
      <c r="E80">
        <v>20</v>
      </c>
      <c r="F80">
        <f t="shared" si="30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29"/>
        <v>4.1818181818181817</v>
      </c>
      <c r="E81">
        <v>46</v>
      </c>
      <c r="F81">
        <f t="shared" si="30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29"/>
        <v>4.5714285714285712</v>
      </c>
      <c r="E82" s="18">
        <v>192</v>
      </c>
      <c r="F82" s="18">
        <f t="shared" si="30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29"/>
        <v>4.4090909090909092</v>
      </c>
      <c r="E83">
        <v>97</v>
      </c>
      <c r="F83">
        <f t="shared" si="30"/>
        <v>0</v>
      </c>
      <c r="G83" s="32">
        <v>2.4899799195977401</v>
      </c>
    </row>
    <row r="84" spans="1:14" x14ac:dyDescent="0.25">
      <c r="A84" s="18" t="s">
        <v>35</v>
      </c>
      <c r="B84" s="18">
        <v>159</v>
      </c>
      <c r="C84" s="18">
        <v>42</v>
      </c>
      <c r="D84" s="18">
        <f t="shared" si="29"/>
        <v>3.5157232704402515</v>
      </c>
      <c r="E84" s="18">
        <v>559</v>
      </c>
      <c r="F84" s="18">
        <f t="shared" si="30"/>
        <v>0.26415094339622641</v>
      </c>
      <c r="G84" s="32">
        <v>2.6214406763289899</v>
      </c>
    </row>
    <row r="85" spans="1:14" x14ac:dyDescent="0.25">
      <c r="A85" s="18" t="s">
        <v>26</v>
      </c>
      <c r="B85" s="18">
        <v>71</v>
      </c>
      <c r="C85" s="18">
        <v>5</v>
      </c>
      <c r="D85" s="18">
        <f t="shared" si="29"/>
        <v>5.140845070422535</v>
      </c>
      <c r="E85" s="18">
        <v>365</v>
      </c>
      <c r="F85" s="18">
        <f t="shared" si="30"/>
        <v>7.0422535211267609E-2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107</v>
      </c>
      <c r="C86" s="18">
        <v>13</v>
      </c>
      <c r="D86" s="18">
        <f t="shared" si="29"/>
        <v>4.1214953271028039</v>
      </c>
      <c r="E86" s="18">
        <v>441</v>
      </c>
      <c r="F86" s="18">
        <f t="shared" si="30"/>
        <v>0.12149532710280374</v>
      </c>
      <c r="G86" s="32">
        <v>1.6329931618554501</v>
      </c>
    </row>
    <row r="87" spans="1:14" x14ac:dyDescent="0.25">
      <c r="A87" s="18" t="s">
        <v>49</v>
      </c>
      <c r="B87" s="18">
        <v>115</v>
      </c>
      <c r="C87" s="18">
        <v>7</v>
      </c>
      <c r="D87" s="18">
        <f t="shared" si="29"/>
        <v>5.1304347826086953</v>
      </c>
      <c r="E87" s="18">
        <v>590</v>
      </c>
      <c r="F87" s="18">
        <f t="shared" si="30"/>
        <v>6.0869565217391307E-2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29"/>
        <v>4.1304347826086953</v>
      </c>
      <c r="E88" s="18">
        <v>190</v>
      </c>
      <c r="F88" s="18">
        <f t="shared" si="30"/>
        <v>0.15217391304347827</v>
      </c>
      <c r="G88" s="32">
        <v>2.3731557327466102</v>
      </c>
    </row>
    <row r="89" spans="1:14" x14ac:dyDescent="0.25">
      <c r="A89" t="s">
        <v>230</v>
      </c>
      <c r="B89">
        <v>25</v>
      </c>
      <c r="C89">
        <v>4</v>
      </c>
      <c r="D89">
        <f t="shared" si="29"/>
        <v>4.72</v>
      </c>
      <c r="E89">
        <v>118</v>
      </c>
      <c r="F89">
        <f t="shared" si="30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29"/>
        <v>4.1428571428571432</v>
      </c>
      <c r="E90" s="18">
        <v>116</v>
      </c>
      <c r="F90" s="18">
        <f t="shared" si="30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29"/>
        <v>5.4545454545454541</v>
      </c>
      <c r="E91" s="18">
        <v>120</v>
      </c>
      <c r="F91" s="18">
        <f t="shared" si="30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2026-02-13T18:41:20Z</dcterms:modified>
</cp:coreProperties>
</file>