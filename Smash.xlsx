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D4A33A5D-FA42-4018-BA48-68586995445D}" xr6:coauthVersionLast="47" xr6:coauthVersionMax="47" xr10:uidLastSave="{00000000-0000-0000-0000-000000000000}"/>
  <bookViews>
    <workbookView xWindow="8805" yWindow="4755" windowWidth="28800" windowHeight="15345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" i="10" l="1"/>
  <c r="L27" i="10"/>
  <c r="N15" i="10"/>
  <c r="L15" i="10"/>
  <c r="N29" i="10"/>
  <c r="L29" i="10"/>
  <c r="N60" i="10"/>
  <c r="L60" i="10"/>
  <c r="N52" i="10"/>
  <c r="L52" i="10"/>
  <c r="N43" i="10"/>
  <c r="L43" i="10"/>
  <c r="N51" i="10"/>
  <c r="L51" i="10"/>
  <c r="N79" i="10"/>
  <c r="L79" i="10"/>
  <c r="N48" i="10"/>
  <c r="L48" i="10"/>
  <c r="N58" i="10"/>
  <c r="L58" i="10"/>
  <c r="N69" i="10"/>
  <c r="L69" i="10"/>
  <c r="N37" i="10"/>
  <c r="L37" i="10"/>
  <c r="N46" i="10"/>
  <c r="L46" i="10"/>
  <c r="N77" i="10"/>
  <c r="L77" i="10"/>
  <c r="N59" i="10"/>
  <c r="L59" i="10"/>
  <c r="N17" i="10"/>
  <c r="L17" i="10"/>
  <c r="N44" i="10"/>
  <c r="L44" i="10"/>
  <c r="N24" i="10"/>
  <c r="L24" i="10"/>
  <c r="N81" i="10" l="1"/>
  <c r="L81" i="10"/>
  <c r="N80" i="10"/>
  <c r="L80" i="10"/>
  <c r="N36" i="10"/>
  <c r="L36" i="10"/>
  <c r="N14" i="10"/>
  <c r="L14" i="10"/>
  <c r="N31" i="10"/>
  <c r="L31" i="10"/>
  <c r="N66" i="10"/>
  <c r="L66" i="10"/>
  <c r="N35" i="10"/>
  <c r="L35" i="10"/>
  <c r="L54" i="10"/>
  <c r="N54" i="10"/>
  <c r="N57" i="10"/>
  <c r="L57" i="10"/>
  <c r="N42" i="10"/>
  <c r="L42" i="10"/>
  <c r="N13" i="10"/>
  <c r="L13" i="10"/>
  <c r="N28" i="10"/>
  <c r="L28" i="10"/>
  <c r="N71" i="10" l="1"/>
  <c r="L71" i="10"/>
  <c r="N16" i="10"/>
  <c r="L16" i="10"/>
  <c r="N82" i="10"/>
  <c r="L82" i="10"/>
  <c r="N23" i="10"/>
  <c r="L23" i="10"/>
  <c r="N78" i="10"/>
  <c r="L78" i="10"/>
  <c r="N50" i="10"/>
  <c r="L50" i="10"/>
  <c r="N32" i="10"/>
  <c r="L32" i="10"/>
  <c r="L26" i="10"/>
  <c r="N26" i="10"/>
  <c r="N76" i="10"/>
  <c r="L76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U16" i="11" l="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3" i="10"/>
  <c r="N53" i="10"/>
  <c r="N65" i="10"/>
  <c r="L65" i="10"/>
  <c r="N56" i="10"/>
  <c r="L56" i="10"/>
  <c r="N47" i="10"/>
  <c r="L47" i="10"/>
  <c r="N45" i="10"/>
  <c r="L45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8" i="10"/>
  <c r="L68" i="10"/>
  <c r="N61" i="10"/>
  <c r="L61" i="10"/>
  <c r="N64" i="10"/>
  <c r="L64" i="10"/>
  <c r="N72" i="10"/>
  <c r="L72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9" i="10"/>
  <c r="L39" i="10"/>
  <c r="N74" i="10"/>
  <c r="L74" i="10"/>
  <c r="N67" i="10"/>
  <c r="L67" i="10"/>
  <c r="N41" i="10"/>
  <c r="L41" i="10"/>
  <c r="N25" i="10"/>
  <c r="L25" i="10"/>
  <c r="N49" i="10"/>
  <c r="L49" i="10"/>
  <c r="N33" i="10"/>
  <c r="L33" i="10"/>
  <c r="N73" i="10"/>
  <c r="L73" i="10"/>
  <c r="N34" i="10"/>
  <c r="L34" i="10"/>
  <c r="N40" i="10"/>
  <c r="L40" i="10"/>
  <c r="N70" i="10"/>
  <c r="L70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5" i="10"/>
  <c r="L55" i="10"/>
  <c r="N62" i="10"/>
  <c r="L62" i="10"/>
  <c r="N30" i="10"/>
  <c r="L30" i="10"/>
  <c r="N18" i="10"/>
  <c r="L18" i="10"/>
  <c r="N38" i="10"/>
  <c r="L38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3" i="10"/>
  <c r="L63" i="10"/>
  <c r="N75" i="10"/>
  <c r="L75" i="10"/>
  <c r="N83" i="10"/>
  <c r="L83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<sst xmlns="http://schemas.openxmlformats.org/spreadsheetml/2006/main" count="15059" uniqueCount="554">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</sst>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60"/>
  <sheetViews>
    <sheetView topLeftCell="D226" zoomScaleNormal="100" workbookViewId="0">
      <selection activeCell="J252" sqref="J252:P26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</row>
    <row r="257" spans="10:16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</row>
    <row r="258" spans="10:16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</row>
    <row r="259" spans="10:16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</row>
    <row r="260" spans="10:16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tabSelected="1" zoomScaleNormal="100" workbookViewId="0">
      <selection activeCell="C3" sqref="C3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XFD1" s="1"/>
    </row>
    <row r="2" spans="1:19 16384:16384" x14ac:dyDescent="0.25">
      <c r="A2" t="s">
        <v>1</v>
      </c>
      <c r="B2" t="s">
        <v>552</v>
      </c>
    </row>
    <row r="3" spans="1:19 16384:16384" x14ac:dyDescent="0.25">
      <c r="A3" t="s">
        <v>122</v>
      </c>
      <c r="B3" t="s">
        <v>232</v>
      </c>
    </row>
    <row r="4" spans="1:19 16384:16384" x14ac:dyDescent="0.25">
      <c r="A4" t="s">
        <v>232</v>
      </c>
      <c r="B4" t="s">
        <v>553</v>
      </c>
    </row>
    <row r="5" spans="1:19 16384:16384" x14ac:dyDescent="0.25">
      <c r="A5" t="s">
        <v>148</v>
      </c>
      <c r="B5" t="s">
        <v>148</v>
      </c>
    </row>
    <row r="6" spans="1:19 16384:16384" x14ac:dyDescent="0.25">
      <c r="A6" t="s">
        <v>175</v>
      </c>
      <c r="B6" t="s">
        <v>87</v>
      </c>
    </row>
    <row r="7" spans="1:19 16384:16384" x14ac:dyDescent="0.25">
      <c r="A7" t="s">
        <v>25</v>
      </c>
      <c r="B7" t="s">
        <v>124</v>
      </c>
    </row>
    <row r="8" spans="1:19 16384:16384" x14ac:dyDescent="0.25">
      <c r="A8" t="s">
        <v>31</v>
      </c>
      <c r="B8" t="s">
        <v>31</v>
      </c>
    </row>
    <row r="9" spans="1:19 16384:16384" x14ac:dyDescent="0.25">
      <c r="A9" t="s">
        <v>87</v>
      </c>
      <c r="B9" t="s">
        <v>25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24</v>
      </c>
      <c r="C13" s="18">
        <v>2</v>
      </c>
      <c r="D13" s="18">
        <f t="shared" ref="D13:D72" si="0">E13/B13</f>
        <v>4.083333333333333</v>
      </c>
      <c r="E13" s="18">
        <v>98</v>
      </c>
      <c r="F13" s="18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93</v>
      </c>
      <c r="C14" s="18">
        <v>6</v>
      </c>
      <c r="D14" s="18">
        <f t="shared" si="0"/>
        <v>4.268817204301075</v>
      </c>
      <c r="E14" s="18">
        <v>397</v>
      </c>
      <c r="F14" s="18">
        <f t="shared" si="1"/>
        <v>6.4516129032258063E-2</v>
      </c>
      <c r="G14" s="32">
        <v>2.3273733406281498</v>
      </c>
      <c r="I14" s="18" t="s">
        <v>104</v>
      </c>
      <c r="J14" s="18">
        <v>93</v>
      </c>
      <c r="K14" s="18">
        <v>6</v>
      </c>
      <c r="L14" s="18">
        <f t="shared" si="2"/>
        <v>4.268817204301075</v>
      </c>
      <c r="M14" s="18">
        <v>397</v>
      </c>
      <c r="N14" s="18">
        <f t="shared" si="3"/>
        <v>6.4516129032258063E-2</v>
      </c>
      <c r="S14" s="18" t="s">
        <v>392</v>
      </c>
    </row>
    <row r="15" spans="1:19 16384:16384" x14ac:dyDescent="0.25">
      <c r="A15" s="18" t="s">
        <v>31</v>
      </c>
      <c r="B15" s="18">
        <v>171</v>
      </c>
      <c r="C15" s="18">
        <v>12</v>
      </c>
      <c r="D15" s="18">
        <f t="shared" si="0"/>
        <v>5.2982456140350873</v>
      </c>
      <c r="E15" s="18">
        <v>906</v>
      </c>
      <c r="F15" s="18">
        <f t="shared" si="1"/>
        <v>7.0175438596491224E-2</v>
      </c>
      <c r="G15" s="32">
        <v>1.87082869338697</v>
      </c>
      <c r="I15" s="18" t="s">
        <v>31</v>
      </c>
      <c r="J15" s="18">
        <v>171</v>
      </c>
      <c r="K15" s="18">
        <v>12</v>
      </c>
      <c r="L15" s="18">
        <f t="shared" si="2"/>
        <v>5.2982456140350873</v>
      </c>
      <c r="M15" s="18">
        <v>906</v>
      </c>
      <c r="N15" s="18">
        <f t="shared" si="3"/>
        <v>7.0175438596491224E-2</v>
      </c>
      <c r="S15" s="18" t="s">
        <v>392</v>
      </c>
    </row>
    <row r="16" spans="1:19 16384:16384" x14ac:dyDescent="0.25">
      <c r="A16" s="18" t="s">
        <v>105</v>
      </c>
      <c r="B16" s="18">
        <v>22</v>
      </c>
      <c r="C16" s="18">
        <v>1</v>
      </c>
      <c r="D16" s="18">
        <f t="shared" si="0"/>
        <v>4.9090909090909092</v>
      </c>
      <c r="E16" s="18">
        <v>108</v>
      </c>
      <c r="F16" s="18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100</v>
      </c>
      <c r="C17" s="18">
        <v>31</v>
      </c>
      <c r="D17" s="18">
        <f t="shared" si="0"/>
        <v>3.23</v>
      </c>
      <c r="E17" s="18">
        <v>323</v>
      </c>
      <c r="F17" s="18">
        <f t="shared" si="1"/>
        <v>0.31</v>
      </c>
      <c r="G17" s="32">
        <v>2.03049835952651</v>
      </c>
      <c r="I17" s="18" t="s">
        <v>128</v>
      </c>
      <c r="J17" s="18">
        <v>100</v>
      </c>
      <c r="K17" s="18">
        <v>31</v>
      </c>
      <c r="L17" s="18">
        <f t="shared" si="4"/>
        <v>3.23</v>
      </c>
      <c r="M17" s="18">
        <v>323</v>
      </c>
      <c r="N17" s="18">
        <f t="shared" si="5"/>
        <v>0.31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27</v>
      </c>
      <c r="C23" s="18">
        <v>3</v>
      </c>
      <c r="D23" s="18">
        <f t="shared" si="0"/>
        <v>5.0370370370370372</v>
      </c>
      <c r="E23" s="18">
        <v>136</v>
      </c>
      <c r="F23" s="18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138</v>
      </c>
      <c r="C27" s="18">
        <v>11</v>
      </c>
      <c r="D27" s="18">
        <f t="shared" si="0"/>
        <v>5.0144927536231885</v>
      </c>
      <c r="E27" s="18">
        <v>692</v>
      </c>
      <c r="F27" s="18">
        <f t="shared" si="1"/>
        <v>7.9710144927536225E-2</v>
      </c>
      <c r="G27" s="32">
        <v>2.1609054109613202</v>
      </c>
      <c r="I27" s="18" t="s">
        <v>25</v>
      </c>
      <c r="J27" s="18">
        <v>138</v>
      </c>
      <c r="K27" s="18">
        <v>11</v>
      </c>
      <c r="L27" s="18">
        <f t="shared" ref="L27" si="8">M27/J27</f>
        <v>5.0144927536231885</v>
      </c>
      <c r="M27" s="18">
        <v>692</v>
      </c>
      <c r="N27" s="18">
        <f t="shared" ref="N27" si="9">K27/J27</f>
        <v>7.9710144927536225E-2</v>
      </c>
      <c r="S27" s="18" t="s">
        <v>392</v>
      </c>
    </row>
    <row r="28" spans="1:27" x14ac:dyDescent="0.25">
      <c r="A28" t="s">
        <v>34</v>
      </c>
      <c r="B28">
        <v>19</v>
      </c>
      <c r="C28">
        <v>1</v>
      </c>
      <c r="D28">
        <f t="shared" si="0"/>
        <v>5.7894736842105265</v>
      </c>
      <c r="E28">
        <v>110</v>
      </c>
      <c r="F28">
        <f t="shared" si="1"/>
        <v>5.2631578947368418E-2</v>
      </c>
      <c r="G28" s="32">
        <v>2.2360679774997898</v>
      </c>
      <c r="I28" s="18" t="s">
        <v>147</v>
      </c>
      <c r="J28" s="18">
        <v>108</v>
      </c>
      <c r="K28" s="18">
        <v>20</v>
      </c>
      <c r="L28" s="18">
        <f t="shared" ref="L28:L29" si="10">M28/J28</f>
        <v>3.7314814814814814</v>
      </c>
      <c r="M28" s="18">
        <v>403</v>
      </c>
      <c r="N28" s="18">
        <f t="shared" ref="N28:N29" si="11">K28/J28</f>
        <v>0.18518518518518517</v>
      </c>
      <c r="S28" s="18" t="s">
        <v>392</v>
      </c>
    </row>
    <row r="29" spans="1:27" x14ac:dyDescent="0.25">
      <c r="A29" s="18" t="s">
        <v>147</v>
      </c>
      <c r="B29" s="18">
        <v>108</v>
      </c>
      <c r="C29" s="18">
        <v>20</v>
      </c>
      <c r="D29" s="18">
        <f t="shared" si="0"/>
        <v>3.7314814814814814</v>
      </c>
      <c r="E29" s="18">
        <v>403</v>
      </c>
      <c r="F29" s="18">
        <f t="shared" si="1"/>
        <v>0.18518518518518517</v>
      </c>
      <c r="G29" s="32">
        <v>1.94935886896179</v>
      </c>
      <c r="I29" s="18" t="s">
        <v>87</v>
      </c>
      <c r="J29" s="18">
        <v>98</v>
      </c>
      <c r="K29" s="18">
        <v>14</v>
      </c>
      <c r="L29" s="18">
        <f t="shared" si="10"/>
        <v>4.8265306122448983</v>
      </c>
      <c r="M29" s="18">
        <v>473</v>
      </c>
      <c r="N29" s="18">
        <f t="shared" si="11"/>
        <v>0.14285714285714285</v>
      </c>
    </row>
    <row r="30" spans="1:27" x14ac:dyDescent="0.25">
      <c r="A30" s="18" t="s">
        <v>87</v>
      </c>
      <c r="B30" s="18">
        <v>98</v>
      </c>
      <c r="C30" s="18">
        <v>14</v>
      </c>
      <c r="D30" s="18">
        <f t="shared" si="0"/>
        <v>4.8265306122448983</v>
      </c>
      <c r="E30" s="18">
        <v>473</v>
      </c>
      <c r="F30" s="18">
        <f t="shared" si="1"/>
        <v>0.14285714285714285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2">M30/J30</f>
        <v>4.25</v>
      </c>
      <c r="M30" s="18">
        <v>85</v>
      </c>
      <c r="N30" s="18">
        <f t="shared" ref="N30:N31" si="13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61</v>
      </c>
      <c r="K31" s="18">
        <v>4</v>
      </c>
      <c r="L31" s="18">
        <f t="shared" si="12"/>
        <v>5.081967213114754</v>
      </c>
      <c r="M31" s="18">
        <v>310</v>
      </c>
      <c r="N31" s="18">
        <f t="shared" si="13"/>
        <v>6.5573770491803282E-2</v>
      </c>
      <c r="S31" s="18" t="s">
        <v>392</v>
      </c>
    </row>
    <row r="32" spans="1:27" x14ac:dyDescent="0.25">
      <c r="A32" s="18" t="s">
        <v>81</v>
      </c>
      <c r="B32" s="18">
        <v>61</v>
      </c>
      <c r="C32" s="18">
        <v>4</v>
      </c>
      <c r="D32" s="18">
        <f t="shared" si="0"/>
        <v>5.081967213114754</v>
      </c>
      <c r="E32" s="18">
        <v>310</v>
      </c>
      <c r="F32" s="18">
        <f t="shared" si="1"/>
        <v>6.5573770491803282E-2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4">M32/J32</f>
        <v>4.5</v>
      </c>
      <c r="M32" s="18">
        <v>90</v>
      </c>
      <c r="N32" s="18">
        <f t="shared" ref="N32" si="15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117</v>
      </c>
      <c r="J35" s="18">
        <v>21</v>
      </c>
      <c r="K35" s="18">
        <v>3</v>
      </c>
      <c r="L35" s="18">
        <f t="shared" ref="L35:L37" si="16">M35/J35</f>
        <v>4.2857142857142856</v>
      </c>
      <c r="M35" s="18">
        <v>90</v>
      </c>
      <c r="N35" s="18">
        <f t="shared" ref="N35:N37" si="17">K35/J35</f>
        <v>0.14285714285714285</v>
      </c>
    </row>
    <row r="36" spans="1:19" x14ac:dyDescent="0.25">
      <c r="A36" s="18" t="s">
        <v>117</v>
      </c>
      <c r="B36" s="18">
        <v>21</v>
      </c>
      <c r="C36" s="18">
        <v>3</v>
      </c>
      <c r="D36" s="18">
        <f t="shared" si="0"/>
        <v>4.2857142857142856</v>
      </c>
      <c r="E36" s="18">
        <v>90</v>
      </c>
      <c r="F36" s="18">
        <f t="shared" si="1"/>
        <v>0.14285714285714285</v>
      </c>
      <c r="G36" s="32">
        <v>2.7284509239574799</v>
      </c>
      <c r="I36" s="18" t="s">
        <v>401</v>
      </c>
      <c r="J36" s="18">
        <v>59</v>
      </c>
      <c r="K36" s="18">
        <v>3</v>
      </c>
      <c r="L36" s="18">
        <f t="shared" si="16"/>
        <v>5.6271186440677967</v>
      </c>
      <c r="M36" s="18">
        <v>332</v>
      </c>
      <c r="N36" s="18">
        <f t="shared" si="17"/>
        <v>5.0847457627118647E-2</v>
      </c>
      <c r="S36">
        <v>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15</v>
      </c>
      <c r="J37" s="18">
        <v>226</v>
      </c>
      <c r="K37" s="18">
        <v>35</v>
      </c>
      <c r="L37" s="18">
        <f t="shared" si="16"/>
        <v>4.5309734513274336</v>
      </c>
      <c r="M37" s="18">
        <v>1024</v>
      </c>
      <c r="N37" s="18">
        <f t="shared" si="17"/>
        <v>0.15486725663716813</v>
      </c>
      <c r="S37" s="18" t="s">
        <v>392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13</v>
      </c>
      <c r="J38" s="18">
        <v>36</v>
      </c>
      <c r="K38" s="18">
        <v>2</v>
      </c>
      <c r="L38" s="18">
        <f t="shared" ref="L38:L40" si="18">M38/J38</f>
        <v>4.7222222222222223</v>
      </c>
      <c r="M38" s="18">
        <v>170</v>
      </c>
      <c r="N38" s="18">
        <f t="shared" ref="N38:N40" si="19">K38/J38</f>
        <v>5.5555555555555552E-2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10</v>
      </c>
      <c r="J39" s="18">
        <v>66</v>
      </c>
      <c r="K39" s="18">
        <v>13</v>
      </c>
      <c r="L39" s="18">
        <f t="shared" si="18"/>
        <v>3.8787878787878789</v>
      </c>
      <c r="M39" s="18">
        <v>256</v>
      </c>
      <c r="N39" s="18">
        <f t="shared" si="19"/>
        <v>0.19696969696969696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63</v>
      </c>
      <c r="J40" s="18">
        <v>21</v>
      </c>
      <c r="K40" s="18">
        <v>3</v>
      </c>
      <c r="L40" s="18">
        <f t="shared" si="18"/>
        <v>4.2380952380952381</v>
      </c>
      <c r="M40" s="18">
        <v>89</v>
      </c>
      <c r="N40" s="18">
        <f t="shared" si="19"/>
        <v>0.14285714285714285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4</v>
      </c>
      <c r="J41" s="18">
        <v>20</v>
      </c>
      <c r="K41" s="18">
        <v>3</v>
      </c>
      <c r="L41" s="18">
        <f t="shared" ref="L41:L46" si="20">M41/J41</f>
        <v>4.95</v>
      </c>
      <c r="M41" s="18">
        <v>99</v>
      </c>
      <c r="N41" s="18">
        <f t="shared" ref="N41:N46" si="21">K41/J41</f>
        <v>0.15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121</v>
      </c>
      <c r="J42" s="18">
        <v>84</v>
      </c>
      <c r="K42" s="18">
        <v>19</v>
      </c>
      <c r="L42" s="18">
        <f t="shared" si="20"/>
        <v>3.9166666666666665</v>
      </c>
      <c r="M42" s="18">
        <v>329</v>
      </c>
      <c r="N42" s="18">
        <f t="shared" si="21"/>
        <v>0.22619047619047619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232</v>
      </c>
      <c r="J43" s="18">
        <v>90</v>
      </c>
      <c r="K43" s="18">
        <v>17</v>
      </c>
      <c r="L43" s="18">
        <f t="shared" si="20"/>
        <v>3.9555555555555557</v>
      </c>
      <c r="M43" s="18">
        <v>356</v>
      </c>
      <c r="N43" s="18">
        <f t="shared" si="21"/>
        <v>0.18888888888888888</v>
      </c>
      <c r="S43">
        <v>1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21</v>
      </c>
      <c r="J44" s="18">
        <v>141</v>
      </c>
      <c r="K44" s="18">
        <v>21</v>
      </c>
      <c r="L44" s="18">
        <f t="shared" si="20"/>
        <v>4.3900709219858154</v>
      </c>
      <c r="M44" s="18">
        <v>619</v>
      </c>
      <c r="N44" s="18">
        <f t="shared" si="21"/>
        <v>0.14893617021276595</v>
      </c>
      <c r="S44" s="18" t="s">
        <v>392</v>
      </c>
    </row>
    <row r="45" spans="1:19" x14ac:dyDescent="0.25">
      <c r="A45" s="18" t="s">
        <v>232</v>
      </c>
      <c r="B45" s="18">
        <v>90</v>
      </c>
      <c r="C45" s="18">
        <v>17</v>
      </c>
      <c r="D45" s="18">
        <f t="shared" si="0"/>
        <v>3.9555555555555557</v>
      </c>
      <c r="E45" s="18">
        <v>356</v>
      </c>
      <c r="F45" s="18">
        <f t="shared" si="1"/>
        <v>0.18888888888888888</v>
      </c>
      <c r="G45" s="32">
        <v>2.2509257354845502</v>
      </c>
      <c r="I45" s="18" t="s">
        <v>51</v>
      </c>
      <c r="J45" s="18">
        <v>37</v>
      </c>
      <c r="K45" s="18">
        <v>3</v>
      </c>
      <c r="L45" s="18">
        <f t="shared" si="20"/>
        <v>4.9189189189189193</v>
      </c>
      <c r="M45" s="18">
        <v>182</v>
      </c>
      <c r="N45" s="18">
        <f t="shared" si="21"/>
        <v>8.1081081081081086E-2</v>
      </c>
      <c r="S45" s="18" t="s">
        <v>392</v>
      </c>
    </row>
    <row r="46" spans="1:19" x14ac:dyDescent="0.25">
      <c r="A46" s="18" t="s">
        <v>21</v>
      </c>
      <c r="B46" s="18">
        <v>141</v>
      </c>
      <c r="C46" s="18">
        <v>21</v>
      </c>
      <c r="D46" s="18">
        <f t="shared" si="0"/>
        <v>4.3900709219858154</v>
      </c>
      <c r="E46" s="18">
        <v>619</v>
      </c>
      <c r="F46" s="18">
        <f t="shared" si="1"/>
        <v>0.14893617021276595</v>
      </c>
      <c r="G46" s="32">
        <v>2.0655911179772799</v>
      </c>
      <c r="I46" s="18" t="s">
        <v>414</v>
      </c>
      <c r="J46" s="18">
        <v>21</v>
      </c>
      <c r="K46" s="18">
        <v>2</v>
      </c>
      <c r="L46" s="18">
        <f t="shared" si="20"/>
        <v>4.7619047619047619</v>
      </c>
      <c r="M46" s="18">
        <v>100</v>
      </c>
      <c r="N46" s="18">
        <f t="shared" si="21"/>
        <v>9.5238095238095233E-2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0</v>
      </c>
      <c r="J47" s="18">
        <v>84</v>
      </c>
      <c r="K47" s="18">
        <v>14</v>
      </c>
      <c r="L47" s="18">
        <f>M47/J47</f>
        <v>4.1547619047619051</v>
      </c>
      <c r="M47" s="18">
        <v>349</v>
      </c>
      <c r="N47" s="18">
        <f>K47/J47</f>
        <v>0.16666666666666666</v>
      </c>
      <c r="S47" s="18" t="s">
        <v>392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1</v>
      </c>
      <c r="J48" s="18">
        <v>95</v>
      </c>
      <c r="K48" s="18">
        <v>5</v>
      </c>
      <c r="L48" s="18">
        <f t="shared" ref="L48" si="22">M48/J48</f>
        <v>4.6105263157894738</v>
      </c>
      <c r="M48" s="18">
        <v>438</v>
      </c>
      <c r="N48" s="18">
        <f t="shared" ref="N48" si="23">K48/J48</f>
        <v>5.2631578947368418E-2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28</v>
      </c>
      <c r="J49" s="18">
        <v>20</v>
      </c>
      <c r="K49" s="18">
        <v>0</v>
      </c>
      <c r="L49" s="18">
        <f t="shared" ref="L49:L52" si="24">M49/J49</f>
        <v>5.65</v>
      </c>
      <c r="M49" s="18">
        <v>113</v>
      </c>
      <c r="N49" s="18">
        <f t="shared" ref="N49:N52" si="25">K49/J49</f>
        <v>0</v>
      </c>
    </row>
    <row r="50" spans="1:26" x14ac:dyDescent="0.25">
      <c r="A50" s="18" t="s">
        <v>1</v>
      </c>
      <c r="B50" s="18">
        <v>95</v>
      </c>
      <c r="C50" s="18">
        <v>5</v>
      </c>
      <c r="D50" s="18">
        <f t="shared" si="0"/>
        <v>4.6105263157894738</v>
      </c>
      <c r="E50" s="18">
        <v>438</v>
      </c>
      <c r="F50" s="18">
        <f t="shared" si="1"/>
        <v>5.2631578947368418E-2</v>
      </c>
      <c r="G50" s="32">
        <v>2.0412414523193099</v>
      </c>
      <c r="I50" s="18" t="s">
        <v>253</v>
      </c>
      <c r="J50" s="18">
        <v>30</v>
      </c>
      <c r="K50" s="18">
        <v>1</v>
      </c>
      <c r="L50" s="18">
        <f t="shared" si="24"/>
        <v>5.333333333333333</v>
      </c>
      <c r="M50" s="18">
        <v>160</v>
      </c>
      <c r="N50" s="18">
        <f t="shared" si="25"/>
        <v>3.3333333333333333E-2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175</v>
      </c>
      <c r="J51" s="18">
        <v>38</v>
      </c>
      <c r="K51" s="18">
        <v>9</v>
      </c>
      <c r="L51" s="18">
        <f t="shared" si="24"/>
        <v>3.236842105263158</v>
      </c>
      <c r="M51" s="18">
        <v>123</v>
      </c>
      <c r="N51" s="18">
        <f t="shared" si="25"/>
        <v>0.23684210526315788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61</v>
      </c>
      <c r="J52" s="18">
        <v>32</v>
      </c>
      <c r="K52" s="18">
        <v>7</v>
      </c>
      <c r="L52" s="18">
        <f t="shared" si="24"/>
        <v>4.71875</v>
      </c>
      <c r="M52" s="18">
        <v>151</v>
      </c>
      <c r="N52" s="18">
        <f t="shared" si="25"/>
        <v>0.21875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115</v>
      </c>
      <c r="J53" s="18">
        <v>39</v>
      </c>
      <c r="K53" s="18">
        <v>3</v>
      </c>
      <c r="L53" s="18">
        <f t="shared" ref="L53:L54" si="26">M53/J53</f>
        <v>4.384615384615385</v>
      </c>
      <c r="M53" s="18">
        <v>171</v>
      </c>
      <c r="N53" s="18">
        <f t="shared" ref="N53:N54" si="27">K53/J53</f>
        <v>7.6923076923076927E-2</v>
      </c>
    </row>
    <row r="54" spans="1:26" x14ac:dyDescent="0.25">
      <c r="A54" s="18" t="s">
        <v>61</v>
      </c>
      <c r="B54" s="18">
        <v>32</v>
      </c>
      <c r="C54" s="18">
        <v>7</v>
      </c>
      <c r="D54" s="18">
        <f t="shared" si="0"/>
        <v>4.71875</v>
      </c>
      <c r="E54" s="18">
        <v>151</v>
      </c>
      <c r="F54" s="18">
        <f t="shared" si="1"/>
        <v>0.21875</v>
      </c>
      <c r="G54" s="32">
        <v>3.2403703492039302</v>
      </c>
      <c r="I54" s="18" t="s">
        <v>24</v>
      </c>
      <c r="J54" s="18">
        <v>96</v>
      </c>
      <c r="K54" s="18">
        <v>11</v>
      </c>
      <c r="L54" s="18">
        <f t="shared" si="26"/>
        <v>4.5</v>
      </c>
      <c r="M54" s="18">
        <v>432</v>
      </c>
      <c r="N54" s="18">
        <f t="shared" si="27"/>
        <v>0.11458333333333333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116</v>
      </c>
      <c r="J55" s="18">
        <v>20</v>
      </c>
      <c r="K55" s="18">
        <v>4</v>
      </c>
      <c r="L55" s="18">
        <f t="shared" ref="L55:L60" si="28">M55/J55</f>
        <v>4.05</v>
      </c>
      <c r="M55" s="18">
        <v>81</v>
      </c>
      <c r="N55" s="18">
        <f t="shared" ref="N55:N60" si="29">K55/J55</f>
        <v>0.2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5</v>
      </c>
      <c r="J56" s="18">
        <v>23</v>
      </c>
      <c r="K56" s="18">
        <v>1</v>
      </c>
      <c r="L56" s="18">
        <f t="shared" si="28"/>
        <v>4.6086956521739131</v>
      </c>
      <c r="M56" s="18">
        <v>106</v>
      </c>
      <c r="N56" s="18">
        <f t="shared" si="29"/>
        <v>4.3478260869565216E-2</v>
      </c>
    </row>
    <row r="57" spans="1:26" x14ac:dyDescent="0.25">
      <c r="A57" s="18" t="s">
        <v>24</v>
      </c>
      <c r="B57" s="18">
        <v>96</v>
      </c>
      <c r="C57" s="18">
        <v>11</v>
      </c>
      <c r="D57" s="18">
        <f t="shared" si="0"/>
        <v>4.5</v>
      </c>
      <c r="E57" s="18">
        <v>432</v>
      </c>
      <c r="F57" s="18">
        <f t="shared" si="1"/>
        <v>0.11458333333333333</v>
      </c>
      <c r="G57" s="32">
        <v>2.26909243703399</v>
      </c>
      <c r="I57" s="18" t="s">
        <v>58</v>
      </c>
      <c r="J57" s="18">
        <v>24</v>
      </c>
      <c r="K57" s="18">
        <v>4</v>
      </c>
      <c r="L57" s="18">
        <f t="shared" si="28"/>
        <v>3.8333333333333335</v>
      </c>
      <c r="M57" s="18">
        <v>92</v>
      </c>
      <c r="N57" s="18">
        <f t="shared" si="29"/>
        <v>0.16666666666666666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30</v>
      </c>
      <c r="J58" s="18">
        <v>48</v>
      </c>
      <c r="K58" s="18">
        <v>3</v>
      </c>
      <c r="L58" s="18">
        <f t="shared" si="28"/>
        <v>5.083333333333333</v>
      </c>
      <c r="M58" s="18">
        <v>244</v>
      </c>
      <c r="N58" s="18">
        <f t="shared" si="29"/>
        <v>6.25E-2</v>
      </c>
      <c r="S58" s="18" t="s">
        <v>392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29</v>
      </c>
      <c r="J59" s="18">
        <v>107</v>
      </c>
      <c r="K59" s="18">
        <v>16</v>
      </c>
      <c r="L59" s="18">
        <f t="shared" si="28"/>
        <v>3.9252336448598131</v>
      </c>
      <c r="M59" s="18">
        <v>420</v>
      </c>
      <c r="N59" s="18">
        <f t="shared" si="29"/>
        <v>0.14953271028037382</v>
      </c>
      <c r="S59" s="18">
        <v>1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148</v>
      </c>
      <c r="J60" s="18">
        <v>41</v>
      </c>
      <c r="K60" s="18">
        <v>8</v>
      </c>
      <c r="L60" s="18">
        <f t="shared" si="28"/>
        <v>3.7560975609756095</v>
      </c>
      <c r="M60" s="18">
        <v>154</v>
      </c>
      <c r="N60" s="18">
        <f t="shared" si="29"/>
        <v>0.1951219512195122</v>
      </c>
      <c r="S60" s="18" t="s">
        <v>392</v>
      </c>
    </row>
    <row r="61" spans="1:26" x14ac:dyDescent="0.25">
      <c r="A61" s="18" t="s">
        <v>30</v>
      </c>
      <c r="B61" s="18">
        <v>48</v>
      </c>
      <c r="C61" s="18">
        <v>3</v>
      </c>
      <c r="D61" s="18">
        <f t="shared" si="0"/>
        <v>5.083333333333333</v>
      </c>
      <c r="E61" s="18">
        <v>244</v>
      </c>
      <c r="F61" s="18">
        <f t="shared" si="1"/>
        <v>6.25E-2</v>
      </c>
      <c r="G61" s="32">
        <v>2.5226248955475601</v>
      </c>
      <c r="I61" s="18" t="s">
        <v>9</v>
      </c>
      <c r="J61" s="18">
        <v>20</v>
      </c>
      <c r="K61" s="18">
        <v>2</v>
      </c>
      <c r="L61" s="18">
        <f t="shared" ref="L61" si="30">M61/J61</f>
        <v>4.1500000000000004</v>
      </c>
      <c r="M61" s="18">
        <v>83</v>
      </c>
      <c r="N61" s="18">
        <f t="shared" ref="N61" si="31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107</v>
      </c>
      <c r="C62" s="18">
        <v>16</v>
      </c>
      <c r="D62" s="18">
        <f t="shared" si="0"/>
        <v>3.9252336448598131</v>
      </c>
      <c r="E62" s="18">
        <v>420</v>
      </c>
      <c r="F62" s="18">
        <f t="shared" si="1"/>
        <v>0.14953271028037382</v>
      </c>
      <c r="G62" s="32">
        <v>2.0875571218153701</v>
      </c>
      <c r="I62" s="18" t="s">
        <v>139</v>
      </c>
      <c r="J62" s="18">
        <v>20</v>
      </c>
      <c r="K62" s="18">
        <v>2</v>
      </c>
      <c r="L62" s="18">
        <f t="shared" ref="L62" si="32">M62/J62</f>
        <v>4.3</v>
      </c>
      <c r="M62" s="18">
        <v>86</v>
      </c>
      <c r="N62" s="18">
        <f t="shared" ref="N62" si="33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t="s">
        <v>428</v>
      </c>
      <c r="J63">
        <v>21</v>
      </c>
      <c r="K63">
        <v>0</v>
      </c>
      <c r="L63">
        <f>M63/J63</f>
        <v>4.6190476190476186</v>
      </c>
      <c r="M63">
        <v>97</v>
      </c>
      <c r="N63">
        <f>K63/J63</f>
        <v>0</v>
      </c>
      <c r="S63" s="18" t="s">
        <v>392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17</v>
      </c>
      <c r="J64" s="18">
        <v>20</v>
      </c>
      <c r="K64" s="18">
        <v>2</v>
      </c>
      <c r="L64" s="18">
        <f t="shared" ref="L64:L66" si="34">M64/J64</f>
        <v>5.25</v>
      </c>
      <c r="M64" s="18">
        <v>105</v>
      </c>
      <c r="N64" s="18">
        <f t="shared" ref="N64:N66" si="35">K64/J64</f>
        <v>0.1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79</v>
      </c>
      <c r="J65" s="18">
        <v>54</v>
      </c>
      <c r="K65" s="18">
        <v>6</v>
      </c>
      <c r="L65" s="18">
        <f t="shared" si="34"/>
        <v>4.6296296296296298</v>
      </c>
      <c r="M65" s="18">
        <v>250</v>
      </c>
      <c r="N65" s="18">
        <f t="shared" si="35"/>
        <v>0.1111111111111111</v>
      </c>
      <c r="S65" s="18" t="s">
        <v>392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123</v>
      </c>
      <c r="J66" s="18">
        <v>32</v>
      </c>
      <c r="K66" s="18">
        <v>4</v>
      </c>
      <c r="L66" s="18">
        <f t="shared" si="34"/>
        <v>4.59375</v>
      </c>
      <c r="M66" s="18">
        <v>147</v>
      </c>
      <c r="N66" s="18">
        <f t="shared" si="35"/>
        <v>0.125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</v>
      </c>
      <c r="J67" s="18">
        <v>20</v>
      </c>
      <c r="K67" s="18">
        <v>0</v>
      </c>
      <c r="L67" s="18">
        <f t="shared" ref="L67" si="36">M67/J67</f>
        <v>4.75</v>
      </c>
      <c r="M67" s="18">
        <v>95</v>
      </c>
      <c r="N67" s="18">
        <f t="shared" ref="N67" si="37">K67/J67</f>
        <v>0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404</v>
      </c>
      <c r="J68" s="18">
        <v>20</v>
      </c>
      <c r="K68" s="18">
        <v>2</v>
      </c>
      <c r="L68" s="18">
        <f>M68/J68</f>
        <v>5.25</v>
      </c>
      <c r="M68" s="18">
        <v>105</v>
      </c>
      <c r="N68" s="18">
        <f>K68/J68</f>
        <v>0.1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22</v>
      </c>
      <c r="J69" s="18">
        <v>182</v>
      </c>
      <c r="K69" s="18">
        <v>30</v>
      </c>
      <c r="L69" s="18">
        <f>M69/J69</f>
        <v>4.104395604395604</v>
      </c>
      <c r="M69" s="18">
        <v>747</v>
      </c>
      <c r="N69" s="18">
        <f>K69/J69</f>
        <v>0.16483516483516483</v>
      </c>
      <c r="S69" s="18" t="s">
        <v>392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33</v>
      </c>
      <c r="J70" s="18">
        <v>64</v>
      </c>
      <c r="K70" s="18">
        <v>4</v>
      </c>
      <c r="L70" s="18">
        <f t="shared" ref="L70" si="38">M70/J70</f>
        <v>5.515625</v>
      </c>
      <c r="M70" s="18">
        <v>353</v>
      </c>
      <c r="N70" s="18">
        <f t="shared" ref="N70" si="39">K70/J70</f>
        <v>6.25E-2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110</v>
      </c>
      <c r="J71">
        <v>20</v>
      </c>
      <c r="K71">
        <v>1</v>
      </c>
      <c r="L71">
        <f>M71/J71</f>
        <v>5.15</v>
      </c>
      <c r="M71">
        <v>103</v>
      </c>
      <c r="N71">
        <f>K71/J71</f>
        <v>0.05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82</v>
      </c>
      <c r="J72" s="18">
        <v>20</v>
      </c>
      <c r="K72" s="18">
        <v>0</v>
      </c>
      <c r="L72" s="18">
        <f t="shared" ref="L72" si="40">M72/J72</f>
        <v>5.15</v>
      </c>
      <c r="M72" s="18">
        <v>103</v>
      </c>
      <c r="N72" s="18">
        <f>K72/J72</f>
        <v>0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99</v>
      </c>
      <c r="J73" s="18">
        <v>20</v>
      </c>
      <c r="K73" s="18">
        <v>2</v>
      </c>
      <c r="L73" s="18">
        <f t="shared" ref="L73" si="41">M73/J73</f>
        <v>5.05</v>
      </c>
      <c r="M73" s="18">
        <v>101</v>
      </c>
      <c r="N73" s="18">
        <f t="shared" ref="N73" si="42">K73/J73</f>
        <v>0.1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7</v>
      </c>
      <c r="J74" s="18">
        <v>20</v>
      </c>
      <c r="K74" s="18">
        <v>4</v>
      </c>
      <c r="L74" s="18">
        <f t="shared" ref="L74" si="43">M74/J74</f>
        <v>4.0999999999999996</v>
      </c>
      <c r="M74" s="18">
        <v>82</v>
      </c>
      <c r="N74" s="18">
        <f t="shared" ref="N74" si="44">K74/J74</f>
        <v>0.2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t="s">
        <v>129</v>
      </c>
      <c r="J75">
        <v>40</v>
      </c>
      <c r="K75">
        <v>7</v>
      </c>
      <c r="L75">
        <f>M75/J75</f>
        <v>4.45</v>
      </c>
      <c r="M75">
        <v>178</v>
      </c>
      <c r="N75">
        <f>K75/J75</f>
        <v>0.17499999999999999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5">E76/B76</f>
        <v>5.15</v>
      </c>
      <c r="E76" s="18">
        <v>103</v>
      </c>
      <c r="F76" s="18">
        <f>C76/B76</f>
        <v>0</v>
      </c>
      <c r="G76" s="32">
        <v>2</v>
      </c>
      <c r="I76" s="18" t="s">
        <v>113</v>
      </c>
      <c r="J76" s="18">
        <v>20</v>
      </c>
      <c r="K76" s="18">
        <v>0</v>
      </c>
      <c r="L76" s="18">
        <f t="shared" ref="L76:L81" si="46">M76/J76</f>
        <v>4.3</v>
      </c>
      <c r="M76" s="18">
        <v>86</v>
      </c>
      <c r="N76" s="18">
        <f t="shared" ref="N76:N81" si="47">K76/J76</f>
        <v>0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5"/>
        <v>5.515625</v>
      </c>
      <c r="E77" s="18">
        <v>353</v>
      </c>
      <c r="F77" s="18">
        <f t="shared" ref="F77:F91" si="48">C77/B77</f>
        <v>6.25E-2</v>
      </c>
      <c r="G77" s="32">
        <v>2.14993539954627</v>
      </c>
      <c r="I77" s="18" t="s">
        <v>35</v>
      </c>
      <c r="J77" s="18">
        <v>148</v>
      </c>
      <c r="K77" s="18">
        <v>38</v>
      </c>
      <c r="L77" s="18">
        <f t="shared" si="46"/>
        <v>3.5405405405405403</v>
      </c>
      <c r="M77" s="18">
        <v>524</v>
      </c>
      <c r="N77" s="18">
        <f t="shared" si="47"/>
        <v>0.25675675675675674</v>
      </c>
      <c r="S77" s="18" t="s">
        <v>392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5"/>
        <v>5.05</v>
      </c>
      <c r="E78" s="18">
        <v>101</v>
      </c>
      <c r="F78" s="18">
        <f t="shared" si="48"/>
        <v>0.1</v>
      </c>
      <c r="G78" s="32">
        <v>2.6687491868330699</v>
      </c>
      <c r="I78" s="18" t="s">
        <v>26</v>
      </c>
      <c r="J78" s="18">
        <v>56</v>
      </c>
      <c r="K78" s="18">
        <v>4</v>
      </c>
      <c r="L78" s="18">
        <f t="shared" si="46"/>
        <v>5.1428571428571432</v>
      </c>
      <c r="M78" s="18">
        <v>288</v>
      </c>
      <c r="N78" s="18">
        <f t="shared" si="47"/>
        <v>7.1428571428571425E-2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5"/>
        <v>4.0999999999999996</v>
      </c>
      <c r="E79" s="18">
        <v>82</v>
      </c>
      <c r="F79" s="18">
        <f t="shared" si="48"/>
        <v>0.2</v>
      </c>
      <c r="G79" s="32">
        <v>2.7888667551135802</v>
      </c>
      <c r="I79" s="18" t="s">
        <v>122</v>
      </c>
      <c r="J79" s="18">
        <v>92</v>
      </c>
      <c r="K79" s="18">
        <v>9</v>
      </c>
      <c r="L79" s="18">
        <f t="shared" si="46"/>
        <v>4.2173913043478262</v>
      </c>
      <c r="M79" s="18">
        <v>388</v>
      </c>
      <c r="N79" s="18">
        <f t="shared" si="47"/>
        <v>9.7826086956521743E-2</v>
      </c>
      <c r="S79" s="18" t="s">
        <v>392</v>
      </c>
    </row>
    <row r="80" spans="1:19" x14ac:dyDescent="0.25">
      <c r="A80" t="s">
        <v>138</v>
      </c>
      <c r="B80">
        <v>5</v>
      </c>
      <c r="C80">
        <v>1</v>
      </c>
      <c r="D80">
        <f t="shared" si="45"/>
        <v>4</v>
      </c>
      <c r="E80">
        <v>20</v>
      </c>
      <c r="F80">
        <f t="shared" si="48"/>
        <v>0.2</v>
      </c>
      <c r="G80" s="32">
        <v>2.2173557826083399</v>
      </c>
      <c r="I80" s="18" t="s">
        <v>49</v>
      </c>
      <c r="J80" s="18">
        <v>103</v>
      </c>
      <c r="K80" s="18">
        <v>7</v>
      </c>
      <c r="L80" s="18">
        <f t="shared" si="46"/>
        <v>5.1650485436893208</v>
      </c>
      <c r="M80" s="18">
        <v>532</v>
      </c>
      <c r="N80" s="18">
        <f t="shared" si="47"/>
        <v>6.7961165048543687E-2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5"/>
        <v>4.1818181818181817</v>
      </c>
      <c r="E81">
        <v>46</v>
      </c>
      <c r="F81">
        <f t="shared" si="48"/>
        <v>9.0909090909090912E-2</v>
      </c>
      <c r="G81" s="32">
        <v>1.8618986725025199</v>
      </c>
      <c r="I81" s="18" t="s">
        <v>3</v>
      </c>
      <c r="J81" s="18">
        <v>43</v>
      </c>
      <c r="K81" s="18">
        <v>6</v>
      </c>
      <c r="L81" s="18">
        <f t="shared" si="46"/>
        <v>4.1627906976744189</v>
      </c>
      <c r="M81" s="18">
        <v>179</v>
      </c>
      <c r="N81" s="18">
        <f t="shared" si="47"/>
        <v>0.13953488372093023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5"/>
        <v>4.45</v>
      </c>
      <c r="E82" s="18">
        <v>178</v>
      </c>
      <c r="F82" s="18">
        <f t="shared" si="48"/>
        <v>0.17499999999999999</v>
      </c>
      <c r="G82" s="32">
        <v>2.1315096371664199</v>
      </c>
      <c r="I82" t="s">
        <v>230</v>
      </c>
      <c r="J82">
        <v>20</v>
      </c>
      <c r="K82">
        <v>3</v>
      </c>
      <c r="L82">
        <f t="shared" ref="L82" si="49">M82/J82</f>
        <v>4.95</v>
      </c>
      <c r="M82">
        <v>99</v>
      </c>
      <c r="N82">
        <f t="shared" ref="N82" si="50">K82/J82</f>
        <v>0.15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5"/>
        <v>4.3</v>
      </c>
      <c r="E83" s="18">
        <v>86</v>
      </c>
      <c r="F83" s="18">
        <f t="shared" si="48"/>
        <v>0</v>
      </c>
      <c r="G83" s="32">
        <v>2.4899799195977401</v>
      </c>
      <c r="I83" t="s">
        <v>2</v>
      </c>
      <c r="J83">
        <v>28</v>
      </c>
      <c r="K83">
        <v>5</v>
      </c>
      <c r="L83">
        <f>M83/J83</f>
        <v>4.1428571428571432</v>
      </c>
      <c r="M83">
        <v>116</v>
      </c>
      <c r="N83">
        <f>K83/J83</f>
        <v>0.17857142857142858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5"/>
        <v>3.5405405405405403</v>
      </c>
      <c r="E84" s="18">
        <v>524</v>
      </c>
      <c r="F84" s="18">
        <f t="shared" si="48"/>
        <v>0.25675675675675674</v>
      </c>
      <c r="G84" s="32">
        <v>2.6214406763289899</v>
      </c>
    </row>
    <row r="85" spans="1:19" x14ac:dyDescent="0.25">
      <c r="A85" s="18" t="s">
        <v>26</v>
      </c>
      <c r="B85" s="18">
        <v>56</v>
      </c>
      <c r="C85" s="18">
        <v>4</v>
      </c>
      <c r="D85" s="18">
        <f t="shared" si="45"/>
        <v>5.1428571428571432</v>
      </c>
      <c r="E85" s="18">
        <v>288</v>
      </c>
      <c r="F85" s="18">
        <f t="shared" si="48"/>
        <v>7.1428571428571425E-2</v>
      </c>
      <c r="G85" s="32">
        <v>2.4494897427831699</v>
      </c>
    </row>
    <row r="86" spans="1:19" x14ac:dyDescent="0.25">
      <c r="A86" s="18" t="s">
        <v>122</v>
      </c>
      <c r="B86" s="18">
        <v>92</v>
      </c>
      <c r="C86" s="18">
        <v>9</v>
      </c>
      <c r="D86" s="18">
        <f t="shared" si="45"/>
        <v>4.2173913043478262</v>
      </c>
      <c r="E86" s="18">
        <v>388</v>
      </c>
      <c r="F86" s="18">
        <f t="shared" si="48"/>
        <v>9.7826086956521743E-2</v>
      </c>
      <c r="G86" s="32">
        <v>1.6329931618554501</v>
      </c>
    </row>
    <row r="87" spans="1:19" x14ac:dyDescent="0.25">
      <c r="A87" s="18" t="s">
        <v>49</v>
      </c>
      <c r="B87" s="18">
        <v>103</v>
      </c>
      <c r="C87" s="18">
        <v>7</v>
      </c>
      <c r="D87" s="18">
        <f t="shared" si="45"/>
        <v>5.1650485436893208</v>
      </c>
      <c r="E87" s="18">
        <v>532</v>
      </c>
      <c r="F87" s="18">
        <f t="shared" si="48"/>
        <v>6.7961165048543687E-2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5"/>
        <v>4.1627906976744189</v>
      </c>
      <c r="E88" s="18">
        <v>179</v>
      </c>
      <c r="F88" s="18">
        <f t="shared" si="48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20</v>
      </c>
      <c r="C89" s="18">
        <v>3</v>
      </c>
      <c r="D89" s="18">
        <f t="shared" si="45"/>
        <v>4.95</v>
      </c>
      <c r="E89" s="18">
        <v>99</v>
      </c>
      <c r="F89" s="18">
        <f t="shared" si="48"/>
        <v>0.15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5"/>
        <v>4.1428571428571432</v>
      </c>
      <c r="E90" s="18">
        <v>116</v>
      </c>
      <c r="F90" s="18">
        <f t="shared" si="48"/>
        <v>0.17857142857142858</v>
      </c>
      <c r="G90" s="32">
        <v>2.5876449587894599</v>
      </c>
    </row>
    <row r="91" spans="1:19" x14ac:dyDescent="0.25">
      <c r="A91" t="s">
        <v>124</v>
      </c>
      <c r="B91">
        <v>17</v>
      </c>
      <c r="C91">
        <v>0</v>
      </c>
      <c r="D91">
        <f t="shared" si="45"/>
        <v>5.6470588235294121</v>
      </c>
      <c r="E91">
        <v>96</v>
      </c>
      <c r="F91">
        <f t="shared" si="48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51">E96/B96</f>
        <v>6</v>
      </c>
      <c r="E96">
        <v>42</v>
      </c>
      <c r="F96">
        <f t="shared" ref="F96:F97" si="52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1"/>
        <v>5.8461538461538458</v>
      </c>
      <c r="E97" s="18">
        <v>76</v>
      </c>
      <c r="F97" s="18">
        <f t="shared" si="52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48576"/>
  <sheetViews>
    <sheetView topLeftCell="K1" zoomScale="80" zoomScaleNormal="80" workbookViewId="0">
      <selection activeCell="W16" sqref="W16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xmlns:xlrd2="http://schemas.microsoft.com/office/spreadsheetml/2017/richdata2"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01"/>
  <sheetViews>
    <sheetView workbookViewId="0">
      <selection activeCell="M10" sqref="M1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</row>
    <row r="19" spans="1:26" x14ac:dyDescent="0.25">
      <c r="A19">
        <f t="shared" si="1"/>
        <v>18</v>
      </c>
      <c r="B19" t="s">
        <v>9</v>
      </c>
    </row>
    <row r="20" spans="1:26" x14ac:dyDescent="0.25">
      <c r="A20">
        <f t="shared" si="1"/>
        <v>19</v>
      </c>
      <c r="B20" t="s">
        <v>0</v>
      </c>
      <c r="U20" s="32">
        <v>1</v>
      </c>
      <c r="V20" s="32" t="s">
        <v>128</v>
      </c>
      <c r="W20" s="32" t="s">
        <v>496</v>
      </c>
    </row>
    <row r="21" spans="1:26" x14ac:dyDescent="0.25">
      <c r="A21">
        <f t="shared" si="1"/>
        <v>20</v>
      </c>
      <c r="B21" t="s">
        <v>112</v>
      </c>
      <c r="U21" s="32">
        <v>10</v>
      </c>
      <c r="V21" s="32" t="s">
        <v>122</v>
      </c>
      <c r="W21" s="32" t="s">
        <v>505</v>
      </c>
    </row>
    <row r="22" spans="1:26" x14ac:dyDescent="0.25">
      <c r="A22">
        <f t="shared" si="1"/>
        <v>21</v>
      </c>
      <c r="B22" t="s">
        <v>63</v>
      </c>
      <c r="U22" s="32">
        <v>15</v>
      </c>
      <c r="V22" s="32" t="s">
        <v>87</v>
      </c>
      <c r="W22" s="32" t="s">
        <v>510</v>
      </c>
    </row>
    <row r="23" spans="1:26" x14ac:dyDescent="0.25">
      <c r="A23">
        <f t="shared" si="1"/>
        <v>22</v>
      </c>
      <c r="B23" t="s">
        <v>104</v>
      </c>
      <c r="C23" t="s">
        <v>504</v>
      </c>
      <c r="U23" s="32">
        <v>13</v>
      </c>
      <c r="V23" s="32" t="s">
        <v>24</v>
      </c>
      <c r="W23" s="32" t="s">
        <v>508</v>
      </c>
    </row>
    <row r="24" spans="1:26" x14ac:dyDescent="0.25">
      <c r="A24">
        <f t="shared" si="1"/>
        <v>23</v>
      </c>
      <c r="B24" t="s">
        <v>50</v>
      </c>
      <c r="R24" s="32">
        <v>1</v>
      </c>
      <c r="S24" s="32" t="s">
        <v>128</v>
      </c>
      <c r="T24" s="32" t="s">
        <v>496</v>
      </c>
      <c r="U24" s="70">
        <v>3</v>
      </c>
      <c r="V24" s="70" t="s">
        <v>147</v>
      </c>
      <c r="W24" s="70" t="s">
        <v>498</v>
      </c>
    </row>
    <row r="25" spans="1:26" x14ac:dyDescent="0.25">
      <c r="A25">
        <f t="shared" si="1"/>
        <v>24</v>
      </c>
      <c r="B25" t="s">
        <v>139</v>
      </c>
      <c r="R25" s="32">
        <v>3</v>
      </c>
      <c r="S25" s="32" t="s">
        <v>147</v>
      </c>
      <c r="T25" s="32" t="s">
        <v>498</v>
      </c>
      <c r="U25" s="70">
        <v>6</v>
      </c>
      <c r="V25" s="70" t="s">
        <v>125</v>
      </c>
      <c r="W25" s="70" t="s">
        <v>501</v>
      </c>
    </row>
    <row r="26" spans="1:26" x14ac:dyDescent="0.25">
      <c r="A26">
        <f t="shared" si="1"/>
        <v>25</v>
      </c>
      <c r="B26" t="s">
        <v>122</v>
      </c>
      <c r="C26" t="s">
        <v>505</v>
      </c>
      <c r="R26" s="32">
        <v>4</v>
      </c>
      <c r="S26" s="32" t="s">
        <v>121</v>
      </c>
      <c r="T26" s="32" t="s">
        <v>499</v>
      </c>
      <c r="U26" s="70">
        <v>4</v>
      </c>
      <c r="V26" s="70" t="s">
        <v>121</v>
      </c>
      <c r="W26" s="70" t="s">
        <v>499</v>
      </c>
    </row>
    <row r="27" spans="1:26" x14ac:dyDescent="0.25">
      <c r="A27">
        <f t="shared" si="1"/>
        <v>26</v>
      </c>
      <c r="B27" t="s">
        <v>115</v>
      </c>
      <c r="R27" s="32">
        <v>15</v>
      </c>
      <c r="S27" s="32" t="s">
        <v>87</v>
      </c>
      <c r="T27" s="32" t="s">
        <v>510</v>
      </c>
      <c r="U27" s="70">
        <v>16</v>
      </c>
      <c r="V27" s="70" t="s">
        <v>25</v>
      </c>
      <c r="W27" s="70" t="s">
        <v>511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9</v>
      </c>
      <c r="P28" s="32" t="s">
        <v>104</v>
      </c>
      <c r="Q28" s="32" t="s">
        <v>504</v>
      </c>
      <c r="R28" s="70">
        <v>9</v>
      </c>
      <c r="S28" s="70" t="s">
        <v>104</v>
      </c>
      <c r="T28" s="70" t="s">
        <v>504</v>
      </c>
    </row>
    <row r="29" spans="1:26" x14ac:dyDescent="0.25">
      <c r="A29">
        <f t="shared" si="1"/>
        <v>28</v>
      </c>
      <c r="B29" t="s">
        <v>123</v>
      </c>
      <c r="O29" s="68">
        <v>21</v>
      </c>
      <c r="P29" s="68" t="s">
        <v>30</v>
      </c>
      <c r="Q29" s="68" t="s">
        <v>515</v>
      </c>
      <c r="R29" s="70">
        <v>5</v>
      </c>
      <c r="S29" s="70" t="s">
        <v>232</v>
      </c>
      <c r="T29" s="70" t="s">
        <v>500</v>
      </c>
    </row>
    <row r="30" spans="1:26" x14ac:dyDescent="0.25">
      <c r="A30">
        <f t="shared" si="1"/>
        <v>29</v>
      </c>
      <c r="B30" t="s">
        <v>27</v>
      </c>
      <c r="O30" s="32">
        <v>20</v>
      </c>
      <c r="P30" s="32" t="s">
        <v>110</v>
      </c>
      <c r="Q30" s="32" t="s">
        <v>514</v>
      </c>
      <c r="R30" s="70">
        <v>20</v>
      </c>
      <c r="S30" s="70" t="s">
        <v>110</v>
      </c>
      <c r="T30" s="70" t="s">
        <v>514</v>
      </c>
    </row>
    <row r="31" spans="1:26" x14ac:dyDescent="0.25">
      <c r="A31">
        <f t="shared" si="1"/>
        <v>30</v>
      </c>
      <c r="B31" t="s">
        <v>129</v>
      </c>
      <c r="O31" s="32">
        <v>15</v>
      </c>
      <c r="P31" s="32" t="s">
        <v>87</v>
      </c>
      <c r="Q31" s="32" t="s">
        <v>510</v>
      </c>
      <c r="R31" s="69">
        <v>21</v>
      </c>
      <c r="S31" s="69" t="s">
        <v>30</v>
      </c>
      <c r="T31" s="69" t="s">
        <v>515</v>
      </c>
    </row>
    <row r="32" spans="1:26" x14ac:dyDescent="0.25">
      <c r="A32">
        <f t="shared" si="1"/>
        <v>31</v>
      </c>
      <c r="B32" t="s">
        <v>8</v>
      </c>
      <c r="E32" s="32">
        <v>17</v>
      </c>
      <c r="F32" s="32" t="s">
        <v>81</v>
      </c>
      <c r="G32" s="32" t="s">
        <v>512</v>
      </c>
      <c r="L32" s="32">
        <v>18</v>
      </c>
      <c r="M32" s="32" t="s">
        <v>105</v>
      </c>
      <c r="N32" s="32" t="s">
        <v>33</v>
      </c>
      <c r="O32" s="70">
        <v>14</v>
      </c>
      <c r="P32" s="70" t="s">
        <v>78</v>
      </c>
      <c r="Q32" s="70" t="s">
        <v>509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18</v>
      </c>
      <c r="F33" s="32" t="s">
        <v>105</v>
      </c>
      <c r="G33" s="32" t="s">
        <v>33</v>
      </c>
      <c r="L33" s="68">
        <v>21</v>
      </c>
      <c r="M33" s="68" t="s">
        <v>30</v>
      </c>
      <c r="N33" s="68" t="s">
        <v>515</v>
      </c>
      <c r="O33" s="70">
        <v>18</v>
      </c>
      <c r="P33" s="70" t="s">
        <v>105</v>
      </c>
      <c r="Q33" s="70" t="s">
        <v>33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19</v>
      </c>
      <c r="F34" s="32" t="s">
        <v>26</v>
      </c>
      <c r="G34" s="32" t="s">
        <v>513</v>
      </c>
      <c r="L34" s="68">
        <v>23</v>
      </c>
      <c r="M34" s="68" t="s">
        <v>49</v>
      </c>
      <c r="N34" s="68" t="s">
        <v>517</v>
      </c>
      <c r="O34" s="70">
        <v>11</v>
      </c>
      <c r="P34" s="70" t="s">
        <v>21</v>
      </c>
      <c r="Q34" s="70" t="s">
        <v>506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20</v>
      </c>
      <c r="F35" s="32" t="s">
        <v>110</v>
      </c>
      <c r="G35" s="32" t="s">
        <v>514</v>
      </c>
      <c r="L35" s="32">
        <v>20</v>
      </c>
      <c r="M35" s="32" t="s">
        <v>110</v>
      </c>
      <c r="N35" s="32" t="s">
        <v>514</v>
      </c>
      <c r="O35" s="69">
        <v>23</v>
      </c>
      <c r="P35" s="69" t="s">
        <v>49</v>
      </c>
      <c r="Q35" s="69" t="s">
        <v>517</v>
      </c>
    </row>
    <row r="36" spans="1:17" x14ac:dyDescent="0.25">
      <c r="A36">
        <f t="shared" ref="A36:A71" si="2">ROW(A36)-1</f>
        <v>35</v>
      </c>
      <c r="B36" t="s">
        <v>5</v>
      </c>
      <c r="E36" s="32">
        <v>21</v>
      </c>
      <c r="F36" s="68" t="s">
        <v>30</v>
      </c>
      <c r="G36" s="68" t="s">
        <v>515</v>
      </c>
      <c r="I36" s="68">
        <v>24</v>
      </c>
      <c r="J36" s="68" t="s">
        <v>230</v>
      </c>
      <c r="K36" s="68" t="s">
        <v>518</v>
      </c>
      <c r="L36" s="70">
        <v>19</v>
      </c>
      <c r="M36" s="70" t="s">
        <v>26</v>
      </c>
      <c r="N36" s="70" t="s">
        <v>513</v>
      </c>
    </row>
    <row r="37" spans="1:17" x14ac:dyDescent="0.25">
      <c r="A37">
        <f t="shared" si="2"/>
        <v>36</v>
      </c>
      <c r="B37" t="s">
        <v>428</v>
      </c>
      <c r="E37" s="32">
        <v>22</v>
      </c>
      <c r="F37" s="68" t="s">
        <v>31</v>
      </c>
      <c r="G37" s="68" t="s">
        <v>516</v>
      </c>
      <c r="I37" s="68">
        <v>25</v>
      </c>
      <c r="J37" s="68" t="s">
        <v>56</v>
      </c>
      <c r="K37" s="68" t="s">
        <v>519</v>
      </c>
      <c r="L37" s="69">
        <v>25</v>
      </c>
      <c r="M37" s="69" t="s">
        <v>56</v>
      </c>
      <c r="N37" s="69" t="s">
        <v>519</v>
      </c>
    </row>
    <row r="38" spans="1:17" x14ac:dyDescent="0.25">
      <c r="A38">
        <f t="shared" si="2"/>
        <v>37</v>
      </c>
      <c r="B38" t="s">
        <v>79</v>
      </c>
      <c r="E38" s="32">
        <v>23</v>
      </c>
      <c r="F38" s="68" t="s">
        <v>49</v>
      </c>
      <c r="G38" s="68" t="s">
        <v>517</v>
      </c>
      <c r="I38" s="68">
        <v>23</v>
      </c>
      <c r="J38" s="68" t="s">
        <v>49</v>
      </c>
      <c r="K38" s="68" t="s">
        <v>517</v>
      </c>
      <c r="L38" s="70">
        <v>17</v>
      </c>
      <c r="M38" s="70" t="s">
        <v>81</v>
      </c>
      <c r="N38" s="70" t="s">
        <v>512</v>
      </c>
    </row>
    <row r="39" spans="1:17" x14ac:dyDescent="0.25">
      <c r="A39">
        <f t="shared" si="2"/>
        <v>38</v>
      </c>
      <c r="B39" t="s">
        <v>1</v>
      </c>
      <c r="E39" s="32">
        <v>24</v>
      </c>
      <c r="F39" s="68" t="s">
        <v>230</v>
      </c>
      <c r="G39" s="68" t="s">
        <v>518</v>
      </c>
      <c r="I39" s="68">
        <v>21</v>
      </c>
      <c r="J39" s="68" t="s">
        <v>30</v>
      </c>
      <c r="K39" s="68" t="s">
        <v>515</v>
      </c>
      <c r="L39" s="69">
        <v>24</v>
      </c>
      <c r="M39" s="69" t="s">
        <v>230</v>
      </c>
      <c r="N39" s="69" t="s">
        <v>518</v>
      </c>
    </row>
    <row r="40" spans="1:17" x14ac:dyDescent="0.25">
      <c r="A40">
        <f t="shared" si="2"/>
        <v>39</v>
      </c>
      <c r="B40" t="s">
        <v>14</v>
      </c>
      <c r="E40" s="32">
        <v>25</v>
      </c>
      <c r="F40" s="68" t="s">
        <v>56</v>
      </c>
      <c r="G40" s="68" t="s">
        <v>519</v>
      </c>
      <c r="I40" s="69">
        <v>28</v>
      </c>
      <c r="J40" s="69" t="s">
        <v>401</v>
      </c>
      <c r="K40" s="69" t="s">
        <v>522</v>
      </c>
    </row>
    <row r="41" spans="1:17" x14ac:dyDescent="0.25">
      <c r="A41">
        <f t="shared" si="2"/>
        <v>40</v>
      </c>
      <c r="B41" t="s">
        <v>13</v>
      </c>
      <c r="E41" s="32">
        <v>26</v>
      </c>
      <c r="F41" s="68" t="s">
        <v>124</v>
      </c>
      <c r="G41" s="68" t="s">
        <v>520</v>
      </c>
      <c r="I41" s="69">
        <v>27</v>
      </c>
      <c r="J41" s="69" t="s">
        <v>34</v>
      </c>
      <c r="K41" s="69" t="s">
        <v>521</v>
      </c>
    </row>
    <row r="42" spans="1:17" x14ac:dyDescent="0.25">
      <c r="A42">
        <f t="shared" si="2"/>
        <v>41</v>
      </c>
      <c r="B42" t="s">
        <v>12</v>
      </c>
      <c r="E42" s="32">
        <v>27</v>
      </c>
      <c r="F42" s="68" t="s">
        <v>34</v>
      </c>
      <c r="G42" s="68" t="s">
        <v>521</v>
      </c>
      <c r="I42" s="69">
        <v>22</v>
      </c>
      <c r="J42" s="69" t="s">
        <v>31</v>
      </c>
      <c r="K42" s="69" t="s">
        <v>516</v>
      </c>
    </row>
    <row r="43" spans="1:17" x14ac:dyDescent="0.25">
      <c r="A43">
        <f t="shared" si="2"/>
        <v>42</v>
      </c>
      <c r="B43" t="s">
        <v>87</v>
      </c>
      <c r="C43" t="s">
        <v>510</v>
      </c>
      <c r="E43" s="32">
        <v>28</v>
      </c>
      <c r="F43" s="68" t="s">
        <v>401</v>
      </c>
      <c r="G43" s="68" t="s">
        <v>522</v>
      </c>
      <c r="I43" s="69">
        <v>26</v>
      </c>
      <c r="J43" s="69" t="s">
        <v>124</v>
      </c>
      <c r="K43" s="69" t="s">
        <v>520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2025-12-29T17:48:25Z</dcterms:modified>
</cp:coreProperties>
</file>