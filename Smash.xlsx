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ui\Desktop\elosite\elo\"/>
    </mc:Choice>
  </mc:AlternateContent>
  <bookViews>
    <workbookView xWindow="38280" yWindow="5280" windowWidth="29040" windowHeight="15720" firstSheet="2" activeTab="9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3" l="1"/>
  <c r="L65" i="13"/>
  <c r="N46" i="13"/>
  <c r="L46" i="13"/>
  <c r="N48" i="13"/>
  <c r="L48" i="13"/>
  <c r="N66" i="13"/>
  <c r="L66" i="13"/>
  <c r="N49" i="13"/>
  <c r="L49" i="13"/>
  <c r="N40" i="13"/>
  <c r="L40" i="13"/>
  <c r="N45" i="13"/>
  <c r="L45" i="13"/>
  <c r="N26" i="13"/>
  <c r="L26" i="13"/>
  <c r="N67" i="13"/>
  <c r="L67" i="13"/>
  <c r="N15" i="13"/>
  <c r="L15" i="13"/>
  <c r="N14" i="13"/>
  <c r="L14" i="13"/>
  <c r="N58" i="13"/>
  <c r="L58" i="13"/>
  <c r="N28" i="13"/>
  <c r="L28" i="13"/>
  <c r="N47" i="13"/>
  <c r="L47" i="13"/>
  <c r="N62" i="13"/>
  <c r="L62" i="13"/>
  <c r="N41" i="13"/>
  <c r="L41" i="13"/>
  <c r="N33" i="13" l="1"/>
  <c r="L33" i="13"/>
  <c r="N57" i="13"/>
  <c r="L57" i="13"/>
  <c r="N54" i="13"/>
  <c r="L54" i="13"/>
  <c r="L61" i="13"/>
  <c r="N61" i="13"/>
  <c r="N37" i="13"/>
  <c r="L37" i="13"/>
  <c r="N34" i="13"/>
  <c r="L34" i="13"/>
  <c r="N55" i="13"/>
  <c r="L55" i="13"/>
  <c r="N53" i="13"/>
  <c r="L53" i="13"/>
  <c r="L56" i="13"/>
  <c r="N56" i="13"/>
  <c r="L59" i="13"/>
  <c r="N59" i="13"/>
  <c r="L60" i="13"/>
  <c r="N60" i="13"/>
  <c r="L63" i="13"/>
  <c r="N63" i="13"/>
  <c r="L64" i="13"/>
  <c r="N64" i="13"/>
  <c r="L68" i="13"/>
  <c r="N68" i="13"/>
  <c r="L69" i="13"/>
  <c r="N69" i="13"/>
  <c r="N52" i="13"/>
  <c r="L52" i="13"/>
  <c r="N23" i="13"/>
  <c r="L23" i="13"/>
  <c r="N17" i="13"/>
  <c r="L17" i="13"/>
  <c r="N36" i="13"/>
  <c r="L36" i="13"/>
  <c r="N32" i="13"/>
  <c r="L32" i="13"/>
  <c r="N13" i="13"/>
  <c r="L13" i="13"/>
  <c r="N22" i="13"/>
  <c r="L22" i="13"/>
  <c r="N18" i="13" l="1"/>
  <c r="L18" i="13"/>
  <c r="N16" i="13"/>
  <c r="L16" i="13"/>
  <c r="N39" i="13"/>
  <c r="L39" i="13"/>
  <c r="N43" i="13"/>
  <c r="L43" i="13"/>
  <c r="N42" i="13" l="1"/>
  <c r="L42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8" i="13"/>
  <c r="L38" i="13"/>
  <c r="N30" i="13"/>
  <c r="L30" i="13"/>
  <c r="N29" i="13"/>
  <c r="L29" i="13"/>
  <c r="N51" i="13" l="1"/>
  <c r="L51" i="13"/>
  <c r="N27" i="13" l="1"/>
  <c r="L27" i="13"/>
  <c r="N25" i="13" l="1"/>
  <c r="L25" i="13"/>
  <c r="N24" i="13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<sst xmlns="http://schemas.openxmlformats.org/spreadsheetml/2006/main" count="16507" uniqueCount="594">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</sst>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20"/>
  <sheetViews>
    <sheetView topLeftCell="A271" zoomScaleNormal="100" workbookViewId="0">
      <selection activeCell="J312" sqref="J312:Q32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91"/>
  <sheetViews>
    <sheetView tabSelected="1" zoomScale="90" zoomScaleNormal="90" workbookViewId="0">
      <selection activeCell="N9" sqref="N9"/>
    </sheetView>
  </sheetViews>
  <sheetFormatPr defaultRowHeight="15" x14ac:dyDescent="0.25"/>
  <sheetData>
    <row r="1" spans="1:14 16384:16384" x14ac:dyDescent="0.25">
      <c r="A1" s="1">
        <v>46123</v>
      </c>
      <c r="B1" s="1">
        <v>46123</v>
      </c>
      <c r="C1" s="1">
        <v>46123</v>
      </c>
      <c r="D1" s="1">
        <v>46123</v>
      </c>
      <c r="E1" s="1">
        <v>46123</v>
      </c>
      <c r="F1" s="1">
        <v>46123</v>
      </c>
      <c r="G1" s="1">
        <v>46123</v>
      </c>
      <c r="H1" s="1">
        <v>46123</v>
      </c>
      <c r="I1" s="1">
        <v>46123</v>
      </c>
      <c r="J1" s="1">
        <v>46128</v>
      </c>
      <c r="K1" s="1">
        <v>46128</v>
      </c>
      <c r="L1" s="1">
        <v>46128</v>
      </c>
      <c r="M1" s="1">
        <v>46128</v>
      </c>
      <c r="XFD1" s="1"/>
    </row>
    <row r="2" spans="1:14 16384:16384" x14ac:dyDescent="0.25">
      <c r="A2" t="s">
        <v>31</v>
      </c>
      <c r="B2" t="s">
        <v>31</v>
      </c>
      <c r="C2" t="s">
        <v>63</v>
      </c>
      <c r="D2" t="s">
        <v>585</v>
      </c>
      <c r="E2" t="s">
        <v>81</v>
      </c>
      <c r="F2" t="s">
        <v>16</v>
      </c>
      <c r="G2" t="s">
        <v>574</v>
      </c>
      <c r="H2" t="s">
        <v>232</v>
      </c>
      <c r="I2" t="s">
        <v>232</v>
      </c>
    </row>
    <row r="3" spans="1:14 16384:16384" x14ac:dyDescent="0.25">
      <c r="A3" t="s">
        <v>232</v>
      </c>
      <c r="B3" t="s">
        <v>9</v>
      </c>
      <c r="C3" t="s">
        <v>9</v>
      </c>
      <c r="D3" t="s">
        <v>16</v>
      </c>
      <c r="E3" t="s">
        <v>104</v>
      </c>
      <c r="F3" t="s">
        <v>12</v>
      </c>
      <c r="G3" t="s">
        <v>81</v>
      </c>
      <c r="H3" t="s">
        <v>593</v>
      </c>
      <c r="I3" t="s">
        <v>553</v>
      </c>
    </row>
    <row r="4" spans="1:14 16384:16384" x14ac:dyDescent="0.25">
      <c r="A4" t="s">
        <v>9</v>
      </c>
      <c r="B4" t="s">
        <v>28</v>
      </c>
      <c r="C4" t="s">
        <v>49</v>
      </c>
      <c r="D4" t="s">
        <v>17</v>
      </c>
      <c r="E4" t="s">
        <v>26</v>
      </c>
      <c r="F4" t="s">
        <v>104</v>
      </c>
      <c r="G4" t="s">
        <v>585</v>
      </c>
      <c r="H4" t="s">
        <v>31</v>
      </c>
      <c r="I4" t="s">
        <v>17</v>
      </c>
    </row>
    <row r="5" spans="1:14 16384:16384" x14ac:dyDescent="0.25">
      <c r="A5" t="s">
        <v>28</v>
      </c>
      <c r="B5" t="s">
        <v>1</v>
      </c>
      <c r="C5" t="s">
        <v>22</v>
      </c>
      <c r="D5" t="s">
        <v>9</v>
      </c>
      <c r="E5" t="s">
        <v>17</v>
      </c>
      <c r="F5" t="s">
        <v>81</v>
      </c>
      <c r="G5" t="s">
        <v>17</v>
      </c>
      <c r="H5" t="s">
        <v>17</v>
      </c>
      <c r="I5" t="s">
        <v>593</v>
      </c>
    </row>
    <row r="6" spans="1:14 16384:16384" x14ac:dyDescent="0.25">
      <c r="A6" t="s">
        <v>573</v>
      </c>
      <c r="B6" t="s">
        <v>122</v>
      </c>
      <c r="C6" t="s">
        <v>17</v>
      </c>
      <c r="D6" t="s">
        <v>113</v>
      </c>
      <c r="E6" t="s">
        <v>16</v>
      </c>
      <c r="F6" t="s">
        <v>26</v>
      </c>
      <c r="G6" t="s">
        <v>553</v>
      </c>
      <c r="H6" t="s">
        <v>49</v>
      </c>
      <c r="I6" t="s">
        <v>552</v>
      </c>
    </row>
    <row r="7" spans="1:14 16384:16384" x14ac:dyDescent="0.25">
      <c r="A7" t="s">
        <v>592</v>
      </c>
      <c r="B7" t="s">
        <v>232</v>
      </c>
      <c r="C7" t="s">
        <v>585</v>
      </c>
      <c r="D7" t="s">
        <v>22</v>
      </c>
      <c r="E7" t="s">
        <v>9</v>
      </c>
      <c r="F7" t="s">
        <v>17</v>
      </c>
      <c r="G7" t="s">
        <v>104</v>
      </c>
      <c r="H7" t="s">
        <v>586</v>
      </c>
      <c r="I7" t="s">
        <v>28</v>
      </c>
    </row>
    <row r="8" spans="1:14 16384:16384" x14ac:dyDescent="0.25">
      <c r="A8" t="s">
        <v>587</v>
      </c>
      <c r="B8" t="s">
        <v>587</v>
      </c>
      <c r="C8" t="s">
        <v>16</v>
      </c>
      <c r="D8" t="s">
        <v>30</v>
      </c>
      <c r="E8" t="s">
        <v>32</v>
      </c>
      <c r="F8" t="s">
        <v>110</v>
      </c>
      <c r="G8" t="s">
        <v>110</v>
      </c>
      <c r="H8" t="s">
        <v>1</v>
      </c>
      <c r="I8" t="s">
        <v>110</v>
      </c>
    </row>
    <row r="9" spans="1:14 16384:16384" x14ac:dyDescent="0.25">
      <c r="A9" t="s">
        <v>300</v>
      </c>
      <c r="B9" t="s">
        <v>586</v>
      </c>
      <c r="C9" t="s">
        <v>30</v>
      </c>
      <c r="D9" t="s">
        <v>49</v>
      </c>
      <c r="E9" t="s">
        <v>12</v>
      </c>
      <c r="F9" t="s">
        <v>32</v>
      </c>
      <c r="G9" t="s">
        <v>26</v>
      </c>
      <c r="H9" t="s">
        <v>28</v>
      </c>
      <c r="I9" t="s">
        <v>26</v>
      </c>
    </row>
    <row r="12" spans="1:14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4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4 16384:16384" x14ac:dyDescent="0.25">
      <c r="A14" s="18" t="s">
        <v>104</v>
      </c>
      <c r="B14" s="18">
        <v>122</v>
      </c>
      <c r="C14" s="18">
        <v>9</v>
      </c>
      <c r="D14" s="18">
        <f t="shared" si="0"/>
        <v>4.2622950819672134</v>
      </c>
      <c r="E14" s="18">
        <v>520</v>
      </c>
      <c r="F14" s="18">
        <f t="shared" si="1"/>
        <v>7.3770491803278687E-2</v>
      </c>
      <c r="G14" s="32">
        <v>2.3273733406281498</v>
      </c>
      <c r="I14" s="18" t="s">
        <v>104</v>
      </c>
      <c r="J14" s="18">
        <v>122</v>
      </c>
      <c r="K14" s="18">
        <v>9</v>
      </c>
      <c r="L14" s="18">
        <f t="shared" si="2"/>
        <v>4.2622950819672134</v>
      </c>
      <c r="M14" s="18">
        <v>520</v>
      </c>
      <c r="N14" s="18">
        <f t="shared" si="3"/>
        <v>7.3770491803278687E-2</v>
      </c>
    </row>
    <row r="15" spans="1:14 16384:16384" x14ac:dyDescent="0.25">
      <c r="A15" s="18" t="s">
        <v>31</v>
      </c>
      <c r="B15" s="18">
        <v>235</v>
      </c>
      <c r="C15" s="18">
        <v>18</v>
      </c>
      <c r="D15" s="18">
        <f t="shared" si="0"/>
        <v>5.1617021276595745</v>
      </c>
      <c r="E15" s="18">
        <v>1213</v>
      </c>
      <c r="F15" s="18">
        <f t="shared" si="1"/>
        <v>7.6595744680851063E-2</v>
      </c>
      <c r="G15" s="32">
        <v>1.87082869338697</v>
      </c>
      <c r="I15" s="18" t="s">
        <v>31</v>
      </c>
      <c r="J15" s="18">
        <v>235</v>
      </c>
      <c r="K15" s="18">
        <v>18</v>
      </c>
      <c r="L15" s="18">
        <f t="shared" si="2"/>
        <v>5.1617021276595745</v>
      </c>
      <c r="M15" s="18">
        <v>1213</v>
      </c>
      <c r="N15" s="18">
        <f t="shared" si="3"/>
        <v>7.6595744680851063E-2</v>
      </c>
    </row>
    <row r="16" spans="1:14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109</v>
      </c>
      <c r="C17" s="18">
        <v>34</v>
      </c>
      <c r="D17" s="18">
        <f t="shared" si="0"/>
        <v>3.2201834862385321</v>
      </c>
      <c r="E17" s="18">
        <v>351</v>
      </c>
      <c r="F17" s="18">
        <f t="shared" si="1"/>
        <v>0.31192660550458717</v>
      </c>
      <c r="G17" s="32">
        <v>2.03049835952651</v>
      </c>
      <c r="I17" s="18" t="s">
        <v>128</v>
      </c>
      <c r="J17" s="18">
        <v>109</v>
      </c>
      <c r="K17" s="18">
        <v>34</v>
      </c>
      <c r="L17" s="18">
        <f t="shared" si="4"/>
        <v>3.2201834862385321</v>
      </c>
      <c r="M17" s="18">
        <v>351</v>
      </c>
      <c r="N17" s="18">
        <f t="shared" si="5"/>
        <v>0.31192660550458717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0">M22/J22</f>
        <v>5.15625</v>
      </c>
      <c r="M22" s="18">
        <v>165</v>
      </c>
      <c r="N22" s="18">
        <f t="shared" ref="N22:N23" si="11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199</v>
      </c>
      <c r="K23" s="18">
        <v>19</v>
      </c>
      <c r="L23" s="18">
        <f t="shared" si="10"/>
        <v>5.075376884422111</v>
      </c>
      <c r="M23" s="18">
        <v>1010</v>
      </c>
      <c r="N23" s="18">
        <f t="shared" si="11"/>
        <v>9.5477386934673364E-2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2"/>
        <v>3.6991869918699187</v>
      </c>
      <c r="M25" s="18">
        <v>455</v>
      </c>
      <c r="N25" s="18">
        <f t="shared" si="13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155</v>
      </c>
      <c r="K26" s="18">
        <v>17</v>
      </c>
      <c r="L26" s="18">
        <f t="shared" si="12"/>
        <v>5</v>
      </c>
      <c r="M26" s="18">
        <v>775</v>
      </c>
      <c r="N26" s="18">
        <f t="shared" si="13"/>
        <v>0.10967741935483871</v>
      </c>
    </row>
    <row r="27" spans="1:14" x14ac:dyDescent="0.25">
      <c r="A27" s="18" t="s">
        <v>25</v>
      </c>
      <c r="B27" s="18">
        <v>199</v>
      </c>
      <c r="C27" s="18">
        <v>19</v>
      </c>
      <c r="D27" s="18">
        <f t="shared" si="0"/>
        <v>5.075376884422111</v>
      </c>
      <c r="E27" s="18">
        <v>1010</v>
      </c>
      <c r="F27" s="18">
        <f t="shared" si="1"/>
        <v>9.5477386934673364E-2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81</v>
      </c>
      <c r="K28" s="18">
        <v>6</v>
      </c>
      <c r="L28" s="18">
        <f t="shared" si="14"/>
        <v>5.0864197530864201</v>
      </c>
      <c r="M28" s="18">
        <v>412</v>
      </c>
      <c r="N28" s="18">
        <f t="shared" si="15"/>
        <v>7.407407407407407E-2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155</v>
      </c>
      <c r="C30" s="18">
        <v>17</v>
      </c>
      <c r="D30" s="18">
        <f t="shared" si="0"/>
        <v>5</v>
      </c>
      <c r="E30" s="18">
        <v>775</v>
      </c>
      <c r="F30" s="18">
        <f t="shared" si="1"/>
        <v>0.10967741935483871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81</v>
      </c>
      <c r="C32" s="18">
        <v>6</v>
      </c>
      <c r="D32" s="18">
        <f t="shared" si="0"/>
        <v>5.0864197530864201</v>
      </c>
      <c r="E32" s="18">
        <v>412</v>
      </c>
      <c r="F32" s="18">
        <f t="shared" si="1"/>
        <v>7.407407407407407E-2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3" si="20">M32/J32</f>
        <v>4.25</v>
      </c>
      <c r="M32" s="18">
        <v>136</v>
      </c>
      <c r="N32" s="18">
        <f t="shared" ref="N32:N33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257</v>
      </c>
      <c r="K34" s="18">
        <v>38</v>
      </c>
      <c r="L34" s="18">
        <f t="shared" ref="L34" si="22">M34/J34</f>
        <v>4.6031128404669257</v>
      </c>
      <c r="M34" s="18">
        <v>1183</v>
      </c>
      <c r="N34" s="18">
        <f t="shared" ref="N34" si="23">K34/J34</f>
        <v>0.14785992217898833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4">M36/J36</f>
        <v>3.9452054794520546</v>
      </c>
      <c r="M36" s="18">
        <v>288</v>
      </c>
      <c r="N36" s="18">
        <f t="shared" ref="N36" si="25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6">M37/J37</f>
        <v>4.2333333333333334</v>
      </c>
      <c r="M37" s="18">
        <v>127</v>
      </c>
      <c r="N37" s="18">
        <f t="shared" ref="N37" si="27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1" si="28">M38/J38</f>
        <v>4.8</v>
      </c>
      <c r="M38" s="18">
        <v>144</v>
      </c>
      <c r="N38" s="18">
        <f t="shared" ref="N38:N41" si="29">K38/J38</f>
        <v>0.13333333333333333</v>
      </c>
    </row>
    <row r="39" spans="1:14" x14ac:dyDescent="0.25">
      <c r="A39" s="18" t="s">
        <v>15</v>
      </c>
      <c r="B39" s="18">
        <v>257</v>
      </c>
      <c r="C39" s="18">
        <v>38</v>
      </c>
      <c r="D39" s="18">
        <f t="shared" si="0"/>
        <v>4.6031128404669257</v>
      </c>
      <c r="E39" s="18">
        <v>1183</v>
      </c>
      <c r="F39" s="18">
        <f t="shared" si="1"/>
        <v>0.14785992217898833</v>
      </c>
      <c r="G39" s="32">
        <v>2.3694389634605302</v>
      </c>
      <c r="I39" s="18" t="s">
        <v>121</v>
      </c>
      <c r="J39" s="18">
        <v>98</v>
      </c>
      <c r="K39" s="18">
        <v>22</v>
      </c>
      <c r="L39" s="18">
        <f t="shared" si="28"/>
        <v>3.8673469387755102</v>
      </c>
      <c r="M39" s="18">
        <v>379</v>
      </c>
      <c r="N39" s="18">
        <f t="shared" si="29"/>
        <v>0.22448979591836735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139</v>
      </c>
      <c r="K40" s="18">
        <v>27</v>
      </c>
      <c r="L40" s="18">
        <f t="shared" si="28"/>
        <v>3.6906474820143886</v>
      </c>
      <c r="M40" s="18">
        <v>513</v>
      </c>
      <c r="N40" s="18">
        <f t="shared" si="29"/>
        <v>0.19424460431654678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169</v>
      </c>
      <c r="K41" s="18">
        <v>25</v>
      </c>
      <c r="L41" s="18">
        <f t="shared" si="28"/>
        <v>4.3136094674556213</v>
      </c>
      <c r="M41" s="18">
        <v>729</v>
      </c>
      <c r="N41" s="18">
        <f t="shared" si="29"/>
        <v>0.14792899408284024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44</v>
      </c>
      <c r="K42" s="18">
        <v>3</v>
      </c>
      <c r="L42" s="18">
        <f t="shared" ref="L42" si="30">M42/J42</f>
        <v>4.9772727272727275</v>
      </c>
      <c r="M42" s="18">
        <v>219</v>
      </c>
      <c r="N42" s="18">
        <f t="shared" ref="N42" si="31">K42/J42</f>
        <v>6.8181818181818177E-2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32">M43/J43</f>
        <v>4.6333333333333337</v>
      </c>
      <c r="M43" s="18">
        <v>139</v>
      </c>
      <c r="N43" s="18">
        <f t="shared" ref="N43" si="33">K43/J43</f>
        <v>0.13333333333333333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139</v>
      </c>
      <c r="C45" s="18">
        <v>27</v>
      </c>
      <c r="D45" s="18">
        <f t="shared" si="0"/>
        <v>3.6906474820143886</v>
      </c>
      <c r="E45" s="18">
        <v>513</v>
      </c>
      <c r="F45" s="18">
        <f t="shared" si="1"/>
        <v>0.19424460431654678</v>
      </c>
      <c r="G45" s="32">
        <v>2.2509257354845502</v>
      </c>
      <c r="I45" s="18" t="s">
        <v>1</v>
      </c>
      <c r="J45" s="18">
        <v>113</v>
      </c>
      <c r="K45" s="18">
        <v>6</v>
      </c>
      <c r="L45" s="18">
        <f t="shared" ref="L45:L46" si="34">M45/J45</f>
        <v>4.610619469026549</v>
      </c>
      <c r="M45" s="18">
        <v>521</v>
      </c>
      <c r="N45" s="18">
        <f t="shared" ref="N45:N46" si="35">K45/J45</f>
        <v>5.3097345132743362E-2</v>
      </c>
    </row>
    <row r="46" spans="1:14" x14ac:dyDescent="0.25">
      <c r="A46" s="18" t="s">
        <v>21</v>
      </c>
      <c r="B46" s="18">
        <v>169</v>
      </c>
      <c r="C46" s="18">
        <v>25</v>
      </c>
      <c r="D46" s="18">
        <f t="shared" si="0"/>
        <v>4.3136094674556213</v>
      </c>
      <c r="E46" s="18">
        <v>729</v>
      </c>
      <c r="F46" s="18">
        <f t="shared" si="1"/>
        <v>0.14792899408284024</v>
      </c>
      <c r="G46" s="32">
        <v>2.0655911179772799</v>
      </c>
      <c r="I46" s="18" t="s">
        <v>28</v>
      </c>
      <c r="J46" s="18">
        <v>59</v>
      </c>
      <c r="K46" s="18">
        <v>1</v>
      </c>
      <c r="L46" s="18">
        <f t="shared" si="34"/>
        <v>5.4915254237288131</v>
      </c>
      <c r="M46" s="18">
        <v>324</v>
      </c>
      <c r="N46" s="18">
        <f t="shared" si="35"/>
        <v>1.6949152542372881E-2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253</v>
      </c>
      <c r="J47" s="18">
        <v>41</v>
      </c>
      <c r="K47" s="18">
        <v>3</v>
      </c>
      <c r="L47" s="18">
        <f t="shared" ref="L47:L48" si="36">M47/J47</f>
        <v>5.1951219512195124</v>
      </c>
      <c r="M47" s="18">
        <v>213</v>
      </c>
      <c r="N47" s="18">
        <f t="shared" ref="N47:N48" si="37">K47/J47</f>
        <v>7.3170731707317069E-2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50</v>
      </c>
      <c r="K48" s="18">
        <v>13</v>
      </c>
      <c r="L48" s="18">
        <f t="shared" si="36"/>
        <v>3.24</v>
      </c>
      <c r="M48" s="18">
        <v>162</v>
      </c>
      <c r="N48" s="18">
        <f t="shared" si="37"/>
        <v>0.26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53</v>
      </c>
      <c r="K49" s="18">
        <v>9</v>
      </c>
      <c r="L49" s="18">
        <f t="shared" ref="L48:L49" si="38">M49/J49</f>
        <v>4.6792452830188678</v>
      </c>
      <c r="M49" s="18">
        <v>248</v>
      </c>
      <c r="N49" s="18">
        <f>K49/J49</f>
        <v>0.16981132075471697</v>
      </c>
    </row>
    <row r="50" spans="1:14" x14ac:dyDescent="0.25">
      <c r="A50" s="18" t="s">
        <v>1</v>
      </c>
      <c r="B50" s="18">
        <v>113</v>
      </c>
      <c r="C50" s="18">
        <v>6</v>
      </c>
      <c r="D50" s="18">
        <f t="shared" si="0"/>
        <v>4.610619469026549</v>
      </c>
      <c r="E50" s="18">
        <v>521</v>
      </c>
      <c r="F50" s="18">
        <f t="shared" si="1"/>
        <v>5.3097345132743362E-2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39">M50/J50</f>
        <v>4.384615384615385</v>
      </c>
      <c r="M50" s="18">
        <v>171</v>
      </c>
      <c r="N50" s="18">
        <f t="shared" ref="N50:N51" si="40">K50/J50</f>
        <v>7.6923076923076927E-2</v>
      </c>
    </row>
    <row r="51" spans="1:14" x14ac:dyDescent="0.25">
      <c r="A51" s="18" t="s">
        <v>28</v>
      </c>
      <c r="B51" s="18">
        <v>59</v>
      </c>
      <c r="C51" s="18">
        <v>1</v>
      </c>
      <c r="D51" s="18">
        <f t="shared" si="0"/>
        <v>5.4915254237288131</v>
      </c>
      <c r="E51" s="18">
        <v>324</v>
      </c>
      <c r="F51" s="18">
        <f t="shared" si="1"/>
        <v>1.6949152542372881E-2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39"/>
        <v>4.5247524752475243</v>
      </c>
      <c r="M51" s="18">
        <v>457</v>
      </c>
      <c r="N51" s="18">
        <f t="shared" si="40"/>
        <v>0.11881188118811881</v>
      </c>
    </row>
    <row r="52" spans="1:14" x14ac:dyDescent="0.25">
      <c r="A52" s="18" t="s">
        <v>253</v>
      </c>
      <c r="B52" s="18">
        <v>41</v>
      </c>
      <c r="C52" s="18">
        <v>3</v>
      </c>
      <c r="D52" s="18">
        <f t="shared" si="0"/>
        <v>5.1951219512195124</v>
      </c>
      <c r="E52" s="18">
        <v>213</v>
      </c>
      <c r="F52" s="18">
        <f t="shared" si="1"/>
        <v>7.3170731707317069E-2</v>
      </c>
      <c r="G52" s="32"/>
      <c r="I52" s="18" t="s">
        <v>116</v>
      </c>
      <c r="J52" s="18">
        <v>30</v>
      </c>
      <c r="K52" s="18">
        <v>5</v>
      </c>
      <c r="L52" s="18">
        <f t="shared" ref="L52" si="41">M52/J52</f>
        <v>4.0666666666666664</v>
      </c>
      <c r="M52" s="18">
        <v>122</v>
      </c>
      <c r="N52" s="18">
        <f t="shared" ref="N52" si="42">K52/J52</f>
        <v>0.16666666666666666</v>
      </c>
    </row>
    <row r="53" spans="1:14" x14ac:dyDescent="0.25">
      <c r="A53" s="18" t="s">
        <v>175</v>
      </c>
      <c r="B53" s="18">
        <v>50</v>
      </c>
      <c r="C53" s="18">
        <v>13</v>
      </c>
      <c r="D53" s="18">
        <f t="shared" si="0"/>
        <v>3.24</v>
      </c>
      <c r="E53" s="18">
        <v>162</v>
      </c>
      <c r="F53" s="18">
        <f t="shared" si="1"/>
        <v>0.26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4" si="43">M53/J53</f>
        <v>3.7</v>
      </c>
      <c r="M53" s="18">
        <v>111</v>
      </c>
      <c r="N53" s="18">
        <f t="shared" ref="N53:N54" si="44">K53/J53</f>
        <v>0.2</v>
      </c>
    </row>
    <row r="54" spans="1:14" x14ac:dyDescent="0.25">
      <c r="A54" s="18" t="s">
        <v>61</v>
      </c>
      <c r="B54" s="18">
        <v>53</v>
      </c>
      <c r="C54" s="18">
        <v>9</v>
      </c>
      <c r="D54" s="18">
        <f t="shared" si="0"/>
        <v>4.6792452830188678</v>
      </c>
      <c r="E54" s="18">
        <v>248</v>
      </c>
      <c r="F54" s="18">
        <f>C54/B54</f>
        <v>0.16981132075471697</v>
      </c>
      <c r="G54" s="32">
        <v>3.2403703492039302</v>
      </c>
      <c r="I54" s="18" t="s">
        <v>30</v>
      </c>
      <c r="J54" s="18">
        <v>60</v>
      </c>
      <c r="K54" s="18">
        <v>4</v>
      </c>
      <c r="L54" s="18">
        <f t="shared" si="43"/>
        <v>5.2</v>
      </c>
      <c r="M54" s="18">
        <v>312</v>
      </c>
      <c r="N54" s="18">
        <f t="shared" si="44"/>
        <v>6.6666666666666666E-2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127</v>
      </c>
      <c r="K55" s="18">
        <v>18</v>
      </c>
      <c r="L55" s="18">
        <f t="shared" ref="L55" si="45">M55/J55</f>
        <v>4.015748031496063</v>
      </c>
      <c r="M55" s="18">
        <v>510</v>
      </c>
      <c r="N55" s="18">
        <f t="shared" ref="N55" si="46">K55/J55</f>
        <v>0.14173228346456693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" si="47">M56/J56</f>
        <v>3.7380952380952381</v>
      </c>
      <c r="M56" s="18">
        <v>157</v>
      </c>
      <c r="N56" s="18">
        <f t="shared" ref="N56" si="48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:L58" si="49">M57/J57</f>
        <v>3.8</v>
      </c>
      <c r="M57" s="18">
        <v>114</v>
      </c>
      <c r="N57" s="18">
        <f t="shared" ref="N57:N58" si="50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428</v>
      </c>
      <c r="J58" s="18">
        <v>31</v>
      </c>
      <c r="K58" s="18">
        <v>5</v>
      </c>
      <c r="L58" s="18">
        <f t="shared" si="49"/>
        <v>4.096774193548387</v>
      </c>
      <c r="M58" s="18">
        <v>127</v>
      </c>
      <c r="N58" s="18">
        <f t="shared" si="50"/>
        <v>0.16129032258064516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79</v>
      </c>
      <c r="J59" s="18">
        <v>54</v>
      </c>
      <c r="K59" s="18">
        <v>6</v>
      </c>
      <c r="L59" s="18">
        <f t="shared" ref="L59:L67" si="51">M59/J59</f>
        <v>4.6296296296296298</v>
      </c>
      <c r="M59" s="18">
        <v>250</v>
      </c>
      <c r="N59" s="18">
        <f t="shared" ref="N59:N67" si="52">K59/J59</f>
        <v>0.1111111111111111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123</v>
      </c>
      <c r="J60" s="18">
        <v>39</v>
      </c>
      <c r="K60" s="18">
        <v>6</v>
      </c>
      <c r="L60" s="18">
        <f t="shared" si="51"/>
        <v>4.3076923076923075</v>
      </c>
      <c r="M60" s="18">
        <v>168</v>
      </c>
      <c r="N60" s="18">
        <f t="shared" si="52"/>
        <v>0.15384615384615385</v>
      </c>
    </row>
    <row r="61" spans="1:14" x14ac:dyDescent="0.25">
      <c r="A61" s="18" t="s">
        <v>30</v>
      </c>
      <c r="B61" s="18">
        <v>60</v>
      </c>
      <c r="C61" s="18">
        <v>4</v>
      </c>
      <c r="D61" s="18">
        <f t="shared" si="0"/>
        <v>5.2</v>
      </c>
      <c r="E61" s="18">
        <v>312</v>
      </c>
      <c r="F61" s="18">
        <f t="shared" si="1"/>
        <v>6.6666666666666666E-2</v>
      </c>
      <c r="G61" s="32">
        <v>2.5226248955475601</v>
      </c>
      <c r="I61" s="18" t="s">
        <v>22</v>
      </c>
      <c r="J61" s="18">
        <v>184</v>
      </c>
      <c r="K61" s="18">
        <v>30</v>
      </c>
      <c r="L61" s="18">
        <f t="shared" si="51"/>
        <v>4.1141304347826084</v>
      </c>
      <c r="M61" s="18">
        <v>757</v>
      </c>
      <c r="N61" s="18">
        <f t="shared" si="52"/>
        <v>0.16304347826086957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33</v>
      </c>
      <c r="J62" s="18">
        <v>66</v>
      </c>
      <c r="K62" s="18">
        <v>4</v>
      </c>
      <c r="L62" s="18">
        <f t="shared" si="51"/>
        <v>5.5303030303030303</v>
      </c>
      <c r="M62" s="18">
        <v>365</v>
      </c>
      <c r="N62" s="18">
        <f t="shared" si="52"/>
        <v>6.0606060606060608E-2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129</v>
      </c>
      <c r="J63" s="18">
        <v>43</v>
      </c>
      <c r="K63" s="18">
        <v>7</v>
      </c>
      <c r="L63" s="18">
        <f t="shared" si="51"/>
        <v>4.558139534883721</v>
      </c>
      <c r="M63" s="18">
        <v>196</v>
      </c>
      <c r="N63" s="18">
        <f t="shared" si="52"/>
        <v>0.16279069767441862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35</v>
      </c>
      <c r="J64" s="18">
        <v>173</v>
      </c>
      <c r="K64" s="18">
        <v>43</v>
      </c>
      <c r="L64" s="18">
        <f t="shared" si="51"/>
        <v>3.554913294797688</v>
      </c>
      <c r="M64" s="18">
        <v>615</v>
      </c>
      <c r="N64" s="18">
        <f t="shared" si="52"/>
        <v>0.24855491329479767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 t="s">
        <v>26</v>
      </c>
      <c r="J65" s="18">
        <v>95</v>
      </c>
      <c r="K65" s="18">
        <v>6</v>
      </c>
      <c r="L65" s="18">
        <f t="shared" si="51"/>
        <v>5.2210526315789476</v>
      </c>
      <c r="M65" s="18">
        <v>496</v>
      </c>
      <c r="N65" s="18">
        <f t="shared" si="52"/>
        <v>6.3157894736842107E-2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122</v>
      </c>
      <c r="J66" s="18">
        <v>133</v>
      </c>
      <c r="K66" s="18">
        <v>17</v>
      </c>
      <c r="L66" s="18">
        <f t="shared" si="51"/>
        <v>3.9849624060150375</v>
      </c>
      <c r="M66" s="18">
        <v>530</v>
      </c>
      <c r="N66" s="18">
        <f t="shared" si="52"/>
        <v>0.12781954887218044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49</v>
      </c>
      <c r="J67" s="18">
        <v>131</v>
      </c>
      <c r="K67" s="18">
        <v>7</v>
      </c>
      <c r="L67" s="18">
        <f t="shared" si="51"/>
        <v>5.1297709923664119</v>
      </c>
      <c r="M67" s="18">
        <v>672</v>
      </c>
      <c r="N67" s="18">
        <f t="shared" si="52"/>
        <v>5.3435114503816793E-2</v>
      </c>
    </row>
    <row r="68" spans="1:14" x14ac:dyDescent="0.25">
      <c r="A68" t="s">
        <v>17</v>
      </c>
      <c r="B68">
        <v>28</v>
      </c>
      <c r="C68">
        <v>2</v>
      </c>
      <c r="D68">
        <f t="shared" si="0"/>
        <v>4.9285714285714288</v>
      </c>
      <c r="E68">
        <v>138</v>
      </c>
      <c r="F68">
        <f t="shared" si="1"/>
        <v>7.1428571428571425E-2</v>
      </c>
      <c r="G68" s="32">
        <v>2.4832774042918899</v>
      </c>
      <c r="I68" s="18" t="s">
        <v>3</v>
      </c>
      <c r="J68" s="18">
        <v>46</v>
      </c>
      <c r="K68" s="18">
        <v>7</v>
      </c>
      <c r="L68" s="18">
        <f>M68/J68</f>
        <v>4.1304347826086953</v>
      </c>
      <c r="M68" s="18">
        <v>190</v>
      </c>
      <c r="N68" s="18">
        <f>K68/J68</f>
        <v>0.15217391304347827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124</v>
      </c>
      <c r="J69" s="18">
        <v>31</v>
      </c>
      <c r="K69" s="18">
        <v>1</v>
      </c>
      <c r="L69" s="18">
        <f>M69/J69</f>
        <v>4.935483870967742</v>
      </c>
      <c r="M69" s="18">
        <v>153</v>
      </c>
      <c r="N69" s="18">
        <f>K69/J69</f>
        <v>3.2258064516129031E-2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</row>
    <row r="71" spans="1:14" x14ac:dyDescent="0.25">
      <c r="A71" t="s">
        <v>12</v>
      </c>
      <c r="B71">
        <v>24</v>
      </c>
      <c r="C71">
        <v>1</v>
      </c>
      <c r="D71">
        <f t="shared" si="0"/>
        <v>4.708333333333333</v>
      </c>
      <c r="E71">
        <v>113</v>
      </c>
      <c r="F71">
        <f t="shared" si="1"/>
        <v>4.1666666666666664E-2</v>
      </c>
      <c r="G71" s="32">
        <v>2.44584195260913</v>
      </c>
    </row>
    <row r="72" spans="1:14" x14ac:dyDescent="0.25">
      <c r="A72" t="s">
        <v>404</v>
      </c>
      <c r="B72">
        <v>26</v>
      </c>
      <c r="C72">
        <v>3</v>
      </c>
      <c r="D72">
        <f t="shared" si="0"/>
        <v>5.0384615384615383</v>
      </c>
      <c r="E72">
        <v>131</v>
      </c>
      <c r="F72">
        <f t="shared" si="1"/>
        <v>0.11538461538461539</v>
      </c>
      <c r="G72" s="32">
        <v>2.3094010767584998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23</v>
      </c>
      <c r="C75">
        <v>1</v>
      </c>
      <c r="D75">
        <f>E75/B75</f>
        <v>5.3913043478260869</v>
      </c>
      <c r="E75">
        <v>124</v>
      </c>
      <c r="F75">
        <f>C75/B75</f>
        <v>4.3478260869565216E-2</v>
      </c>
      <c r="G75" s="32">
        <v>1.9407902170679501</v>
      </c>
    </row>
    <row r="76" spans="1:14" x14ac:dyDescent="0.25">
      <c r="A76" t="s">
        <v>82</v>
      </c>
      <c r="B76">
        <v>20</v>
      </c>
      <c r="C76">
        <v>0</v>
      </c>
      <c r="D76">
        <f t="shared" ref="D76:D91" si="53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53"/>
        <v>5.5303030303030303</v>
      </c>
      <c r="E77" s="18">
        <v>365</v>
      </c>
      <c r="F77" s="18">
        <f t="shared" ref="F77:F91" si="54">C77/B77</f>
        <v>6.0606060606060608E-2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53"/>
        <v>5.05</v>
      </c>
      <c r="E78">
        <v>101</v>
      </c>
      <c r="F78">
        <f t="shared" si="54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3"/>
        <v>4.0999999999999996</v>
      </c>
      <c r="E79">
        <v>82</v>
      </c>
      <c r="F79">
        <f t="shared" si="54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3"/>
        <v>4</v>
      </c>
      <c r="E80" s="41">
        <v>20</v>
      </c>
      <c r="F80" s="41">
        <f t="shared" si="54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3"/>
        <v>4.1818181818181817</v>
      </c>
      <c r="E81" s="41">
        <v>46</v>
      </c>
      <c r="F81" s="41">
        <f t="shared" si="54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53"/>
        <v>4.558139534883721</v>
      </c>
      <c r="E82" s="18">
        <v>196</v>
      </c>
      <c r="F82" s="18">
        <f t="shared" si="54"/>
        <v>0.16279069767441862</v>
      </c>
      <c r="G82" s="32">
        <v>2.1315096371664199</v>
      </c>
    </row>
    <row r="83" spans="1:7" x14ac:dyDescent="0.25">
      <c r="A83" t="s">
        <v>113</v>
      </c>
      <c r="B83">
        <v>25</v>
      </c>
      <c r="C83">
        <v>0</v>
      </c>
      <c r="D83">
        <f t="shared" si="53"/>
        <v>4.4000000000000004</v>
      </c>
      <c r="E83">
        <v>110</v>
      </c>
      <c r="F83">
        <f t="shared" si="54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53"/>
        <v>3.554913294797688</v>
      </c>
      <c r="E84" s="18">
        <v>615</v>
      </c>
      <c r="F84" s="18">
        <f t="shared" si="54"/>
        <v>0.24855491329479767</v>
      </c>
      <c r="G84" s="32">
        <v>2.6214406763289899</v>
      </c>
    </row>
    <row r="85" spans="1:7" x14ac:dyDescent="0.25">
      <c r="A85" s="18" t="s">
        <v>26</v>
      </c>
      <c r="B85" s="18">
        <v>95</v>
      </c>
      <c r="C85" s="18">
        <v>6</v>
      </c>
      <c r="D85" s="18">
        <f t="shared" si="53"/>
        <v>5.2210526315789476</v>
      </c>
      <c r="E85" s="18">
        <v>496</v>
      </c>
      <c r="F85" s="18">
        <f t="shared" si="54"/>
        <v>6.3157894736842107E-2</v>
      </c>
      <c r="G85" s="32">
        <v>2.4494897427831699</v>
      </c>
    </row>
    <row r="86" spans="1:7" x14ac:dyDescent="0.25">
      <c r="A86" s="18" t="s">
        <v>122</v>
      </c>
      <c r="B86" s="18">
        <v>133</v>
      </c>
      <c r="C86" s="18">
        <v>17</v>
      </c>
      <c r="D86" s="18">
        <f t="shared" si="53"/>
        <v>3.9849624060150375</v>
      </c>
      <c r="E86" s="18">
        <v>530</v>
      </c>
      <c r="F86" s="18">
        <f t="shared" si="54"/>
        <v>0.12781954887218044</v>
      </c>
      <c r="G86" s="32">
        <v>1.6329931618554501</v>
      </c>
    </row>
    <row r="87" spans="1:7" x14ac:dyDescent="0.25">
      <c r="A87" s="18" t="s">
        <v>49</v>
      </c>
      <c r="B87" s="18">
        <v>131</v>
      </c>
      <c r="C87" s="18">
        <v>7</v>
      </c>
      <c r="D87" s="18">
        <f t="shared" si="53"/>
        <v>5.1297709923664119</v>
      </c>
      <c r="E87" s="18">
        <v>672</v>
      </c>
      <c r="F87" s="18">
        <f t="shared" si="54"/>
        <v>5.3435114503816793E-2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53"/>
        <v>4.1304347826086953</v>
      </c>
      <c r="E88" s="18">
        <v>190</v>
      </c>
      <c r="F88" s="18">
        <f t="shared" si="54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3"/>
        <v>4.8076923076923075</v>
      </c>
      <c r="E89">
        <v>125</v>
      </c>
      <c r="F89">
        <f t="shared" si="54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3"/>
        <v>4.1428571428571432</v>
      </c>
      <c r="E90">
        <v>116</v>
      </c>
      <c r="F90">
        <f t="shared" si="54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3"/>
        <v>4.935483870967742</v>
      </c>
      <c r="E91" s="18">
        <v>153</v>
      </c>
      <c r="F91" s="18">
        <f t="shared" si="54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cui</cp:lastModifiedBy>
  <dcterms:created xsi:type="dcterms:W3CDTF">2023-04-24T17:39:22Z</dcterms:created>
  <dcterms:modified xsi:type="dcterms:W3CDTF">2026-04-12T22:13:13Z</dcterms:modified>
</cp:coreProperties>
</file>