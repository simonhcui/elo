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BCAABCF4-F2D2-4A3F-9BF8-145230717575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13" l="1"/>
  <c r="L27" i="13"/>
  <c r="N19" i="13"/>
  <c r="L19" i="13"/>
  <c r="N41" i="13"/>
  <c r="L41" i="13"/>
  <c r="N15" i="13"/>
  <c r="L15" i="13"/>
  <c r="N47" i="13"/>
  <c r="L47" i="13"/>
  <c r="N74" i="13"/>
  <c r="L74" i="13"/>
  <c r="N33" i="13"/>
  <c r="L33" i="13"/>
  <c r="N72" i="13"/>
  <c r="L72" i="13"/>
  <c r="N48" i="13"/>
  <c r="L48" i="13"/>
  <c r="N50" i="13"/>
  <c r="L50" i="13"/>
  <c r="N64" i="13"/>
  <c r="L64" i="13"/>
  <c r="N23" i="13"/>
  <c r="L23" i="13"/>
  <c r="N57" i="13"/>
  <c r="L57" i="13"/>
  <c r="N77" i="13"/>
  <c r="L77" i="13"/>
  <c r="N78" i="13"/>
  <c r="L78" i="13"/>
  <c r="N42" i="13"/>
  <c r="L42" i="13"/>
  <c r="N35" i="13"/>
  <c r="L35" i="13"/>
  <c r="N17" i="13"/>
  <c r="L17" i="13"/>
  <c r="N24" i="13"/>
  <c r="L24" i="13"/>
  <c r="N75" i="13"/>
  <c r="L75" i="13"/>
  <c r="N40" i="13"/>
  <c r="L40" i="13"/>
  <c r="N26" i="13"/>
  <c r="L26" i="13"/>
  <c r="N76" i="13"/>
  <c r="L76" i="13"/>
  <c r="N49" i="13"/>
  <c r="L49" i="13"/>
  <c r="N65" i="13"/>
  <c r="L65" i="13"/>
  <c r="N29" i="13"/>
  <c r="L29" i="13"/>
  <c r="N34" i="13"/>
  <c r="L34" i="13"/>
  <c r="N14" i="13"/>
  <c r="L14" i="13"/>
  <c r="N73" i="13"/>
  <c r="L73" i="13"/>
  <c r="N80" i="13"/>
  <c r="L80" i="13"/>
  <c r="N69" i="13"/>
  <c r="L69" i="13"/>
  <c r="N71" i="13"/>
  <c r="L71" i="13"/>
  <c r="N46" i="13"/>
  <c r="L46" i="13"/>
  <c r="N56" i="13"/>
  <c r="L56" i="13"/>
  <c r="N60" i="13"/>
  <c r="L60" i="13"/>
  <c r="N54" i="13" l="1"/>
  <c r="L54" i="13"/>
  <c r="N68" i="13"/>
  <c r="L68" i="13"/>
  <c r="N62" i="13"/>
  <c r="L62" i="13"/>
  <c r="N43" i="13"/>
  <c r="L43" i="13"/>
  <c r="N66" i="13"/>
  <c r="L66" i="13"/>
  <c r="N79" i="13"/>
  <c r="L79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1" i="13"/>
  <c r="L61" i="13"/>
  <c r="N70" i="13"/>
  <c r="L70" i="13"/>
  <c r="N59" i="13" l="1"/>
  <c r="L59" i="13"/>
  <c r="L67" i="13"/>
  <c r="N67" i="13"/>
  <c r="N38" i="13"/>
  <c r="L38" i="13"/>
  <c r="N55" i="13"/>
  <c r="L55" i="13"/>
  <c r="L58" i="13"/>
  <c r="N58" i="13"/>
  <c r="L63" i="13"/>
  <c r="N63" i="13"/>
  <c r="L81" i="13"/>
  <c r="N81" i="13"/>
  <c r="N53" i="13"/>
  <c r="L53" i="13"/>
  <c r="N37" i="13"/>
  <c r="L37" i="13"/>
  <c r="N13" i="13"/>
  <c r="L13" i="13"/>
  <c r="N18" i="13" l="1"/>
  <c r="L18" i="13"/>
  <c r="N16" i="13"/>
  <c r="L16" i="13"/>
  <c r="N44" i="13"/>
  <c r="L44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9" i="13"/>
  <c r="L39" i="13"/>
  <c r="N31" i="13"/>
  <c r="L31" i="13"/>
  <c r="N30" i="13"/>
  <c r="L30" i="13"/>
  <c r="N52" i="13" l="1"/>
  <c r="L52" i="13"/>
  <c r="N28" i="13" l="1"/>
  <c r="L28" i="13"/>
  <c r="N25" i="13" l="1"/>
  <c r="L25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1" i="13"/>
  <c r="L51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5" i="13"/>
  <c r="L45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6" i="13"/>
  <c r="L36" i="13"/>
  <c r="F39" i="13"/>
  <c r="D39" i="13"/>
  <c r="F38" i="13"/>
  <c r="D38" i="13"/>
  <c r="F37" i="13"/>
  <c r="D37" i="13"/>
  <c r="F36" i="13"/>
  <c r="D36" i="13"/>
  <c r="N32" i="13"/>
  <c r="L32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<sst xmlns="http://schemas.openxmlformats.org/spreadsheetml/2006/main" count="16934" uniqueCount="605">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</sst>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40"/>
  <sheetViews>
    <sheetView topLeftCell="A307" zoomScaleNormal="100" workbookViewId="0">
      <selection activeCell="Q332" sqref="Q332:X34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24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24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24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24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I27" sqref="I27:N27"/>
    </sheetView>
  </sheetViews>
  <sheetFormatPr defaultRowHeight="15" x14ac:dyDescent="0.25"/>
  <sheetData>
    <row r="1" spans="1:14 16384:16384" x14ac:dyDescent="0.25">
      <c r="A1" s="1">
        <v>46163</v>
      </c>
      <c r="B1" s="1">
        <v>46163</v>
      </c>
      <c r="C1" s="1">
        <v>46163</v>
      </c>
      <c r="D1" s="1">
        <v>46163</v>
      </c>
      <c r="E1" s="1">
        <v>46164</v>
      </c>
      <c r="F1" s="1">
        <v>46164</v>
      </c>
      <c r="G1" s="1">
        <v>46170</v>
      </c>
      <c r="H1" s="1">
        <v>46170</v>
      </c>
      <c r="I1" s="1">
        <v>46170</v>
      </c>
      <c r="J1" s="1">
        <v>46170</v>
      </c>
      <c r="K1" s="1">
        <v>46171</v>
      </c>
      <c r="L1" s="1">
        <v>46171</v>
      </c>
      <c r="XFD1" s="1"/>
    </row>
    <row r="2" spans="1:14 16384:16384" x14ac:dyDescent="0.25">
      <c r="A2" t="s">
        <v>121</v>
      </c>
      <c r="B2" t="s">
        <v>28</v>
      </c>
      <c r="C2" t="s">
        <v>128</v>
      </c>
      <c r="D2" t="s">
        <v>15</v>
      </c>
      <c r="E2" t="s">
        <v>232</v>
      </c>
      <c r="F2" t="s">
        <v>7</v>
      </c>
    </row>
    <row r="3" spans="1:14 16384:16384" x14ac:dyDescent="0.25">
      <c r="A3" t="s">
        <v>7</v>
      </c>
      <c r="B3" t="s">
        <v>232</v>
      </c>
      <c r="C3" t="s">
        <v>56</v>
      </c>
      <c r="D3" t="s">
        <v>7</v>
      </c>
      <c r="E3" t="s">
        <v>123</v>
      </c>
      <c r="F3" t="s">
        <v>117</v>
      </c>
    </row>
    <row r="4" spans="1:14 16384:16384" x14ac:dyDescent="0.25">
      <c r="A4" t="s">
        <v>25</v>
      </c>
      <c r="B4" t="s">
        <v>35</v>
      </c>
      <c r="C4" t="s">
        <v>553</v>
      </c>
      <c r="D4" t="s">
        <v>21</v>
      </c>
      <c r="E4" t="s">
        <v>553</v>
      </c>
      <c r="F4" t="s">
        <v>113</v>
      </c>
    </row>
    <row r="5" spans="1:14 16384:16384" x14ac:dyDescent="0.25">
      <c r="A5" t="s">
        <v>35</v>
      </c>
      <c r="B5" t="s">
        <v>7</v>
      </c>
      <c r="C5" t="s">
        <v>122</v>
      </c>
      <c r="D5" t="s">
        <v>49</v>
      </c>
      <c r="E5" t="s">
        <v>28</v>
      </c>
      <c r="F5" t="s">
        <v>28</v>
      </c>
    </row>
    <row r="6" spans="1:14 16384:16384" x14ac:dyDescent="0.25">
      <c r="A6" t="s">
        <v>31</v>
      </c>
      <c r="B6" t="s">
        <v>31</v>
      </c>
      <c r="C6" t="s">
        <v>21</v>
      </c>
      <c r="D6" t="s">
        <v>56</v>
      </c>
      <c r="E6" t="s">
        <v>253</v>
      </c>
      <c r="F6" t="s">
        <v>31</v>
      </c>
    </row>
    <row r="7" spans="1:14 16384:16384" x14ac:dyDescent="0.25">
      <c r="A7" t="s">
        <v>28</v>
      </c>
      <c r="B7" t="s">
        <v>15</v>
      </c>
      <c r="C7" t="s">
        <v>49</v>
      </c>
      <c r="D7" t="s">
        <v>122</v>
      </c>
      <c r="E7" t="s">
        <v>20</v>
      </c>
      <c r="F7" t="s">
        <v>232</v>
      </c>
    </row>
    <row r="8" spans="1:14 16384:16384" x14ac:dyDescent="0.25">
      <c r="A8" t="s">
        <v>87</v>
      </c>
      <c r="B8" t="s">
        <v>87</v>
      </c>
      <c r="C8" t="s">
        <v>574</v>
      </c>
      <c r="D8" t="s">
        <v>29</v>
      </c>
      <c r="E8" t="s">
        <v>31</v>
      </c>
      <c r="F8" t="s">
        <v>37</v>
      </c>
    </row>
    <row r="9" spans="1:14 16384:16384" x14ac:dyDescent="0.25">
      <c r="A9" t="s">
        <v>123</v>
      </c>
      <c r="B9" t="s">
        <v>25</v>
      </c>
      <c r="C9" t="s">
        <v>7</v>
      </c>
      <c r="D9" t="s">
        <v>19</v>
      </c>
      <c r="E9" t="s">
        <v>87</v>
      </c>
      <c r="F9" t="s">
        <v>87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126</v>
      </c>
      <c r="C14" s="18">
        <v>9</v>
      </c>
      <c r="D14" s="18">
        <f t="shared" si="0"/>
        <v>4.2777777777777777</v>
      </c>
      <c r="E14" s="18">
        <v>539</v>
      </c>
      <c r="F14" s="18">
        <f t="shared" si="1"/>
        <v>7.1428571428571425E-2</v>
      </c>
      <c r="G14" s="32">
        <v>2.3273733406281498</v>
      </c>
      <c r="I14" s="18" t="s">
        <v>104</v>
      </c>
      <c r="J14" s="18">
        <v>126</v>
      </c>
      <c r="K14" s="18">
        <v>9</v>
      </c>
      <c r="L14" s="18">
        <f t="shared" si="2"/>
        <v>4.2777777777777777</v>
      </c>
      <c r="M14" s="18">
        <v>539</v>
      </c>
      <c r="N14" s="18">
        <f t="shared" si="3"/>
        <v>7.1428571428571425E-2</v>
      </c>
    </row>
    <row r="15" spans="1:14 16384:16384" x14ac:dyDescent="0.25">
      <c r="A15" s="18" t="s">
        <v>31</v>
      </c>
      <c r="B15" s="18">
        <v>253</v>
      </c>
      <c r="C15" s="18">
        <v>18</v>
      </c>
      <c r="D15" s="18">
        <f t="shared" si="0"/>
        <v>5.0830039525691699</v>
      </c>
      <c r="E15" s="18">
        <v>1286</v>
      </c>
      <c r="F15" s="18">
        <f t="shared" si="1"/>
        <v>7.1146245059288543E-2</v>
      </c>
      <c r="G15" s="32">
        <v>1.87082869338697</v>
      </c>
      <c r="I15" s="18" t="s">
        <v>31</v>
      </c>
      <c r="J15" s="18">
        <v>253</v>
      </c>
      <c r="K15" s="18">
        <v>18</v>
      </c>
      <c r="L15" s="18">
        <f t="shared" si="2"/>
        <v>5.0830039525691699</v>
      </c>
      <c r="M15" s="18">
        <v>1286</v>
      </c>
      <c r="N15" s="18">
        <f t="shared" si="3"/>
        <v>7.1146245059288543E-2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111</v>
      </c>
      <c r="C17" s="18">
        <v>35</v>
      </c>
      <c r="D17" s="18">
        <f t="shared" si="0"/>
        <v>3.2162162162162162</v>
      </c>
      <c r="E17" s="18">
        <v>357</v>
      </c>
      <c r="F17" s="18">
        <f t="shared" si="1"/>
        <v>0.31531531531531531</v>
      </c>
      <c r="G17" s="32">
        <v>2.03049835952651</v>
      </c>
      <c r="I17" s="18" t="s">
        <v>128</v>
      </c>
      <c r="J17" s="18">
        <v>111</v>
      </c>
      <c r="K17" s="18">
        <v>35</v>
      </c>
      <c r="L17" s="18">
        <f t="shared" si="4"/>
        <v>3.2162162162162162</v>
      </c>
      <c r="M17" s="18">
        <v>357</v>
      </c>
      <c r="N17" s="18">
        <f t="shared" si="5"/>
        <v>0.31531531531531531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" si="10">M23/J23</f>
        <v>5.0270270270270272</v>
      </c>
      <c r="M23" s="18">
        <v>186</v>
      </c>
      <c r="N23" s="18">
        <f t="shared" ref="N23" si="11">K23/J23</f>
        <v>8.1081081081081086E-2</v>
      </c>
    </row>
    <row r="24" spans="1:24" x14ac:dyDescent="0.25">
      <c r="A24" t="s">
        <v>56</v>
      </c>
      <c r="B24">
        <v>28</v>
      </c>
      <c r="C24">
        <v>0</v>
      </c>
      <c r="D24">
        <f t="shared" si="0"/>
        <v>4.9642857142857144</v>
      </c>
      <c r="E24">
        <v>139</v>
      </c>
      <c r="F24">
        <f t="shared" si="1"/>
        <v>0</v>
      </c>
      <c r="G24" s="32">
        <v>2.0655911179772799</v>
      </c>
      <c r="I24" s="18" t="s">
        <v>25</v>
      </c>
      <c r="J24" s="18">
        <v>221</v>
      </c>
      <c r="K24" s="18">
        <v>21</v>
      </c>
      <c r="L24" s="18">
        <f t="shared" ref="L24" si="12">M24/J24</f>
        <v>5.0271493212669682</v>
      </c>
      <c r="M24" s="18">
        <v>1111</v>
      </c>
      <c r="N24" s="18">
        <f t="shared" ref="N24" si="13">K24/J24</f>
        <v>9.5022624434389136E-2</v>
      </c>
    </row>
    <row r="25" spans="1:2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34</v>
      </c>
      <c r="J25" s="18">
        <v>30</v>
      </c>
      <c r="K25" s="18">
        <v>2</v>
      </c>
      <c r="L25" s="18">
        <f t="shared" ref="L25:L27" si="14">M25/J25</f>
        <v>5.5333333333333332</v>
      </c>
      <c r="M25" s="18">
        <v>166</v>
      </c>
      <c r="N25" s="18">
        <f t="shared" ref="N25:N27" si="15">K25/J25</f>
        <v>6.6666666666666666E-2</v>
      </c>
    </row>
    <row r="26" spans="1:24" x14ac:dyDescent="0.25">
      <c r="A26" t="s">
        <v>20</v>
      </c>
      <c r="B26">
        <v>28</v>
      </c>
      <c r="C26">
        <v>2</v>
      </c>
      <c r="D26">
        <f t="shared" si="0"/>
        <v>5.3928571428571432</v>
      </c>
      <c r="E26">
        <v>151</v>
      </c>
      <c r="F26">
        <f t="shared" si="1"/>
        <v>7.1428571428571425E-2</v>
      </c>
      <c r="G26" s="32">
        <v>2.3159525823376299</v>
      </c>
      <c r="I26" s="18" t="s">
        <v>147</v>
      </c>
      <c r="J26" s="18">
        <v>133</v>
      </c>
      <c r="K26" s="18">
        <v>27</v>
      </c>
      <c r="L26" s="18">
        <f t="shared" si="14"/>
        <v>3.7218045112781954</v>
      </c>
      <c r="M26" s="18">
        <v>495</v>
      </c>
      <c r="N26" s="18">
        <f t="shared" si="15"/>
        <v>0.20300751879699247</v>
      </c>
    </row>
    <row r="27" spans="1:24" x14ac:dyDescent="0.25">
      <c r="A27" s="18" t="s">
        <v>25</v>
      </c>
      <c r="B27" s="18">
        <v>221</v>
      </c>
      <c r="C27" s="18">
        <v>21</v>
      </c>
      <c r="D27" s="18">
        <f t="shared" si="0"/>
        <v>5.0271493212669682</v>
      </c>
      <c r="E27" s="18">
        <v>1111</v>
      </c>
      <c r="F27" s="18">
        <f t="shared" si="1"/>
        <v>9.5022624434389136E-2</v>
      </c>
      <c r="G27" s="32">
        <v>2.1609054109613202</v>
      </c>
      <c r="I27" s="18" t="s">
        <v>87</v>
      </c>
      <c r="J27" s="18">
        <v>172</v>
      </c>
      <c r="K27" s="18">
        <v>21</v>
      </c>
      <c r="L27" s="18">
        <f t="shared" si="14"/>
        <v>5.0232558139534884</v>
      </c>
      <c r="M27" s="18">
        <v>864</v>
      </c>
      <c r="N27" s="18">
        <f t="shared" si="15"/>
        <v>0.12209302325581395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50</v>
      </c>
      <c r="J28" s="18">
        <v>30</v>
      </c>
      <c r="K28" s="18">
        <v>1</v>
      </c>
      <c r="L28" s="18">
        <f t="shared" ref="L28:L29" si="16">M28/J28</f>
        <v>4.3</v>
      </c>
      <c r="M28" s="18">
        <v>129</v>
      </c>
      <c r="N28" s="18">
        <f t="shared" ref="N28:N29" si="17">K28/J28</f>
        <v>3.3333333333333333E-2</v>
      </c>
    </row>
    <row r="29" spans="1:24" x14ac:dyDescent="0.25">
      <c r="A29" s="18" t="s">
        <v>147</v>
      </c>
      <c r="B29" s="18">
        <v>133</v>
      </c>
      <c r="C29" s="18">
        <v>27</v>
      </c>
      <c r="D29" s="18">
        <f t="shared" si="0"/>
        <v>3.7218045112781954</v>
      </c>
      <c r="E29" s="18">
        <v>495</v>
      </c>
      <c r="F29" s="18">
        <f t="shared" si="1"/>
        <v>0.20300751879699247</v>
      </c>
      <c r="G29" s="32">
        <v>1.94935886896179</v>
      </c>
      <c r="I29" s="18" t="s">
        <v>81</v>
      </c>
      <c r="J29" s="18">
        <v>83</v>
      </c>
      <c r="K29" s="18">
        <v>6</v>
      </c>
      <c r="L29" s="18">
        <f t="shared" si="16"/>
        <v>5.1084337349397586</v>
      </c>
      <c r="M29" s="18">
        <v>424</v>
      </c>
      <c r="N29" s="18">
        <f t="shared" si="17"/>
        <v>7.2289156626506021E-2</v>
      </c>
    </row>
    <row r="30" spans="1:24" x14ac:dyDescent="0.25">
      <c r="A30" s="18" t="s">
        <v>87</v>
      </c>
      <c r="B30" s="18">
        <v>172</v>
      </c>
      <c r="C30" s="18">
        <v>21</v>
      </c>
      <c r="D30" s="18">
        <f t="shared" si="0"/>
        <v>5.0232558139534884</v>
      </c>
      <c r="E30" s="18">
        <v>864</v>
      </c>
      <c r="F30" s="18">
        <f t="shared" si="1"/>
        <v>0.12209302325581395</v>
      </c>
      <c r="G30" s="32">
        <v>1.7888543819998299</v>
      </c>
      <c r="I30" s="18" t="s">
        <v>36</v>
      </c>
      <c r="J30" s="18">
        <v>30</v>
      </c>
      <c r="K30" s="18">
        <v>0</v>
      </c>
      <c r="L30" s="18">
        <f t="shared" ref="L30" si="18">M30/J30</f>
        <v>4.5333333333333332</v>
      </c>
      <c r="M30" s="18">
        <v>136</v>
      </c>
      <c r="N30" s="18">
        <f t="shared" ref="N30" si="19">K30/J30</f>
        <v>0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112</v>
      </c>
      <c r="J31" s="18">
        <v>30</v>
      </c>
      <c r="K31" s="18">
        <v>6</v>
      </c>
      <c r="L31" s="18">
        <f t="shared" ref="L31" si="20">M31/J31</f>
        <v>4.166666666666667</v>
      </c>
      <c r="M31" s="18">
        <v>125</v>
      </c>
      <c r="N31" s="18">
        <f t="shared" ref="N31" si="21">K31/J31</f>
        <v>0.2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27</v>
      </c>
      <c r="J32" s="18">
        <v>36</v>
      </c>
      <c r="K32" s="18">
        <v>3</v>
      </c>
      <c r="L32" s="18">
        <f>M32/J32</f>
        <v>4.4444444444444446</v>
      </c>
      <c r="M32" s="18">
        <v>160</v>
      </c>
      <c r="N32" s="18">
        <f>K32/J32</f>
        <v>8.3333333333333329E-2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117</v>
      </c>
      <c r="J33" s="18">
        <v>33</v>
      </c>
      <c r="K33" s="18">
        <v>6</v>
      </c>
      <c r="L33" s="18">
        <f t="shared" ref="L33" si="22">M33/J33</f>
        <v>4.1818181818181817</v>
      </c>
      <c r="M33" s="18">
        <v>138</v>
      </c>
      <c r="N33" s="18">
        <f t="shared" ref="N33" si="23">K33/J33</f>
        <v>0.18181818181818182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401</v>
      </c>
      <c r="J34" s="18">
        <v>69</v>
      </c>
      <c r="K34" s="18">
        <v>3</v>
      </c>
      <c r="L34" s="18">
        <f t="shared" ref="L33:L35" si="24">M34/J34</f>
        <v>5.3913043478260869</v>
      </c>
      <c r="M34" s="18">
        <v>372</v>
      </c>
      <c r="N34" s="18">
        <f t="shared" ref="N33:N35" si="25">K34/J34</f>
        <v>4.3478260869565216E-2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267</v>
      </c>
      <c r="K35" s="18">
        <v>40</v>
      </c>
      <c r="L35" s="18">
        <f t="shared" si="24"/>
        <v>4.6104868913857677</v>
      </c>
      <c r="M35" s="18">
        <v>1231</v>
      </c>
      <c r="N35" s="18">
        <f t="shared" si="25"/>
        <v>0.14981273408239701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>M36/J36</f>
        <v>4.7222222222222223</v>
      </c>
      <c r="M36" s="18">
        <v>170</v>
      </c>
      <c r="N36" s="18">
        <f>K36/J36</f>
        <v>5.5555555555555552E-2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10</v>
      </c>
      <c r="J37" s="18">
        <v>73</v>
      </c>
      <c r="K37" s="18">
        <v>13</v>
      </c>
      <c r="L37" s="18">
        <f t="shared" ref="L37" si="26">M37/J37</f>
        <v>3.9452054794520546</v>
      </c>
      <c r="M37" s="18">
        <v>288</v>
      </c>
      <c r="N37" s="18">
        <f t="shared" ref="N37" si="27">K37/J37</f>
        <v>0.17808219178082191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63</v>
      </c>
      <c r="J38" s="18">
        <v>30</v>
      </c>
      <c r="K38" s="18">
        <v>5</v>
      </c>
      <c r="L38" s="18">
        <f t="shared" ref="L38" si="28">M38/J38</f>
        <v>4.2333333333333334</v>
      </c>
      <c r="M38" s="18">
        <v>127</v>
      </c>
      <c r="N38" s="18">
        <f t="shared" ref="N38" si="29">K38/J38</f>
        <v>0.16666666666666666</v>
      </c>
    </row>
    <row r="39" spans="1:14" x14ac:dyDescent="0.25">
      <c r="A39" s="18" t="s">
        <v>15</v>
      </c>
      <c r="B39" s="18">
        <v>267</v>
      </c>
      <c r="C39" s="18">
        <v>40</v>
      </c>
      <c r="D39" s="18">
        <f t="shared" si="0"/>
        <v>4.6104868913857677</v>
      </c>
      <c r="E39" s="18">
        <v>1231</v>
      </c>
      <c r="F39" s="18">
        <f t="shared" si="1"/>
        <v>0.14981273408239701</v>
      </c>
      <c r="G39" s="32">
        <v>2.3694389634605302</v>
      </c>
      <c r="I39" s="18" t="s">
        <v>4</v>
      </c>
      <c r="J39" s="18">
        <v>30</v>
      </c>
      <c r="K39" s="18">
        <v>4</v>
      </c>
      <c r="L39" s="18">
        <f t="shared" ref="L39:L43" si="30">M39/J39</f>
        <v>4.8</v>
      </c>
      <c r="M39" s="18">
        <v>144</v>
      </c>
      <c r="N39" s="18">
        <f t="shared" ref="N39:N43" si="31">K39/J39</f>
        <v>0.13333333333333333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102</v>
      </c>
      <c r="K40" s="18">
        <v>23</v>
      </c>
      <c r="L40" s="18">
        <f t="shared" si="30"/>
        <v>3.8529411764705883</v>
      </c>
      <c r="M40" s="18">
        <v>393</v>
      </c>
      <c r="N40" s="18">
        <f t="shared" si="31"/>
        <v>0.22549019607843138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232</v>
      </c>
      <c r="J41" s="18">
        <v>158</v>
      </c>
      <c r="K41" s="18">
        <v>34</v>
      </c>
      <c r="L41" s="18">
        <f t="shared" si="30"/>
        <v>3.5886075949367089</v>
      </c>
      <c r="M41" s="18">
        <v>567</v>
      </c>
      <c r="N41" s="18">
        <f t="shared" si="31"/>
        <v>0.21518987341772153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21</v>
      </c>
      <c r="J42" s="18">
        <v>175</v>
      </c>
      <c r="K42" s="18">
        <v>25</v>
      </c>
      <c r="L42" s="18">
        <f t="shared" si="30"/>
        <v>4.3142857142857141</v>
      </c>
      <c r="M42" s="18">
        <v>755</v>
      </c>
      <c r="N42" s="18">
        <f t="shared" si="31"/>
        <v>0.14285714285714285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51</v>
      </c>
      <c r="J43" s="18">
        <v>47</v>
      </c>
      <c r="K43" s="18">
        <v>4</v>
      </c>
      <c r="L43" s="18">
        <f t="shared" si="30"/>
        <v>4.8085106382978724</v>
      </c>
      <c r="M43" s="18">
        <v>226</v>
      </c>
      <c r="N43" s="18">
        <f t="shared" si="31"/>
        <v>8.5106382978723402E-2</v>
      </c>
    </row>
    <row r="44" spans="1:14" x14ac:dyDescent="0.25">
      <c r="A44" s="18" t="s">
        <v>121</v>
      </c>
      <c r="B44" s="18">
        <v>102</v>
      </c>
      <c r="C44" s="18">
        <v>23</v>
      </c>
      <c r="D44" s="18">
        <f t="shared" si="0"/>
        <v>3.8529411764705883</v>
      </c>
      <c r="E44" s="18">
        <v>393</v>
      </c>
      <c r="F44" s="18">
        <f t="shared" si="1"/>
        <v>0.22549019607843138</v>
      </c>
      <c r="G44" s="32">
        <v>2.2233267457082899</v>
      </c>
      <c r="I44" s="18" t="s">
        <v>414</v>
      </c>
      <c r="J44" s="18">
        <v>30</v>
      </c>
      <c r="K44" s="18">
        <v>4</v>
      </c>
      <c r="L44" s="18">
        <f t="shared" ref="L44" si="32">M44/J44</f>
        <v>4.6333333333333337</v>
      </c>
      <c r="M44" s="18">
        <v>139</v>
      </c>
      <c r="N44" s="18">
        <f t="shared" ref="N44" si="33">K44/J44</f>
        <v>0.13333333333333333</v>
      </c>
    </row>
    <row r="45" spans="1:14" x14ac:dyDescent="0.25">
      <c r="A45" s="18" t="s">
        <v>232</v>
      </c>
      <c r="B45" s="18">
        <v>158</v>
      </c>
      <c r="C45" s="18">
        <v>34</v>
      </c>
      <c r="D45" s="18">
        <f t="shared" si="0"/>
        <v>3.5886075949367089</v>
      </c>
      <c r="E45" s="18">
        <v>567</v>
      </c>
      <c r="F45" s="18">
        <f t="shared" si="1"/>
        <v>0.21518987341772153</v>
      </c>
      <c r="G45" s="32">
        <v>2.2509257354845502</v>
      </c>
      <c r="I45" s="18" t="s">
        <v>0</v>
      </c>
      <c r="J45" s="18">
        <v>84</v>
      </c>
      <c r="K45" s="18">
        <v>14</v>
      </c>
      <c r="L45" s="18">
        <f>M45/J45</f>
        <v>4.1547619047619051</v>
      </c>
      <c r="M45" s="18">
        <v>349</v>
      </c>
      <c r="N45" s="18">
        <f>K45/J45</f>
        <v>0.16666666666666666</v>
      </c>
    </row>
    <row r="46" spans="1:14" x14ac:dyDescent="0.25">
      <c r="A46" s="18" t="s">
        <v>21</v>
      </c>
      <c r="B46" s="18">
        <v>175</v>
      </c>
      <c r="C46" s="18">
        <v>25</v>
      </c>
      <c r="D46" s="18">
        <f t="shared" si="0"/>
        <v>4.3142857142857141</v>
      </c>
      <c r="E46" s="18">
        <v>755</v>
      </c>
      <c r="F46" s="18">
        <f t="shared" si="1"/>
        <v>0.14285714285714285</v>
      </c>
      <c r="G46" s="32">
        <v>2.0655911179772799</v>
      </c>
      <c r="I46" s="18" t="s">
        <v>1</v>
      </c>
      <c r="J46" s="18">
        <v>115</v>
      </c>
      <c r="K46" s="18">
        <v>6</v>
      </c>
      <c r="L46" s="18">
        <f t="shared" ref="L46:L48" si="34">M46/J46</f>
        <v>4.6260869565217391</v>
      </c>
      <c r="M46" s="18">
        <v>532</v>
      </c>
      <c r="N46" s="18">
        <f t="shared" ref="N46:N48" si="35">K46/J46</f>
        <v>5.2173913043478258E-2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28</v>
      </c>
      <c r="J47" s="18">
        <v>73</v>
      </c>
      <c r="K47" s="18">
        <v>3</v>
      </c>
      <c r="L47" s="18">
        <f t="shared" si="34"/>
        <v>5.3698630136986303</v>
      </c>
      <c r="M47" s="18">
        <v>392</v>
      </c>
      <c r="N47" s="18">
        <f t="shared" si="35"/>
        <v>4.1095890410958902E-2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253</v>
      </c>
      <c r="J48" s="18">
        <v>54</v>
      </c>
      <c r="K48" s="18">
        <v>3</v>
      </c>
      <c r="L48" s="18">
        <f t="shared" si="34"/>
        <v>5.5185185185185182</v>
      </c>
      <c r="M48" s="18">
        <v>298</v>
      </c>
      <c r="N48" s="18">
        <f t="shared" si="35"/>
        <v>5.5555555555555552E-2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175</v>
      </c>
      <c r="J49" s="18">
        <v>57</v>
      </c>
      <c r="K49" s="18">
        <v>15</v>
      </c>
      <c r="L49" s="18">
        <f t="shared" ref="L49:L50" si="36">M49/J49</f>
        <v>3.3157894736842106</v>
      </c>
      <c r="M49" s="18">
        <v>189</v>
      </c>
      <c r="N49" s="18">
        <f t="shared" ref="N49" si="37">K49/J49</f>
        <v>0.26315789473684209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61</v>
      </c>
      <c r="J50" s="18">
        <v>59</v>
      </c>
      <c r="K50" s="18">
        <v>10</v>
      </c>
      <c r="L50" s="18">
        <f t="shared" si="36"/>
        <v>4.5593220338983054</v>
      </c>
      <c r="M50" s="18">
        <v>269</v>
      </c>
      <c r="N50" s="18">
        <f>K50/J50</f>
        <v>0.16949152542372881</v>
      </c>
    </row>
    <row r="51" spans="1:14" x14ac:dyDescent="0.25">
      <c r="A51" s="18" t="s">
        <v>28</v>
      </c>
      <c r="B51" s="18">
        <v>73</v>
      </c>
      <c r="C51" s="18">
        <v>3</v>
      </c>
      <c r="D51" s="18">
        <f t="shared" si="0"/>
        <v>5.3698630136986303</v>
      </c>
      <c r="E51" s="18">
        <v>392</v>
      </c>
      <c r="F51" s="18">
        <f t="shared" si="1"/>
        <v>4.1095890410958902E-2</v>
      </c>
      <c r="G51" s="32">
        <v>1.30384048104052</v>
      </c>
      <c r="I51" s="18" t="s">
        <v>115</v>
      </c>
      <c r="J51" s="18">
        <v>39</v>
      </c>
      <c r="K51" s="18">
        <v>3</v>
      </c>
      <c r="L51" s="18">
        <f t="shared" ref="L51:L52" si="38">M51/J51</f>
        <v>4.384615384615385</v>
      </c>
      <c r="M51" s="18">
        <v>171</v>
      </c>
      <c r="N51" s="18">
        <f t="shared" ref="N51:N52" si="39">K51/J51</f>
        <v>7.6923076923076927E-2</v>
      </c>
    </row>
    <row r="52" spans="1:14" x14ac:dyDescent="0.25">
      <c r="A52" s="18" t="s">
        <v>253</v>
      </c>
      <c r="B52" s="18">
        <v>54</v>
      </c>
      <c r="C52" s="18">
        <v>3</v>
      </c>
      <c r="D52" s="18">
        <f t="shared" si="0"/>
        <v>5.5185185185185182</v>
      </c>
      <c r="E52" s="18">
        <v>298</v>
      </c>
      <c r="F52" s="18">
        <f t="shared" si="1"/>
        <v>5.5555555555555552E-2</v>
      </c>
      <c r="G52" s="32"/>
      <c r="I52" s="18" t="s">
        <v>24</v>
      </c>
      <c r="J52" s="18">
        <v>101</v>
      </c>
      <c r="K52" s="18">
        <v>12</v>
      </c>
      <c r="L52" s="18">
        <f t="shared" si="38"/>
        <v>4.5247524752475243</v>
      </c>
      <c r="M52" s="18">
        <v>457</v>
      </c>
      <c r="N52" s="18">
        <f t="shared" si="39"/>
        <v>0.11881188118811881</v>
      </c>
    </row>
    <row r="53" spans="1:14" x14ac:dyDescent="0.25">
      <c r="A53" s="18" t="s">
        <v>175</v>
      </c>
      <c r="B53" s="18">
        <v>57</v>
      </c>
      <c r="C53" s="18">
        <v>15</v>
      </c>
      <c r="D53" s="18">
        <f t="shared" si="0"/>
        <v>3.3157894736842106</v>
      </c>
      <c r="E53" s="18">
        <v>189</v>
      </c>
      <c r="F53" s="18">
        <f t="shared" si="1"/>
        <v>0.26315789473684209</v>
      </c>
      <c r="G53" s="32">
        <v>2</v>
      </c>
      <c r="I53" s="18" t="s">
        <v>116</v>
      </c>
      <c r="J53" s="18">
        <v>30</v>
      </c>
      <c r="K53" s="18">
        <v>5</v>
      </c>
      <c r="L53" s="18">
        <f t="shared" ref="L53" si="40">M53/J53</f>
        <v>4.0666666666666664</v>
      </c>
      <c r="M53" s="18">
        <v>122</v>
      </c>
      <c r="N53" s="18">
        <f t="shared" ref="N53" si="41">K53/J53</f>
        <v>0.16666666666666666</v>
      </c>
    </row>
    <row r="54" spans="1:14" x14ac:dyDescent="0.25">
      <c r="A54" s="18" t="s">
        <v>61</v>
      </c>
      <c r="B54" s="18">
        <v>59</v>
      </c>
      <c r="C54" s="18">
        <v>10</v>
      </c>
      <c r="D54" s="18">
        <f t="shared" si="0"/>
        <v>4.5593220338983054</v>
      </c>
      <c r="E54" s="18">
        <v>269</v>
      </c>
      <c r="F54" s="18">
        <f>C54/B54</f>
        <v>0.16949152542372881</v>
      </c>
      <c r="G54" s="32">
        <v>3.2403703492039302</v>
      </c>
      <c r="I54" s="18" t="s">
        <v>5</v>
      </c>
      <c r="J54" s="18">
        <v>31</v>
      </c>
      <c r="K54" s="18">
        <v>1</v>
      </c>
      <c r="L54" s="18">
        <f t="shared" ref="L54" si="42">M54/J54</f>
        <v>4.612903225806452</v>
      </c>
      <c r="M54" s="18">
        <v>143</v>
      </c>
      <c r="N54" s="18">
        <f t="shared" ref="N54" si="43">K54/J54</f>
        <v>3.2258064516129031E-2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58</v>
      </c>
      <c r="J55" s="18">
        <v>30</v>
      </c>
      <c r="K55" s="18">
        <v>6</v>
      </c>
      <c r="L55" s="18">
        <f t="shared" ref="L55:L57" si="44">M55/J55</f>
        <v>3.7</v>
      </c>
      <c r="M55" s="18">
        <v>111</v>
      </c>
      <c r="N55" s="18">
        <f t="shared" ref="N55:N57" si="45">K55/J55</f>
        <v>0.2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30</v>
      </c>
      <c r="J56" s="18">
        <v>63</v>
      </c>
      <c r="K56" s="18">
        <v>5</v>
      </c>
      <c r="L56" s="18">
        <f t="shared" si="44"/>
        <v>5.1428571428571432</v>
      </c>
      <c r="M56" s="18">
        <v>324</v>
      </c>
      <c r="N56" s="18">
        <f t="shared" si="45"/>
        <v>7.9365079365079361E-2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29</v>
      </c>
      <c r="J57" s="18">
        <v>130</v>
      </c>
      <c r="K57" s="18">
        <v>18</v>
      </c>
      <c r="L57" s="18">
        <f t="shared" si="44"/>
        <v>4.0153846153846153</v>
      </c>
      <c r="M57" s="18">
        <v>522</v>
      </c>
      <c r="N57" s="18">
        <f t="shared" si="45"/>
        <v>0.13846153846153847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148</v>
      </c>
      <c r="J58" s="18">
        <v>42</v>
      </c>
      <c r="K58" s="18">
        <v>8</v>
      </c>
      <c r="L58" s="18">
        <f t="shared" ref="L58" si="46">M58/J58</f>
        <v>3.7380952380952381</v>
      </c>
      <c r="M58" s="18">
        <v>157</v>
      </c>
      <c r="N58" s="18">
        <f t="shared" ref="N58" si="47">K58/J58</f>
        <v>0.19047619047619047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9</v>
      </c>
      <c r="J59" s="18">
        <v>30</v>
      </c>
      <c r="K59" s="18">
        <v>3</v>
      </c>
      <c r="L59" s="18">
        <f t="shared" ref="L59" si="48">M59/J59</f>
        <v>3.8</v>
      </c>
      <c r="M59" s="18">
        <v>114</v>
      </c>
      <c r="N59" s="18">
        <f t="shared" ref="N59" si="49">K59/J59</f>
        <v>0.1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139</v>
      </c>
      <c r="J60" s="18">
        <v>30</v>
      </c>
      <c r="K60" s="18">
        <v>4</v>
      </c>
      <c r="L60" s="18">
        <f t="shared" ref="L60" si="50">M60/J60</f>
        <v>4.2666666666666666</v>
      </c>
      <c r="M60" s="18">
        <v>128</v>
      </c>
      <c r="N60" s="18">
        <f t="shared" ref="N60" si="51">K60/J60</f>
        <v>0.13333333333333333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428</v>
      </c>
      <c r="J61" s="18">
        <v>31</v>
      </c>
      <c r="K61" s="18">
        <v>5</v>
      </c>
      <c r="L61" s="18">
        <f>M61/J61</f>
        <v>4.096774193548387</v>
      </c>
      <c r="M61" s="18">
        <v>127</v>
      </c>
      <c r="N61" s="18">
        <f>K61/J61</f>
        <v>0.16129032258064516</v>
      </c>
    </row>
    <row r="62" spans="1:14" x14ac:dyDescent="0.25">
      <c r="A62" s="18" t="s">
        <v>29</v>
      </c>
      <c r="B62" s="18">
        <v>130</v>
      </c>
      <c r="C62" s="18">
        <v>18</v>
      </c>
      <c r="D62" s="18">
        <f t="shared" si="0"/>
        <v>4.0153846153846153</v>
      </c>
      <c r="E62" s="18">
        <v>522</v>
      </c>
      <c r="F62" s="18">
        <f t="shared" si="1"/>
        <v>0.13846153846153847</v>
      </c>
      <c r="G62" s="32">
        <v>2.0875571218153701</v>
      </c>
      <c r="I62" s="18" t="s">
        <v>17</v>
      </c>
      <c r="J62" s="18">
        <v>30</v>
      </c>
      <c r="K62" s="18">
        <v>2</v>
      </c>
      <c r="L62" s="18">
        <f t="shared" ref="L62" si="52">M62/J62</f>
        <v>5.0999999999999996</v>
      </c>
      <c r="M62" s="18">
        <v>153</v>
      </c>
      <c r="N62" s="18">
        <f t="shared" ref="N62" si="53">K62/J62</f>
        <v>6.6666666666666666E-2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79</v>
      </c>
      <c r="J63" s="18">
        <v>54</v>
      </c>
      <c r="K63" s="18">
        <v>6</v>
      </c>
      <c r="L63" s="18">
        <f t="shared" ref="L63:L64" si="54">M63/J63</f>
        <v>4.6296296296296298</v>
      </c>
      <c r="M63" s="18">
        <v>250</v>
      </c>
      <c r="N63" s="18">
        <f t="shared" ref="N63:N64" si="55">K63/J63</f>
        <v>0.1111111111111111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123</v>
      </c>
      <c r="J64" s="18">
        <v>41</v>
      </c>
      <c r="K64" s="18">
        <v>6</v>
      </c>
      <c r="L64" s="18">
        <f t="shared" si="54"/>
        <v>4.3414634146341466</v>
      </c>
      <c r="M64" s="18">
        <v>178</v>
      </c>
      <c r="N64" s="18">
        <f t="shared" si="55"/>
        <v>0.14634146341463414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12</v>
      </c>
      <c r="J65" s="18">
        <v>30</v>
      </c>
      <c r="K65" s="18">
        <v>1</v>
      </c>
      <c r="L65" s="18">
        <f t="shared" ref="L65" si="56">M65/J65</f>
        <v>4.8666666666666663</v>
      </c>
      <c r="M65" s="18">
        <v>146</v>
      </c>
      <c r="N65" s="18">
        <f t="shared" ref="N65" si="57">K65/J65</f>
        <v>3.3333333333333333E-2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404</v>
      </c>
      <c r="J66" s="18">
        <v>30</v>
      </c>
      <c r="K66" s="18">
        <v>3</v>
      </c>
      <c r="L66" s="18">
        <f t="shared" ref="L66" si="58">M66/J66</f>
        <v>4.9333333333333336</v>
      </c>
      <c r="M66" s="18">
        <v>148</v>
      </c>
      <c r="N66" s="18">
        <f t="shared" ref="N66" si="59">K66/J66</f>
        <v>0.1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22</v>
      </c>
      <c r="J67" s="18">
        <v>184</v>
      </c>
      <c r="K67" s="18">
        <v>30</v>
      </c>
      <c r="L67" s="18">
        <f>M67/J67</f>
        <v>4.1141304347826084</v>
      </c>
      <c r="M67" s="18">
        <v>757</v>
      </c>
      <c r="N67" s="18">
        <f>K67/J67</f>
        <v>0.16304347826086957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110</v>
      </c>
      <c r="J68" s="18">
        <v>30</v>
      </c>
      <c r="K68" s="18">
        <v>1</v>
      </c>
      <c r="L68" s="18">
        <f>M68/J68</f>
        <v>5.166666666666667</v>
      </c>
      <c r="M68" s="18">
        <v>155</v>
      </c>
      <c r="N68" s="18">
        <f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82</v>
      </c>
      <c r="J69" s="18">
        <v>30</v>
      </c>
      <c r="K69" s="18">
        <v>1</v>
      </c>
      <c r="L69" s="18">
        <f t="shared" ref="L69" si="60">M69/J69</f>
        <v>5.2</v>
      </c>
      <c r="M69" s="18">
        <v>156</v>
      </c>
      <c r="N69" s="18">
        <f>K69/J69</f>
        <v>3.3333333333333333E-2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33</v>
      </c>
      <c r="J70" s="18">
        <v>66</v>
      </c>
      <c r="K70" s="18">
        <v>4</v>
      </c>
      <c r="L70" s="18">
        <f>M70/J70</f>
        <v>5.5303030303030303</v>
      </c>
      <c r="M70" s="18">
        <v>365</v>
      </c>
      <c r="N70" s="18">
        <f>K70/J70</f>
        <v>6.0606060606060608E-2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99</v>
      </c>
      <c r="J71" s="18">
        <v>30</v>
      </c>
      <c r="K71" s="18">
        <v>2</v>
      </c>
      <c r="L71" s="18">
        <f t="shared" ref="L71:L76" si="61">M71/J71</f>
        <v>5.2</v>
      </c>
      <c r="M71" s="18">
        <v>156</v>
      </c>
      <c r="N71" s="18">
        <f t="shared" ref="N71:N76" si="62">K71/J71</f>
        <v>6.6666666666666666E-2</v>
      </c>
    </row>
    <row r="72" spans="1:14" x14ac:dyDescent="0.25">
      <c r="A72" s="18" t="s">
        <v>404</v>
      </c>
      <c r="B72" s="18">
        <v>30</v>
      </c>
      <c r="C72" s="18">
        <v>3</v>
      </c>
      <c r="D72" s="18">
        <f t="shared" si="0"/>
        <v>4.9333333333333336</v>
      </c>
      <c r="E72" s="18">
        <v>148</v>
      </c>
      <c r="F72" s="18">
        <f t="shared" si="1"/>
        <v>0.1</v>
      </c>
      <c r="G72" s="32">
        <v>2.3094010767584998</v>
      </c>
      <c r="I72" s="18" t="s">
        <v>7</v>
      </c>
      <c r="J72" s="18">
        <v>30</v>
      </c>
      <c r="K72" s="18">
        <v>7</v>
      </c>
      <c r="L72" s="18">
        <f t="shared" ref="L72" si="63">M72/J72</f>
        <v>3.7666666666666666</v>
      </c>
      <c r="M72" s="18">
        <v>113</v>
      </c>
      <c r="N72" s="18">
        <f t="shared" ref="N72" si="64">K72/J72</f>
        <v>0.23333333333333334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129</v>
      </c>
      <c r="J73" s="18">
        <v>46</v>
      </c>
      <c r="K73" s="18">
        <v>8</v>
      </c>
      <c r="L73" s="18">
        <f>M73/J73</f>
        <v>4.5217391304347823</v>
      </c>
      <c r="M73" s="18">
        <v>208</v>
      </c>
      <c r="N73" s="18">
        <f>K73/J73</f>
        <v>0.17391304347826086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113</v>
      </c>
      <c r="J74" s="18">
        <v>30</v>
      </c>
      <c r="K74" s="18">
        <v>0</v>
      </c>
      <c r="L74" s="18">
        <f t="shared" ref="L74" si="65">M74/J74</f>
        <v>4.2666666666666666</v>
      </c>
      <c r="M74" s="18">
        <v>128</v>
      </c>
      <c r="N74" s="18">
        <f t="shared" ref="N74" si="66">K74/J74</f>
        <v>0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35</v>
      </c>
      <c r="J75" s="18">
        <v>183</v>
      </c>
      <c r="K75" s="18">
        <v>44</v>
      </c>
      <c r="L75" s="18">
        <f>M75/J75</f>
        <v>3.5737704918032787</v>
      </c>
      <c r="M75" s="18">
        <v>654</v>
      </c>
      <c r="N75" s="18">
        <f>K75/J75</f>
        <v>0.24043715846994534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7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26</v>
      </c>
      <c r="J76" s="18">
        <v>102</v>
      </c>
      <c r="K76" s="18">
        <v>6</v>
      </c>
      <c r="L76" s="18">
        <f>M76/J76</f>
        <v>5.215686274509804</v>
      </c>
      <c r="M76" s="18">
        <v>532</v>
      </c>
      <c r="N76" s="18">
        <f>K76/J76</f>
        <v>5.8823529411764705E-2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7"/>
        <v>5.5303030303030303</v>
      </c>
      <c r="E77" s="18">
        <v>365</v>
      </c>
      <c r="F77" s="18">
        <f t="shared" ref="F77:F91" si="68">C77/B77</f>
        <v>6.0606060606060608E-2</v>
      </c>
      <c r="G77" s="32">
        <v>2.14993539954627</v>
      </c>
      <c r="I77" s="18" t="s">
        <v>122</v>
      </c>
      <c r="J77" s="18">
        <v>147</v>
      </c>
      <c r="K77" s="18">
        <v>19</v>
      </c>
      <c r="L77" s="18">
        <f>M77/J77</f>
        <v>4</v>
      </c>
      <c r="M77" s="18">
        <v>588</v>
      </c>
      <c r="N77" s="18">
        <f>K77/J77</f>
        <v>0.12925170068027211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7"/>
        <v>5.2</v>
      </c>
      <c r="E78" s="18">
        <v>156</v>
      </c>
      <c r="F78" s="18">
        <f t="shared" si="68"/>
        <v>6.6666666666666666E-2</v>
      </c>
      <c r="G78" s="32">
        <v>2.6687491868330699</v>
      </c>
      <c r="I78" s="18" t="s">
        <v>49</v>
      </c>
      <c r="J78" s="18">
        <v>140</v>
      </c>
      <c r="K78" s="18">
        <v>9</v>
      </c>
      <c r="L78" s="18">
        <f>M78/J78</f>
        <v>5.1142857142857139</v>
      </c>
      <c r="M78" s="18">
        <v>716</v>
      </c>
      <c r="N78" s="18">
        <f>K78/J78</f>
        <v>6.4285714285714279E-2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7"/>
        <v>3.7666666666666666</v>
      </c>
      <c r="E79" s="18">
        <v>113</v>
      </c>
      <c r="F79" s="18">
        <f t="shared" si="68"/>
        <v>0.23333333333333334</v>
      </c>
      <c r="G79" s="32">
        <v>2.7888667551135802</v>
      </c>
      <c r="I79" s="18" t="s">
        <v>3</v>
      </c>
      <c r="J79" s="18">
        <v>48</v>
      </c>
      <c r="K79" s="18">
        <v>7</v>
      </c>
      <c r="L79" s="18">
        <f>M79/J79</f>
        <v>4.229166666666667</v>
      </c>
      <c r="M79" s="18">
        <v>203</v>
      </c>
      <c r="N79" s="18">
        <f>K79/J79</f>
        <v>0.14583333333333334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7"/>
        <v>4</v>
      </c>
      <c r="E80" s="41">
        <v>20</v>
      </c>
      <c r="F80" s="41">
        <f t="shared" si="68"/>
        <v>0.2</v>
      </c>
      <c r="G80" s="32">
        <v>2.2173557826083399</v>
      </c>
      <c r="I80" s="18" t="s">
        <v>2</v>
      </c>
      <c r="J80" s="18">
        <v>30</v>
      </c>
      <c r="K80" s="18">
        <v>6</v>
      </c>
      <c r="L80" s="18">
        <f t="shared" ref="L80" si="69">M80/J80</f>
        <v>3.9666666666666668</v>
      </c>
      <c r="M80" s="18">
        <v>119</v>
      </c>
      <c r="N80" s="18">
        <f t="shared" ref="N80" si="70">K80/J80</f>
        <v>0.2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7"/>
        <v>4.1818181818181817</v>
      </c>
      <c r="E81" s="41">
        <v>46</v>
      </c>
      <c r="F81" s="41">
        <f t="shared" si="68"/>
        <v>9.0909090909090912E-2</v>
      </c>
      <c r="G81" s="32">
        <v>1.8618986725025199</v>
      </c>
      <c r="I81" s="18" t="s">
        <v>124</v>
      </c>
      <c r="J81" s="18">
        <v>31</v>
      </c>
      <c r="K81" s="18">
        <v>1</v>
      </c>
      <c r="L81" s="18">
        <f>M81/J81</f>
        <v>4.935483870967742</v>
      </c>
      <c r="M81" s="18">
        <v>153</v>
      </c>
      <c r="N81" s="18">
        <f>K81/J81</f>
        <v>3.2258064516129031E-2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7"/>
        <v>4.5217391304347823</v>
      </c>
      <c r="E82" s="18">
        <v>208</v>
      </c>
      <c r="F82" s="18">
        <f t="shared" si="68"/>
        <v>0.17391304347826086</v>
      </c>
      <c r="G82" s="32">
        <v>2.1315096371664199</v>
      </c>
    </row>
    <row r="83" spans="1:14" x14ac:dyDescent="0.25">
      <c r="A83" s="18" t="s">
        <v>113</v>
      </c>
      <c r="B83" s="18">
        <v>30</v>
      </c>
      <c r="C83" s="18">
        <v>0</v>
      </c>
      <c r="D83" s="18">
        <f t="shared" si="67"/>
        <v>4.2666666666666666</v>
      </c>
      <c r="E83" s="18">
        <v>128</v>
      </c>
      <c r="F83" s="18">
        <f t="shared" si="68"/>
        <v>0</v>
      </c>
      <c r="G83" s="32">
        <v>2.4899799195977401</v>
      </c>
    </row>
    <row r="84" spans="1:14" x14ac:dyDescent="0.25">
      <c r="A84" s="18" t="s">
        <v>35</v>
      </c>
      <c r="B84" s="18">
        <v>183</v>
      </c>
      <c r="C84" s="18">
        <v>44</v>
      </c>
      <c r="D84" s="18">
        <f t="shared" si="67"/>
        <v>3.5737704918032787</v>
      </c>
      <c r="E84" s="18">
        <v>654</v>
      </c>
      <c r="F84" s="18">
        <f t="shared" si="68"/>
        <v>0.24043715846994534</v>
      </c>
      <c r="G84" s="32">
        <v>2.6214406763289899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7"/>
        <v>5.215686274509804</v>
      </c>
      <c r="E85" s="18">
        <v>532</v>
      </c>
      <c r="F85" s="18">
        <f t="shared" si="68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147</v>
      </c>
      <c r="C86" s="18">
        <v>19</v>
      </c>
      <c r="D86" s="18">
        <f t="shared" si="67"/>
        <v>4</v>
      </c>
      <c r="E86" s="18">
        <v>588</v>
      </c>
      <c r="F86" s="18">
        <f t="shared" si="68"/>
        <v>0.12925170068027211</v>
      </c>
      <c r="G86" s="32">
        <v>1.6329931618554501</v>
      </c>
    </row>
    <row r="87" spans="1:14" x14ac:dyDescent="0.25">
      <c r="A87" s="18" t="s">
        <v>49</v>
      </c>
      <c r="B87" s="18">
        <v>140</v>
      </c>
      <c r="C87" s="18">
        <v>9</v>
      </c>
      <c r="D87" s="18">
        <f t="shared" si="67"/>
        <v>5.1142857142857139</v>
      </c>
      <c r="E87" s="18">
        <v>716</v>
      </c>
      <c r="F87" s="18">
        <f t="shared" si="68"/>
        <v>6.4285714285714279E-2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7"/>
        <v>4.229166666666667</v>
      </c>
      <c r="E88" s="18">
        <v>203</v>
      </c>
      <c r="F88" s="18">
        <f t="shared" si="68"/>
        <v>0.14583333333333334</v>
      </c>
      <c r="G88" s="32">
        <v>2.3731557327466102</v>
      </c>
    </row>
    <row r="89" spans="1:14" x14ac:dyDescent="0.25">
      <c r="A89" t="s">
        <v>230</v>
      </c>
      <c r="B89">
        <v>26</v>
      </c>
      <c r="C89">
        <v>4</v>
      </c>
      <c r="D89">
        <f t="shared" si="67"/>
        <v>4.8076923076923075</v>
      </c>
      <c r="E89">
        <v>125</v>
      </c>
      <c r="F89">
        <f t="shared" si="68"/>
        <v>0.15384615384615385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7"/>
        <v>3.9666666666666668</v>
      </c>
      <c r="E90" s="18">
        <v>119</v>
      </c>
      <c r="F90" s="18">
        <f t="shared" si="68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7"/>
        <v>4.935483870967742</v>
      </c>
      <c r="E91" s="18">
        <v>153</v>
      </c>
      <c r="F91" s="18">
        <f t="shared" si="68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2026-05-27T16:58:47Z</dcterms:modified>
</cp:coreProperties>
</file>