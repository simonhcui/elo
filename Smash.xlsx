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10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  <sheet name="Sheet5" sheetId="12" r:id="rId11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50" i="10" l="1"/>
  <c r="L50" i="10"/>
  <c r="N48" i="10"/>
  <c r="L48" i="10"/>
  <c r="N76" i="10"/>
  <c r="L76" i="10"/>
  <c r="N36" i="10"/>
  <c r="L36" i="10"/>
  <c r="N67" i="10"/>
  <c r="L67" i="10"/>
  <c r="N28" i="10"/>
  <c r="L28" i="10"/>
  <c r="N42" i="10"/>
  <c r="L42" i="10"/>
  <c r="N27" i="10"/>
  <c r="L27" i="10"/>
  <c r="N74" i="10"/>
  <c r="L74" i="10"/>
  <c r="N31" i="10"/>
  <c r="L31" i="10"/>
  <c r="N75" i="10"/>
  <c r="L75" i="10"/>
  <c r="N77" i="10"/>
  <c r="L77" i="10"/>
  <c r="N14" i="10"/>
  <c r="L14" i="10"/>
  <c r="N49" i="10"/>
  <c r="L49" i="10"/>
  <c r="N17" i="10"/>
  <c r="L17" i="10"/>
  <c r="N15" i="10"/>
  <c r="L15" i="10"/>
  <c r="N41" i="10"/>
  <c r="L41" i="10"/>
  <c r="N52" i="10"/>
  <c r="L52" i="10"/>
  <c r="N32" i="10"/>
  <c r="L32" i="10"/>
  <c r="L26" i="10"/>
  <c r="N26" i="10"/>
  <c r="N29" i="10"/>
  <c r="L29" i="10"/>
  <c r="N73" i="10"/>
  <c r="L73" i="10"/>
  <c r="N56" i="10"/>
  <c r="L56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Y3" i="11"/>
  <c r="Y4" i="11"/>
  <c r="Y5" i="11"/>
  <c r="Y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Y42" i="11"/>
  <c r="Y43" i="11"/>
  <c r="Y44" i="11"/>
  <c r="Y45" i="11"/>
  <c r="Y46" i="11"/>
  <c r="Y47" i="11"/>
  <c r="Y48" i="11"/>
  <c r="Y49" i="11"/>
  <c r="Y50" i="11"/>
  <c r="Y51" i="11"/>
  <c r="Y52" i="11"/>
  <c r="Y53" i="11"/>
  <c r="Y54" i="11"/>
  <c r="Y55" i="11"/>
  <c r="Y56" i="11"/>
  <c r="Y57" i="11"/>
  <c r="Y58" i="11"/>
  <c r="Y59" i="11"/>
  <c r="Y60" i="11"/>
  <c r="Y61" i="11"/>
  <c r="Y62" i="11"/>
  <c r="Y63" i="11"/>
  <c r="Y64" i="11"/>
  <c r="Y65" i="11"/>
  <c r="Y66" i="11"/>
  <c r="Y2" i="11"/>
  <c r="AE17" i="11"/>
  <c r="AC17" i="11"/>
  <c r="AE13" i="11"/>
  <c r="AC13" i="11"/>
  <c r="AE59" i="11"/>
  <c r="AC59" i="11"/>
  <c r="AE26" i="11"/>
  <c r="AC26" i="11"/>
  <c r="AE54" i="11"/>
  <c r="AC54" i="11"/>
  <c r="AE4" i="11"/>
  <c r="AC4" i="11"/>
  <c r="AE31" i="11"/>
  <c r="AC31" i="11"/>
  <c r="AE15" i="11"/>
  <c r="AC15" i="11"/>
  <c r="AE50" i="11"/>
  <c r="AC50" i="11"/>
  <c r="AE51" i="11"/>
  <c r="AC51" i="11"/>
  <c r="AE64" i="11"/>
  <c r="AC64" i="11"/>
  <c r="AE16" i="11"/>
  <c r="AC16" i="11"/>
  <c r="AE57" i="11"/>
  <c r="AC57" i="11"/>
  <c r="AE41" i="11"/>
  <c r="AC41" i="11"/>
  <c r="AE29" i="11"/>
  <c r="AC29" i="11"/>
  <c r="AE37" i="11"/>
  <c r="AC37" i="11"/>
  <c r="AE56" i="11"/>
  <c r="AC56" i="11"/>
  <c r="AE36" i="11"/>
  <c r="AC36" i="11"/>
  <c r="AE25" i="11"/>
  <c r="AC25" i="11"/>
  <c r="AE19" i="11"/>
  <c r="AC19" i="11"/>
  <c r="AE7" i="11"/>
  <c r="AC7" i="11"/>
  <c r="AE9" i="11"/>
  <c r="AC9" i="11"/>
  <c r="AE55" i="11"/>
  <c r="AC55" i="11"/>
  <c r="AE18" i="11"/>
  <c r="AC18" i="11"/>
  <c r="AE35" i="11"/>
  <c r="AC35" i="11"/>
  <c r="AE14" i="11"/>
  <c r="AC14" i="11"/>
  <c r="AE34" i="11"/>
  <c r="AC34" i="11"/>
  <c r="AE27" i="11"/>
  <c r="AC27" i="11"/>
  <c r="AE43" i="11"/>
  <c r="AC43" i="11"/>
  <c r="AE3" i="11"/>
  <c r="AC3" i="11"/>
  <c r="AE60" i="11"/>
  <c r="AC60" i="11"/>
  <c r="AE65" i="11"/>
  <c r="AC65" i="11"/>
  <c r="AE38" i="11"/>
  <c r="AC38" i="11"/>
  <c r="AE20" i="11"/>
  <c r="AC20" i="11"/>
  <c r="AE45" i="11"/>
  <c r="AC45" i="11"/>
  <c r="AE28" i="11"/>
  <c r="AC28" i="11"/>
  <c r="AE11" i="11"/>
  <c r="AC11" i="11"/>
  <c r="AE10" i="11"/>
  <c r="AC10" i="11"/>
  <c r="AE46" i="11"/>
  <c r="AC46" i="11"/>
  <c r="AE22" i="11"/>
  <c r="AC22" i="11"/>
  <c r="AE8" i="11"/>
  <c r="AC8" i="11"/>
  <c r="AE40" i="11"/>
  <c r="AC40" i="11"/>
  <c r="AE33" i="11"/>
  <c r="AC33" i="11"/>
  <c r="AE66" i="11"/>
  <c r="AC66" i="11"/>
  <c r="AE30" i="11"/>
  <c r="AC30" i="11"/>
  <c r="AE21" i="11"/>
  <c r="AC21" i="11"/>
  <c r="AE48" i="11"/>
  <c r="AC48" i="11"/>
  <c r="AE24" i="11"/>
  <c r="AC24" i="11"/>
  <c r="AE42" i="11"/>
  <c r="AC42" i="11"/>
  <c r="AE6" i="11"/>
  <c r="AC6" i="11"/>
  <c r="AE47" i="11"/>
  <c r="AC47" i="11"/>
  <c r="AE52" i="11"/>
  <c r="AC52" i="11"/>
  <c r="AE5" i="11"/>
  <c r="AC5" i="11"/>
  <c r="AE53" i="11"/>
  <c r="AC53" i="11"/>
  <c r="AE62" i="11"/>
  <c r="AC62" i="11"/>
  <c r="AE61" i="11"/>
  <c r="AC61" i="11"/>
  <c r="AE63" i="11"/>
  <c r="AC63" i="11"/>
  <c r="AE39" i="11"/>
  <c r="AC39" i="11"/>
  <c r="AE44" i="11"/>
  <c r="AC44" i="11"/>
  <c r="AE32" i="11"/>
  <c r="AC32" i="11"/>
  <c r="AE2" i="11"/>
  <c r="AC2" i="11"/>
  <c r="AE49" i="11"/>
  <c r="AC49" i="11"/>
  <c r="AE58" i="11"/>
  <c r="AC58" i="11"/>
  <c r="AE23" i="11"/>
  <c r="AC23" i="11"/>
  <c r="AE12" i="11"/>
  <c r="AC12" i="11"/>
  <c r="N46" i="10" l="1"/>
  <c r="L46" i="10"/>
  <c r="N58" i="10"/>
  <c r="L58" i="10"/>
  <c r="N43" i="10"/>
  <c r="L43" i="10"/>
  <c r="N35" i="10"/>
  <c r="L35" i="10"/>
  <c r="N57" i="10"/>
  <c r="L57" i="10"/>
  <c r="U16" i="11"/>
  <c r="T16" i="11"/>
  <c r="U13" i="11"/>
  <c r="T13" i="11"/>
  <c r="U60" i="11"/>
  <c r="T60" i="11"/>
  <c r="U25" i="11"/>
  <c r="T25" i="11"/>
  <c r="U55" i="11"/>
  <c r="T55" i="11"/>
  <c r="U4" i="11"/>
  <c r="T4" i="11"/>
  <c r="U31" i="11"/>
  <c r="T31" i="11"/>
  <c r="U15" i="11"/>
  <c r="T15" i="11"/>
  <c r="U50" i="11"/>
  <c r="T50" i="11"/>
  <c r="U51" i="11"/>
  <c r="T51" i="11"/>
  <c r="U64" i="11"/>
  <c r="T64" i="11"/>
  <c r="U20" i="11"/>
  <c r="T20" i="11"/>
  <c r="U58" i="11"/>
  <c r="T58" i="11"/>
  <c r="U41" i="11"/>
  <c r="T41" i="11"/>
  <c r="U29" i="11"/>
  <c r="T29" i="11"/>
  <c r="U38" i="11"/>
  <c r="T38" i="11"/>
  <c r="U57" i="11"/>
  <c r="T57" i="11"/>
  <c r="U36" i="11"/>
  <c r="T36" i="11"/>
  <c r="U26" i="11"/>
  <c r="T26" i="11"/>
  <c r="U18" i="11"/>
  <c r="T18" i="11"/>
  <c r="U6" i="11"/>
  <c r="T6" i="11"/>
  <c r="U9" i="11"/>
  <c r="T9" i="11"/>
  <c r="U54" i="11"/>
  <c r="T54" i="11"/>
  <c r="U17" i="11"/>
  <c r="T17" i="11"/>
  <c r="U35" i="11"/>
  <c r="T35" i="11"/>
  <c r="U14" i="11"/>
  <c r="T14" i="11"/>
  <c r="U34" i="11"/>
  <c r="T34" i="11"/>
  <c r="U27" i="11"/>
  <c r="T27" i="11"/>
  <c r="U43" i="11"/>
  <c r="T43" i="11"/>
  <c r="U3" i="11"/>
  <c r="T3" i="11"/>
  <c r="U59" i="11"/>
  <c r="T59" i="11"/>
  <c r="U65" i="11"/>
  <c r="T65" i="11"/>
  <c r="U37" i="11"/>
  <c r="T37" i="11"/>
  <c r="U19" i="11"/>
  <c r="T19" i="11"/>
  <c r="U45" i="11"/>
  <c r="T45" i="11"/>
  <c r="U28" i="11"/>
  <c r="T28" i="11"/>
  <c r="U11" i="11"/>
  <c r="T11" i="11"/>
  <c r="U10" i="11"/>
  <c r="T10" i="11"/>
  <c r="U47" i="11"/>
  <c r="T47" i="11"/>
  <c r="U22" i="11"/>
  <c r="T22" i="11"/>
  <c r="U8" i="11"/>
  <c r="T8" i="11"/>
  <c r="U40" i="11"/>
  <c r="T40" i="11"/>
  <c r="U33" i="11"/>
  <c r="T33" i="11"/>
  <c r="U66" i="11"/>
  <c r="T66" i="11"/>
  <c r="U30" i="11"/>
  <c r="T30" i="11"/>
  <c r="U21" i="11"/>
  <c r="T21" i="11"/>
  <c r="U48" i="11"/>
  <c r="T48" i="11"/>
  <c r="U24" i="11"/>
  <c r="T24" i="11"/>
  <c r="U42" i="11"/>
  <c r="T42" i="11"/>
  <c r="U7" i="11"/>
  <c r="T7" i="11"/>
  <c r="U46" i="11"/>
  <c r="T46" i="11"/>
  <c r="U52" i="11"/>
  <c r="T52" i="11"/>
  <c r="U5" i="11"/>
  <c r="T5" i="11"/>
  <c r="U53" i="11"/>
  <c r="T53" i="11"/>
  <c r="U62" i="11"/>
  <c r="T62" i="11"/>
  <c r="U61" i="11"/>
  <c r="T61" i="11"/>
  <c r="U63" i="11"/>
  <c r="T63" i="11"/>
  <c r="U39" i="11"/>
  <c r="T39" i="11"/>
  <c r="U44" i="11"/>
  <c r="T44" i="11"/>
  <c r="U32" i="11"/>
  <c r="T32" i="11"/>
  <c r="U2" i="11"/>
  <c r="T2" i="11"/>
  <c r="U49" i="11"/>
  <c r="T49" i="11"/>
  <c r="U56" i="11"/>
  <c r="T56" i="11"/>
  <c r="U23" i="11"/>
  <c r="T23" i="11"/>
  <c r="U12" i="11"/>
  <c r="T12" i="11"/>
  <c r="L51" i="10"/>
  <c r="N51" i="10"/>
  <c r="N63" i="10"/>
  <c r="L63" i="10"/>
  <c r="N64" i="10"/>
  <c r="L64" i="10"/>
  <c r="N54" i="10"/>
  <c r="L54" i="10"/>
  <c r="N24" i="10"/>
  <c r="L24" i="10"/>
  <c r="N45" i="10"/>
  <c r="L45" i="10"/>
  <c r="N44" i="10"/>
  <c r="L44" i="10"/>
  <c r="N78" i="10"/>
  <c r="L78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6" i="10"/>
  <c r="L66" i="10"/>
  <c r="N59" i="10"/>
  <c r="L59" i="10"/>
  <c r="N62" i="10"/>
  <c r="L62" i="10"/>
  <c r="N69" i="10"/>
  <c r="L69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8" i="10"/>
  <c r="L38" i="10"/>
  <c r="N71" i="10"/>
  <c r="L71" i="10"/>
  <c r="N65" i="10"/>
  <c r="L65" i="10"/>
  <c r="N40" i="10"/>
  <c r="L40" i="10"/>
  <c r="N25" i="10"/>
  <c r="L25" i="10"/>
  <c r="N47" i="10"/>
  <c r="L47" i="10"/>
  <c r="N33" i="10"/>
  <c r="L33" i="10"/>
  <c r="N70" i="10"/>
  <c r="L70" i="10"/>
  <c r="N34" i="10"/>
  <c r="L34" i="10"/>
  <c r="N39" i="10"/>
  <c r="L39" i="10"/>
  <c r="N68" i="10"/>
  <c r="L68" i="10"/>
  <c r="N55" i="10"/>
  <c r="L55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3" i="10"/>
  <c r="L53" i="10"/>
  <c r="N23" i="10"/>
  <c r="L23" i="10"/>
  <c r="N60" i="10"/>
  <c r="L60" i="10"/>
  <c r="N30" i="10"/>
  <c r="L30" i="10"/>
  <c r="N18" i="10"/>
  <c r="L18" i="10"/>
  <c r="N37" i="10"/>
  <c r="L37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13" i="10"/>
  <c r="L13" i="10"/>
  <c r="N21" i="10"/>
  <c r="L21" i="10"/>
  <c r="N16" i="10"/>
  <c r="L16" i="10"/>
  <c r="N20" i="10"/>
  <c r="L20" i="10"/>
  <c r="N61" i="10"/>
  <c r="L61" i="10"/>
  <c r="N72" i="10"/>
  <c r="L72" i="10"/>
  <c r="N79" i="10"/>
  <c r="L79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<sst xmlns="http://schemas.openxmlformats.org/spreadsheetml/2006/main" count="14879" uniqueCount="552">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</sst>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0" fillId="0" borderId="0" xfId="0" applyFill="1"/>
    <xf numFmtId="0" fontId="11" fillId="3" borderId="0" xfId="0" applyFont="1" applyFill="1"/>
    <xf numFmtId="0" fontId="0" fillId="0" borderId="0" xfId="0"/>
    <xf numFmtId="0" fontId="0" fillId="3" borderId="0" xfId="0" applyFill="1"/>
    <xf numFmtId="0" fontId="0" fillId="4" borderId="0" xfId="0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40"/>
  <sheetViews>
    <sheetView topLeftCell="D196" zoomScaleNormal="100" workbookViewId="0">
      <selection activeCell="Q232" sqref="Q232:V24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38" sqref="G38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45998</v>
      </c>
      <c r="B1" s="1">
        <v>45998</v>
      </c>
      <c r="C1" s="1">
        <v>46002</v>
      </c>
      <c r="D1" s="1">
        <v>46002</v>
      </c>
      <c r="E1" s="1">
        <v>46004</v>
      </c>
      <c r="F1" s="1">
        <v>46004</v>
      </c>
      <c r="G1" s="1">
        <v>46004</v>
      </c>
      <c r="H1" s="1">
        <v>46004</v>
      </c>
      <c r="I1" s="1">
        <v>46004</v>
      </c>
      <c r="J1" s="1">
        <v>46004</v>
      </c>
      <c r="K1" s="1">
        <v>46004</v>
      </c>
      <c r="L1" s="1">
        <v>46004</v>
      </c>
      <c r="XFD1" s="1"/>
    </row>
    <row r="2" spans="1:19 16384:16384" x14ac:dyDescent="0.25">
      <c r="A2" t="s">
        <v>21</v>
      </c>
      <c r="B2" t="s">
        <v>21</v>
      </c>
      <c r="C2" t="s">
        <v>232</v>
      </c>
      <c r="D2" t="s">
        <v>49</v>
      </c>
      <c r="E2" t="s">
        <v>121</v>
      </c>
      <c r="F2" t="s">
        <v>87</v>
      </c>
      <c r="G2" t="s">
        <v>61</v>
      </c>
      <c r="H2" t="s">
        <v>128</v>
      </c>
      <c r="I2" t="s">
        <v>22</v>
      </c>
      <c r="J2" t="s">
        <v>232</v>
      </c>
    </row>
    <row r="3" spans="1:19 16384:16384" x14ac:dyDescent="0.25">
      <c r="A3" t="s">
        <v>148</v>
      </c>
      <c r="B3" t="s">
        <v>122</v>
      </c>
      <c r="C3" t="s">
        <v>121</v>
      </c>
      <c r="D3" t="s">
        <v>35</v>
      </c>
      <c r="E3" t="s">
        <v>24</v>
      </c>
      <c r="F3" t="s">
        <v>25</v>
      </c>
      <c r="G3" t="s">
        <v>110</v>
      </c>
      <c r="H3" t="s">
        <v>175</v>
      </c>
      <c r="I3" t="s">
        <v>35</v>
      </c>
      <c r="J3" t="s">
        <v>147</v>
      </c>
    </row>
    <row r="4" spans="1:19 16384:16384" x14ac:dyDescent="0.25">
      <c r="A4" t="s">
        <v>147</v>
      </c>
      <c r="B4" t="s">
        <v>232</v>
      </c>
      <c r="C4" t="s">
        <v>35</v>
      </c>
      <c r="D4" t="s">
        <v>15</v>
      </c>
      <c r="E4" t="s">
        <v>30</v>
      </c>
      <c r="F4" t="s">
        <v>36</v>
      </c>
      <c r="G4" t="s">
        <v>26</v>
      </c>
      <c r="H4" t="s">
        <v>61</v>
      </c>
      <c r="I4" t="s">
        <v>122</v>
      </c>
      <c r="J4" t="s">
        <v>22</v>
      </c>
    </row>
    <row r="5" spans="1:19 16384:16384" x14ac:dyDescent="0.25">
      <c r="A5" t="s">
        <v>87</v>
      </c>
      <c r="B5" t="s">
        <v>25</v>
      </c>
      <c r="C5" t="s">
        <v>49</v>
      </c>
      <c r="D5" t="s">
        <v>87</v>
      </c>
      <c r="E5" t="s">
        <v>25</v>
      </c>
      <c r="F5" t="s">
        <v>24</v>
      </c>
      <c r="G5" t="s">
        <v>49</v>
      </c>
      <c r="H5" t="s">
        <v>104</v>
      </c>
      <c r="I5" t="s">
        <v>232</v>
      </c>
      <c r="J5" t="s">
        <v>15</v>
      </c>
    </row>
    <row r="6" spans="1:19 16384:16384" x14ac:dyDescent="0.25">
      <c r="A6" t="s">
        <v>122</v>
      </c>
      <c r="B6" t="s">
        <v>147</v>
      </c>
      <c r="C6" t="s">
        <v>15</v>
      </c>
      <c r="D6" t="s">
        <v>31</v>
      </c>
      <c r="E6" t="s">
        <v>31</v>
      </c>
      <c r="F6" t="s">
        <v>121</v>
      </c>
      <c r="G6" t="s">
        <v>104</v>
      </c>
      <c r="H6" t="s">
        <v>49</v>
      </c>
      <c r="I6" t="s">
        <v>25</v>
      </c>
      <c r="J6" t="s">
        <v>122</v>
      </c>
    </row>
    <row r="7" spans="1:19 16384:16384" x14ac:dyDescent="0.25">
      <c r="A7" t="s">
        <v>1</v>
      </c>
      <c r="B7" t="s">
        <v>148</v>
      </c>
      <c r="C7" t="s">
        <v>128</v>
      </c>
      <c r="D7" t="s">
        <v>232</v>
      </c>
      <c r="E7" t="s">
        <v>36</v>
      </c>
      <c r="F7" t="s">
        <v>230</v>
      </c>
      <c r="G7" t="s">
        <v>175</v>
      </c>
      <c r="H7" t="s">
        <v>110</v>
      </c>
      <c r="I7" t="s">
        <v>34</v>
      </c>
      <c r="J7" t="s">
        <v>253</v>
      </c>
    </row>
    <row r="8" spans="1:19 16384:16384" x14ac:dyDescent="0.25">
      <c r="A8" t="s">
        <v>232</v>
      </c>
      <c r="B8" t="s">
        <v>87</v>
      </c>
      <c r="C8" t="s">
        <v>31</v>
      </c>
      <c r="D8" t="s">
        <v>122</v>
      </c>
      <c r="E8" t="s">
        <v>87</v>
      </c>
      <c r="F8" t="s">
        <v>551</v>
      </c>
      <c r="G8" t="s">
        <v>81</v>
      </c>
      <c r="H8" t="s">
        <v>26</v>
      </c>
      <c r="I8" t="s">
        <v>15</v>
      </c>
      <c r="J8" t="s">
        <v>34</v>
      </c>
    </row>
    <row r="9" spans="1:19 16384:16384" x14ac:dyDescent="0.25">
      <c r="A9" t="s">
        <v>25</v>
      </c>
      <c r="B9" t="s">
        <v>1</v>
      </c>
      <c r="C9" t="s">
        <v>25</v>
      </c>
      <c r="D9" t="s">
        <v>25</v>
      </c>
      <c r="E9" t="s">
        <v>113</v>
      </c>
      <c r="F9" t="s">
        <v>110</v>
      </c>
      <c r="G9" t="s">
        <v>128</v>
      </c>
      <c r="H9" t="s">
        <v>81</v>
      </c>
      <c r="I9" t="s">
        <v>147</v>
      </c>
      <c r="J9" t="s">
        <v>61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s="18" t="s">
        <v>125</v>
      </c>
      <c r="B13" s="18">
        <v>21</v>
      </c>
      <c r="C13" s="18">
        <v>1</v>
      </c>
      <c r="D13" s="18">
        <f t="shared" ref="D13:D72" si="0">E13/B13</f>
        <v>4</v>
      </c>
      <c r="E13" s="18">
        <v>84</v>
      </c>
      <c r="F13" s="18">
        <f t="shared" ref="F13:F72" si="1">C13/B13</f>
        <v>4.7619047619047616E-2</v>
      </c>
      <c r="G13" s="32">
        <v>2.3664319132398401</v>
      </c>
      <c r="I13" s="18" t="s">
        <v>125</v>
      </c>
      <c r="J13" s="18">
        <v>21</v>
      </c>
      <c r="K13" s="18">
        <v>1</v>
      </c>
      <c r="L13" s="18">
        <f t="shared" ref="L13:L15" si="2">M13/J13</f>
        <v>4</v>
      </c>
      <c r="M13" s="18">
        <v>84</v>
      </c>
      <c r="N13" s="18">
        <f t="shared" ref="N13:N15" si="3">K13/J13</f>
        <v>4.7619047619047616E-2</v>
      </c>
    </row>
    <row r="14" spans="1:19 16384:16384" x14ac:dyDescent="0.25">
      <c r="A14" s="18" t="s">
        <v>104</v>
      </c>
      <c r="B14" s="18">
        <v>86</v>
      </c>
      <c r="C14" s="18">
        <v>5</v>
      </c>
      <c r="D14" s="18">
        <f t="shared" si="0"/>
        <v>4.2558139534883717</v>
      </c>
      <c r="E14" s="18">
        <v>366</v>
      </c>
      <c r="F14" s="18">
        <f t="shared" si="1"/>
        <v>5.8139534883720929E-2</v>
      </c>
      <c r="G14" s="32">
        <v>2.3273733406281498</v>
      </c>
      <c r="I14" s="18" t="s">
        <v>104</v>
      </c>
      <c r="J14" s="18">
        <v>86</v>
      </c>
      <c r="K14" s="18">
        <v>5</v>
      </c>
      <c r="L14" s="18">
        <f t="shared" si="2"/>
        <v>4.2558139534883717</v>
      </c>
      <c r="M14" s="18">
        <v>366</v>
      </c>
      <c r="N14" s="18">
        <f t="shared" si="3"/>
        <v>5.8139534883720929E-2</v>
      </c>
      <c r="S14" s="18" t="s">
        <v>392</v>
      </c>
    </row>
    <row r="15" spans="1:19 16384:16384" x14ac:dyDescent="0.25">
      <c r="A15" s="18" t="s">
        <v>31</v>
      </c>
      <c r="B15" s="18">
        <v>163</v>
      </c>
      <c r="C15" s="18">
        <v>12</v>
      </c>
      <c r="D15" s="18">
        <f t="shared" si="0"/>
        <v>5.2638036809815949</v>
      </c>
      <c r="E15" s="18">
        <v>858</v>
      </c>
      <c r="F15" s="18">
        <f t="shared" si="1"/>
        <v>7.3619631901840496E-2</v>
      </c>
      <c r="G15" s="32">
        <v>1.87082869338697</v>
      </c>
      <c r="I15" s="18" t="s">
        <v>31</v>
      </c>
      <c r="J15" s="18">
        <v>163</v>
      </c>
      <c r="K15" s="18">
        <v>12</v>
      </c>
      <c r="L15" s="18">
        <f t="shared" si="2"/>
        <v>5.2638036809815949</v>
      </c>
      <c r="M15" s="18">
        <v>858</v>
      </c>
      <c r="N15" s="18">
        <f t="shared" si="3"/>
        <v>7.3619631901840496E-2</v>
      </c>
      <c r="S15" s="18" t="s">
        <v>392</v>
      </c>
    </row>
    <row r="16" spans="1:19 16384:16384" x14ac:dyDescent="0.25">
      <c r="A16" s="18" t="s">
        <v>105</v>
      </c>
      <c r="B16" s="18">
        <v>20</v>
      </c>
      <c r="C16" s="18">
        <v>0</v>
      </c>
      <c r="D16" s="18">
        <f t="shared" si="0"/>
        <v>5.05</v>
      </c>
      <c r="E16" s="18">
        <v>101</v>
      </c>
      <c r="F16" s="18">
        <f t="shared" si="1"/>
        <v>0</v>
      </c>
      <c r="G16" s="32">
        <v>1.8165902124584901</v>
      </c>
      <c r="I16" t="s">
        <v>105</v>
      </c>
      <c r="J16">
        <v>20</v>
      </c>
      <c r="K16">
        <v>0</v>
      </c>
      <c r="L16">
        <f t="shared" ref="L16:L25" si="4">M16/J16</f>
        <v>5.05</v>
      </c>
      <c r="M16">
        <v>101</v>
      </c>
      <c r="N16">
        <f t="shared" ref="N16:N25" si="5">K16/J16</f>
        <v>0</v>
      </c>
    </row>
    <row r="17" spans="1:27" x14ac:dyDescent="0.25">
      <c r="A17" s="18" t="s">
        <v>128</v>
      </c>
      <c r="B17" s="18">
        <v>94</v>
      </c>
      <c r="C17" s="18">
        <v>29</v>
      </c>
      <c r="D17" s="18">
        <f t="shared" si="0"/>
        <v>3.1702127659574466</v>
      </c>
      <c r="E17" s="18">
        <v>298</v>
      </c>
      <c r="F17" s="18">
        <f t="shared" si="1"/>
        <v>0.30851063829787234</v>
      </c>
      <c r="G17" s="32">
        <v>2.03049835952651</v>
      </c>
      <c r="I17" s="18" t="s">
        <v>128</v>
      </c>
      <c r="J17" s="18">
        <v>94</v>
      </c>
      <c r="K17" s="18">
        <v>29</v>
      </c>
      <c r="L17" s="18">
        <f t="shared" si="4"/>
        <v>3.1702127659574466</v>
      </c>
      <c r="M17" s="18">
        <v>298</v>
      </c>
      <c r="N17" s="18">
        <f t="shared" si="5"/>
        <v>0.30851063829787234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si="4"/>
        <v>4.4782608695652177</v>
      </c>
      <c r="M18" s="18">
        <v>206</v>
      </c>
      <c r="N18" s="18">
        <f t="shared" si="5"/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4"/>
        <v>4.9090909090909092</v>
      </c>
      <c r="M19" s="18">
        <v>108</v>
      </c>
      <c r="N19" s="18">
        <f t="shared" si="5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4"/>
        <v>4.7111111111111112</v>
      </c>
      <c r="M20">
        <v>212</v>
      </c>
      <c r="N20">
        <f t="shared" si="5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4"/>
        <v>5.4074074074074074</v>
      </c>
      <c r="M21">
        <v>146</v>
      </c>
      <c r="N21">
        <f t="shared" si="5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4"/>
        <v>5.3555555555555552</v>
      </c>
      <c r="M22" s="18">
        <v>241</v>
      </c>
      <c r="N22" s="18">
        <f t="shared" si="5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26</v>
      </c>
      <c r="C23" s="18">
        <v>2</v>
      </c>
      <c r="D23" s="18">
        <f t="shared" si="0"/>
        <v>5.1923076923076925</v>
      </c>
      <c r="E23" s="18">
        <v>135</v>
      </c>
      <c r="F23" s="18">
        <f t="shared" si="1"/>
        <v>7.6923076923076927E-2</v>
      </c>
      <c r="G23" s="32">
        <v>2.3299294900428702</v>
      </c>
      <c r="I23" s="18" t="s">
        <v>56</v>
      </c>
      <c r="J23" s="18">
        <v>21</v>
      </c>
      <c r="K23" s="18">
        <v>0</v>
      </c>
      <c r="L23" s="18">
        <f t="shared" si="4"/>
        <v>5.3809523809523814</v>
      </c>
      <c r="M23" s="18">
        <v>113</v>
      </c>
      <c r="N23" s="18">
        <f t="shared" si="5"/>
        <v>0</v>
      </c>
    </row>
    <row r="24" spans="1:27" x14ac:dyDescent="0.25">
      <c r="A24" s="18" t="s">
        <v>56</v>
      </c>
      <c r="B24" s="18">
        <v>21</v>
      </c>
      <c r="C24" s="18">
        <v>0</v>
      </c>
      <c r="D24" s="18">
        <f t="shared" si="0"/>
        <v>5.3809523809523814</v>
      </c>
      <c r="E24" s="18">
        <v>113</v>
      </c>
      <c r="F24" s="18">
        <f t="shared" si="1"/>
        <v>0</v>
      </c>
      <c r="G24" s="32">
        <v>2.0655911179772799</v>
      </c>
      <c r="I24" s="18" t="s">
        <v>19</v>
      </c>
      <c r="J24" s="18">
        <v>26</v>
      </c>
      <c r="K24" s="18">
        <v>2</v>
      </c>
      <c r="L24" s="18">
        <f t="shared" si="4"/>
        <v>5.1923076923076925</v>
      </c>
      <c r="M24" s="18">
        <v>135</v>
      </c>
      <c r="N24" s="18">
        <f t="shared" si="5"/>
        <v>7.6923076923076927E-2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4"/>
        <v>3.6363636363636362</v>
      </c>
      <c r="M25" s="18">
        <v>80</v>
      </c>
      <c r="N25" s="18">
        <f t="shared" si="5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126</v>
      </c>
      <c r="C27" s="18">
        <v>11</v>
      </c>
      <c r="D27" s="18">
        <f t="shared" si="0"/>
        <v>4.9365079365079367</v>
      </c>
      <c r="E27" s="18">
        <v>622</v>
      </c>
      <c r="F27" s="18">
        <f t="shared" si="1"/>
        <v>8.7301587301587297E-2</v>
      </c>
      <c r="G27" s="32">
        <v>2.1609054109613202</v>
      </c>
      <c r="I27" s="18" t="s">
        <v>25</v>
      </c>
      <c r="J27" s="18">
        <v>126</v>
      </c>
      <c r="K27" s="18">
        <v>11</v>
      </c>
      <c r="L27" s="18">
        <f t="shared" ref="L27:L28" si="6">M27/J27</f>
        <v>4.9365079365079367</v>
      </c>
      <c r="M27" s="18">
        <v>622</v>
      </c>
      <c r="N27" s="18">
        <f t="shared" ref="N27:N28" si="7">K27/J27</f>
        <v>8.7301587301587297E-2</v>
      </c>
      <c r="S27" s="18" t="s">
        <v>392</v>
      </c>
    </row>
    <row r="28" spans="1:27" x14ac:dyDescent="0.25">
      <c r="A28" t="s">
        <v>34</v>
      </c>
      <c r="B28">
        <v>16</v>
      </c>
      <c r="C28">
        <v>1</v>
      </c>
      <c r="D28">
        <f t="shared" si="0"/>
        <v>5.75</v>
      </c>
      <c r="E28">
        <v>92</v>
      </c>
      <c r="F28">
        <f t="shared" si="1"/>
        <v>6.25E-2</v>
      </c>
      <c r="G28" s="32">
        <v>2.2360679774997898</v>
      </c>
      <c r="I28" s="18" t="s">
        <v>147</v>
      </c>
      <c r="J28" s="18">
        <v>104</v>
      </c>
      <c r="K28" s="18">
        <v>19</v>
      </c>
      <c r="L28" s="18">
        <f t="shared" si="6"/>
        <v>3.7211538461538463</v>
      </c>
      <c r="M28" s="18">
        <v>387</v>
      </c>
      <c r="N28" s="18">
        <f t="shared" si="7"/>
        <v>0.18269230769230768</v>
      </c>
      <c r="S28" s="18" t="s">
        <v>392</v>
      </c>
    </row>
    <row r="29" spans="1:27" x14ac:dyDescent="0.25">
      <c r="A29" s="18" t="s">
        <v>147</v>
      </c>
      <c r="B29" s="18">
        <v>104</v>
      </c>
      <c r="C29" s="18">
        <v>19</v>
      </c>
      <c r="D29" s="18">
        <f t="shared" si="0"/>
        <v>3.7211538461538463</v>
      </c>
      <c r="E29" s="18">
        <v>387</v>
      </c>
      <c r="F29" s="18">
        <f t="shared" si="1"/>
        <v>0.18269230769230768</v>
      </c>
      <c r="G29" s="32">
        <v>1.94935886896179</v>
      </c>
      <c r="I29" s="18" t="s">
        <v>87</v>
      </c>
      <c r="J29" s="18">
        <v>86</v>
      </c>
      <c r="K29" s="18">
        <v>13</v>
      </c>
      <c r="L29" s="18">
        <f t="shared" ref="L29" si="8">M29/J29</f>
        <v>4.7441860465116283</v>
      </c>
      <c r="M29" s="18">
        <v>408</v>
      </c>
      <c r="N29" s="18">
        <f t="shared" ref="N29" si="9">K29/J29</f>
        <v>0.15116279069767441</v>
      </c>
    </row>
    <row r="30" spans="1:27" x14ac:dyDescent="0.25">
      <c r="A30" s="18" t="s">
        <v>87</v>
      </c>
      <c r="B30" s="18">
        <v>86</v>
      </c>
      <c r="C30" s="18">
        <v>13</v>
      </c>
      <c r="D30" s="18">
        <f t="shared" si="0"/>
        <v>4.7441860465116283</v>
      </c>
      <c r="E30" s="18">
        <v>408</v>
      </c>
      <c r="F30" s="18">
        <f t="shared" si="1"/>
        <v>0.15116279069767441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1" si="10">M30/J30</f>
        <v>4.25</v>
      </c>
      <c r="M30" s="18">
        <v>85</v>
      </c>
      <c r="N30" s="18">
        <f t="shared" ref="N30:N31" si="11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55</v>
      </c>
      <c r="K31" s="18">
        <v>2</v>
      </c>
      <c r="L31" s="18">
        <f t="shared" si="10"/>
        <v>5.0909090909090908</v>
      </c>
      <c r="M31" s="18">
        <v>280</v>
      </c>
      <c r="N31" s="18">
        <f t="shared" si="11"/>
        <v>3.6363636363636362E-2</v>
      </c>
      <c r="S31" s="18" t="s">
        <v>392</v>
      </c>
    </row>
    <row r="32" spans="1:27" x14ac:dyDescent="0.25">
      <c r="A32" s="18" t="s">
        <v>81</v>
      </c>
      <c r="B32" s="18">
        <v>55</v>
      </c>
      <c r="C32" s="18">
        <v>2</v>
      </c>
      <c r="D32" s="18">
        <f t="shared" si="0"/>
        <v>5.0909090909090908</v>
      </c>
      <c r="E32" s="18">
        <v>280</v>
      </c>
      <c r="F32" s="18">
        <f t="shared" si="1"/>
        <v>3.6363636363636362E-2</v>
      </c>
      <c r="G32" s="32">
        <v>1.76776695296636</v>
      </c>
      <c r="I32" s="18" t="s">
        <v>36</v>
      </c>
      <c r="J32" s="18">
        <v>20</v>
      </c>
      <c r="K32" s="18">
        <v>0</v>
      </c>
      <c r="L32" s="18">
        <f t="shared" ref="L32" si="12">M32/J32</f>
        <v>4.5</v>
      </c>
      <c r="M32" s="18">
        <v>90</v>
      </c>
      <c r="N32" s="18">
        <f t="shared" ref="N32" si="13">K32/J32</f>
        <v>0</v>
      </c>
    </row>
    <row r="33" spans="1:19" x14ac:dyDescent="0.25">
      <c r="A33" s="18" t="s">
        <v>36</v>
      </c>
      <c r="B33" s="18">
        <v>20</v>
      </c>
      <c r="C33" s="18">
        <v>0</v>
      </c>
      <c r="D33" s="18">
        <f t="shared" si="0"/>
        <v>4.5</v>
      </c>
      <c r="E33" s="18">
        <v>90</v>
      </c>
      <c r="F33" s="18">
        <f t="shared" si="1"/>
        <v>0</v>
      </c>
      <c r="G33" s="32">
        <v>2.6076809620810502</v>
      </c>
      <c r="I33" s="18" t="s">
        <v>112</v>
      </c>
      <c r="J33" s="18">
        <v>26</v>
      </c>
      <c r="K33" s="18">
        <v>5</v>
      </c>
      <c r="L33" s="18">
        <f>M33/J33</f>
        <v>4.2307692307692308</v>
      </c>
      <c r="M33" s="18">
        <v>110</v>
      </c>
      <c r="N33" s="18">
        <f>K33/J33</f>
        <v>0.19230769230769232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27</v>
      </c>
      <c r="J34" s="18">
        <v>36</v>
      </c>
      <c r="K34" s="18">
        <v>3</v>
      </c>
      <c r="L34" s="18">
        <f>M34/J34</f>
        <v>4.4444444444444446</v>
      </c>
      <c r="M34" s="18">
        <v>160</v>
      </c>
      <c r="N34" s="18">
        <f>K34/J34</f>
        <v>8.3333333333333329E-2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401</v>
      </c>
      <c r="J35" s="18">
        <v>57</v>
      </c>
      <c r="K35" s="18">
        <v>3</v>
      </c>
      <c r="L35" s="18">
        <f>M35/J35</f>
        <v>5.6842105263157894</v>
      </c>
      <c r="M35" s="18">
        <v>324</v>
      </c>
      <c r="N35" s="18">
        <f>K35/J35</f>
        <v>5.2631578947368418E-2</v>
      </c>
      <c r="S35">
        <v>2</v>
      </c>
    </row>
    <row r="36" spans="1:19" x14ac:dyDescent="0.25">
      <c r="A36" t="s">
        <v>117</v>
      </c>
      <c r="B36">
        <v>18</v>
      </c>
      <c r="C36">
        <v>3</v>
      </c>
      <c r="D36">
        <f t="shared" si="0"/>
        <v>4.5</v>
      </c>
      <c r="E36">
        <v>81</v>
      </c>
      <c r="F36">
        <f t="shared" si="1"/>
        <v>0.16666666666666666</v>
      </c>
      <c r="G36" s="32">
        <v>2.7284509239574799</v>
      </c>
      <c r="I36" s="18" t="s">
        <v>15</v>
      </c>
      <c r="J36" s="18">
        <v>219</v>
      </c>
      <c r="K36" s="18">
        <v>35</v>
      </c>
      <c r="L36" s="18">
        <f t="shared" ref="L36" si="14">M36/J36</f>
        <v>4.5205479452054798</v>
      </c>
      <c r="M36" s="18">
        <v>990</v>
      </c>
      <c r="N36" s="18">
        <f t="shared" ref="N36" si="15">K36/J36</f>
        <v>0.15981735159817351</v>
      </c>
      <c r="S36" s="18" t="s">
        <v>392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13</v>
      </c>
      <c r="J37" s="18">
        <v>36</v>
      </c>
      <c r="K37" s="18">
        <v>2</v>
      </c>
      <c r="L37" s="18">
        <f t="shared" ref="L37:L39" si="16">M37/J37</f>
        <v>4.7222222222222223</v>
      </c>
      <c r="M37" s="18">
        <v>170</v>
      </c>
      <c r="N37" s="18">
        <f t="shared" ref="N37:N39" si="17">K37/J37</f>
        <v>5.5555555555555552E-2</v>
      </c>
      <c r="S37" s="18" t="s">
        <v>392</v>
      </c>
    </row>
    <row r="38" spans="1:19" x14ac:dyDescent="0.25">
      <c r="A38" s="18" t="s">
        <v>401</v>
      </c>
      <c r="B38" s="18">
        <v>57</v>
      </c>
      <c r="C38" s="18">
        <v>3</v>
      </c>
      <c r="D38" s="18">
        <f t="shared" si="0"/>
        <v>5.6842105263157894</v>
      </c>
      <c r="E38" s="18">
        <v>324</v>
      </c>
      <c r="F38" s="18">
        <f t="shared" si="1"/>
        <v>5.2631578947368418E-2</v>
      </c>
      <c r="G38" s="32">
        <v>2.1248885888797799</v>
      </c>
      <c r="I38" s="18" t="s">
        <v>10</v>
      </c>
      <c r="J38" s="18">
        <v>66</v>
      </c>
      <c r="K38" s="18">
        <v>13</v>
      </c>
      <c r="L38" s="18">
        <f t="shared" si="16"/>
        <v>3.8787878787878789</v>
      </c>
      <c r="M38" s="18">
        <v>256</v>
      </c>
      <c r="N38" s="18">
        <f t="shared" si="17"/>
        <v>0.19696969696969696</v>
      </c>
    </row>
    <row r="39" spans="1:19" x14ac:dyDescent="0.25">
      <c r="A39" s="18" t="s">
        <v>15</v>
      </c>
      <c r="B39" s="18">
        <v>219</v>
      </c>
      <c r="C39" s="18">
        <v>35</v>
      </c>
      <c r="D39" s="18">
        <f t="shared" si="0"/>
        <v>4.5205479452054798</v>
      </c>
      <c r="E39" s="18">
        <v>990</v>
      </c>
      <c r="F39" s="18">
        <f t="shared" si="1"/>
        <v>0.15981735159817351</v>
      </c>
      <c r="G39" s="32">
        <v>2.3694389634605302</v>
      </c>
      <c r="I39" s="18" t="s">
        <v>63</v>
      </c>
      <c r="J39" s="18">
        <v>21</v>
      </c>
      <c r="K39" s="18">
        <v>3</v>
      </c>
      <c r="L39" s="18">
        <f t="shared" si="16"/>
        <v>4.2380952380952381</v>
      </c>
      <c r="M39" s="18">
        <v>89</v>
      </c>
      <c r="N39" s="18">
        <f t="shared" si="17"/>
        <v>0.14285714285714285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4</v>
      </c>
      <c r="J40" s="18">
        <v>20</v>
      </c>
      <c r="K40" s="18">
        <v>3</v>
      </c>
      <c r="L40" s="18">
        <f t="shared" ref="L40:L46" si="18">M40/J40</f>
        <v>4.95</v>
      </c>
      <c r="M40" s="18">
        <v>99</v>
      </c>
      <c r="N40" s="18">
        <f t="shared" ref="N40:N46" si="19">K40/J40</f>
        <v>0.15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121</v>
      </c>
      <c r="J41" s="18">
        <v>81</v>
      </c>
      <c r="K41" s="18">
        <v>19</v>
      </c>
      <c r="L41" s="18">
        <f t="shared" si="18"/>
        <v>3.8765432098765431</v>
      </c>
      <c r="M41" s="18">
        <v>314</v>
      </c>
      <c r="N41" s="18">
        <f t="shared" si="19"/>
        <v>0.23456790123456789</v>
      </c>
      <c r="S41" s="18" t="s">
        <v>392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232</v>
      </c>
      <c r="J42" s="18">
        <v>80</v>
      </c>
      <c r="K42" s="18">
        <v>16</v>
      </c>
      <c r="L42" s="18">
        <f t="shared" si="18"/>
        <v>3.95</v>
      </c>
      <c r="M42" s="18">
        <v>316</v>
      </c>
      <c r="N42" s="18">
        <f t="shared" si="19"/>
        <v>0.2</v>
      </c>
      <c r="S42">
        <v>1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21</v>
      </c>
      <c r="J43" s="18">
        <v>135</v>
      </c>
      <c r="K43" s="18">
        <v>20</v>
      </c>
      <c r="L43" s="18">
        <f t="shared" si="18"/>
        <v>4.3925925925925924</v>
      </c>
      <c r="M43" s="18">
        <v>593</v>
      </c>
      <c r="N43" s="18">
        <f t="shared" si="19"/>
        <v>0.14814814814814814</v>
      </c>
      <c r="S43" s="18" t="s">
        <v>392</v>
      </c>
    </row>
    <row r="44" spans="1:19" x14ac:dyDescent="0.25">
      <c r="A44" s="18" t="s">
        <v>121</v>
      </c>
      <c r="B44" s="18">
        <v>81</v>
      </c>
      <c r="C44" s="18">
        <v>19</v>
      </c>
      <c r="D44" s="18">
        <f t="shared" si="0"/>
        <v>3.8765432098765431</v>
      </c>
      <c r="E44" s="18">
        <v>314</v>
      </c>
      <c r="F44" s="18">
        <f t="shared" si="1"/>
        <v>0.23456790123456789</v>
      </c>
      <c r="G44" s="32">
        <v>2.2233267457082899</v>
      </c>
      <c r="I44" s="18" t="s">
        <v>51</v>
      </c>
      <c r="J44" s="18">
        <v>37</v>
      </c>
      <c r="K44" s="18">
        <v>3</v>
      </c>
      <c r="L44" s="18">
        <f t="shared" si="18"/>
        <v>4.9189189189189193</v>
      </c>
      <c r="M44" s="18">
        <v>182</v>
      </c>
      <c r="N44" s="18">
        <f t="shared" si="19"/>
        <v>8.1081081081081086E-2</v>
      </c>
      <c r="S44" s="18" t="s">
        <v>392</v>
      </c>
    </row>
    <row r="45" spans="1:19" x14ac:dyDescent="0.25">
      <c r="A45" s="18" t="s">
        <v>232</v>
      </c>
      <c r="B45" s="18">
        <v>80</v>
      </c>
      <c r="C45" s="18">
        <v>16</v>
      </c>
      <c r="D45" s="18">
        <f t="shared" si="0"/>
        <v>3.95</v>
      </c>
      <c r="E45" s="18">
        <v>316</v>
      </c>
      <c r="F45" s="18">
        <f t="shared" si="1"/>
        <v>0.2</v>
      </c>
      <c r="G45" s="32">
        <v>2.2509257354845502</v>
      </c>
      <c r="I45" s="18" t="s">
        <v>0</v>
      </c>
      <c r="J45" s="18">
        <v>84</v>
      </c>
      <c r="K45" s="18">
        <v>14</v>
      </c>
      <c r="L45" s="18">
        <f t="shared" si="18"/>
        <v>4.1547619047619051</v>
      </c>
      <c r="M45" s="18">
        <v>349</v>
      </c>
      <c r="N45" s="18">
        <f t="shared" si="19"/>
        <v>0.16666666666666666</v>
      </c>
      <c r="S45" s="18" t="s">
        <v>392</v>
      </c>
    </row>
    <row r="46" spans="1:19" x14ac:dyDescent="0.25">
      <c r="A46" s="18" t="s">
        <v>21</v>
      </c>
      <c r="B46" s="18">
        <v>135</v>
      </c>
      <c r="C46" s="18">
        <v>20</v>
      </c>
      <c r="D46" s="18">
        <f t="shared" si="0"/>
        <v>4.3925925925925924</v>
      </c>
      <c r="E46" s="18">
        <v>593</v>
      </c>
      <c r="F46" s="18">
        <f t="shared" si="1"/>
        <v>0.14814814814814814</v>
      </c>
      <c r="G46" s="32">
        <v>2.0655911179772799</v>
      </c>
      <c r="I46" s="18" t="s">
        <v>1</v>
      </c>
      <c r="J46" s="18">
        <v>92</v>
      </c>
      <c r="K46" s="18">
        <v>4</v>
      </c>
      <c r="L46" s="18">
        <f t="shared" si="18"/>
        <v>4.6739130434782608</v>
      </c>
      <c r="M46" s="18">
        <v>430</v>
      </c>
      <c r="N46" s="18">
        <f t="shared" si="19"/>
        <v>4.3478260869565216E-2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28</v>
      </c>
      <c r="J47" s="18">
        <v>20</v>
      </c>
      <c r="K47" s="18">
        <v>0</v>
      </c>
      <c r="L47" s="18">
        <f t="shared" ref="L47:L50" si="20">M47/J47</f>
        <v>5.65</v>
      </c>
      <c r="M47" s="18">
        <v>113</v>
      </c>
      <c r="N47" s="18">
        <f t="shared" ref="N47:N50" si="21">K47/J47</f>
        <v>0</v>
      </c>
    </row>
    <row r="48" spans="1:19" x14ac:dyDescent="0.25">
      <c r="A48" t="s">
        <v>414</v>
      </c>
      <c r="B48">
        <v>16</v>
      </c>
      <c r="C48">
        <v>2</v>
      </c>
      <c r="D48">
        <f t="shared" si="0"/>
        <v>4.5625</v>
      </c>
      <c r="E48">
        <v>73</v>
      </c>
      <c r="F48">
        <f t="shared" si="1"/>
        <v>0.125</v>
      </c>
      <c r="G48" s="32">
        <v>2.8702082220799299</v>
      </c>
      <c r="I48" s="18" t="s">
        <v>253</v>
      </c>
      <c r="J48" s="18">
        <v>30</v>
      </c>
      <c r="K48" s="18">
        <v>1</v>
      </c>
      <c r="L48" s="18">
        <f t="shared" si="20"/>
        <v>5.333333333333333</v>
      </c>
      <c r="M48" s="18">
        <v>160</v>
      </c>
      <c r="N48" s="18">
        <f t="shared" si="21"/>
        <v>3.3333333333333333E-2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175</v>
      </c>
      <c r="J49" s="18">
        <v>36</v>
      </c>
      <c r="K49" s="18">
        <v>8</v>
      </c>
      <c r="L49" s="18">
        <f t="shared" si="20"/>
        <v>3.25</v>
      </c>
      <c r="M49" s="18">
        <v>117</v>
      </c>
      <c r="N49" s="18">
        <f t="shared" si="21"/>
        <v>0.22222222222222221</v>
      </c>
    </row>
    <row r="50" spans="1:26" x14ac:dyDescent="0.25">
      <c r="A50" s="18" t="s">
        <v>1</v>
      </c>
      <c r="B50" s="18">
        <v>92</v>
      </c>
      <c r="C50" s="18">
        <v>4</v>
      </c>
      <c r="D50" s="18">
        <f t="shared" si="0"/>
        <v>4.6739130434782608</v>
      </c>
      <c r="E50" s="18">
        <v>430</v>
      </c>
      <c r="F50" s="18">
        <f t="shared" si="1"/>
        <v>4.3478260869565216E-2</v>
      </c>
      <c r="G50" s="32">
        <v>2.0412414523193099</v>
      </c>
      <c r="I50" s="18" t="s">
        <v>61</v>
      </c>
      <c r="J50" s="18">
        <v>31</v>
      </c>
      <c r="K50" s="18">
        <v>7</v>
      </c>
      <c r="L50" s="18">
        <f t="shared" si="20"/>
        <v>4.774193548387097</v>
      </c>
      <c r="M50" s="18">
        <v>148</v>
      </c>
      <c r="N50" s="18">
        <f t="shared" si="21"/>
        <v>0.22580645161290322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115</v>
      </c>
      <c r="J51" s="18">
        <v>39</v>
      </c>
      <c r="K51" s="18">
        <v>3</v>
      </c>
      <c r="L51" s="18">
        <f t="shared" ref="L51:L52" si="22">M51/J51</f>
        <v>4.384615384615385</v>
      </c>
      <c r="M51" s="18">
        <v>171</v>
      </c>
      <c r="N51" s="18">
        <f t="shared" ref="N51:N52" si="23">K51/J51</f>
        <v>7.6923076923076927E-2</v>
      </c>
    </row>
    <row r="52" spans="1:26" x14ac:dyDescent="0.25">
      <c r="A52" s="18" t="s">
        <v>253</v>
      </c>
      <c r="B52" s="18">
        <v>30</v>
      </c>
      <c r="C52" s="18">
        <v>1</v>
      </c>
      <c r="D52" s="18">
        <f t="shared" si="0"/>
        <v>5.333333333333333</v>
      </c>
      <c r="E52" s="18">
        <v>160</v>
      </c>
      <c r="F52" s="18">
        <f t="shared" si="1"/>
        <v>3.3333333333333333E-2</v>
      </c>
      <c r="G52" s="32"/>
      <c r="I52" s="18" t="s">
        <v>24</v>
      </c>
      <c r="J52" s="18">
        <v>91</v>
      </c>
      <c r="K52" s="18">
        <v>10</v>
      </c>
      <c r="L52" s="18">
        <f t="shared" si="22"/>
        <v>4.5164835164835164</v>
      </c>
      <c r="M52" s="18">
        <v>411</v>
      </c>
      <c r="N52" s="18">
        <f t="shared" si="23"/>
        <v>0.10989010989010989</v>
      </c>
    </row>
    <row r="53" spans="1:26" x14ac:dyDescent="0.25">
      <c r="A53" s="18" t="s">
        <v>175</v>
      </c>
      <c r="B53" s="18">
        <v>36</v>
      </c>
      <c r="C53" s="18">
        <v>8</v>
      </c>
      <c r="D53" s="18">
        <f t="shared" si="0"/>
        <v>3.25</v>
      </c>
      <c r="E53" s="18">
        <v>117</v>
      </c>
      <c r="F53" s="18">
        <f t="shared" si="1"/>
        <v>0.22222222222222221</v>
      </c>
      <c r="G53" s="32">
        <v>2</v>
      </c>
      <c r="I53" s="18" t="s">
        <v>116</v>
      </c>
      <c r="J53" s="18">
        <v>20</v>
      </c>
      <c r="K53" s="18">
        <v>4</v>
      </c>
      <c r="L53" s="18">
        <f t="shared" ref="L53:L54" si="24">M53/J53</f>
        <v>4.05</v>
      </c>
      <c r="M53" s="18">
        <v>81</v>
      </c>
      <c r="N53" s="18">
        <f t="shared" ref="N53:N54" si="25">K53/J53</f>
        <v>0.2</v>
      </c>
    </row>
    <row r="54" spans="1:26" x14ac:dyDescent="0.25">
      <c r="A54" s="18" t="s">
        <v>61</v>
      </c>
      <c r="B54" s="18">
        <v>31</v>
      </c>
      <c r="C54" s="18">
        <v>7</v>
      </c>
      <c r="D54" s="18">
        <f t="shared" si="0"/>
        <v>4.774193548387097</v>
      </c>
      <c r="E54" s="18">
        <v>148</v>
      </c>
      <c r="F54" s="18">
        <f t="shared" si="1"/>
        <v>0.22580645161290322</v>
      </c>
      <c r="G54" s="32">
        <v>3.2403703492039302</v>
      </c>
      <c r="I54" s="18" t="s">
        <v>5</v>
      </c>
      <c r="J54" s="18">
        <v>23</v>
      </c>
      <c r="K54" s="18">
        <v>1</v>
      </c>
      <c r="L54" s="18">
        <f t="shared" si="24"/>
        <v>4.6086956521739131</v>
      </c>
      <c r="M54" s="18">
        <v>106</v>
      </c>
      <c r="N54" s="18">
        <f t="shared" si="25"/>
        <v>4.3478260869565216E-2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58</v>
      </c>
      <c r="J55" s="18">
        <v>20</v>
      </c>
      <c r="K55" s="18">
        <v>3</v>
      </c>
      <c r="L55" s="18">
        <f t="shared" ref="L55:L58" si="26">M55/J55</f>
        <v>4.1500000000000004</v>
      </c>
      <c r="M55" s="18">
        <v>83</v>
      </c>
      <c r="N55" s="18">
        <f t="shared" ref="N55:N58" si="27">K55/J55</f>
        <v>0.15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30</v>
      </c>
      <c r="J56" s="18">
        <v>42</v>
      </c>
      <c r="K56" s="18">
        <v>3</v>
      </c>
      <c r="L56" s="18">
        <f t="shared" si="26"/>
        <v>5.1904761904761907</v>
      </c>
      <c r="M56" s="18">
        <v>218</v>
      </c>
      <c r="N56" s="18">
        <f t="shared" si="27"/>
        <v>7.1428571428571425E-2</v>
      </c>
      <c r="S56" s="18" t="s">
        <v>392</v>
      </c>
    </row>
    <row r="57" spans="1:26" x14ac:dyDescent="0.25">
      <c r="A57" s="18" t="s">
        <v>24</v>
      </c>
      <c r="B57" s="18">
        <v>91</v>
      </c>
      <c r="C57" s="18">
        <v>10</v>
      </c>
      <c r="D57" s="18">
        <f t="shared" si="0"/>
        <v>4.5164835164835164</v>
      </c>
      <c r="E57" s="18">
        <v>411</v>
      </c>
      <c r="F57" s="18">
        <f t="shared" si="1"/>
        <v>0.10989010989010989</v>
      </c>
      <c r="G57" s="32">
        <v>2.26909243703399</v>
      </c>
      <c r="I57" s="18" t="s">
        <v>29</v>
      </c>
      <c r="J57" s="18">
        <v>103</v>
      </c>
      <c r="K57" s="18">
        <v>15</v>
      </c>
      <c r="L57" s="18">
        <f t="shared" si="26"/>
        <v>3.883495145631068</v>
      </c>
      <c r="M57" s="18">
        <v>400</v>
      </c>
      <c r="N57" s="18">
        <f t="shared" si="27"/>
        <v>0.14563106796116504</v>
      </c>
      <c r="S57" s="18">
        <v>1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148</v>
      </c>
      <c r="J58" s="18">
        <v>39</v>
      </c>
      <c r="K58" s="18">
        <v>8</v>
      </c>
      <c r="L58" s="18">
        <f t="shared" si="26"/>
        <v>3.7435897435897436</v>
      </c>
      <c r="M58" s="18">
        <v>146</v>
      </c>
      <c r="N58" s="18">
        <f t="shared" si="27"/>
        <v>0.20512820512820512</v>
      </c>
      <c r="S58" s="18" t="s">
        <v>392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9</v>
      </c>
      <c r="J59" s="18">
        <v>20</v>
      </c>
      <c r="K59" s="18">
        <v>2</v>
      </c>
      <c r="L59" s="18">
        <f t="shared" ref="L59" si="28">M59/J59</f>
        <v>4.1500000000000004</v>
      </c>
      <c r="M59" s="18">
        <v>83</v>
      </c>
      <c r="N59" s="18">
        <f t="shared" ref="N59" si="29">K59/J59</f>
        <v>0.1</v>
      </c>
    </row>
    <row r="60" spans="1:26" x14ac:dyDescent="0.25">
      <c r="A60" s="18" t="s">
        <v>58</v>
      </c>
      <c r="B60" s="18">
        <v>20</v>
      </c>
      <c r="C60" s="18">
        <v>3</v>
      </c>
      <c r="D60" s="18">
        <f t="shared" si="0"/>
        <v>4.1500000000000004</v>
      </c>
      <c r="E60" s="18">
        <v>83</v>
      </c>
      <c r="F60" s="18">
        <f t="shared" si="1"/>
        <v>0.15</v>
      </c>
      <c r="G60" s="32">
        <v>2.33809038890002</v>
      </c>
      <c r="I60" s="18" t="s">
        <v>139</v>
      </c>
      <c r="J60" s="18">
        <v>20</v>
      </c>
      <c r="K60" s="18">
        <v>2</v>
      </c>
      <c r="L60" s="18">
        <f t="shared" ref="L60" si="30">M60/J60</f>
        <v>4.3</v>
      </c>
      <c r="M60" s="18">
        <v>86</v>
      </c>
      <c r="N60" s="18">
        <f t="shared" ref="N60" si="31">K60/J60</f>
        <v>0.1</v>
      </c>
    </row>
    <row r="61" spans="1:26" x14ac:dyDescent="0.25">
      <c r="A61" s="18" t="s">
        <v>30</v>
      </c>
      <c r="B61" s="18">
        <v>42</v>
      </c>
      <c r="C61" s="18">
        <v>3</v>
      </c>
      <c r="D61" s="18">
        <f t="shared" si="0"/>
        <v>5.1904761904761907</v>
      </c>
      <c r="E61" s="18">
        <v>218</v>
      </c>
      <c r="F61" s="18">
        <f t="shared" si="1"/>
        <v>7.1428571428571425E-2</v>
      </c>
      <c r="G61" s="32">
        <v>2.5226248955475601</v>
      </c>
      <c r="I61" t="s">
        <v>428</v>
      </c>
      <c r="J61">
        <v>21</v>
      </c>
      <c r="K61">
        <v>0</v>
      </c>
      <c r="L61">
        <f>M61/J61</f>
        <v>4.6190476190476186</v>
      </c>
      <c r="M61">
        <v>97</v>
      </c>
      <c r="N61">
        <f>K61/J61</f>
        <v>0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103</v>
      </c>
      <c r="C62" s="18">
        <v>15</v>
      </c>
      <c r="D62" s="18">
        <f t="shared" si="0"/>
        <v>3.883495145631068</v>
      </c>
      <c r="E62" s="18">
        <v>400</v>
      </c>
      <c r="F62" s="18">
        <f t="shared" si="1"/>
        <v>0.14563106796116504</v>
      </c>
      <c r="G62" s="32">
        <v>2.0875571218153701</v>
      </c>
      <c r="I62" s="18" t="s">
        <v>17</v>
      </c>
      <c r="J62" s="18">
        <v>20</v>
      </c>
      <c r="K62" s="18">
        <v>2</v>
      </c>
      <c r="L62" s="18">
        <f t="shared" ref="L62:L64" si="32">M62/J62</f>
        <v>5.25</v>
      </c>
      <c r="M62" s="18">
        <v>105</v>
      </c>
      <c r="N62" s="18">
        <f t="shared" ref="N62:N64" si="33">K62/J62</f>
        <v>0.1</v>
      </c>
    </row>
    <row r="63" spans="1:26" x14ac:dyDescent="0.25">
      <c r="A63" s="18" t="s">
        <v>148</v>
      </c>
      <c r="B63" s="18">
        <v>39</v>
      </c>
      <c r="C63" s="18">
        <v>8</v>
      </c>
      <c r="D63" s="18">
        <f t="shared" si="0"/>
        <v>3.7435897435897436</v>
      </c>
      <c r="E63" s="18">
        <v>146</v>
      </c>
      <c r="F63" s="18">
        <f t="shared" si="1"/>
        <v>0.20512820512820512</v>
      </c>
      <c r="G63" s="32">
        <v>2.0528725518857001</v>
      </c>
      <c r="I63" s="18" t="s">
        <v>79</v>
      </c>
      <c r="J63" s="18">
        <v>54</v>
      </c>
      <c r="K63" s="18">
        <v>6</v>
      </c>
      <c r="L63" s="18">
        <f t="shared" si="32"/>
        <v>4.6296296296296298</v>
      </c>
      <c r="M63" s="18">
        <v>250</v>
      </c>
      <c r="N63" s="18">
        <f t="shared" si="33"/>
        <v>0.1111111111111111</v>
      </c>
      <c r="S63" s="18" t="s">
        <v>392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123</v>
      </c>
      <c r="J64" s="18">
        <v>30</v>
      </c>
      <c r="K64" s="18">
        <v>4</v>
      </c>
      <c r="L64" s="18">
        <f t="shared" si="32"/>
        <v>4.4333333333333336</v>
      </c>
      <c r="M64" s="18">
        <v>133</v>
      </c>
      <c r="N64" s="18">
        <f t="shared" si="33"/>
        <v>0.13333333333333333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12</v>
      </c>
      <c r="J65" s="18">
        <v>20</v>
      </c>
      <c r="K65" s="18">
        <v>0</v>
      </c>
      <c r="L65" s="18">
        <f t="shared" ref="L65" si="34">M65/J65</f>
        <v>4.75</v>
      </c>
      <c r="M65" s="18">
        <v>95</v>
      </c>
      <c r="N65" s="18">
        <f t="shared" ref="N65" si="35">K65/J65</f>
        <v>0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404</v>
      </c>
      <c r="J66" s="18">
        <v>20</v>
      </c>
      <c r="K66" s="18">
        <v>2</v>
      </c>
      <c r="L66" s="18">
        <f>M66/J66</f>
        <v>5.25</v>
      </c>
      <c r="M66" s="18">
        <v>105</v>
      </c>
      <c r="N66" s="18">
        <f>K66/J66</f>
        <v>0.1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22</v>
      </c>
      <c r="J67" s="18">
        <v>178</v>
      </c>
      <c r="K67" s="18">
        <v>29</v>
      </c>
      <c r="L67" s="18">
        <f>M67/J67</f>
        <v>4.117977528089888</v>
      </c>
      <c r="M67" s="18">
        <v>733</v>
      </c>
      <c r="N67" s="18">
        <f>K67/J67</f>
        <v>0.16292134831460675</v>
      </c>
      <c r="S67" s="18" t="s">
        <v>392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33</v>
      </c>
      <c r="J68" s="18">
        <v>64</v>
      </c>
      <c r="K68" s="18">
        <v>4</v>
      </c>
      <c r="L68" s="18">
        <f t="shared" ref="L68" si="36">M68/J68</f>
        <v>5.515625</v>
      </c>
      <c r="M68" s="18">
        <v>353</v>
      </c>
      <c r="N68" s="18">
        <f t="shared" ref="N68" si="37">K68/J68</f>
        <v>6.25E-2</v>
      </c>
      <c r="S68" s="18" t="s">
        <v>392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82</v>
      </c>
      <c r="J69" s="18">
        <v>20</v>
      </c>
      <c r="K69" s="18">
        <v>0</v>
      </c>
      <c r="L69" s="18">
        <f t="shared" ref="L69" si="38">M69/J69</f>
        <v>5.15</v>
      </c>
      <c r="M69" s="18">
        <v>103</v>
      </c>
      <c r="N69" s="18">
        <f>K69/J69</f>
        <v>0</v>
      </c>
    </row>
    <row r="70" spans="1:19" x14ac:dyDescent="0.25">
      <c r="A70" s="18" t="s">
        <v>123</v>
      </c>
      <c r="B70" s="18">
        <v>30</v>
      </c>
      <c r="C70" s="18">
        <v>4</v>
      </c>
      <c r="D70" s="18">
        <f t="shared" si="0"/>
        <v>4.4333333333333336</v>
      </c>
      <c r="E70" s="18">
        <v>133</v>
      </c>
      <c r="F70" s="18">
        <f t="shared" si="1"/>
        <v>0.13333333333333333</v>
      </c>
      <c r="G70" s="32">
        <v>2</v>
      </c>
      <c r="I70" s="18" t="s">
        <v>99</v>
      </c>
      <c r="J70" s="18">
        <v>20</v>
      </c>
      <c r="K70" s="18">
        <v>2</v>
      </c>
      <c r="L70" s="18">
        <f t="shared" ref="L70" si="39">M70/J70</f>
        <v>5.05</v>
      </c>
      <c r="M70" s="18">
        <v>101</v>
      </c>
      <c r="N70" s="18">
        <f t="shared" ref="N70" si="40">K70/J70</f>
        <v>0.1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7</v>
      </c>
      <c r="J71" s="18">
        <v>20</v>
      </c>
      <c r="K71" s="18">
        <v>4</v>
      </c>
      <c r="L71" s="18">
        <f t="shared" ref="L71" si="41">M71/J71</f>
        <v>4.0999999999999996</v>
      </c>
      <c r="M71" s="18">
        <v>82</v>
      </c>
      <c r="N71" s="18">
        <f t="shared" ref="N71" si="42">K71/J71</f>
        <v>0.2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129</v>
      </c>
      <c r="J72">
        <v>40</v>
      </c>
      <c r="K72">
        <v>7</v>
      </c>
      <c r="L72">
        <f>M72/J72</f>
        <v>4.45</v>
      </c>
      <c r="M72">
        <v>178</v>
      </c>
      <c r="N72">
        <f>K72/J72</f>
        <v>0.17499999999999999</v>
      </c>
      <c r="S72" s="18" t="s">
        <v>392</v>
      </c>
    </row>
    <row r="73" spans="1:19" x14ac:dyDescent="0.25">
      <c r="A73" s="18" t="s">
        <v>22</v>
      </c>
      <c r="B73" s="18">
        <v>178</v>
      </c>
      <c r="C73" s="18">
        <v>29</v>
      </c>
      <c r="D73" s="18">
        <f>E73/B73</f>
        <v>4.117977528089888</v>
      </c>
      <c r="E73" s="18">
        <v>733</v>
      </c>
      <c r="F73" s="18">
        <f>C73/B73</f>
        <v>0.16292134831460675</v>
      </c>
      <c r="G73" s="32">
        <v>2.2045689482796602</v>
      </c>
      <c r="I73" s="18" t="s">
        <v>113</v>
      </c>
      <c r="J73" s="18">
        <v>20</v>
      </c>
      <c r="K73" s="18">
        <v>0</v>
      </c>
      <c r="L73" s="18">
        <f t="shared" ref="L73:L74" si="43">M73/J73</f>
        <v>4.3</v>
      </c>
      <c r="M73" s="18">
        <v>86</v>
      </c>
      <c r="N73" s="18">
        <f t="shared" ref="N73:N74" si="44"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35</v>
      </c>
      <c r="J74" s="18">
        <v>142</v>
      </c>
      <c r="K74" s="18">
        <v>38</v>
      </c>
      <c r="L74" s="18">
        <f t="shared" si="43"/>
        <v>3.5422535211267605</v>
      </c>
      <c r="M74" s="18">
        <v>503</v>
      </c>
      <c r="N74" s="18">
        <f t="shared" si="44"/>
        <v>0.26760563380281688</v>
      </c>
      <c r="S74" s="18" t="s">
        <v>392</v>
      </c>
    </row>
    <row r="75" spans="1:19" x14ac:dyDescent="0.25">
      <c r="A75" t="s">
        <v>110</v>
      </c>
      <c r="B75">
        <v>17</v>
      </c>
      <c r="C75">
        <v>1</v>
      </c>
      <c r="D75">
        <f>E75/B75</f>
        <v>5.2352941176470589</v>
      </c>
      <c r="E75">
        <v>89</v>
      </c>
      <c r="F75">
        <f>C75/B75</f>
        <v>5.8823529411764705E-2</v>
      </c>
      <c r="G75" s="32">
        <v>1.9407902170679501</v>
      </c>
      <c r="I75" s="18" t="s">
        <v>26</v>
      </c>
      <c r="J75" s="18">
        <v>52</v>
      </c>
      <c r="K75" s="18">
        <v>4</v>
      </c>
      <c r="L75" s="18">
        <f t="shared" ref="L75:L76" si="45">M75/J75</f>
        <v>5.2115384615384617</v>
      </c>
      <c r="M75" s="18">
        <v>271</v>
      </c>
      <c r="N75" s="18">
        <f t="shared" ref="N75:N76" si="46">K75/J75</f>
        <v>7.6923076923076927E-2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7">E76/B76</f>
        <v>5.15</v>
      </c>
      <c r="E76" s="18">
        <v>103</v>
      </c>
      <c r="F76" s="18">
        <f>C76/B76</f>
        <v>0</v>
      </c>
      <c r="G76" s="32">
        <v>2</v>
      </c>
      <c r="I76" s="18" t="s">
        <v>122</v>
      </c>
      <c r="J76" s="18">
        <v>82</v>
      </c>
      <c r="K76" s="18">
        <v>7</v>
      </c>
      <c r="L76" s="18">
        <f t="shared" si="45"/>
        <v>4.3292682926829267</v>
      </c>
      <c r="M76" s="18">
        <v>355</v>
      </c>
      <c r="N76" s="18">
        <f t="shared" si="46"/>
        <v>8.5365853658536592E-2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7"/>
        <v>5.515625</v>
      </c>
      <c r="E77" s="18">
        <v>353</v>
      </c>
      <c r="F77" s="18">
        <f t="shared" ref="F77:F91" si="48">C77/B77</f>
        <v>6.25E-2</v>
      </c>
      <c r="G77" s="32">
        <v>2.14993539954627</v>
      </c>
      <c r="I77" s="18" t="s">
        <v>49</v>
      </c>
      <c r="J77" s="18">
        <v>97</v>
      </c>
      <c r="K77" s="18">
        <v>7</v>
      </c>
      <c r="L77" s="18">
        <f t="shared" ref="L77" si="49">M77/J77</f>
        <v>5.2474226804123711</v>
      </c>
      <c r="M77" s="18">
        <v>509</v>
      </c>
      <c r="N77" s="18">
        <f t="shared" ref="N77" si="50">K77/J77</f>
        <v>7.2164948453608241E-2</v>
      </c>
      <c r="S77" s="18" t="s">
        <v>392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7"/>
        <v>5.05</v>
      </c>
      <c r="E78" s="18">
        <v>101</v>
      </c>
      <c r="F78" s="18">
        <f t="shared" si="48"/>
        <v>0.1</v>
      </c>
      <c r="G78" s="32">
        <v>2.6687491868330699</v>
      </c>
      <c r="I78" s="18" t="s">
        <v>3</v>
      </c>
      <c r="J78" s="18">
        <v>41</v>
      </c>
      <c r="K78" s="18">
        <v>6</v>
      </c>
      <c r="L78" s="18">
        <f t="shared" ref="L78" si="51">M78/J78</f>
        <v>4.0487804878048781</v>
      </c>
      <c r="M78" s="18">
        <v>166</v>
      </c>
      <c r="N78" s="18">
        <f t="shared" ref="N78" si="52">K78/J78</f>
        <v>0.14634146341463414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7"/>
        <v>4.0999999999999996</v>
      </c>
      <c r="E79" s="18">
        <v>82</v>
      </c>
      <c r="F79" s="18">
        <f t="shared" si="48"/>
        <v>0.2</v>
      </c>
      <c r="G79" s="32">
        <v>2.7888667551135802</v>
      </c>
      <c r="I79" t="s">
        <v>2</v>
      </c>
      <c r="J79">
        <v>28</v>
      </c>
      <c r="K79">
        <v>5</v>
      </c>
      <c r="L79">
        <f>M79/J79</f>
        <v>4.1428571428571432</v>
      </c>
      <c r="M79">
        <v>116</v>
      </c>
      <c r="N79">
        <f>K79/J79</f>
        <v>0.17857142857142858</v>
      </c>
    </row>
    <row r="80" spans="1:19" x14ac:dyDescent="0.25">
      <c r="A80" t="s">
        <v>138</v>
      </c>
      <c r="B80">
        <v>5</v>
      </c>
      <c r="C80">
        <v>1</v>
      </c>
      <c r="D80">
        <f t="shared" si="47"/>
        <v>4</v>
      </c>
      <c r="E80">
        <v>20</v>
      </c>
      <c r="F80">
        <f t="shared" si="48"/>
        <v>0.2</v>
      </c>
      <c r="G80" s="32">
        <v>2.2173557826083399</v>
      </c>
    </row>
    <row r="81" spans="1:16" x14ac:dyDescent="0.25">
      <c r="A81" t="s">
        <v>137</v>
      </c>
      <c r="B81">
        <v>11</v>
      </c>
      <c r="C81">
        <v>1</v>
      </c>
      <c r="D81">
        <f t="shared" si="47"/>
        <v>4.1818181818181817</v>
      </c>
      <c r="E81">
        <v>46</v>
      </c>
      <c r="F81">
        <f t="shared" si="48"/>
        <v>9.0909090909090912E-2</v>
      </c>
      <c r="G81" s="32">
        <v>1.8618986725025199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7"/>
        <v>4.45</v>
      </c>
      <c r="E82" s="18">
        <v>178</v>
      </c>
      <c r="F82" s="18">
        <f t="shared" si="48"/>
        <v>0.17499999999999999</v>
      </c>
      <c r="G82" s="32">
        <v>2.1315096371664199</v>
      </c>
      <c r="J82" s="18"/>
      <c r="K82" s="18"/>
      <c r="L82" s="18"/>
      <c r="M82" s="18"/>
      <c r="N82" s="18"/>
      <c r="O82" s="18"/>
      <c r="P82" s="18"/>
    </row>
    <row r="83" spans="1:16" x14ac:dyDescent="0.25">
      <c r="A83" s="18" t="s">
        <v>113</v>
      </c>
      <c r="B83" s="18">
        <v>20</v>
      </c>
      <c r="C83" s="18">
        <v>0</v>
      </c>
      <c r="D83" s="18">
        <f t="shared" si="47"/>
        <v>4.3</v>
      </c>
      <c r="E83" s="18">
        <v>86</v>
      </c>
      <c r="F83" s="18">
        <f t="shared" si="48"/>
        <v>0</v>
      </c>
      <c r="G83" s="32">
        <v>2.4899799195977401</v>
      </c>
    </row>
    <row r="84" spans="1:16" x14ac:dyDescent="0.25">
      <c r="A84" s="18" t="s">
        <v>35</v>
      </c>
      <c r="B84" s="18">
        <v>142</v>
      </c>
      <c r="C84" s="18">
        <v>38</v>
      </c>
      <c r="D84" s="18">
        <f t="shared" si="47"/>
        <v>3.5422535211267605</v>
      </c>
      <c r="E84" s="18">
        <v>503</v>
      </c>
      <c r="F84" s="18">
        <f t="shared" si="48"/>
        <v>0.26760563380281688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52</v>
      </c>
      <c r="C85" s="18">
        <v>4</v>
      </c>
      <c r="D85" s="18">
        <f t="shared" si="47"/>
        <v>5.2115384615384617</v>
      </c>
      <c r="E85" s="18">
        <v>271</v>
      </c>
      <c r="F85" s="18">
        <f t="shared" si="48"/>
        <v>7.6923076923076927E-2</v>
      </c>
      <c r="G85" s="32">
        <v>2.4494897427831699</v>
      </c>
    </row>
    <row r="86" spans="1:16" x14ac:dyDescent="0.25">
      <c r="A86" s="18" t="s">
        <v>122</v>
      </c>
      <c r="B86" s="18">
        <v>82</v>
      </c>
      <c r="C86" s="18">
        <v>7</v>
      </c>
      <c r="D86" s="18">
        <f t="shared" si="47"/>
        <v>4.3292682926829267</v>
      </c>
      <c r="E86" s="18">
        <v>355</v>
      </c>
      <c r="F86" s="18">
        <f t="shared" si="48"/>
        <v>8.5365853658536592E-2</v>
      </c>
      <c r="G86" s="32">
        <v>1.6329931618554501</v>
      </c>
    </row>
    <row r="87" spans="1:16" x14ac:dyDescent="0.25">
      <c r="A87" s="18" t="s">
        <v>49</v>
      </c>
      <c r="B87" s="18">
        <v>97</v>
      </c>
      <c r="C87" s="18">
        <v>7</v>
      </c>
      <c r="D87" s="18">
        <f t="shared" si="47"/>
        <v>5.2474226804123711</v>
      </c>
      <c r="E87" s="18">
        <v>509</v>
      </c>
      <c r="F87" s="18">
        <f t="shared" si="48"/>
        <v>7.2164948453608241E-2</v>
      </c>
      <c r="G87" s="32">
        <v>2.79455252402308</v>
      </c>
    </row>
    <row r="88" spans="1:16" x14ac:dyDescent="0.25">
      <c r="A88" s="18" t="s">
        <v>3</v>
      </c>
      <c r="B88" s="18">
        <v>41</v>
      </c>
      <c r="C88" s="18">
        <v>6</v>
      </c>
      <c r="D88" s="18">
        <f t="shared" si="47"/>
        <v>4.0487804878048781</v>
      </c>
      <c r="E88" s="18">
        <v>166</v>
      </c>
      <c r="F88" s="18">
        <f t="shared" si="48"/>
        <v>0.14634146341463414</v>
      </c>
      <c r="G88" s="32">
        <v>2.3731557327466102</v>
      </c>
    </row>
    <row r="89" spans="1:16" x14ac:dyDescent="0.25">
      <c r="A89" t="s">
        <v>230</v>
      </c>
      <c r="B89">
        <v>16</v>
      </c>
      <c r="C89">
        <v>1</v>
      </c>
      <c r="D89">
        <f t="shared" si="47"/>
        <v>5.3125</v>
      </c>
      <c r="E89">
        <v>85</v>
      </c>
      <c r="F89">
        <f t="shared" si="48"/>
        <v>6.25E-2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7"/>
        <v>4.1428571428571432</v>
      </c>
      <c r="E90" s="18">
        <v>116</v>
      </c>
      <c r="F90" s="18">
        <f t="shared" si="48"/>
        <v>0.17857142857142858</v>
      </c>
      <c r="G90" s="32">
        <v>2.5876449587894599</v>
      </c>
    </row>
    <row r="91" spans="1:16" x14ac:dyDescent="0.25">
      <c r="A91" t="s">
        <v>124</v>
      </c>
      <c r="B91">
        <v>11</v>
      </c>
      <c r="C91">
        <v>0</v>
      </c>
      <c r="D91">
        <f t="shared" si="47"/>
        <v>5.4545454545454541</v>
      </c>
      <c r="E91">
        <v>60</v>
      </c>
      <c r="F91">
        <f t="shared" si="48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3">E96/B96</f>
        <v>6</v>
      </c>
      <c r="E96">
        <v>42</v>
      </c>
      <c r="F96">
        <f t="shared" ref="F96:F97" si="54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3"/>
        <v>5.8461538461538458</v>
      </c>
      <c r="E97" s="18">
        <v>76</v>
      </c>
      <c r="F97" s="18">
        <f t="shared" si="54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48576"/>
  <sheetViews>
    <sheetView topLeftCell="K1" zoomScale="80" zoomScaleNormal="80" workbookViewId="0">
      <selection activeCell="Y33" sqref="Y33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  <col min="17" max="17" width="22.140625" bestFit="1" customWidth="1"/>
    <col min="18" max="18" width="7.42578125" customWidth="1"/>
    <col min="19" max="19" width="8.7109375" bestFit="1" customWidth="1"/>
    <col min="20" max="21" width="13" bestFit="1" customWidth="1"/>
  </cols>
  <sheetData>
    <row r="1" spans="1:31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  <c r="Q1" s="4" t="s">
        <v>42</v>
      </c>
      <c r="R1" s="4" t="s">
        <v>38</v>
      </c>
      <c r="S1" s="4" t="s">
        <v>39</v>
      </c>
      <c r="T1" s="4" t="s">
        <v>40</v>
      </c>
      <c r="U1" s="4" t="s">
        <v>111</v>
      </c>
      <c r="Z1" s="4" t="s">
        <v>42</v>
      </c>
      <c r="AA1" s="4" t="s">
        <v>38</v>
      </c>
      <c r="AB1" s="4" t="s">
        <v>39</v>
      </c>
      <c r="AC1" s="4" t="s">
        <v>40</v>
      </c>
      <c r="AE1" s="4" t="s">
        <v>111</v>
      </c>
    </row>
    <row r="2" spans="1:31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  <c r="Q2" s="18" t="s">
        <v>128</v>
      </c>
      <c r="R2" s="18">
        <v>90</v>
      </c>
      <c r="S2" s="18">
        <v>28</v>
      </c>
      <c r="T2" s="18">
        <f t="shared" ref="T2:T33" si="4">W2/R2</f>
        <v>3.0555555555555554</v>
      </c>
      <c r="U2" s="18">
        <f t="shared" ref="U2:U33" si="5">S2/R2</f>
        <v>0.31111111111111112</v>
      </c>
      <c r="W2" s="18">
        <v>275</v>
      </c>
      <c r="Y2">
        <f>ROW(Y2)-1</f>
        <v>1</v>
      </c>
      <c r="Z2" s="18" t="s">
        <v>128</v>
      </c>
      <c r="AA2" s="18">
        <v>92</v>
      </c>
      <c r="AB2" s="18">
        <v>28</v>
      </c>
      <c r="AC2" s="18">
        <f t="shared" ref="AC2:AC33" si="6">AD2/AA2</f>
        <v>3.1413043478260869</v>
      </c>
      <c r="AD2" s="18">
        <v>289</v>
      </c>
      <c r="AE2" s="18">
        <f t="shared" ref="AE2:AE33" si="7">AB2/AA2</f>
        <v>0.30434782608695654</v>
      </c>
    </row>
    <row r="3" spans="1:31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  <c r="Q3" s="59" t="s">
        <v>175</v>
      </c>
      <c r="R3" s="59">
        <v>33</v>
      </c>
      <c r="S3" s="59">
        <v>8</v>
      </c>
      <c r="T3" s="59">
        <f t="shared" si="4"/>
        <v>3.2424242424242422</v>
      </c>
      <c r="U3" s="59">
        <f t="shared" si="5"/>
        <v>0.24242424242424243</v>
      </c>
      <c r="W3" s="18">
        <v>107</v>
      </c>
      <c r="Y3">
        <f t="shared" ref="Y3:Y66" si="8">ROW(Y3)-1</f>
        <v>2</v>
      </c>
      <c r="Z3" s="18" t="s">
        <v>175</v>
      </c>
      <c r="AA3" s="18">
        <v>34</v>
      </c>
      <c r="AB3" s="18">
        <v>8</v>
      </c>
      <c r="AC3" s="18">
        <f t="shared" si="6"/>
        <v>3.2058823529411766</v>
      </c>
      <c r="AD3" s="18">
        <v>109</v>
      </c>
      <c r="AE3" s="18">
        <f t="shared" si="7"/>
        <v>0.23529411764705882</v>
      </c>
    </row>
    <row r="4" spans="1:31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  <c r="Q4" s="59" t="s">
        <v>35</v>
      </c>
      <c r="R4" s="59">
        <v>137</v>
      </c>
      <c r="S4" s="59">
        <v>37</v>
      </c>
      <c r="T4" s="59">
        <f t="shared" si="4"/>
        <v>3.5839416058394162</v>
      </c>
      <c r="U4" s="59">
        <f t="shared" si="5"/>
        <v>0.27007299270072993</v>
      </c>
      <c r="W4" s="18">
        <v>491</v>
      </c>
      <c r="Y4">
        <f t="shared" si="8"/>
        <v>3</v>
      </c>
      <c r="Z4" s="18" t="s">
        <v>35</v>
      </c>
      <c r="AA4" s="18">
        <v>141</v>
      </c>
      <c r="AB4" s="18">
        <v>38</v>
      </c>
      <c r="AC4" s="18">
        <f t="shared" si="6"/>
        <v>3.5531914893617023</v>
      </c>
      <c r="AD4" s="18">
        <v>501</v>
      </c>
      <c r="AE4" s="18">
        <f t="shared" si="7"/>
        <v>0.26950354609929078</v>
      </c>
    </row>
    <row r="5" spans="1:31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  <c r="Q5" s="59" t="s">
        <v>52</v>
      </c>
      <c r="R5" s="59">
        <v>22</v>
      </c>
      <c r="S5" s="59">
        <v>2</v>
      </c>
      <c r="T5" s="59">
        <f t="shared" si="4"/>
        <v>3.6363636363636362</v>
      </c>
      <c r="U5" s="59">
        <f t="shared" si="5"/>
        <v>9.0909090909090912E-2</v>
      </c>
      <c r="V5" s="2" t="s">
        <v>44</v>
      </c>
      <c r="W5" s="18">
        <v>80</v>
      </c>
      <c r="Y5">
        <f t="shared" si="8"/>
        <v>4</v>
      </c>
      <c r="Z5" s="18" t="s">
        <v>52</v>
      </c>
      <c r="AA5" s="18">
        <v>22</v>
      </c>
      <c r="AB5" s="18">
        <v>2</v>
      </c>
      <c r="AC5" s="18">
        <f t="shared" si="6"/>
        <v>3.6363636363636362</v>
      </c>
      <c r="AD5" s="18">
        <v>80</v>
      </c>
      <c r="AE5" s="18">
        <f t="shared" si="7"/>
        <v>9.0909090909090912E-2</v>
      </c>
    </row>
    <row r="6" spans="1:31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  <c r="Q6" s="59" t="s">
        <v>148</v>
      </c>
      <c r="R6" s="59">
        <v>37</v>
      </c>
      <c r="S6" s="59">
        <v>8</v>
      </c>
      <c r="T6" s="59">
        <f t="shared" si="4"/>
        <v>3.7297297297297298</v>
      </c>
      <c r="U6" s="59">
        <f t="shared" si="5"/>
        <v>0.21621621621621623</v>
      </c>
      <c r="V6" s="2" t="s">
        <v>44</v>
      </c>
      <c r="W6" s="18">
        <v>138</v>
      </c>
      <c r="Y6">
        <f t="shared" si="8"/>
        <v>5</v>
      </c>
      <c r="Z6" s="18" t="s">
        <v>147</v>
      </c>
      <c r="AA6" s="18">
        <v>102</v>
      </c>
      <c r="AB6" s="18">
        <v>19</v>
      </c>
      <c r="AC6" s="18">
        <f t="shared" si="6"/>
        <v>3.6960784313725492</v>
      </c>
      <c r="AD6" s="18">
        <v>377</v>
      </c>
      <c r="AE6" s="18">
        <f t="shared" si="7"/>
        <v>0.18627450980392157</v>
      </c>
    </row>
    <row r="7" spans="1:31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  <c r="Q7" s="59" t="s">
        <v>147</v>
      </c>
      <c r="R7" s="59">
        <v>98</v>
      </c>
      <c r="S7" s="59">
        <v>18</v>
      </c>
      <c r="T7" s="59">
        <f t="shared" si="4"/>
        <v>3.7346938775510203</v>
      </c>
      <c r="U7" s="59">
        <f t="shared" si="5"/>
        <v>0.18367346938775511</v>
      </c>
      <c r="V7" s="3" t="s">
        <v>45</v>
      </c>
      <c r="W7" s="18">
        <v>366</v>
      </c>
      <c r="Y7">
        <f t="shared" si="8"/>
        <v>6</v>
      </c>
      <c r="Z7" s="18" t="s">
        <v>148</v>
      </c>
      <c r="AA7" s="18">
        <v>39</v>
      </c>
      <c r="AB7" s="18">
        <v>8</v>
      </c>
      <c r="AC7" s="18">
        <f t="shared" si="6"/>
        <v>3.7435897435897436</v>
      </c>
      <c r="AD7" s="18">
        <v>146</v>
      </c>
      <c r="AE7" s="18">
        <f t="shared" si="7"/>
        <v>0.20512820512820512</v>
      </c>
    </row>
    <row r="8" spans="1:31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  <c r="Q8" s="59" t="s">
        <v>10</v>
      </c>
      <c r="R8" s="59">
        <v>66</v>
      </c>
      <c r="S8" s="59">
        <v>13</v>
      </c>
      <c r="T8" s="59">
        <f t="shared" si="4"/>
        <v>3.8787878787878789</v>
      </c>
      <c r="U8" s="59">
        <f t="shared" si="5"/>
        <v>0.19696969696969696</v>
      </c>
      <c r="V8" s="2" t="s">
        <v>44</v>
      </c>
      <c r="W8" s="18">
        <v>256</v>
      </c>
      <c r="Y8">
        <f t="shared" si="8"/>
        <v>7</v>
      </c>
      <c r="Z8" s="18" t="s">
        <v>10</v>
      </c>
      <c r="AA8" s="18">
        <v>66</v>
      </c>
      <c r="AB8" s="18">
        <v>13</v>
      </c>
      <c r="AC8" s="18">
        <f t="shared" si="6"/>
        <v>3.8787878787878789</v>
      </c>
      <c r="AD8" s="18">
        <v>256</v>
      </c>
      <c r="AE8" s="18">
        <f t="shared" si="7"/>
        <v>0.19696969696969696</v>
      </c>
    </row>
    <row r="9" spans="1:31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  <c r="Q9" s="59" t="s">
        <v>29</v>
      </c>
      <c r="R9" s="59">
        <v>102</v>
      </c>
      <c r="S9" s="59">
        <v>15</v>
      </c>
      <c r="T9" s="59">
        <f t="shared" si="4"/>
        <v>3.892156862745098</v>
      </c>
      <c r="U9" s="59">
        <f t="shared" si="5"/>
        <v>0.14705882352941177</v>
      </c>
      <c r="V9" s="3" t="s">
        <v>46</v>
      </c>
      <c r="W9" s="18">
        <v>397</v>
      </c>
      <c r="Y9">
        <f t="shared" si="8"/>
        <v>8</v>
      </c>
      <c r="Z9" s="18" t="s">
        <v>29</v>
      </c>
      <c r="AA9" s="18">
        <v>103</v>
      </c>
      <c r="AB9" s="18">
        <v>15</v>
      </c>
      <c r="AC9" s="18">
        <f t="shared" si="6"/>
        <v>3.883495145631068</v>
      </c>
      <c r="AD9" s="18">
        <v>400</v>
      </c>
      <c r="AE9" s="18">
        <f t="shared" si="7"/>
        <v>0.14563106796116504</v>
      </c>
    </row>
    <row r="10" spans="1:31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  <c r="Q10" s="59" t="s">
        <v>121</v>
      </c>
      <c r="R10" s="59">
        <v>78</v>
      </c>
      <c r="S10" s="59">
        <v>18</v>
      </c>
      <c r="T10" s="59">
        <f t="shared" si="4"/>
        <v>3.9230769230769229</v>
      </c>
      <c r="U10" s="59">
        <f t="shared" si="5"/>
        <v>0.23076923076923078</v>
      </c>
      <c r="V10" s="2" t="s">
        <v>44</v>
      </c>
      <c r="W10" s="18">
        <v>306</v>
      </c>
      <c r="Y10">
        <f t="shared" si="8"/>
        <v>9</v>
      </c>
      <c r="Z10" s="18" t="s">
        <v>121</v>
      </c>
      <c r="AA10" s="18">
        <v>79</v>
      </c>
      <c r="AB10" s="18">
        <v>18</v>
      </c>
      <c r="AC10" s="18">
        <f t="shared" si="6"/>
        <v>3.8987341772151898</v>
      </c>
      <c r="AD10" s="18">
        <v>308</v>
      </c>
      <c r="AE10" s="18">
        <f t="shared" si="7"/>
        <v>0.22784810126582278</v>
      </c>
    </row>
    <row r="11" spans="1:31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  <c r="Q11" s="59" t="s">
        <v>232</v>
      </c>
      <c r="R11" s="59">
        <v>72</v>
      </c>
      <c r="S11" s="59">
        <v>14</v>
      </c>
      <c r="T11" s="59">
        <f t="shared" si="4"/>
        <v>3.9305555555555554</v>
      </c>
      <c r="U11" s="59">
        <f t="shared" si="5"/>
        <v>0.19444444444444445</v>
      </c>
      <c r="V11" s="3" t="s">
        <v>46</v>
      </c>
      <c r="W11" s="18">
        <v>283</v>
      </c>
      <c r="Y11">
        <f t="shared" si="8"/>
        <v>10</v>
      </c>
      <c r="Z11" s="18" t="s">
        <v>232</v>
      </c>
      <c r="AA11" s="18">
        <v>78</v>
      </c>
      <c r="AB11" s="18">
        <v>15</v>
      </c>
      <c r="AC11" s="18">
        <f t="shared" si="6"/>
        <v>3.9871794871794872</v>
      </c>
      <c r="AD11" s="18">
        <v>311</v>
      </c>
      <c r="AE11" s="18">
        <f t="shared" si="7"/>
        <v>0.19230769230769232</v>
      </c>
    </row>
    <row r="12" spans="1:31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  <c r="Q12" s="41" t="s">
        <v>125</v>
      </c>
      <c r="R12" s="41">
        <v>21</v>
      </c>
      <c r="S12" s="41">
        <v>1</v>
      </c>
      <c r="T12" s="41">
        <f t="shared" si="4"/>
        <v>4</v>
      </c>
      <c r="U12" s="41">
        <f t="shared" si="5"/>
        <v>4.7619047619047616E-2</v>
      </c>
      <c r="V12" s="3"/>
      <c r="W12" s="18">
        <v>84</v>
      </c>
      <c r="Y12">
        <f t="shared" si="8"/>
        <v>11</v>
      </c>
      <c r="Z12" s="18" t="s">
        <v>125</v>
      </c>
      <c r="AA12" s="18">
        <v>21</v>
      </c>
      <c r="AB12" s="18">
        <v>1</v>
      </c>
      <c r="AC12" s="18">
        <f t="shared" si="6"/>
        <v>4</v>
      </c>
      <c r="AD12" s="18">
        <v>84</v>
      </c>
      <c r="AE12" s="18">
        <f t="shared" si="7"/>
        <v>4.7619047619047616E-2</v>
      </c>
    </row>
    <row r="13" spans="1:31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  <c r="Q13" s="41" t="s">
        <v>3</v>
      </c>
      <c r="R13" s="41">
        <v>41</v>
      </c>
      <c r="S13" s="41">
        <v>6</v>
      </c>
      <c r="T13" s="41">
        <f t="shared" si="4"/>
        <v>4.0487804878048781</v>
      </c>
      <c r="U13" s="41">
        <f t="shared" si="5"/>
        <v>0.14634146341463414</v>
      </c>
      <c r="V13" s="2" t="s">
        <v>47</v>
      </c>
      <c r="W13" s="18">
        <v>166</v>
      </c>
      <c r="Y13">
        <f t="shared" si="8"/>
        <v>12</v>
      </c>
      <c r="Z13" s="18" t="s">
        <v>3</v>
      </c>
      <c r="AA13" s="18">
        <v>41</v>
      </c>
      <c r="AB13" s="18">
        <v>6</v>
      </c>
      <c r="AC13" s="18">
        <f t="shared" si="6"/>
        <v>4.0487804878048781</v>
      </c>
      <c r="AD13" s="18">
        <v>166</v>
      </c>
      <c r="AE13" s="18">
        <f t="shared" si="7"/>
        <v>0.14634146341463414</v>
      </c>
    </row>
    <row r="14" spans="1:31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  <c r="Q14" s="41" t="s">
        <v>116</v>
      </c>
      <c r="R14" s="41">
        <v>20</v>
      </c>
      <c r="S14" s="41">
        <v>4</v>
      </c>
      <c r="T14" s="41">
        <f t="shared" si="4"/>
        <v>4.05</v>
      </c>
      <c r="U14" s="41">
        <f t="shared" si="5"/>
        <v>0.2</v>
      </c>
      <c r="V14" s="3" t="s">
        <v>46</v>
      </c>
      <c r="W14" s="18">
        <v>81</v>
      </c>
      <c r="Y14">
        <f t="shared" si="8"/>
        <v>13</v>
      </c>
      <c r="Z14" s="18" t="s">
        <v>116</v>
      </c>
      <c r="AA14" s="18">
        <v>20</v>
      </c>
      <c r="AB14" s="18">
        <v>4</v>
      </c>
      <c r="AC14" s="18">
        <f t="shared" si="6"/>
        <v>4.05</v>
      </c>
      <c r="AD14" s="18">
        <v>81</v>
      </c>
      <c r="AE14" s="18">
        <f t="shared" si="7"/>
        <v>0.2</v>
      </c>
    </row>
    <row r="15" spans="1:31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  <c r="Q15" s="41" t="s">
        <v>7</v>
      </c>
      <c r="R15" s="41">
        <v>20</v>
      </c>
      <c r="S15" s="41">
        <v>4</v>
      </c>
      <c r="T15" s="41">
        <f t="shared" si="4"/>
        <v>4.0999999999999996</v>
      </c>
      <c r="U15" s="41">
        <f t="shared" si="5"/>
        <v>0.2</v>
      </c>
      <c r="V15" s="3" t="s">
        <v>46</v>
      </c>
      <c r="W15" s="18">
        <v>82</v>
      </c>
      <c r="Y15">
        <f t="shared" si="8"/>
        <v>14</v>
      </c>
      <c r="Z15" s="18" t="s">
        <v>7</v>
      </c>
      <c r="AA15" s="18">
        <v>20</v>
      </c>
      <c r="AB15" s="18">
        <v>4</v>
      </c>
      <c r="AC15" s="18">
        <f t="shared" si="6"/>
        <v>4.0999999999999996</v>
      </c>
      <c r="AD15" s="18">
        <v>82</v>
      </c>
      <c r="AE15" s="18">
        <f t="shared" si="7"/>
        <v>0.2</v>
      </c>
    </row>
    <row r="16" spans="1:31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  <c r="Q16" s="41" t="s">
        <v>2</v>
      </c>
      <c r="R16" s="41">
        <v>28</v>
      </c>
      <c r="S16" s="41">
        <v>5</v>
      </c>
      <c r="T16" s="41">
        <f t="shared" si="4"/>
        <v>4.1428571428571432</v>
      </c>
      <c r="U16" s="41">
        <f t="shared" si="5"/>
        <v>0.17857142857142858</v>
      </c>
      <c r="W16">
        <v>116</v>
      </c>
      <c r="Y16">
        <f t="shared" si="8"/>
        <v>15</v>
      </c>
      <c r="Z16" s="18" t="s">
        <v>22</v>
      </c>
      <c r="AA16" s="18">
        <v>176</v>
      </c>
      <c r="AB16" s="18">
        <v>28</v>
      </c>
      <c r="AC16" s="18">
        <f t="shared" si="6"/>
        <v>4.1420454545454541</v>
      </c>
      <c r="AD16" s="18">
        <v>729</v>
      </c>
      <c r="AE16" s="18">
        <f t="shared" si="7"/>
        <v>0.15909090909090909</v>
      </c>
    </row>
    <row r="17" spans="1:31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  <c r="Q17" s="41" t="s">
        <v>58</v>
      </c>
      <c r="R17" s="41">
        <v>20</v>
      </c>
      <c r="S17" s="41">
        <v>3</v>
      </c>
      <c r="T17" s="41">
        <f t="shared" si="4"/>
        <v>4.1500000000000004</v>
      </c>
      <c r="U17" s="41">
        <f t="shared" si="5"/>
        <v>0.15</v>
      </c>
      <c r="W17" s="18">
        <v>83</v>
      </c>
      <c r="Y17">
        <f t="shared" si="8"/>
        <v>16</v>
      </c>
      <c r="Z17" t="s">
        <v>2</v>
      </c>
      <c r="AA17">
        <v>28</v>
      </c>
      <c r="AB17">
        <v>5</v>
      </c>
      <c r="AC17">
        <f t="shared" si="6"/>
        <v>4.1428571428571432</v>
      </c>
      <c r="AD17">
        <v>116</v>
      </c>
      <c r="AE17">
        <f t="shared" si="7"/>
        <v>0.17857142857142858</v>
      </c>
    </row>
    <row r="18" spans="1:31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  <c r="Q18" s="41" t="s">
        <v>9</v>
      </c>
      <c r="R18" s="41">
        <v>20</v>
      </c>
      <c r="S18" s="41">
        <v>2</v>
      </c>
      <c r="T18" s="41">
        <f t="shared" si="4"/>
        <v>4.1500000000000004</v>
      </c>
      <c r="U18" s="41">
        <f t="shared" si="5"/>
        <v>0.1</v>
      </c>
      <c r="W18" s="18">
        <v>83</v>
      </c>
      <c r="Y18">
        <f t="shared" si="8"/>
        <v>17</v>
      </c>
      <c r="Z18" s="18" t="s">
        <v>58</v>
      </c>
      <c r="AA18" s="18">
        <v>20</v>
      </c>
      <c r="AB18" s="18">
        <v>3</v>
      </c>
      <c r="AC18" s="18">
        <f t="shared" si="6"/>
        <v>4.1500000000000004</v>
      </c>
      <c r="AD18" s="18">
        <v>83</v>
      </c>
      <c r="AE18" s="18">
        <f t="shared" si="7"/>
        <v>0.15</v>
      </c>
    </row>
    <row r="19" spans="1:31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  <c r="Q19" s="41" t="s">
        <v>0</v>
      </c>
      <c r="R19" s="41">
        <v>84</v>
      </c>
      <c r="S19" s="41">
        <v>14</v>
      </c>
      <c r="T19" s="41">
        <f t="shared" si="4"/>
        <v>4.1547619047619051</v>
      </c>
      <c r="U19" s="41">
        <f t="shared" si="5"/>
        <v>0.16666666666666666</v>
      </c>
      <c r="W19" s="18">
        <v>349</v>
      </c>
      <c r="Y19">
        <f t="shared" si="8"/>
        <v>18</v>
      </c>
      <c r="Z19" s="18" t="s">
        <v>9</v>
      </c>
      <c r="AA19" s="18">
        <v>20</v>
      </c>
      <c r="AB19" s="18">
        <v>2</v>
      </c>
      <c r="AC19" s="18">
        <f t="shared" si="6"/>
        <v>4.1500000000000004</v>
      </c>
      <c r="AD19" s="18">
        <v>83</v>
      </c>
      <c r="AE19" s="18">
        <f t="shared" si="7"/>
        <v>0.1</v>
      </c>
    </row>
    <row r="20" spans="1:31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  <c r="Q20" s="41" t="s">
        <v>22</v>
      </c>
      <c r="R20" s="41">
        <v>175</v>
      </c>
      <c r="S20" s="41">
        <v>27</v>
      </c>
      <c r="T20" s="41">
        <f t="shared" si="4"/>
        <v>4.16</v>
      </c>
      <c r="U20" s="41">
        <f t="shared" si="5"/>
        <v>0.15428571428571428</v>
      </c>
      <c r="W20" s="18">
        <v>728</v>
      </c>
      <c r="Y20">
        <f t="shared" si="8"/>
        <v>19</v>
      </c>
      <c r="Z20" s="18" t="s">
        <v>0</v>
      </c>
      <c r="AA20" s="18">
        <v>84</v>
      </c>
      <c r="AB20" s="18">
        <v>14</v>
      </c>
      <c r="AC20" s="18">
        <f t="shared" si="6"/>
        <v>4.1547619047619051</v>
      </c>
      <c r="AD20" s="18">
        <v>349</v>
      </c>
      <c r="AE20" s="18">
        <f t="shared" si="7"/>
        <v>0.16666666666666666</v>
      </c>
    </row>
    <row r="21" spans="1:3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  <c r="Q21" s="41" t="s">
        <v>112</v>
      </c>
      <c r="R21" s="41">
        <v>26</v>
      </c>
      <c r="S21" s="41">
        <v>5</v>
      </c>
      <c r="T21" s="41">
        <f t="shared" si="4"/>
        <v>4.2307692307692308</v>
      </c>
      <c r="U21" s="41">
        <f t="shared" si="5"/>
        <v>0.19230769230769232</v>
      </c>
      <c r="V21" s="2"/>
      <c r="W21" s="18">
        <v>110</v>
      </c>
      <c r="Y21">
        <f t="shared" si="8"/>
        <v>20</v>
      </c>
      <c r="Z21" s="18" t="s">
        <v>112</v>
      </c>
      <c r="AA21" s="18">
        <v>26</v>
      </c>
      <c r="AB21" s="18">
        <v>5</v>
      </c>
      <c r="AC21" s="18">
        <f t="shared" si="6"/>
        <v>4.2307692307692308</v>
      </c>
      <c r="AD21" s="18">
        <v>110</v>
      </c>
      <c r="AE21" s="18">
        <f t="shared" si="7"/>
        <v>0.19230769230769232</v>
      </c>
    </row>
    <row r="22" spans="1:3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  <c r="Q22" s="41" t="s">
        <v>63</v>
      </c>
      <c r="R22" s="41">
        <v>21</v>
      </c>
      <c r="S22" s="41">
        <v>3</v>
      </c>
      <c r="T22" s="41">
        <f t="shared" si="4"/>
        <v>4.2380952380952381</v>
      </c>
      <c r="U22" s="41">
        <f t="shared" si="5"/>
        <v>0.14285714285714285</v>
      </c>
      <c r="V22" s="2" t="s">
        <v>44</v>
      </c>
      <c r="W22" s="18">
        <v>89</v>
      </c>
      <c r="Y22">
        <f t="shared" si="8"/>
        <v>21</v>
      </c>
      <c r="Z22" s="18" t="s">
        <v>63</v>
      </c>
      <c r="AA22" s="18">
        <v>21</v>
      </c>
      <c r="AB22" s="18">
        <v>3</v>
      </c>
      <c r="AC22" s="18">
        <f t="shared" si="6"/>
        <v>4.2380952380952381</v>
      </c>
      <c r="AD22" s="18">
        <v>89</v>
      </c>
      <c r="AE22" s="18">
        <f t="shared" si="7"/>
        <v>0.14285714285714285</v>
      </c>
    </row>
    <row r="23" spans="1:3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  <c r="Q23" s="41" t="s">
        <v>104</v>
      </c>
      <c r="R23" s="41">
        <v>84</v>
      </c>
      <c r="S23" s="41">
        <v>5</v>
      </c>
      <c r="T23" s="41">
        <f t="shared" si="4"/>
        <v>4.25</v>
      </c>
      <c r="U23" s="41">
        <f t="shared" si="5"/>
        <v>5.9523809523809521E-2</v>
      </c>
      <c r="V23" s="2" t="s">
        <v>44</v>
      </c>
      <c r="W23" s="18">
        <v>357</v>
      </c>
      <c r="Y23">
        <f t="shared" si="8"/>
        <v>22</v>
      </c>
      <c r="Z23" s="18" t="s">
        <v>104</v>
      </c>
      <c r="AA23" s="18">
        <v>84</v>
      </c>
      <c r="AB23" s="18">
        <v>5</v>
      </c>
      <c r="AC23" s="18">
        <f t="shared" si="6"/>
        <v>4.25</v>
      </c>
      <c r="AD23" s="18">
        <v>357</v>
      </c>
      <c r="AE23" s="18">
        <f t="shared" si="7"/>
        <v>5.9523809523809521E-2</v>
      </c>
    </row>
    <row r="24" spans="1:31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  <c r="Q24" s="41" t="s">
        <v>50</v>
      </c>
      <c r="R24" s="41">
        <v>20</v>
      </c>
      <c r="S24" s="41">
        <v>1</v>
      </c>
      <c r="T24" s="41">
        <f t="shared" si="4"/>
        <v>4.25</v>
      </c>
      <c r="U24" s="41">
        <f t="shared" si="5"/>
        <v>0.05</v>
      </c>
      <c r="V24" s="2" t="s">
        <v>44</v>
      </c>
      <c r="W24" s="18">
        <v>85</v>
      </c>
      <c r="Y24">
        <f t="shared" si="8"/>
        <v>23</v>
      </c>
      <c r="Z24" s="18" t="s">
        <v>50</v>
      </c>
      <c r="AA24" s="18">
        <v>20</v>
      </c>
      <c r="AB24" s="18">
        <v>1</v>
      </c>
      <c r="AC24" s="18">
        <f t="shared" si="6"/>
        <v>4.25</v>
      </c>
      <c r="AD24" s="18">
        <v>85</v>
      </c>
      <c r="AE24" s="18">
        <f t="shared" si="7"/>
        <v>0.05</v>
      </c>
    </row>
    <row r="25" spans="1:31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  <c r="Q25" s="41" t="s">
        <v>122</v>
      </c>
      <c r="R25" s="41">
        <v>75</v>
      </c>
      <c r="S25" s="41">
        <v>7</v>
      </c>
      <c r="T25" s="41">
        <f t="shared" si="4"/>
        <v>4.253333333333333</v>
      </c>
      <c r="U25" s="41">
        <f t="shared" si="5"/>
        <v>9.3333333333333338E-2</v>
      </c>
      <c r="V25" s="3" t="s">
        <v>54</v>
      </c>
      <c r="W25" s="18">
        <v>319</v>
      </c>
      <c r="Y25">
        <f t="shared" si="8"/>
        <v>24</v>
      </c>
      <c r="Z25" s="18" t="s">
        <v>139</v>
      </c>
      <c r="AA25" s="18">
        <v>20</v>
      </c>
      <c r="AB25" s="18">
        <v>2</v>
      </c>
      <c r="AC25" s="18">
        <f t="shared" si="6"/>
        <v>4.3</v>
      </c>
      <c r="AD25" s="18">
        <v>86</v>
      </c>
      <c r="AE25" s="18">
        <f t="shared" si="7"/>
        <v>0.1</v>
      </c>
    </row>
    <row r="26" spans="1:3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  <c r="Q26" s="41" t="s">
        <v>139</v>
      </c>
      <c r="R26" s="41">
        <v>20</v>
      </c>
      <c r="S26" s="41">
        <v>2</v>
      </c>
      <c r="T26" s="41">
        <f t="shared" si="4"/>
        <v>4.3</v>
      </c>
      <c r="U26" s="41">
        <f t="shared" si="5"/>
        <v>0.1</v>
      </c>
      <c r="W26" s="18">
        <v>86</v>
      </c>
      <c r="Y26">
        <f t="shared" si="8"/>
        <v>25</v>
      </c>
      <c r="Z26" s="18" t="s">
        <v>122</v>
      </c>
      <c r="AA26" s="18">
        <v>80</v>
      </c>
      <c r="AB26" s="18">
        <v>7</v>
      </c>
      <c r="AC26" s="18">
        <f t="shared" si="6"/>
        <v>4.3375000000000004</v>
      </c>
      <c r="AD26" s="18">
        <v>347</v>
      </c>
      <c r="AE26" s="18">
        <f t="shared" si="7"/>
        <v>8.7499999999999994E-2</v>
      </c>
    </row>
    <row r="27" spans="1:31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  <c r="Q27" s="41" t="s">
        <v>115</v>
      </c>
      <c r="R27" s="41">
        <v>39</v>
      </c>
      <c r="S27" s="41">
        <v>3</v>
      </c>
      <c r="T27" s="41">
        <f t="shared" si="4"/>
        <v>4.384615384615385</v>
      </c>
      <c r="U27" s="41">
        <f t="shared" si="5"/>
        <v>7.6923076923076927E-2</v>
      </c>
      <c r="W27" s="18">
        <v>171</v>
      </c>
      <c r="Y27">
        <f t="shared" si="8"/>
        <v>26</v>
      </c>
      <c r="Z27" s="18" t="s">
        <v>115</v>
      </c>
      <c r="AA27" s="18">
        <v>39</v>
      </c>
      <c r="AB27" s="18">
        <v>3</v>
      </c>
      <c r="AC27" s="18">
        <f t="shared" si="6"/>
        <v>4.384615384615385</v>
      </c>
      <c r="AD27" s="18">
        <v>171</v>
      </c>
      <c r="AE27" s="18">
        <f t="shared" si="7"/>
        <v>7.6923076923076927E-2</v>
      </c>
    </row>
    <row r="28" spans="1:31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  <c r="Q28" s="32" t="s">
        <v>21</v>
      </c>
      <c r="R28" s="32">
        <v>131</v>
      </c>
      <c r="S28" s="32">
        <v>18</v>
      </c>
      <c r="T28" s="32">
        <f t="shared" si="4"/>
        <v>4.4274809160305342</v>
      </c>
      <c r="U28" s="32">
        <f t="shared" si="5"/>
        <v>0.13740458015267176</v>
      </c>
      <c r="W28" s="18">
        <v>580</v>
      </c>
      <c r="Y28">
        <f t="shared" si="8"/>
        <v>27</v>
      </c>
      <c r="Z28" s="18" t="s">
        <v>21</v>
      </c>
      <c r="AA28" s="18">
        <v>135</v>
      </c>
      <c r="AB28" s="18">
        <v>20</v>
      </c>
      <c r="AC28" s="18">
        <f t="shared" si="6"/>
        <v>4.3925925925925924</v>
      </c>
      <c r="AD28" s="18">
        <v>593</v>
      </c>
      <c r="AE28" s="18">
        <f t="shared" si="7"/>
        <v>0.14814814814814814</v>
      </c>
    </row>
    <row r="29" spans="1:31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  <c r="Q29" s="32" t="s">
        <v>123</v>
      </c>
      <c r="R29" s="32">
        <v>30</v>
      </c>
      <c r="S29" s="32">
        <v>4</v>
      </c>
      <c r="T29" s="32">
        <f t="shared" si="4"/>
        <v>4.4333333333333336</v>
      </c>
      <c r="U29" s="32">
        <f t="shared" si="5"/>
        <v>0.13333333333333333</v>
      </c>
      <c r="W29" s="18">
        <v>133</v>
      </c>
      <c r="Y29">
        <f t="shared" si="8"/>
        <v>28</v>
      </c>
      <c r="Z29" s="18" t="s">
        <v>123</v>
      </c>
      <c r="AA29" s="18">
        <v>30</v>
      </c>
      <c r="AB29" s="18">
        <v>4</v>
      </c>
      <c r="AC29" s="18">
        <f t="shared" si="6"/>
        <v>4.4333333333333336</v>
      </c>
      <c r="AD29" s="18">
        <v>133</v>
      </c>
      <c r="AE29" s="18">
        <f t="shared" si="7"/>
        <v>0.13333333333333333</v>
      </c>
    </row>
    <row r="30" spans="1:31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  <c r="Q30" s="32" t="s">
        <v>27</v>
      </c>
      <c r="R30" s="32">
        <v>36</v>
      </c>
      <c r="S30" s="32">
        <v>3</v>
      </c>
      <c r="T30" s="32">
        <f t="shared" si="4"/>
        <v>4.4444444444444446</v>
      </c>
      <c r="U30" s="32">
        <f t="shared" si="5"/>
        <v>8.3333333333333329E-2</v>
      </c>
      <c r="W30" s="18">
        <v>160</v>
      </c>
      <c r="Y30">
        <f t="shared" si="8"/>
        <v>29</v>
      </c>
      <c r="Z30" s="18" t="s">
        <v>27</v>
      </c>
      <c r="AA30" s="18">
        <v>36</v>
      </c>
      <c r="AB30" s="18">
        <v>3</v>
      </c>
      <c r="AC30" s="18">
        <f t="shared" si="6"/>
        <v>4.4444444444444446</v>
      </c>
      <c r="AD30" s="18">
        <v>160</v>
      </c>
      <c r="AE30" s="18">
        <f t="shared" si="7"/>
        <v>8.3333333333333329E-2</v>
      </c>
    </row>
    <row r="31" spans="1:31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  <c r="Q31" s="32" t="s">
        <v>129</v>
      </c>
      <c r="R31" s="32">
        <v>40</v>
      </c>
      <c r="S31" s="32">
        <v>7</v>
      </c>
      <c r="T31" s="32">
        <f t="shared" si="4"/>
        <v>4.45</v>
      </c>
      <c r="U31" s="32">
        <f t="shared" si="5"/>
        <v>0.17499999999999999</v>
      </c>
      <c r="W31">
        <v>178</v>
      </c>
      <c r="Y31">
        <f t="shared" si="8"/>
        <v>30</v>
      </c>
      <c r="Z31" t="s">
        <v>129</v>
      </c>
      <c r="AA31">
        <v>40</v>
      </c>
      <c r="AB31">
        <v>7</v>
      </c>
      <c r="AC31">
        <f t="shared" si="6"/>
        <v>4.45</v>
      </c>
      <c r="AD31">
        <v>178</v>
      </c>
      <c r="AE31">
        <f t="shared" si="7"/>
        <v>0.17499999999999999</v>
      </c>
    </row>
    <row r="32" spans="1:31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  <c r="Q32" s="32" t="s">
        <v>8</v>
      </c>
      <c r="R32" s="32">
        <v>46</v>
      </c>
      <c r="S32" s="32">
        <v>5</v>
      </c>
      <c r="T32" s="32">
        <f t="shared" si="4"/>
        <v>4.4782608695652177</v>
      </c>
      <c r="U32" s="32">
        <f t="shared" si="5"/>
        <v>0.10869565217391304</v>
      </c>
      <c r="W32" s="18">
        <v>206</v>
      </c>
      <c r="Y32">
        <f t="shared" si="8"/>
        <v>31</v>
      </c>
      <c r="Z32" s="18" t="s">
        <v>8</v>
      </c>
      <c r="AA32" s="18">
        <v>46</v>
      </c>
      <c r="AB32" s="18">
        <v>5</v>
      </c>
      <c r="AC32" s="18">
        <f t="shared" si="6"/>
        <v>4.4782608695652177</v>
      </c>
      <c r="AD32" s="18">
        <v>206</v>
      </c>
      <c r="AE32" s="18">
        <f t="shared" si="7"/>
        <v>0.10869565217391304</v>
      </c>
    </row>
    <row r="33" spans="1:31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  <c r="Q33" s="32" t="s">
        <v>15</v>
      </c>
      <c r="R33" s="32">
        <v>214</v>
      </c>
      <c r="S33" s="32">
        <v>35</v>
      </c>
      <c r="T33" s="32">
        <f t="shared" si="4"/>
        <v>4.5</v>
      </c>
      <c r="U33" s="32">
        <f t="shared" si="5"/>
        <v>0.16355140186915887</v>
      </c>
      <c r="W33" s="18">
        <v>963</v>
      </c>
      <c r="Y33">
        <f t="shared" si="8"/>
        <v>32</v>
      </c>
      <c r="Z33" s="18" t="s">
        <v>15</v>
      </c>
      <c r="AA33" s="18">
        <v>217</v>
      </c>
      <c r="AB33" s="18">
        <v>35</v>
      </c>
      <c r="AC33" s="18">
        <f t="shared" si="6"/>
        <v>4.5115207373271886</v>
      </c>
      <c r="AD33" s="18">
        <v>979</v>
      </c>
      <c r="AE33" s="18">
        <f t="shared" si="7"/>
        <v>0.16129032258064516</v>
      </c>
    </row>
    <row r="34" spans="1:31" x14ac:dyDescent="0.25">
      <c r="A34" s="32" t="s">
        <v>1</v>
      </c>
      <c r="B34" s="32">
        <v>83</v>
      </c>
      <c r="C34" s="32">
        <v>4</v>
      </c>
      <c r="D34" s="32">
        <f t="shared" ref="D34:D61" si="9">G34/B34</f>
        <v>4.5421686746987948</v>
      </c>
      <c r="E34" s="32">
        <f t="shared" ref="E34:E61" si="10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11">O34/J34</f>
        <v>4.5681818181818183</v>
      </c>
      <c r="M34" s="32">
        <f t="shared" ref="M34:M65" si="12">K34/J34</f>
        <v>4.5454545454545456E-2</v>
      </c>
      <c r="O34" s="18">
        <v>402</v>
      </c>
      <c r="Q34" s="32" t="s">
        <v>24</v>
      </c>
      <c r="R34" s="32">
        <v>89</v>
      </c>
      <c r="S34" s="32">
        <v>10</v>
      </c>
      <c r="T34" s="32">
        <f t="shared" ref="T34:T66" si="13">W34/R34</f>
        <v>4.5505617977528088</v>
      </c>
      <c r="U34" s="32">
        <f t="shared" ref="U34:U66" si="14">S34/R34</f>
        <v>0.11235955056179775</v>
      </c>
      <c r="W34" s="18">
        <v>405</v>
      </c>
      <c r="Y34">
        <f t="shared" si="8"/>
        <v>33</v>
      </c>
      <c r="Z34" s="18" t="s">
        <v>24</v>
      </c>
      <c r="AA34" s="18">
        <v>89</v>
      </c>
      <c r="AB34" s="18">
        <v>10</v>
      </c>
      <c r="AC34" s="18">
        <f t="shared" ref="AC34:AC65" si="15">AD34/AA34</f>
        <v>4.5505617977528088</v>
      </c>
      <c r="AD34" s="18">
        <v>405</v>
      </c>
      <c r="AE34" s="18">
        <f t="shared" ref="AE34:AE66" si="16">AB34/AA34</f>
        <v>0.11235955056179775</v>
      </c>
    </row>
    <row r="35" spans="1:31" x14ac:dyDescent="0.25">
      <c r="A35" s="32" t="s">
        <v>428</v>
      </c>
      <c r="B35" s="32">
        <v>21</v>
      </c>
      <c r="C35" s="32">
        <v>0</v>
      </c>
      <c r="D35" s="32">
        <f t="shared" si="9"/>
        <v>4.6190476190476186</v>
      </c>
      <c r="E35" s="32">
        <f t="shared" si="10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11"/>
        <v>4.5869565217391308</v>
      </c>
      <c r="M35" s="32">
        <f t="shared" si="12"/>
        <v>0.13043478260869565</v>
      </c>
      <c r="N35" s="2" t="s">
        <v>359</v>
      </c>
      <c r="O35" s="18">
        <v>211</v>
      </c>
      <c r="Q35" s="32" t="s">
        <v>5</v>
      </c>
      <c r="R35" s="32">
        <v>23</v>
      </c>
      <c r="S35" s="32">
        <v>1</v>
      </c>
      <c r="T35" s="32">
        <f t="shared" si="13"/>
        <v>4.6086956521739131</v>
      </c>
      <c r="U35" s="32">
        <f t="shared" si="14"/>
        <v>4.3478260869565216E-2</v>
      </c>
      <c r="W35" s="18">
        <v>106</v>
      </c>
      <c r="Y35">
        <f t="shared" si="8"/>
        <v>34</v>
      </c>
      <c r="Z35" s="18" t="s">
        <v>5</v>
      </c>
      <c r="AA35" s="18">
        <v>23</v>
      </c>
      <c r="AB35" s="18">
        <v>1</v>
      </c>
      <c r="AC35" s="18">
        <f t="shared" si="15"/>
        <v>4.6086956521739131</v>
      </c>
      <c r="AD35" s="18">
        <v>106</v>
      </c>
      <c r="AE35" s="18">
        <f t="shared" si="16"/>
        <v>4.3478260869565216E-2</v>
      </c>
    </row>
    <row r="36" spans="1:31" x14ac:dyDescent="0.25">
      <c r="A36" s="32" t="s">
        <v>14</v>
      </c>
      <c r="B36" s="32">
        <v>45</v>
      </c>
      <c r="C36" s="32">
        <v>3</v>
      </c>
      <c r="D36" s="32">
        <f t="shared" si="9"/>
        <v>4.7111111111111112</v>
      </c>
      <c r="E36" s="32">
        <f t="shared" si="10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11"/>
        <v>4.5925925925925926</v>
      </c>
      <c r="M36" s="32">
        <f t="shared" si="12"/>
        <v>0.14814814814814814</v>
      </c>
      <c r="N36" s="3" t="s">
        <v>54</v>
      </c>
      <c r="O36" s="18">
        <v>124</v>
      </c>
      <c r="Q36" s="32" t="s">
        <v>428</v>
      </c>
      <c r="R36" s="32">
        <v>21</v>
      </c>
      <c r="S36" s="32">
        <v>0</v>
      </c>
      <c r="T36" s="32">
        <f t="shared" si="13"/>
        <v>4.6190476190476186</v>
      </c>
      <c r="U36" s="32">
        <f t="shared" si="14"/>
        <v>0</v>
      </c>
      <c r="W36">
        <v>97</v>
      </c>
      <c r="Y36">
        <f t="shared" si="8"/>
        <v>35</v>
      </c>
      <c r="Z36" t="s">
        <v>428</v>
      </c>
      <c r="AA36">
        <v>21</v>
      </c>
      <c r="AB36">
        <v>0</v>
      </c>
      <c r="AC36">
        <f t="shared" si="15"/>
        <v>4.6190476190476186</v>
      </c>
      <c r="AD36">
        <v>97</v>
      </c>
      <c r="AE36">
        <f t="shared" si="16"/>
        <v>0</v>
      </c>
    </row>
    <row r="37" spans="1:31" x14ac:dyDescent="0.25">
      <c r="A37" s="32" t="s">
        <v>61</v>
      </c>
      <c r="B37" s="32">
        <v>25</v>
      </c>
      <c r="C37" s="32">
        <v>6</v>
      </c>
      <c r="D37" s="32">
        <f t="shared" si="9"/>
        <v>4.72</v>
      </c>
      <c r="E37" s="32">
        <f t="shared" si="10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11"/>
        <v>4.6190476190476186</v>
      </c>
      <c r="M37" s="32">
        <f t="shared" si="12"/>
        <v>0</v>
      </c>
      <c r="N37" s="3" t="s">
        <v>45</v>
      </c>
      <c r="O37">
        <v>97</v>
      </c>
      <c r="Q37" s="32" t="s">
        <v>1</v>
      </c>
      <c r="R37" s="32">
        <v>90</v>
      </c>
      <c r="S37" s="32">
        <v>4</v>
      </c>
      <c r="T37" s="32">
        <f t="shared" si="13"/>
        <v>4.6222222222222218</v>
      </c>
      <c r="U37" s="32">
        <f t="shared" si="14"/>
        <v>4.4444444444444446E-2</v>
      </c>
      <c r="W37" s="18">
        <v>416</v>
      </c>
      <c r="Y37">
        <f t="shared" si="8"/>
        <v>36</v>
      </c>
      <c r="Z37" s="18" t="s">
        <v>79</v>
      </c>
      <c r="AA37" s="18">
        <v>54</v>
      </c>
      <c r="AB37" s="18">
        <v>6</v>
      </c>
      <c r="AC37" s="18">
        <f t="shared" si="15"/>
        <v>4.6296296296296298</v>
      </c>
      <c r="AD37" s="18">
        <v>250</v>
      </c>
      <c r="AE37" s="18">
        <f t="shared" si="16"/>
        <v>0.1111111111111111</v>
      </c>
    </row>
    <row r="38" spans="1:31" x14ac:dyDescent="0.25">
      <c r="A38" s="32" t="s">
        <v>13</v>
      </c>
      <c r="B38" s="32">
        <v>36</v>
      </c>
      <c r="C38" s="32">
        <v>2</v>
      </c>
      <c r="D38" s="32">
        <f t="shared" si="9"/>
        <v>4.7222222222222223</v>
      </c>
      <c r="E38" s="32">
        <f t="shared" si="10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11"/>
        <v>4.7111111111111112</v>
      </c>
      <c r="M38" s="32">
        <f t="shared" si="12"/>
        <v>6.6666666666666666E-2</v>
      </c>
      <c r="N38" s="3" t="s">
        <v>45</v>
      </c>
      <c r="O38">
        <v>212</v>
      </c>
      <c r="Q38" s="32" t="s">
        <v>79</v>
      </c>
      <c r="R38" s="32">
        <v>54</v>
      </c>
      <c r="S38" s="32">
        <v>6</v>
      </c>
      <c r="T38" s="32">
        <f t="shared" si="13"/>
        <v>4.6296296296296298</v>
      </c>
      <c r="U38" s="32">
        <f t="shared" si="14"/>
        <v>0.1111111111111111</v>
      </c>
      <c r="W38" s="18">
        <v>250</v>
      </c>
      <c r="Y38">
        <f t="shared" si="8"/>
        <v>37</v>
      </c>
      <c r="Z38" s="18" t="s">
        <v>1</v>
      </c>
      <c r="AA38" s="18">
        <v>92</v>
      </c>
      <c r="AB38" s="18">
        <v>4</v>
      </c>
      <c r="AC38" s="18">
        <f t="shared" si="15"/>
        <v>4.6739130434782608</v>
      </c>
      <c r="AD38" s="18">
        <v>430</v>
      </c>
      <c r="AE38" s="18">
        <f t="shared" si="16"/>
        <v>4.3478260869565216E-2</v>
      </c>
    </row>
    <row r="39" spans="1:31" x14ac:dyDescent="0.25">
      <c r="A39" s="32" t="s">
        <v>12</v>
      </c>
      <c r="B39" s="32">
        <v>20</v>
      </c>
      <c r="C39" s="32">
        <v>0</v>
      </c>
      <c r="D39" s="32">
        <f t="shared" si="9"/>
        <v>4.75</v>
      </c>
      <c r="E39" s="32">
        <f t="shared" si="10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11"/>
        <v>4.72</v>
      </c>
      <c r="M39" s="32">
        <f t="shared" si="12"/>
        <v>0.24</v>
      </c>
      <c r="N39" s="3" t="s">
        <v>45</v>
      </c>
      <c r="O39" s="18">
        <v>118</v>
      </c>
      <c r="Q39" s="32" t="s">
        <v>14</v>
      </c>
      <c r="R39" s="32">
        <v>45</v>
      </c>
      <c r="S39" s="32">
        <v>3</v>
      </c>
      <c r="T39" s="32">
        <f t="shared" si="13"/>
        <v>4.7111111111111112</v>
      </c>
      <c r="U39" s="32">
        <f t="shared" si="14"/>
        <v>6.6666666666666666E-2</v>
      </c>
      <c r="W39">
        <v>212</v>
      </c>
      <c r="Y39">
        <f t="shared" si="8"/>
        <v>38</v>
      </c>
      <c r="Z39" t="s">
        <v>14</v>
      </c>
      <c r="AA39">
        <v>45</v>
      </c>
      <c r="AB39">
        <v>3</v>
      </c>
      <c r="AC39">
        <f t="shared" si="15"/>
        <v>4.7111111111111112</v>
      </c>
      <c r="AD39">
        <v>212</v>
      </c>
      <c r="AE39">
        <f t="shared" si="16"/>
        <v>6.6666666666666666E-2</v>
      </c>
    </row>
    <row r="40" spans="1:31" x14ac:dyDescent="0.25">
      <c r="A40" s="38" t="s">
        <v>87</v>
      </c>
      <c r="B40" s="38">
        <v>54</v>
      </c>
      <c r="C40" s="38">
        <v>8</v>
      </c>
      <c r="D40" s="38">
        <f t="shared" si="9"/>
        <v>4.8518518518518521</v>
      </c>
      <c r="E40" s="38">
        <f t="shared" si="10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11"/>
        <v>4.7222222222222223</v>
      </c>
      <c r="M40" s="32">
        <f t="shared" si="12"/>
        <v>5.5555555555555552E-2</v>
      </c>
      <c r="N40" s="3" t="s">
        <v>45</v>
      </c>
      <c r="O40" s="18">
        <v>170</v>
      </c>
      <c r="Q40" s="32" t="s">
        <v>13</v>
      </c>
      <c r="R40" s="32">
        <v>36</v>
      </c>
      <c r="S40" s="32">
        <v>2</v>
      </c>
      <c r="T40" s="32">
        <f t="shared" si="13"/>
        <v>4.7222222222222223</v>
      </c>
      <c r="U40" s="32">
        <f t="shared" si="14"/>
        <v>5.5555555555555552E-2</v>
      </c>
      <c r="W40" s="18">
        <v>170</v>
      </c>
      <c r="Y40">
        <f t="shared" si="8"/>
        <v>39</v>
      </c>
      <c r="Z40" s="18" t="s">
        <v>13</v>
      </c>
      <c r="AA40" s="18">
        <v>36</v>
      </c>
      <c r="AB40" s="18">
        <v>2</v>
      </c>
      <c r="AC40" s="18">
        <f t="shared" si="15"/>
        <v>4.7222222222222223</v>
      </c>
      <c r="AD40" s="18">
        <v>170</v>
      </c>
      <c r="AE40" s="18">
        <f t="shared" si="16"/>
        <v>5.5555555555555552E-2</v>
      </c>
    </row>
    <row r="41" spans="1:31" x14ac:dyDescent="0.25">
      <c r="A41" s="38" t="s">
        <v>37</v>
      </c>
      <c r="B41" s="38">
        <v>22</v>
      </c>
      <c r="C41" s="38">
        <v>2</v>
      </c>
      <c r="D41" s="38">
        <f t="shared" si="9"/>
        <v>4.9090909090909092</v>
      </c>
      <c r="E41" s="38">
        <f t="shared" si="10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11"/>
        <v>4.75</v>
      </c>
      <c r="M41" s="32">
        <f t="shared" si="12"/>
        <v>0</v>
      </c>
      <c r="N41" s="3" t="s">
        <v>45</v>
      </c>
      <c r="O41" s="18">
        <v>95</v>
      </c>
      <c r="Q41" s="32" t="s">
        <v>12</v>
      </c>
      <c r="R41" s="32">
        <v>20</v>
      </c>
      <c r="S41" s="32">
        <v>0</v>
      </c>
      <c r="T41" s="32">
        <f t="shared" si="13"/>
        <v>4.75</v>
      </c>
      <c r="U41" s="32">
        <f t="shared" si="14"/>
        <v>0</v>
      </c>
      <c r="W41" s="18">
        <v>95</v>
      </c>
      <c r="Y41">
        <f t="shared" si="8"/>
        <v>40</v>
      </c>
      <c r="Z41" s="18" t="s">
        <v>12</v>
      </c>
      <c r="AA41" s="18">
        <v>20</v>
      </c>
      <c r="AB41" s="18">
        <v>0</v>
      </c>
      <c r="AC41" s="18">
        <f t="shared" si="15"/>
        <v>4.75</v>
      </c>
      <c r="AD41" s="18">
        <v>95</v>
      </c>
      <c r="AE41" s="18">
        <f t="shared" si="16"/>
        <v>0</v>
      </c>
    </row>
    <row r="42" spans="1:31" x14ac:dyDescent="0.25">
      <c r="A42" s="38" t="s">
        <v>4</v>
      </c>
      <c r="B42" s="38">
        <v>20</v>
      </c>
      <c r="C42" s="38">
        <v>3</v>
      </c>
      <c r="D42" s="38">
        <f t="shared" si="9"/>
        <v>4.95</v>
      </c>
      <c r="E42" s="38">
        <f t="shared" si="10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11"/>
        <v>4.8840579710144931</v>
      </c>
      <c r="M42" s="38">
        <f t="shared" si="12"/>
        <v>0.13043478260869565</v>
      </c>
      <c r="N42" s="3" t="s">
        <v>45</v>
      </c>
      <c r="O42" s="18">
        <v>337</v>
      </c>
      <c r="Q42" s="32" t="s">
        <v>87</v>
      </c>
      <c r="R42" s="32">
        <v>80</v>
      </c>
      <c r="S42" s="32">
        <v>12</v>
      </c>
      <c r="T42" s="32">
        <f t="shared" si="13"/>
        <v>4.7750000000000004</v>
      </c>
      <c r="U42" s="32">
        <f t="shared" si="14"/>
        <v>0.15</v>
      </c>
      <c r="W42" s="18">
        <v>382</v>
      </c>
      <c r="Y42">
        <f t="shared" si="8"/>
        <v>41</v>
      </c>
      <c r="Z42" s="18" t="s">
        <v>87</v>
      </c>
      <c r="AA42" s="18">
        <v>84</v>
      </c>
      <c r="AB42" s="18">
        <v>12</v>
      </c>
      <c r="AC42" s="18">
        <f t="shared" si="15"/>
        <v>4.7619047619047619</v>
      </c>
      <c r="AD42" s="18">
        <v>400</v>
      </c>
      <c r="AE42" s="18">
        <f t="shared" si="16"/>
        <v>0.14285714285714285</v>
      </c>
    </row>
    <row r="43" spans="1:31" x14ac:dyDescent="0.25">
      <c r="A43" s="38" t="s">
        <v>25</v>
      </c>
      <c r="B43" s="38">
        <v>88</v>
      </c>
      <c r="C43" s="38">
        <v>8</v>
      </c>
      <c r="D43" s="38">
        <f t="shared" si="9"/>
        <v>5.0227272727272725</v>
      </c>
      <c r="E43" s="38">
        <f t="shared" si="10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11"/>
        <v>4.9090909090909092</v>
      </c>
      <c r="M43" s="38">
        <f t="shared" si="12"/>
        <v>9.0909090909090912E-2</v>
      </c>
      <c r="N43" s="3" t="s">
        <v>45</v>
      </c>
      <c r="O43" s="18">
        <v>108</v>
      </c>
      <c r="Q43" s="18" t="s">
        <v>61</v>
      </c>
      <c r="R43" s="18">
        <v>27</v>
      </c>
      <c r="S43" s="18">
        <v>6</v>
      </c>
      <c r="T43" s="18">
        <f t="shared" si="13"/>
        <v>4.8518518518518521</v>
      </c>
      <c r="U43" s="18">
        <f t="shared" si="14"/>
        <v>0.22222222222222221</v>
      </c>
      <c r="W43" s="18">
        <v>131</v>
      </c>
      <c r="Y43">
        <f t="shared" si="8"/>
        <v>42</v>
      </c>
      <c r="Z43" s="18" t="s">
        <v>61</v>
      </c>
      <c r="AA43" s="18">
        <v>28</v>
      </c>
      <c r="AB43" s="18">
        <v>6</v>
      </c>
      <c r="AC43" s="18">
        <f t="shared" si="15"/>
        <v>4.8571428571428568</v>
      </c>
      <c r="AD43" s="18">
        <v>136</v>
      </c>
      <c r="AE43" s="18">
        <f t="shared" si="16"/>
        <v>0.21428571428571427</v>
      </c>
    </row>
    <row r="44" spans="1:31" x14ac:dyDescent="0.25">
      <c r="A44" s="38" t="s">
        <v>30</v>
      </c>
      <c r="B44" s="38">
        <v>33</v>
      </c>
      <c r="C44" s="38">
        <v>3</v>
      </c>
      <c r="D44" s="38">
        <f t="shared" si="9"/>
        <v>5.0303030303030303</v>
      </c>
      <c r="E44" s="38">
        <f t="shared" si="10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11"/>
        <v>4.95</v>
      </c>
      <c r="M44" s="38">
        <f t="shared" si="12"/>
        <v>0.15</v>
      </c>
      <c r="N44" s="3" t="s">
        <v>45</v>
      </c>
      <c r="O44" s="18">
        <v>99</v>
      </c>
      <c r="Q44" s="18" t="s">
        <v>37</v>
      </c>
      <c r="R44" s="18">
        <v>22</v>
      </c>
      <c r="S44" s="18">
        <v>2</v>
      </c>
      <c r="T44" s="18">
        <f t="shared" si="13"/>
        <v>4.9090909090909092</v>
      </c>
      <c r="U44" s="18">
        <f t="shared" si="14"/>
        <v>9.0909090909090912E-2</v>
      </c>
      <c r="W44" s="18">
        <v>108</v>
      </c>
      <c r="Y44">
        <f t="shared" si="8"/>
        <v>43</v>
      </c>
      <c r="Z44" s="18" t="s">
        <v>37</v>
      </c>
      <c r="AA44" s="18">
        <v>22</v>
      </c>
      <c r="AB44" s="18">
        <v>2</v>
      </c>
      <c r="AC44" s="18">
        <f t="shared" si="15"/>
        <v>4.9090909090909092</v>
      </c>
      <c r="AD44" s="18">
        <v>108</v>
      </c>
      <c r="AE44" s="18">
        <f t="shared" si="16"/>
        <v>9.0909090909090912E-2</v>
      </c>
    </row>
    <row r="45" spans="1:31" x14ac:dyDescent="0.25">
      <c r="A45" s="38" t="s">
        <v>81</v>
      </c>
      <c r="B45" s="38">
        <v>48</v>
      </c>
      <c r="C45" s="38">
        <v>2</v>
      </c>
      <c r="D45" s="38">
        <f t="shared" si="9"/>
        <v>5.041666666666667</v>
      </c>
      <c r="E45" s="38">
        <f t="shared" si="10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11"/>
        <v>5</v>
      </c>
      <c r="M45" s="38">
        <f t="shared" si="12"/>
        <v>3.7735849056603772E-2</v>
      </c>
      <c r="O45" s="18">
        <v>265</v>
      </c>
      <c r="Q45" s="18" t="s">
        <v>51</v>
      </c>
      <c r="R45" s="18">
        <v>37</v>
      </c>
      <c r="S45" s="18">
        <v>3</v>
      </c>
      <c r="T45" s="18">
        <f t="shared" si="13"/>
        <v>4.9189189189189193</v>
      </c>
      <c r="U45" s="18">
        <f t="shared" si="14"/>
        <v>8.1081081081081086E-2</v>
      </c>
      <c r="W45" s="18">
        <v>182</v>
      </c>
      <c r="Y45">
        <f t="shared" si="8"/>
        <v>44</v>
      </c>
      <c r="Z45" s="18" t="s">
        <v>51</v>
      </c>
      <c r="AA45" s="18">
        <v>37</v>
      </c>
      <c r="AB45" s="18">
        <v>3</v>
      </c>
      <c r="AC45" s="18">
        <f t="shared" si="15"/>
        <v>4.9189189189189193</v>
      </c>
      <c r="AD45" s="18">
        <v>182</v>
      </c>
      <c r="AE45" s="18">
        <f t="shared" si="16"/>
        <v>8.1081081081081086E-2</v>
      </c>
    </row>
    <row r="46" spans="1:31" x14ac:dyDescent="0.25">
      <c r="A46" s="38" t="s">
        <v>105</v>
      </c>
      <c r="B46" s="38">
        <v>20</v>
      </c>
      <c r="C46" s="38">
        <v>0</v>
      </c>
      <c r="D46" s="38">
        <f t="shared" si="9"/>
        <v>5.05</v>
      </c>
      <c r="E46" s="38">
        <f t="shared" si="10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11"/>
        <v>5.038095238095238</v>
      </c>
      <c r="M46" s="38">
        <f t="shared" si="12"/>
        <v>8.5714285714285715E-2</v>
      </c>
      <c r="N46" s="3" t="s">
        <v>54</v>
      </c>
      <c r="O46" s="18">
        <v>529</v>
      </c>
      <c r="Q46" s="18" t="s">
        <v>25</v>
      </c>
      <c r="R46" s="18">
        <v>117</v>
      </c>
      <c r="S46" s="18">
        <v>11</v>
      </c>
      <c r="T46" s="18">
        <f t="shared" si="13"/>
        <v>4.9230769230769234</v>
      </c>
      <c r="U46" s="18">
        <f t="shared" si="14"/>
        <v>9.4017094017094016E-2</v>
      </c>
      <c r="W46" s="18">
        <v>576</v>
      </c>
      <c r="Y46">
        <f t="shared" si="8"/>
        <v>45</v>
      </c>
      <c r="Z46" s="18" t="s">
        <v>4</v>
      </c>
      <c r="AA46" s="18">
        <v>20</v>
      </c>
      <c r="AB46" s="18">
        <v>3</v>
      </c>
      <c r="AC46" s="18">
        <f t="shared" si="15"/>
        <v>4.95</v>
      </c>
      <c r="AD46" s="18">
        <v>99</v>
      </c>
      <c r="AE46" s="18">
        <f t="shared" si="16"/>
        <v>0.15</v>
      </c>
    </row>
    <row r="47" spans="1:31" x14ac:dyDescent="0.25">
      <c r="A47" s="38" t="s">
        <v>99</v>
      </c>
      <c r="B47" s="38">
        <v>20</v>
      </c>
      <c r="C47" s="38">
        <v>2</v>
      </c>
      <c r="D47" s="38">
        <f t="shared" si="9"/>
        <v>5.05</v>
      </c>
      <c r="E47" s="38">
        <f t="shared" si="10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11"/>
        <v>5.05</v>
      </c>
      <c r="M47" s="38">
        <f t="shared" si="12"/>
        <v>0</v>
      </c>
      <c r="N47" s="3" t="s">
        <v>46</v>
      </c>
      <c r="O47">
        <v>101</v>
      </c>
      <c r="Q47" s="18" t="s">
        <v>4</v>
      </c>
      <c r="R47" s="18">
        <v>20</v>
      </c>
      <c r="S47" s="18">
        <v>3</v>
      </c>
      <c r="T47" s="18">
        <f t="shared" si="13"/>
        <v>4.95</v>
      </c>
      <c r="U47" s="18">
        <f t="shared" si="14"/>
        <v>0.15</v>
      </c>
      <c r="W47" s="18">
        <v>99</v>
      </c>
      <c r="Y47">
        <f t="shared" si="8"/>
        <v>46</v>
      </c>
      <c r="Z47" s="18" t="s">
        <v>25</v>
      </c>
      <c r="AA47" s="18">
        <v>123</v>
      </c>
      <c r="AB47" s="18">
        <v>11</v>
      </c>
      <c r="AC47" s="18">
        <f t="shared" si="15"/>
        <v>4.9674796747967482</v>
      </c>
      <c r="AD47" s="18">
        <v>611</v>
      </c>
      <c r="AE47" s="18">
        <f t="shared" si="16"/>
        <v>8.943089430894309E-2</v>
      </c>
    </row>
    <row r="48" spans="1:31" x14ac:dyDescent="0.25">
      <c r="A48" s="38" t="s">
        <v>51</v>
      </c>
      <c r="B48" s="38">
        <v>33</v>
      </c>
      <c r="C48" s="38">
        <v>2</v>
      </c>
      <c r="D48" s="38">
        <f t="shared" si="9"/>
        <v>5.0606060606060606</v>
      </c>
      <c r="E48" s="38">
        <f t="shared" si="10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11"/>
        <v>5.05</v>
      </c>
      <c r="M48" s="38">
        <f t="shared" si="12"/>
        <v>0.1</v>
      </c>
      <c r="N48" s="3" t="s">
        <v>46</v>
      </c>
      <c r="O48" s="18">
        <v>101</v>
      </c>
      <c r="Q48" s="18" t="s">
        <v>81</v>
      </c>
      <c r="R48" s="18">
        <v>53</v>
      </c>
      <c r="S48" s="18">
        <v>2</v>
      </c>
      <c r="T48" s="18">
        <f t="shared" si="13"/>
        <v>5</v>
      </c>
      <c r="U48" s="18">
        <f t="shared" si="14"/>
        <v>3.7735849056603772E-2</v>
      </c>
      <c r="W48" s="18">
        <v>265</v>
      </c>
      <c r="Y48">
        <f t="shared" si="8"/>
        <v>47</v>
      </c>
      <c r="Z48" s="18" t="s">
        <v>81</v>
      </c>
      <c r="AA48" s="18">
        <v>53</v>
      </c>
      <c r="AB48" s="18">
        <v>2</v>
      </c>
      <c r="AC48" s="18">
        <f t="shared" si="15"/>
        <v>5</v>
      </c>
      <c r="AD48" s="18">
        <v>265</v>
      </c>
      <c r="AE48" s="18">
        <f t="shared" si="16"/>
        <v>3.7735849056603772E-2</v>
      </c>
    </row>
    <row r="49" spans="1:31" x14ac:dyDescent="0.25">
      <c r="A49" s="38" t="s">
        <v>79</v>
      </c>
      <c r="B49" s="38">
        <v>30</v>
      </c>
      <c r="C49" s="38">
        <v>1</v>
      </c>
      <c r="D49" s="38">
        <f t="shared" si="9"/>
        <v>5.0666666666666664</v>
      </c>
      <c r="E49" s="38">
        <f t="shared" si="10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11"/>
        <v>5.0857142857142854</v>
      </c>
      <c r="M49" s="38">
        <f t="shared" si="12"/>
        <v>5.7142857142857141E-2</v>
      </c>
      <c r="N49" s="3" t="s">
        <v>46</v>
      </c>
      <c r="O49" s="18">
        <v>178</v>
      </c>
      <c r="Q49" t="s">
        <v>105</v>
      </c>
      <c r="R49">
        <v>20</v>
      </c>
      <c r="S49">
        <v>0</v>
      </c>
      <c r="T49">
        <f t="shared" si="13"/>
        <v>5.05</v>
      </c>
      <c r="U49">
        <f t="shared" si="14"/>
        <v>0</v>
      </c>
      <c r="W49">
        <v>101</v>
      </c>
      <c r="Y49">
        <f t="shared" si="8"/>
        <v>48</v>
      </c>
      <c r="Z49" t="s">
        <v>105</v>
      </c>
      <c r="AA49">
        <v>20</v>
      </c>
      <c r="AB49">
        <v>0</v>
      </c>
      <c r="AC49">
        <f t="shared" si="15"/>
        <v>5.05</v>
      </c>
      <c r="AD49">
        <v>101</v>
      </c>
      <c r="AE49">
        <f t="shared" si="16"/>
        <v>0</v>
      </c>
    </row>
    <row r="50" spans="1:31" x14ac:dyDescent="0.25">
      <c r="A50" s="38" t="s">
        <v>20</v>
      </c>
      <c r="B50" s="38">
        <v>22</v>
      </c>
      <c r="C50" s="38">
        <v>2</v>
      </c>
      <c r="D50" s="38">
        <f t="shared" si="9"/>
        <v>5.1818181818181817</v>
      </c>
      <c r="E50" s="38">
        <f t="shared" si="10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11"/>
        <v>5.15</v>
      </c>
      <c r="M50" s="38">
        <f t="shared" si="12"/>
        <v>0</v>
      </c>
      <c r="N50" s="3" t="s">
        <v>491</v>
      </c>
      <c r="O50" s="18">
        <v>103</v>
      </c>
      <c r="Q50" s="18" t="s">
        <v>99</v>
      </c>
      <c r="R50" s="18">
        <v>20</v>
      </c>
      <c r="S50" s="18">
        <v>2</v>
      </c>
      <c r="T50" s="18">
        <f t="shared" si="13"/>
        <v>5.05</v>
      </c>
      <c r="U50" s="18">
        <f t="shared" si="14"/>
        <v>0.1</v>
      </c>
      <c r="W50" s="18">
        <v>101</v>
      </c>
      <c r="Y50">
        <f t="shared" si="8"/>
        <v>49</v>
      </c>
      <c r="Z50" s="18" t="s">
        <v>99</v>
      </c>
      <c r="AA50" s="18">
        <v>20</v>
      </c>
      <c r="AB50" s="18">
        <v>2</v>
      </c>
      <c r="AC50" s="18">
        <f t="shared" si="15"/>
        <v>5.05</v>
      </c>
      <c r="AD50" s="18">
        <v>101</v>
      </c>
      <c r="AE50" s="18">
        <f t="shared" si="16"/>
        <v>0.1</v>
      </c>
    </row>
    <row r="51" spans="1:31" x14ac:dyDescent="0.25">
      <c r="A51" s="66" t="s">
        <v>31</v>
      </c>
      <c r="B51" s="66">
        <v>126</v>
      </c>
      <c r="C51" s="66">
        <v>8</v>
      </c>
      <c r="D51" s="66">
        <f t="shared" si="9"/>
        <v>5.3253968253968251</v>
      </c>
      <c r="E51" s="66">
        <f t="shared" si="10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11"/>
        <v>5.1818181818181817</v>
      </c>
      <c r="M51" s="38">
        <f t="shared" si="12"/>
        <v>9.0909090909090912E-2</v>
      </c>
      <c r="N51" s="3" t="s">
        <v>46</v>
      </c>
      <c r="O51" s="18">
        <v>114</v>
      </c>
      <c r="Q51" s="18" t="s">
        <v>82</v>
      </c>
      <c r="R51" s="18">
        <v>20</v>
      </c>
      <c r="S51" s="18">
        <v>0</v>
      </c>
      <c r="T51" s="18">
        <f t="shared" si="13"/>
        <v>5.15</v>
      </c>
      <c r="U51" s="18">
        <f t="shared" si="14"/>
        <v>0</v>
      </c>
      <c r="W51" s="18">
        <v>103</v>
      </c>
      <c r="Y51">
        <f t="shared" si="8"/>
        <v>50</v>
      </c>
      <c r="Z51" s="18" t="s">
        <v>82</v>
      </c>
      <c r="AA51" s="18">
        <v>20</v>
      </c>
      <c r="AB51" s="18">
        <v>0</v>
      </c>
      <c r="AC51" s="18">
        <f t="shared" si="15"/>
        <v>5.15</v>
      </c>
      <c r="AD51" s="18">
        <v>103</v>
      </c>
      <c r="AE51" s="18">
        <f t="shared" si="16"/>
        <v>0</v>
      </c>
    </row>
    <row r="52" spans="1:31" x14ac:dyDescent="0.25">
      <c r="A52" s="66" t="s">
        <v>19</v>
      </c>
      <c r="B52" s="66">
        <v>23</v>
      </c>
      <c r="C52" s="66">
        <v>1</v>
      </c>
      <c r="D52" s="66">
        <f t="shared" si="9"/>
        <v>5.3478260869565215</v>
      </c>
      <c r="E52" s="66">
        <f t="shared" si="10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11"/>
        <v>5.2068965517241379</v>
      </c>
      <c r="M52" s="38">
        <f t="shared" si="12"/>
        <v>6.8965517241379309E-2</v>
      </c>
      <c r="N52" s="3" t="s">
        <v>46</v>
      </c>
      <c r="O52" s="18">
        <v>755</v>
      </c>
      <c r="Q52" s="18" t="s">
        <v>20</v>
      </c>
      <c r="R52" s="18">
        <v>22</v>
      </c>
      <c r="S52" s="18">
        <v>2</v>
      </c>
      <c r="T52" s="18">
        <f t="shared" si="13"/>
        <v>5.1818181818181817</v>
      </c>
      <c r="U52" s="18">
        <f t="shared" si="14"/>
        <v>9.0909090909090912E-2</v>
      </c>
      <c r="W52" s="18">
        <v>114</v>
      </c>
      <c r="Y52">
        <f t="shared" si="8"/>
        <v>51</v>
      </c>
      <c r="Z52" s="18" t="s">
        <v>20</v>
      </c>
      <c r="AA52" s="18">
        <v>22</v>
      </c>
      <c r="AB52" s="18">
        <v>2</v>
      </c>
      <c r="AC52" s="18">
        <f t="shared" si="15"/>
        <v>5.1818181818181817</v>
      </c>
      <c r="AD52" s="18">
        <v>114</v>
      </c>
      <c r="AE52" s="18">
        <f t="shared" si="16"/>
        <v>9.0909090909090912E-2</v>
      </c>
    </row>
    <row r="53" spans="1:31" x14ac:dyDescent="0.25">
      <c r="A53" s="66" t="s">
        <v>6</v>
      </c>
      <c r="B53" s="66">
        <v>45</v>
      </c>
      <c r="C53" s="66">
        <v>3</v>
      </c>
      <c r="D53" s="66">
        <f t="shared" si="9"/>
        <v>5.3555555555555552</v>
      </c>
      <c r="E53" s="66">
        <f t="shared" si="10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11"/>
        <v>5.243243243243243</v>
      </c>
      <c r="M53" s="38">
        <f t="shared" si="12"/>
        <v>8.1081081081081086E-2</v>
      </c>
      <c r="N53" s="3" t="s">
        <v>495</v>
      </c>
      <c r="O53" s="18">
        <v>194</v>
      </c>
      <c r="Q53" s="18" t="s">
        <v>19</v>
      </c>
      <c r="R53" s="18">
        <v>26</v>
      </c>
      <c r="S53" s="18">
        <v>2</v>
      </c>
      <c r="T53" s="18">
        <f t="shared" si="13"/>
        <v>5.1923076923076925</v>
      </c>
      <c r="U53" s="18">
        <f t="shared" si="14"/>
        <v>7.6923076923076927E-2</v>
      </c>
      <c r="W53" s="18">
        <v>135</v>
      </c>
      <c r="Y53">
        <f t="shared" si="8"/>
        <v>52</v>
      </c>
      <c r="Z53" s="18" t="s">
        <v>19</v>
      </c>
      <c r="AA53" s="18">
        <v>26</v>
      </c>
      <c r="AB53" s="18">
        <v>2</v>
      </c>
      <c r="AC53" s="18">
        <f t="shared" si="15"/>
        <v>5.1923076923076925</v>
      </c>
      <c r="AD53" s="18">
        <v>135</v>
      </c>
      <c r="AE53" s="18">
        <f t="shared" si="16"/>
        <v>7.6923076923076927E-2</v>
      </c>
    </row>
    <row r="54" spans="1:31" x14ac:dyDescent="0.25">
      <c r="A54" s="66" t="s">
        <v>253</v>
      </c>
      <c r="B54" s="66">
        <v>28</v>
      </c>
      <c r="C54" s="66">
        <v>1</v>
      </c>
      <c r="D54" s="66">
        <f t="shared" si="9"/>
        <v>5.3571428571428568</v>
      </c>
      <c r="E54" s="66">
        <f t="shared" si="10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11"/>
        <v>5.25</v>
      </c>
      <c r="M54" s="38">
        <f t="shared" si="12"/>
        <v>0.1</v>
      </c>
      <c r="N54" s="3" t="s">
        <v>492</v>
      </c>
      <c r="O54" s="18">
        <v>105</v>
      </c>
      <c r="Q54" s="18" t="s">
        <v>30</v>
      </c>
      <c r="R54" s="18">
        <v>40</v>
      </c>
      <c r="S54" s="18">
        <v>3</v>
      </c>
      <c r="T54" s="18">
        <f t="shared" si="13"/>
        <v>5.2</v>
      </c>
      <c r="U54" s="18">
        <f t="shared" si="14"/>
        <v>7.4999999999999997E-2</v>
      </c>
      <c r="W54" s="18">
        <v>208</v>
      </c>
      <c r="Y54">
        <f t="shared" si="8"/>
        <v>53</v>
      </c>
      <c r="Z54" s="18" t="s">
        <v>26</v>
      </c>
      <c r="AA54" s="18">
        <v>50</v>
      </c>
      <c r="AB54" s="18">
        <v>4</v>
      </c>
      <c r="AC54" s="18">
        <f t="shared" si="15"/>
        <v>5.2</v>
      </c>
      <c r="AD54" s="18">
        <v>260</v>
      </c>
      <c r="AE54" s="18">
        <f t="shared" si="16"/>
        <v>0.08</v>
      </c>
    </row>
    <row r="55" spans="1:31" x14ac:dyDescent="0.25">
      <c r="A55" s="66" t="s">
        <v>26</v>
      </c>
      <c r="B55" s="66">
        <v>32</v>
      </c>
      <c r="C55" s="66">
        <v>2</v>
      </c>
      <c r="D55" s="66">
        <f t="shared" si="9"/>
        <v>5.375</v>
      </c>
      <c r="E55" s="66">
        <f t="shared" si="10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11"/>
        <v>5.25</v>
      </c>
      <c r="M55" s="38">
        <f t="shared" si="12"/>
        <v>0.1</v>
      </c>
      <c r="N55" s="3" t="s">
        <v>493</v>
      </c>
      <c r="O55" s="18">
        <v>105</v>
      </c>
      <c r="Q55" s="18" t="s">
        <v>26</v>
      </c>
      <c r="R55" s="18">
        <v>50</v>
      </c>
      <c r="S55" s="18">
        <v>4</v>
      </c>
      <c r="T55" s="18">
        <f t="shared" si="13"/>
        <v>5.2</v>
      </c>
      <c r="U55" s="18">
        <f t="shared" si="14"/>
        <v>0.08</v>
      </c>
      <c r="W55" s="18">
        <v>260</v>
      </c>
      <c r="Y55">
        <f t="shared" si="8"/>
        <v>54</v>
      </c>
      <c r="Z55" s="18" t="s">
        <v>30</v>
      </c>
      <c r="AA55" s="18">
        <v>41</v>
      </c>
      <c r="AB55" s="18">
        <v>3</v>
      </c>
      <c r="AC55" s="18">
        <f t="shared" si="15"/>
        <v>5.2439024390243905</v>
      </c>
      <c r="AD55" s="18">
        <v>215</v>
      </c>
      <c r="AE55" s="18">
        <f t="shared" si="16"/>
        <v>7.3170731707317069E-2</v>
      </c>
    </row>
    <row r="56" spans="1:31" x14ac:dyDescent="0.25">
      <c r="A56" s="66" t="s">
        <v>56</v>
      </c>
      <c r="B56" s="66">
        <v>21</v>
      </c>
      <c r="C56" s="66">
        <v>0</v>
      </c>
      <c r="D56" s="66">
        <f t="shared" si="9"/>
        <v>5.3809523809523814</v>
      </c>
      <c r="E56" s="66">
        <f t="shared" si="10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11"/>
        <v>5.3103448275862073</v>
      </c>
      <c r="M56" s="67">
        <f t="shared" si="12"/>
        <v>3.4482758620689655E-2</v>
      </c>
      <c r="N56" s="3" t="s">
        <v>45</v>
      </c>
      <c r="O56" s="18">
        <v>154</v>
      </c>
      <c r="Q56" s="18" t="s">
        <v>31</v>
      </c>
      <c r="R56" s="18">
        <v>157</v>
      </c>
      <c r="S56" s="18">
        <v>12</v>
      </c>
      <c r="T56" s="18">
        <f t="shared" si="13"/>
        <v>5.2356687898089174</v>
      </c>
      <c r="U56" s="18">
        <f t="shared" si="14"/>
        <v>7.6433121019108277E-2</v>
      </c>
      <c r="W56" s="18">
        <v>822</v>
      </c>
      <c r="Y56">
        <f t="shared" si="8"/>
        <v>55</v>
      </c>
      <c r="Z56" s="18" t="s">
        <v>17</v>
      </c>
      <c r="AA56" s="18">
        <v>20</v>
      </c>
      <c r="AB56" s="18">
        <v>2</v>
      </c>
      <c r="AC56" s="18">
        <f t="shared" si="15"/>
        <v>5.25</v>
      </c>
      <c r="AD56" s="18">
        <v>105</v>
      </c>
      <c r="AE56" s="18">
        <f t="shared" si="16"/>
        <v>0.1</v>
      </c>
    </row>
    <row r="57" spans="1:31" x14ac:dyDescent="0.25">
      <c r="A57" s="66" t="s">
        <v>90</v>
      </c>
      <c r="B57" s="66">
        <v>27</v>
      </c>
      <c r="C57" s="66">
        <v>3</v>
      </c>
      <c r="D57" s="66">
        <f t="shared" si="9"/>
        <v>5.4074074074074074</v>
      </c>
      <c r="E57" s="66">
        <f t="shared" si="10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11"/>
        <v>5.3478260869565215</v>
      </c>
      <c r="M57" s="67">
        <f t="shared" si="12"/>
        <v>4.3478260869565216E-2</v>
      </c>
      <c r="N57" s="3" t="s">
        <v>494</v>
      </c>
      <c r="O57" s="18">
        <v>123</v>
      </c>
      <c r="Q57" s="18" t="s">
        <v>17</v>
      </c>
      <c r="R57" s="18">
        <v>20</v>
      </c>
      <c r="S57" s="18">
        <v>2</v>
      </c>
      <c r="T57" s="18">
        <f t="shared" si="13"/>
        <v>5.25</v>
      </c>
      <c r="U57" s="18">
        <f t="shared" si="14"/>
        <v>0.1</v>
      </c>
      <c r="W57" s="18">
        <v>105</v>
      </c>
      <c r="Y57">
        <f t="shared" si="8"/>
        <v>56</v>
      </c>
      <c r="Z57" s="18" t="s">
        <v>404</v>
      </c>
      <c r="AA57" s="18">
        <v>20</v>
      </c>
      <c r="AB57" s="18">
        <v>2</v>
      </c>
      <c r="AC57" s="18">
        <f t="shared" si="15"/>
        <v>5.25</v>
      </c>
      <c r="AD57" s="18">
        <v>105</v>
      </c>
      <c r="AE57" s="18">
        <f t="shared" si="16"/>
        <v>0.1</v>
      </c>
    </row>
    <row r="58" spans="1:31" x14ac:dyDescent="0.25">
      <c r="A58" s="66" t="s">
        <v>49</v>
      </c>
      <c r="B58" s="66">
        <v>68</v>
      </c>
      <c r="C58" s="66">
        <v>3</v>
      </c>
      <c r="D58" s="66">
        <f t="shared" si="9"/>
        <v>5.5147058823529411</v>
      </c>
      <c r="E58" s="66">
        <f t="shared" si="10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11"/>
        <v>5.3555555555555552</v>
      </c>
      <c r="M58" s="67">
        <f t="shared" si="12"/>
        <v>6.6666666666666666E-2</v>
      </c>
      <c r="N58" s="3" t="s">
        <v>494</v>
      </c>
      <c r="O58" s="18">
        <v>241</v>
      </c>
      <c r="Q58" s="18" t="s">
        <v>404</v>
      </c>
      <c r="R58" s="18">
        <v>20</v>
      </c>
      <c r="S58" s="18">
        <v>2</v>
      </c>
      <c r="T58" s="18">
        <f t="shared" si="13"/>
        <v>5.25</v>
      </c>
      <c r="U58" s="18">
        <f t="shared" si="14"/>
        <v>0.1</v>
      </c>
      <c r="W58" s="18">
        <v>105</v>
      </c>
      <c r="Y58">
        <f t="shared" si="8"/>
        <v>57</v>
      </c>
      <c r="Z58" s="18" t="s">
        <v>31</v>
      </c>
      <c r="AA58" s="18">
        <v>161</v>
      </c>
      <c r="AB58" s="18">
        <v>12</v>
      </c>
      <c r="AC58" s="18">
        <f t="shared" si="15"/>
        <v>5.2546583850931681</v>
      </c>
      <c r="AD58" s="18">
        <v>846</v>
      </c>
      <c r="AE58" s="18">
        <f t="shared" si="16"/>
        <v>7.4534161490683232E-2</v>
      </c>
    </row>
    <row r="59" spans="1:31" x14ac:dyDescent="0.25">
      <c r="A59" s="66" t="s">
        <v>33</v>
      </c>
      <c r="B59" s="66">
        <v>64</v>
      </c>
      <c r="C59" s="66">
        <v>4</v>
      </c>
      <c r="D59" s="66">
        <f t="shared" si="9"/>
        <v>5.515625</v>
      </c>
      <c r="E59" s="66">
        <f t="shared" si="10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11"/>
        <v>5.3571428571428568</v>
      </c>
      <c r="M59" s="67">
        <f t="shared" si="12"/>
        <v>7.1428571428571425E-2</v>
      </c>
      <c r="N59" s="3" t="s">
        <v>46</v>
      </c>
      <c r="O59" s="18">
        <v>450</v>
      </c>
      <c r="Q59" s="18" t="s">
        <v>253</v>
      </c>
      <c r="R59" s="18">
        <v>29</v>
      </c>
      <c r="S59" s="18">
        <v>1</v>
      </c>
      <c r="T59" s="18">
        <f t="shared" si="13"/>
        <v>5.3103448275862073</v>
      </c>
      <c r="U59" s="18">
        <f t="shared" si="14"/>
        <v>3.4482758620689655E-2</v>
      </c>
      <c r="W59" s="18">
        <v>154</v>
      </c>
      <c r="Y59">
        <f t="shared" si="8"/>
        <v>58</v>
      </c>
      <c r="Z59" s="18" t="s">
        <v>49</v>
      </c>
      <c r="AA59" s="18">
        <v>95</v>
      </c>
      <c r="AB59" s="18">
        <v>7</v>
      </c>
      <c r="AC59" s="18">
        <f t="shared" si="15"/>
        <v>5.2631578947368425</v>
      </c>
      <c r="AD59" s="18">
        <v>500</v>
      </c>
      <c r="AE59" s="18">
        <f t="shared" si="16"/>
        <v>7.3684210526315783E-2</v>
      </c>
    </row>
    <row r="60" spans="1:31" x14ac:dyDescent="0.25">
      <c r="A60" s="66" t="s">
        <v>28</v>
      </c>
      <c r="B60" s="66">
        <v>20</v>
      </c>
      <c r="C60" s="66">
        <v>0</v>
      </c>
      <c r="D60" s="66">
        <f t="shared" si="9"/>
        <v>5.65</v>
      </c>
      <c r="E60" s="66">
        <f t="shared" si="10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11"/>
        <v>5.3809523809523814</v>
      </c>
      <c r="M60" s="67">
        <f t="shared" si="12"/>
        <v>0</v>
      </c>
      <c r="N60" s="3" t="s">
        <v>55</v>
      </c>
      <c r="O60" s="18">
        <v>113</v>
      </c>
      <c r="Q60" s="18" t="s">
        <v>49</v>
      </c>
      <c r="R60" s="18">
        <v>93</v>
      </c>
      <c r="S60" s="18">
        <v>6</v>
      </c>
      <c r="T60" s="18">
        <f t="shared" si="13"/>
        <v>5.32258064516129</v>
      </c>
      <c r="U60" s="18">
        <f t="shared" si="14"/>
        <v>6.4516129032258063E-2</v>
      </c>
      <c r="W60" s="18">
        <v>495</v>
      </c>
      <c r="Y60">
        <f t="shared" si="8"/>
        <v>59</v>
      </c>
      <c r="Z60" s="18" t="s">
        <v>253</v>
      </c>
      <c r="AA60" s="18">
        <v>29</v>
      </c>
      <c r="AB60" s="18">
        <v>1</v>
      </c>
      <c r="AC60" s="18">
        <f t="shared" si="15"/>
        <v>5.3103448275862073</v>
      </c>
      <c r="AD60" s="18">
        <v>154</v>
      </c>
      <c r="AE60" s="18">
        <f t="shared" si="16"/>
        <v>3.4482758620689655E-2</v>
      </c>
    </row>
    <row r="61" spans="1:31" x14ac:dyDescent="0.25">
      <c r="A61" s="66" t="s">
        <v>401</v>
      </c>
      <c r="B61" s="66">
        <v>45</v>
      </c>
      <c r="C61" s="66">
        <v>1</v>
      </c>
      <c r="D61" s="66">
        <f t="shared" si="9"/>
        <v>5.9777777777777779</v>
      </c>
      <c r="E61" s="66">
        <f t="shared" si="10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11"/>
        <v>5.4074074074074074</v>
      </c>
      <c r="M61" s="67">
        <f t="shared" si="12"/>
        <v>0.1111111111111111</v>
      </c>
      <c r="N61" s="3" t="s">
        <v>55</v>
      </c>
      <c r="O61">
        <v>146</v>
      </c>
      <c r="Q61" s="18" t="s">
        <v>6</v>
      </c>
      <c r="R61" s="18">
        <v>45</v>
      </c>
      <c r="S61" s="18">
        <v>3</v>
      </c>
      <c r="T61" s="18">
        <f t="shared" si="13"/>
        <v>5.3555555555555552</v>
      </c>
      <c r="U61" s="18">
        <f t="shared" si="14"/>
        <v>6.6666666666666666E-2</v>
      </c>
      <c r="W61" s="18">
        <v>241</v>
      </c>
      <c r="Y61">
        <f t="shared" si="8"/>
        <v>60</v>
      </c>
      <c r="Z61" s="18" t="s">
        <v>6</v>
      </c>
      <c r="AA61" s="18">
        <v>45</v>
      </c>
      <c r="AB61" s="18">
        <v>3</v>
      </c>
      <c r="AC61" s="18">
        <f t="shared" si="15"/>
        <v>5.3555555555555552</v>
      </c>
      <c r="AD61" s="18">
        <v>241</v>
      </c>
      <c r="AE61" s="18">
        <f t="shared" si="16"/>
        <v>6.6666666666666666E-2</v>
      </c>
    </row>
    <row r="62" spans="1:31" x14ac:dyDescent="0.25">
      <c r="I62" s="67" t="s">
        <v>26</v>
      </c>
      <c r="J62" s="67">
        <v>42</v>
      </c>
      <c r="K62" s="67">
        <v>3</v>
      </c>
      <c r="L62" s="67">
        <f t="shared" si="11"/>
        <v>5.4761904761904763</v>
      </c>
      <c r="M62" s="67">
        <f t="shared" si="12"/>
        <v>7.1428571428571425E-2</v>
      </c>
      <c r="N62" s="3" t="s">
        <v>282</v>
      </c>
      <c r="O62" s="18">
        <v>230</v>
      </c>
      <c r="Q62" s="18" t="s">
        <v>56</v>
      </c>
      <c r="R62" s="18">
        <v>21</v>
      </c>
      <c r="S62" s="18">
        <v>0</v>
      </c>
      <c r="T62" s="18">
        <f t="shared" si="13"/>
        <v>5.3809523809523814</v>
      </c>
      <c r="U62" s="18">
        <f t="shared" si="14"/>
        <v>0</v>
      </c>
      <c r="W62" s="18">
        <v>113</v>
      </c>
      <c r="Y62">
        <f t="shared" si="8"/>
        <v>61</v>
      </c>
      <c r="Z62" s="18" t="s">
        <v>56</v>
      </c>
      <c r="AA62" s="18">
        <v>21</v>
      </c>
      <c r="AB62" s="18">
        <v>0</v>
      </c>
      <c r="AC62" s="18">
        <f t="shared" si="15"/>
        <v>5.3809523809523814</v>
      </c>
      <c r="AD62" s="18">
        <v>113</v>
      </c>
      <c r="AE62" s="18">
        <f t="shared" si="16"/>
        <v>0</v>
      </c>
    </row>
    <row r="63" spans="1:31" x14ac:dyDescent="0.25">
      <c r="I63" s="67" t="s">
        <v>33</v>
      </c>
      <c r="J63" s="67">
        <v>64</v>
      </c>
      <c r="K63" s="67">
        <v>4</v>
      </c>
      <c r="L63" s="67">
        <f t="shared" si="11"/>
        <v>5.515625</v>
      </c>
      <c r="M63" s="67">
        <f t="shared" si="12"/>
        <v>6.25E-2</v>
      </c>
      <c r="N63" s="3" t="s">
        <v>55</v>
      </c>
      <c r="O63" s="18">
        <v>353</v>
      </c>
      <c r="Q63" t="s">
        <v>90</v>
      </c>
      <c r="R63">
        <v>27</v>
      </c>
      <c r="S63">
        <v>3</v>
      </c>
      <c r="T63">
        <f t="shared" si="13"/>
        <v>5.4074074074074074</v>
      </c>
      <c r="U63">
        <f t="shared" si="14"/>
        <v>0.1111111111111111</v>
      </c>
      <c r="W63">
        <v>146</v>
      </c>
      <c r="Y63">
        <f t="shared" si="8"/>
        <v>62</v>
      </c>
      <c r="Z63" t="s">
        <v>90</v>
      </c>
      <c r="AA63">
        <v>27</v>
      </c>
      <c r="AB63">
        <v>3</v>
      </c>
      <c r="AC63">
        <f t="shared" si="15"/>
        <v>5.4074074074074074</v>
      </c>
      <c r="AD63">
        <v>146</v>
      </c>
      <c r="AE63">
        <f t="shared" si="16"/>
        <v>0.1111111111111111</v>
      </c>
    </row>
    <row r="64" spans="1:31" x14ac:dyDescent="0.25">
      <c r="I64" s="67" t="s">
        <v>28</v>
      </c>
      <c r="J64" s="67">
        <v>20</v>
      </c>
      <c r="K64" s="67">
        <v>0</v>
      </c>
      <c r="L64" s="67">
        <f t="shared" si="11"/>
        <v>5.65</v>
      </c>
      <c r="M64" s="67">
        <f t="shared" si="12"/>
        <v>0</v>
      </c>
      <c r="N64" s="3" t="s">
        <v>55</v>
      </c>
      <c r="O64" s="18">
        <v>113</v>
      </c>
      <c r="Q64" s="18" t="s">
        <v>33</v>
      </c>
      <c r="R64" s="18">
        <v>64</v>
      </c>
      <c r="S64" s="18">
        <v>4</v>
      </c>
      <c r="T64" s="18">
        <f t="shared" si="13"/>
        <v>5.515625</v>
      </c>
      <c r="U64" s="18">
        <f t="shared" si="14"/>
        <v>6.25E-2</v>
      </c>
      <c r="W64" s="18">
        <v>353</v>
      </c>
      <c r="Y64">
        <f t="shared" si="8"/>
        <v>63</v>
      </c>
      <c r="Z64" s="18" t="s">
        <v>33</v>
      </c>
      <c r="AA64" s="18">
        <v>64</v>
      </c>
      <c r="AB64" s="18">
        <v>4</v>
      </c>
      <c r="AC64" s="18">
        <f t="shared" si="15"/>
        <v>5.515625</v>
      </c>
      <c r="AD64" s="18">
        <v>353</v>
      </c>
      <c r="AE64" s="18">
        <f t="shared" si="16"/>
        <v>6.25E-2</v>
      </c>
    </row>
    <row r="65" spans="9:31" x14ac:dyDescent="0.25">
      <c r="I65" s="67" t="s">
        <v>401</v>
      </c>
      <c r="J65" s="67">
        <v>53</v>
      </c>
      <c r="K65" s="67">
        <v>2</v>
      </c>
      <c r="L65" s="67">
        <f t="shared" si="11"/>
        <v>5.7358490566037732</v>
      </c>
      <c r="M65" s="67">
        <f t="shared" si="12"/>
        <v>3.7735849056603772E-2</v>
      </c>
      <c r="N65" s="3" t="s">
        <v>55</v>
      </c>
      <c r="O65" s="18">
        <v>304</v>
      </c>
      <c r="Q65" s="18" t="s">
        <v>28</v>
      </c>
      <c r="R65" s="18">
        <v>20</v>
      </c>
      <c r="S65" s="18">
        <v>0</v>
      </c>
      <c r="T65" s="18">
        <f t="shared" si="13"/>
        <v>5.65</v>
      </c>
      <c r="U65" s="18">
        <f t="shared" si="14"/>
        <v>0</v>
      </c>
      <c r="W65" s="18">
        <v>113</v>
      </c>
      <c r="Y65">
        <f t="shared" si="8"/>
        <v>64</v>
      </c>
      <c r="Z65" s="18" t="s">
        <v>28</v>
      </c>
      <c r="AA65" s="18">
        <v>20</v>
      </c>
      <c r="AB65" s="18">
        <v>0</v>
      </c>
      <c r="AC65" s="18">
        <f t="shared" si="15"/>
        <v>5.65</v>
      </c>
      <c r="AD65" s="18">
        <v>113</v>
      </c>
      <c r="AE65" s="18">
        <f t="shared" si="16"/>
        <v>0</v>
      </c>
    </row>
    <row r="66" spans="9:31" x14ac:dyDescent="0.25">
      <c r="Q66" s="18" t="s">
        <v>401</v>
      </c>
      <c r="R66" s="18">
        <v>56</v>
      </c>
      <c r="S66" s="18">
        <v>3</v>
      </c>
      <c r="T66" s="18">
        <f t="shared" si="13"/>
        <v>5.6785714285714288</v>
      </c>
      <c r="U66" s="18">
        <f t="shared" si="14"/>
        <v>5.3571428571428568E-2</v>
      </c>
      <c r="W66" s="18">
        <v>318</v>
      </c>
      <c r="Y66">
        <f t="shared" si="8"/>
        <v>65</v>
      </c>
      <c r="Z66" s="18" t="s">
        <v>401</v>
      </c>
      <c r="AA66" s="18">
        <v>57</v>
      </c>
      <c r="AB66" s="18">
        <v>3</v>
      </c>
      <c r="AC66" s="18">
        <f t="shared" ref="AC66:AC97" si="17">AD66/AA66</f>
        <v>5.6842105263157894</v>
      </c>
      <c r="AD66" s="18">
        <v>324</v>
      </c>
      <c r="AE66" s="18">
        <f t="shared" si="16"/>
        <v>5.2631578947368418E-2</v>
      </c>
    </row>
    <row r="1048576" spans="14:14" x14ac:dyDescent="0.25">
      <c r="N1048576" s="3"/>
    </row>
  </sheetData>
  <sortState ref="Z2:AE66">
    <sortCondition ref="AC2:AC66"/>
  </sortState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tabSelected="1" topLeftCell="B1" workbookViewId="0">
      <selection activeCell="N23" sqref="N23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s="68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72">
        <v>6</v>
      </c>
      <c r="J2" s="72" t="s">
        <v>125</v>
      </c>
      <c r="K2" s="72" t="s">
        <v>501</v>
      </c>
    </row>
    <row r="3" spans="1:26" x14ac:dyDescent="0.25">
      <c r="A3">
        <f t="shared" ref="A3:A35" si="1">ROW(A3)-1</f>
        <v>2</v>
      </c>
      <c r="B3" s="68" t="s">
        <v>175</v>
      </c>
      <c r="E3" s="36">
        <f t="shared" si="0"/>
        <v>2</v>
      </c>
      <c r="F3" s="36" t="s">
        <v>35</v>
      </c>
      <c r="G3" s="36" t="s">
        <v>497</v>
      </c>
      <c r="I3" s="72">
        <v>2</v>
      </c>
      <c r="J3" s="72" t="s">
        <v>35</v>
      </c>
      <c r="K3" s="72" t="s">
        <v>497</v>
      </c>
    </row>
    <row r="4" spans="1:26" x14ac:dyDescent="0.25">
      <c r="A4">
        <f t="shared" si="1"/>
        <v>3</v>
      </c>
      <c r="B4" s="68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72">
        <v>8</v>
      </c>
      <c r="J4" s="72" t="s">
        <v>58</v>
      </c>
      <c r="K4" s="72" t="s">
        <v>503</v>
      </c>
    </row>
    <row r="5" spans="1:26" x14ac:dyDescent="0.25">
      <c r="A5">
        <f t="shared" si="1"/>
        <v>4</v>
      </c>
      <c r="B5" s="68" t="s">
        <v>52</v>
      </c>
      <c r="E5" s="36">
        <f t="shared" si="0"/>
        <v>4</v>
      </c>
      <c r="F5" s="36" t="s">
        <v>121</v>
      </c>
      <c r="G5" s="36" t="s">
        <v>499</v>
      </c>
      <c r="I5" s="72">
        <v>7</v>
      </c>
      <c r="J5" s="72" t="s">
        <v>22</v>
      </c>
      <c r="K5" s="72" t="s">
        <v>502</v>
      </c>
    </row>
    <row r="6" spans="1:26" x14ac:dyDescent="0.25">
      <c r="A6">
        <f t="shared" si="1"/>
        <v>5</v>
      </c>
      <c r="B6" s="68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71">
        <v>4</v>
      </c>
      <c r="J6" s="71" t="s">
        <v>121</v>
      </c>
      <c r="K6" s="71" t="s">
        <v>499</v>
      </c>
      <c r="O6" s="72">
        <v>7</v>
      </c>
      <c r="P6" s="72" t="s">
        <v>22</v>
      </c>
      <c r="Q6" s="72" t="s">
        <v>502</v>
      </c>
    </row>
    <row r="7" spans="1:26" x14ac:dyDescent="0.25">
      <c r="A7">
        <f t="shared" si="1"/>
        <v>6</v>
      </c>
      <c r="B7" s="68" t="s">
        <v>148</v>
      </c>
      <c r="E7" s="36">
        <f t="shared" si="0"/>
        <v>6</v>
      </c>
      <c r="F7" s="36" t="s">
        <v>125</v>
      </c>
      <c r="G7" s="36" t="s">
        <v>501</v>
      </c>
      <c r="I7" s="71">
        <v>1</v>
      </c>
      <c r="J7" s="71" t="s">
        <v>128</v>
      </c>
      <c r="K7" s="71" t="s">
        <v>496</v>
      </c>
      <c r="O7" s="72">
        <v>8</v>
      </c>
      <c r="P7" s="72" t="s">
        <v>58</v>
      </c>
      <c r="Q7" s="72" t="s">
        <v>503</v>
      </c>
    </row>
    <row r="8" spans="1:26" x14ac:dyDescent="0.25">
      <c r="A8">
        <f t="shared" si="1"/>
        <v>7</v>
      </c>
      <c r="B8" s="68" t="s">
        <v>10</v>
      </c>
      <c r="E8" s="36">
        <f t="shared" si="0"/>
        <v>7</v>
      </c>
      <c r="F8" s="36" t="s">
        <v>22</v>
      </c>
      <c r="G8" s="36" t="s">
        <v>502</v>
      </c>
      <c r="I8" s="71">
        <v>5</v>
      </c>
      <c r="J8" s="71" t="s">
        <v>232</v>
      </c>
      <c r="K8" s="71" t="s">
        <v>500</v>
      </c>
      <c r="O8" s="72">
        <v>2</v>
      </c>
      <c r="P8" s="72" t="s">
        <v>35</v>
      </c>
      <c r="Q8" s="72" t="s">
        <v>497</v>
      </c>
    </row>
    <row r="9" spans="1:26" x14ac:dyDescent="0.25">
      <c r="A9">
        <f t="shared" si="1"/>
        <v>8</v>
      </c>
      <c r="B9" s="68" t="s">
        <v>29</v>
      </c>
      <c r="E9" s="36">
        <f t="shared" si="0"/>
        <v>8</v>
      </c>
      <c r="F9" s="36" t="s">
        <v>58</v>
      </c>
      <c r="G9" s="36" t="s">
        <v>503</v>
      </c>
      <c r="I9" s="71">
        <v>3</v>
      </c>
      <c r="J9" s="71" t="s">
        <v>147</v>
      </c>
      <c r="K9" s="71" t="s">
        <v>498</v>
      </c>
      <c r="O9" s="72">
        <v>12</v>
      </c>
      <c r="P9" s="72" t="s">
        <v>15</v>
      </c>
      <c r="Q9" s="72" t="s">
        <v>507</v>
      </c>
    </row>
    <row r="10" spans="1:26" x14ac:dyDescent="0.25">
      <c r="A10">
        <f t="shared" si="1"/>
        <v>9</v>
      </c>
      <c r="B10" s="68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72">
        <v>13</v>
      </c>
      <c r="J10" s="72" t="s">
        <v>24</v>
      </c>
      <c r="K10" s="72" t="s">
        <v>508</v>
      </c>
      <c r="O10" s="71">
        <v>16</v>
      </c>
      <c r="P10" s="71" t="s">
        <v>25</v>
      </c>
      <c r="Q10" s="71" t="s">
        <v>511</v>
      </c>
      <c r="X10" s="72">
        <v>8</v>
      </c>
      <c r="Y10" s="72" t="s">
        <v>58</v>
      </c>
      <c r="Z10" s="72" t="s">
        <v>503</v>
      </c>
    </row>
    <row r="11" spans="1:26" x14ac:dyDescent="0.25">
      <c r="A11">
        <f t="shared" si="1"/>
        <v>10</v>
      </c>
      <c r="B11" s="68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72">
        <v>10</v>
      </c>
      <c r="J11" s="72" t="s">
        <v>122</v>
      </c>
      <c r="K11" s="72" t="s">
        <v>505</v>
      </c>
      <c r="O11" s="71">
        <v>13</v>
      </c>
      <c r="P11" s="71" t="s">
        <v>24</v>
      </c>
      <c r="Q11" s="71" t="s">
        <v>508</v>
      </c>
      <c r="X11" s="72">
        <v>2</v>
      </c>
      <c r="Y11" s="72" t="s">
        <v>35</v>
      </c>
      <c r="Z11" s="72" t="s">
        <v>497</v>
      </c>
    </row>
    <row r="12" spans="1:26" x14ac:dyDescent="0.25">
      <c r="A12">
        <f t="shared" si="1"/>
        <v>11</v>
      </c>
      <c r="B12" s="68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72">
        <v>12</v>
      </c>
      <c r="J12" s="72" t="s">
        <v>15</v>
      </c>
      <c r="K12" s="72" t="s">
        <v>507</v>
      </c>
      <c r="O12" s="71">
        <v>6</v>
      </c>
      <c r="P12" s="71" t="s">
        <v>125</v>
      </c>
      <c r="Q12" s="71" t="s">
        <v>501</v>
      </c>
      <c r="X12" s="71">
        <v>13</v>
      </c>
      <c r="Y12" s="71" t="s">
        <v>24</v>
      </c>
      <c r="Z12" s="71" t="s">
        <v>508</v>
      </c>
    </row>
    <row r="13" spans="1:26" x14ac:dyDescent="0.25">
      <c r="A13">
        <f t="shared" si="1"/>
        <v>12</v>
      </c>
      <c r="B13" s="68" t="s">
        <v>3</v>
      </c>
      <c r="E13" s="36">
        <f t="shared" si="0"/>
        <v>12</v>
      </c>
      <c r="F13" s="36" t="s">
        <v>15</v>
      </c>
      <c r="G13" s="36" t="s">
        <v>507</v>
      </c>
      <c r="I13" s="72">
        <v>16</v>
      </c>
      <c r="J13" s="72" t="s">
        <v>25</v>
      </c>
      <c r="K13" s="72" t="s">
        <v>511</v>
      </c>
      <c r="O13" s="71">
        <v>10</v>
      </c>
      <c r="P13" s="71" t="s">
        <v>122</v>
      </c>
      <c r="Q13" s="71" t="s">
        <v>505</v>
      </c>
      <c r="X13" s="72">
        <v>7</v>
      </c>
      <c r="Y13" s="72" t="s">
        <v>22</v>
      </c>
      <c r="Z13" s="72" t="s">
        <v>502</v>
      </c>
    </row>
    <row r="14" spans="1:26" x14ac:dyDescent="0.25">
      <c r="A14">
        <f t="shared" si="1"/>
        <v>13</v>
      </c>
      <c r="B14" s="68" t="s">
        <v>116</v>
      </c>
      <c r="E14" s="36">
        <f t="shared" si="0"/>
        <v>13</v>
      </c>
      <c r="F14" s="36" t="s">
        <v>24</v>
      </c>
      <c r="G14" s="36" t="s">
        <v>508</v>
      </c>
      <c r="I14" s="71">
        <v>14</v>
      </c>
      <c r="J14" s="71" t="s">
        <v>78</v>
      </c>
      <c r="K14" s="71" t="s">
        <v>509</v>
      </c>
      <c r="X14" s="71">
        <v>10</v>
      </c>
      <c r="Y14" s="71" t="s">
        <v>122</v>
      </c>
      <c r="Z14" s="71" t="s">
        <v>505</v>
      </c>
    </row>
    <row r="15" spans="1:26" x14ac:dyDescent="0.25">
      <c r="A15">
        <f t="shared" si="1"/>
        <v>14</v>
      </c>
      <c r="B15" s="68" t="s">
        <v>7</v>
      </c>
      <c r="E15" s="36">
        <f t="shared" si="0"/>
        <v>14</v>
      </c>
      <c r="F15" s="36" t="s">
        <v>78</v>
      </c>
      <c r="G15" s="36" t="s">
        <v>509</v>
      </c>
      <c r="I15" s="71">
        <v>11</v>
      </c>
      <c r="J15" s="71" t="s">
        <v>21</v>
      </c>
      <c r="K15" s="71" t="s">
        <v>506</v>
      </c>
      <c r="X15" s="71">
        <v>15</v>
      </c>
      <c r="Y15" s="71" t="s">
        <v>87</v>
      </c>
      <c r="Z15" s="71" t="s">
        <v>510</v>
      </c>
    </row>
    <row r="16" spans="1:26" x14ac:dyDescent="0.25">
      <c r="A16">
        <f t="shared" si="1"/>
        <v>15</v>
      </c>
      <c r="B16" s="68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71">
        <v>9</v>
      </c>
      <c r="J16" s="71" t="s">
        <v>104</v>
      </c>
      <c r="K16" s="71" t="s">
        <v>504</v>
      </c>
      <c r="X16" s="72">
        <v>12</v>
      </c>
      <c r="Y16" s="72" t="s">
        <v>15</v>
      </c>
      <c r="Z16" s="72" t="s">
        <v>507</v>
      </c>
    </row>
    <row r="17" spans="1:26" x14ac:dyDescent="0.25">
      <c r="A17">
        <f t="shared" si="1"/>
        <v>16</v>
      </c>
      <c r="B17" s="68" t="s">
        <v>2</v>
      </c>
      <c r="E17" s="36">
        <f t="shared" si="0"/>
        <v>16</v>
      </c>
      <c r="F17" s="36" t="s">
        <v>25</v>
      </c>
      <c r="G17" s="36" t="s">
        <v>511</v>
      </c>
      <c r="I17" s="71">
        <v>15</v>
      </c>
      <c r="J17" s="71" t="s">
        <v>87</v>
      </c>
      <c r="K17" s="71" t="s">
        <v>510</v>
      </c>
      <c r="X17" s="71">
        <v>1</v>
      </c>
      <c r="Y17" s="71" t="s">
        <v>128</v>
      </c>
      <c r="Z17" s="71" t="s">
        <v>496</v>
      </c>
    </row>
    <row r="18" spans="1:26" x14ac:dyDescent="0.25">
      <c r="A18">
        <f t="shared" si="1"/>
        <v>17</v>
      </c>
      <c r="B18" s="68" t="s">
        <v>58</v>
      </c>
      <c r="C18" t="s">
        <v>503</v>
      </c>
      <c r="U18" s="71">
        <v>1</v>
      </c>
      <c r="V18" s="71" t="s">
        <v>128</v>
      </c>
      <c r="W18" s="71" t="s">
        <v>496</v>
      </c>
    </row>
    <row r="19" spans="1:26" x14ac:dyDescent="0.25">
      <c r="A19">
        <f t="shared" si="1"/>
        <v>18</v>
      </c>
      <c r="B19" s="68" t="s">
        <v>9</v>
      </c>
      <c r="U19" s="71">
        <v>10</v>
      </c>
      <c r="V19" s="71" t="s">
        <v>122</v>
      </c>
      <c r="W19" s="71" t="s">
        <v>505</v>
      </c>
    </row>
    <row r="20" spans="1:26" x14ac:dyDescent="0.25">
      <c r="A20">
        <f t="shared" si="1"/>
        <v>19</v>
      </c>
      <c r="B20" s="68" t="s">
        <v>0</v>
      </c>
      <c r="U20" s="71">
        <v>15</v>
      </c>
      <c r="V20" s="71" t="s">
        <v>87</v>
      </c>
      <c r="W20" s="71" t="s">
        <v>510</v>
      </c>
    </row>
    <row r="21" spans="1:26" x14ac:dyDescent="0.25">
      <c r="A21">
        <f t="shared" si="1"/>
        <v>20</v>
      </c>
      <c r="B21" s="68" t="s">
        <v>112</v>
      </c>
      <c r="U21" s="71">
        <v>13</v>
      </c>
      <c r="V21" s="71" t="s">
        <v>24</v>
      </c>
      <c r="W21" s="71" t="s">
        <v>508</v>
      </c>
    </row>
    <row r="22" spans="1:26" x14ac:dyDescent="0.25">
      <c r="A22">
        <f t="shared" si="1"/>
        <v>21</v>
      </c>
      <c r="B22" s="68" t="s">
        <v>63</v>
      </c>
      <c r="U22" s="75">
        <v>3</v>
      </c>
      <c r="V22" s="75" t="s">
        <v>147</v>
      </c>
      <c r="W22" s="75" t="s">
        <v>498</v>
      </c>
    </row>
    <row r="23" spans="1:26" x14ac:dyDescent="0.25">
      <c r="A23">
        <f t="shared" si="1"/>
        <v>22</v>
      </c>
      <c r="B23" s="68" t="s">
        <v>104</v>
      </c>
      <c r="C23" t="s">
        <v>504</v>
      </c>
      <c r="U23" s="75">
        <v>6</v>
      </c>
      <c r="V23" s="75" t="s">
        <v>125</v>
      </c>
      <c r="W23" s="75" t="s">
        <v>501</v>
      </c>
    </row>
    <row r="24" spans="1:26" x14ac:dyDescent="0.25">
      <c r="A24">
        <f t="shared" si="1"/>
        <v>23</v>
      </c>
      <c r="B24" s="68" t="s">
        <v>50</v>
      </c>
      <c r="U24" s="75">
        <v>4</v>
      </c>
      <c r="V24" s="75" t="s">
        <v>121</v>
      </c>
      <c r="W24" s="75" t="s">
        <v>499</v>
      </c>
    </row>
    <row r="25" spans="1:26" x14ac:dyDescent="0.25">
      <c r="A25">
        <f t="shared" si="1"/>
        <v>24</v>
      </c>
      <c r="B25" s="68" t="s">
        <v>139</v>
      </c>
      <c r="U25" s="75">
        <v>16</v>
      </c>
      <c r="V25" s="75" t="s">
        <v>25</v>
      </c>
      <c r="W25" s="75" t="s">
        <v>511</v>
      </c>
    </row>
    <row r="26" spans="1:26" x14ac:dyDescent="0.25">
      <c r="A26">
        <f t="shared" si="1"/>
        <v>25</v>
      </c>
      <c r="B26" s="68" t="s">
        <v>122</v>
      </c>
      <c r="C26" t="s">
        <v>505</v>
      </c>
      <c r="R26" s="71">
        <v>1</v>
      </c>
      <c r="S26" s="71" t="s">
        <v>128</v>
      </c>
      <c r="T26" s="71" t="s">
        <v>496</v>
      </c>
    </row>
    <row r="27" spans="1:26" x14ac:dyDescent="0.25">
      <c r="A27">
        <f t="shared" si="1"/>
        <v>26</v>
      </c>
      <c r="B27" s="68" t="s">
        <v>115</v>
      </c>
      <c r="R27" s="71">
        <v>3</v>
      </c>
      <c r="S27" s="71" t="s">
        <v>147</v>
      </c>
      <c r="T27" s="71" t="s">
        <v>498</v>
      </c>
    </row>
    <row r="28" spans="1:26" x14ac:dyDescent="0.25">
      <c r="A28">
        <f t="shared" si="1"/>
        <v>27</v>
      </c>
      <c r="B28" s="68" t="s">
        <v>21</v>
      </c>
      <c r="C28" t="s">
        <v>506</v>
      </c>
      <c r="R28" s="71">
        <v>4</v>
      </c>
      <c r="S28" s="71" t="s">
        <v>121</v>
      </c>
      <c r="T28" s="71" t="s">
        <v>499</v>
      </c>
    </row>
    <row r="29" spans="1:26" x14ac:dyDescent="0.25">
      <c r="A29">
        <f t="shared" si="1"/>
        <v>28</v>
      </c>
      <c r="B29" s="68" t="s">
        <v>123</v>
      </c>
      <c r="R29" s="71">
        <v>15</v>
      </c>
      <c r="S29" s="71" t="s">
        <v>87</v>
      </c>
      <c r="T29" s="71" t="s">
        <v>510</v>
      </c>
    </row>
    <row r="30" spans="1:26" x14ac:dyDescent="0.25">
      <c r="A30">
        <f t="shared" si="1"/>
        <v>29</v>
      </c>
      <c r="B30" s="68" t="s">
        <v>27</v>
      </c>
      <c r="R30" s="75">
        <v>9</v>
      </c>
      <c r="S30" s="75" t="s">
        <v>104</v>
      </c>
      <c r="T30" s="75" t="s">
        <v>504</v>
      </c>
    </row>
    <row r="31" spans="1:26" x14ac:dyDescent="0.25">
      <c r="A31">
        <f t="shared" si="1"/>
        <v>30</v>
      </c>
      <c r="B31" s="68" t="s">
        <v>129</v>
      </c>
      <c r="R31" s="75">
        <v>5</v>
      </c>
      <c r="S31" s="75" t="s">
        <v>232</v>
      </c>
      <c r="T31" s="75" t="s">
        <v>500</v>
      </c>
    </row>
    <row r="32" spans="1:26" x14ac:dyDescent="0.25">
      <c r="A32">
        <f t="shared" si="1"/>
        <v>31</v>
      </c>
      <c r="B32" s="68" t="s">
        <v>8</v>
      </c>
      <c r="R32" s="75">
        <v>20</v>
      </c>
      <c r="S32" s="75" t="s">
        <v>110</v>
      </c>
      <c r="T32" s="75" t="s">
        <v>514</v>
      </c>
    </row>
    <row r="33" spans="1:20" x14ac:dyDescent="0.25">
      <c r="A33">
        <f t="shared" si="1"/>
        <v>32</v>
      </c>
      <c r="B33" s="68" t="s">
        <v>15</v>
      </c>
      <c r="C33" t="s">
        <v>507</v>
      </c>
      <c r="R33" s="74">
        <v>21</v>
      </c>
      <c r="S33" s="74" t="s">
        <v>30</v>
      </c>
      <c r="T33" s="74" t="s">
        <v>515</v>
      </c>
    </row>
    <row r="34" spans="1:20" x14ac:dyDescent="0.25">
      <c r="A34">
        <f t="shared" si="1"/>
        <v>33</v>
      </c>
      <c r="B34" s="68" t="s">
        <v>24</v>
      </c>
      <c r="C34" t="s">
        <v>508</v>
      </c>
      <c r="O34" s="71">
        <v>9</v>
      </c>
      <c r="P34" s="71" t="s">
        <v>104</v>
      </c>
      <c r="Q34" s="71" t="s">
        <v>504</v>
      </c>
    </row>
    <row r="35" spans="1:20" x14ac:dyDescent="0.25">
      <c r="A35">
        <f t="shared" si="1"/>
        <v>34</v>
      </c>
      <c r="B35" s="68" t="s">
        <v>78</v>
      </c>
      <c r="C35" t="s">
        <v>509</v>
      </c>
      <c r="O35" s="73">
        <v>21</v>
      </c>
      <c r="P35" s="73" t="s">
        <v>30</v>
      </c>
      <c r="Q35" s="73" t="s">
        <v>515</v>
      </c>
    </row>
    <row r="36" spans="1:20" x14ac:dyDescent="0.25">
      <c r="A36">
        <f t="shared" ref="A36:A71" si="2">ROW(A36)-1</f>
        <v>35</v>
      </c>
      <c r="B36" s="68" t="s">
        <v>5</v>
      </c>
      <c r="O36" s="71">
        <v>20</v>
      </c>
      <c r="P36" s="71" t="s">
        <v>110</v>
      </c>
      <c r="Q36" s="71" t="s">
        <v>514</v>
      </c>
    </row>
    <row r="37" spans="1:20" x14ac:dyDescent="0.25">
      <c r="A37">
        <f t="shared" si="2"/>
        <v>36</v>
      </c>
      <c r="B37" s="68" t="s">
        <v>428</v>
      </c>
      <c r="O37" s="71">
        <v>15</v>
      </c>
      <c r="P37" s="71" t="s">
        <v>87</v>
      </c>
      <c r="Q37" s="71" t="s">
        <v>510</v>
      </c>
    </row>
    <row r="38" spans="1:20" x14ac:dyDescent="0.25">
      <c r="A38">
        <f t="shared" si="2"/>
        <v>37</v>
      </c>
      <c r="B38" s="68" t="s">
        <v>79</v>
      </c>
      <c r="O38" s="75">
        <v>14</v>
      </c>
      <c r="P38" s="75" t="s">
        <v>78</v>
      </c>
      <c r="Q38" s="75" t="s">
        <v>509</v>
      </c>
    </row>
    <row r="39" spans="1:20" x14ac:dyDescent="0.25">
      <c r="A39">
        <f t="shared" si="2"/>
        <v>38</v>
      </c>
      <c r="B39" s="68" t="s">
        <v>1</v>
      </c>
      <c r="O39" s="75">
        <v>18</v>
      </c>
      <c r="P39" s="75" t="s">
        <v>105</v>
      </c>
      <c r="Q39" s="75" t="s">
        <v>33</v>
      </c>
    </row>
    <row r="40" spans="1:20" x14ac:dyDescent="0.25">
      <c r="A40">
        <f t="shared" si="2"/>
        <v>39</v>
      </c>
      <c r="B40" s="68" t="s">
        <v>14</v>
      </c>
      <c r="O40" s="75">
        <v>11</v>
      </c>
      <c r="P40" s="75" t="s">
        <v>21</v>
      </c>
      <c r="Q40" s="75" t="s">
        <v>506</v>
      </c>
    </row>
    <row r="41" spans="1:20" x14ac:dyDescent="0.25">
      <c r="A41">
        <f t="shared" si="2"/>
        <v>40</v>
      </c>
      <c r="B41" s="68" t="s">
        <v>13</v>
      </c>
      <c r="O41" s="74">
        <v>23</v>
      </c>
      <c r="P41" s="74" t="s">
        <v>49</v>
      </c>
      <c r="Q41" s="74" t="s">
        <v>517</v>
      </c>
    </row>
    <row r="42" spans="1:20" x14ac:dyDescent="0.25">
      <c r="A42">
        <f t="shared" si="2"/>
        <v>41</v>
      </c>
      <c r="B42" s="68" t="s">
        <v>12</v>
      </c>
      <c r="E42" s="71">
        <v>17</v>
      </c>
      <c r="F42" s="32" t="s">
        <v>81</v>
      </c>
      <c r="G42" s="32" t="s">
        <v>512</v>
      </c>
      <c r="I42" s="70"/>
      <c r="J42" s="70"/>
      <c r="K42" s="70"/>
      <c r="L42" s="71">
        <v>18</v>
      </c>
      <c r="M42" s="71" t="s">
        <v>105</v>
      </c>
      <c r="N42" s="71" t="s">
        <v>33</v>
      </c>
    </row>
    <row r="43" spans="1:20" x14ac:dyDescent="0.25">
      <c r="A43">
        <f t="shared" si="2"/>
        <v>42</v>
      </c>
      <c r="B43" s="68" t="s">
        <v>87</v>
      </c>
      <c r="C43" t="s">
        <v>510</v>
      </c>
      <c r="E43" s="71">
        <v>18</v>
      </c>
      <c r="F43" s="32" t="s">
        <v>105</v>
      </c>
      <c r="G43" s="32" t="s">
        <v>33</v>
      </c>
      <c r="I43" s="70"/>
      <c r="J43" s="70"/>
      <c r="K43" s="70"/>
      <c r="L43" s="73">
        <v>21</v>
      </c>
      <c r="M43" s="73" t="s">
        <v>30</v>
      </c>
      <c r="N43" s="73" t="s">
        <v>515</v>
      </c>
    </row>
    <row r="44" spans="1:20" x14ac:dyDescent="0.25">
      <c r="A44">
        <f t="shared" si="2"/>
        <v>43</v>
      </c>
      <c r="B44" s="68" t="s">
        <v>61</v>
      </c>
      <c r="E44" s="71">
        <v>19</v>
      </c>
      <c r="F44" s="32" t="s">
        <v>26</v>
      </c>
      <c r="G44" s="32" t="s">
        <v>513</v>
      </c>
      <c r="I44" s="70"/>
      <c r="J44" s="70"/>
      <c r="K44" s="70"/>
      <c r="L44" s="73">
        <v>23</v>
      </c>
      <c r="M44" s="73" t="s">
        <v>49</v>
      </c>
      <c r="N44" s="73" t="s">
        <v>517</v>
      </c>
    </row>
    <row r="45" spans="1:20" x14ac:dyDescent="0.25">
      <c r="A45">
        <f t="shared" si="2"/>
        <v>44</v>
      </c>
      <c r="B45" s="68" t="s">
        <v>37</v>
      </c>
      <c r="E45" s="71">
        <v>20</v>
      </c>
      <c r="F45" s="32" t="s">
        <v>110</v>
      </c>
      <c r="G45" s="32" t="s">
        <v>514</v>
      </c>
      <c r="I45" s="70"/>
      <c r="J45" s="70"/>
      <c r="K45" s="70"/>
      <c r="L45" s="71">
        <v>20</v>
      </c>
      <c r="M45" s="71" t="s">
        <v>110</v>
      </c>
      <c r="N45" s="71" t="s">
        <v>514</v>
      </c>
    </row>
    <row r="46" spans="1:20" x14ac:dyDescent="0.25">
      <c r="A46">
        <f t="shared" si="2"/>
        <v>45</v>
      </c>
      <c r="B46" s="68" t="s">
        <v>51</v>
      </c>
      <c r="E46" s="71">
        <v>21</v>
      </c>
      <c r="F46" s="69" t="s">
        <v>30</v>
      </c>
      <c r="G46" s="69" t="s">
        <v>515</v>
      </c>
      <c r="I46" s="73">
        <v>24</v>
      </c>
      <c r="J46" s="73" t="s">
        <v>230</v>
      </c>
      <c r="K46" s="73" t="s">
        <v>518</v>
      </c>
      <c r="L46" s="75">
        <v>19</v>
      </c>
      <c r="M46" s="75" t="s">
        <v>26</v>
      </c>
      <c r="N46" s="75" t="s">
        <v>513</v>
      </c>
    </row>
    <row r="47" spans="1:20" x14ac:dyDescent="0.25">
      <c r="A47">
        <f t="shared" si="2"/>
        <v>46</v>
      </c>
      <c r="B47" s="68" t="s">
        <v>4</v>
      </c>
      <c r="E47" s="71">
        <v>22</v>
      </c>
      <c r="F47" s="69" t="s">
        <v>31</v>
      </c>
      <c r="G47" s="69" t="s">
        <v>516</v>
      </c>
      <c r="I47" s="73">
        <v>25</v>
      </c>
      <c r="J47" s="73" t="s">
        <v>56</v>
      </c>
      <c r="K47" s="73" t="s">
        <v>519</v>
      </c>
      <c r="L47" s="74">
        <v>25</v>
      </c>
      <c r="M47" s="74" t="s">
        <v>56</v>
      </c>
      <c r="N47" s="74" t="s">
        <v>519</v>
      </c>
    </row>
    <row r="48" spans="1:20" x14ac:dyDescent="0.25">
      <c r="A48">
        <f t="shared" si="2"/>
        <v>47</v>
      </c>
      <c r="B48" s="68" t="s">
        <v>25</v>
      </c>
      <c r="C48" t="s">
        <v>511</v>
      </c>
      <c r="E48" s="71">
        <v>23</v>
      </c>
      <c r="F48" s="69" t="s">
        <v>49</v>
      </c>
      <c r="G48" s="69" t="s">
        <v>517</v>
      </c>
      <c r="I48" s="73">
        <v>23</v>
      </c>
      <c r="J48" s="73" t="s">
        <v>49</v>
      </c>
      <c r="K48" s="73" t="s">
        <v>517</v>
      </c>
      <c r="L48" s="75">
        <v>17</v>
      </c>
      <c r="M48" s="75" t="s">
        <v>81</v>
      </c>
      <c r="N48" s="75" t="s">
        <v>512</v>
      </c>
    </row>
    <row r="49" spans="1:14" x14ac:dyDescent="0.25">
      <c r="A49">
        <f t="shared" si="2"/>
        <v>48</v>
      </c>
      <c r="B49" s="68" t="s">
        <v>81</v>
      </c>
      <c r="C49" t="s">
        <v>512</v>
      </c>
      <c r="E49" s="71">
        <v>24</v>
      </c>
      <c r="F49" s="69" t="s">
        <v>230</v>
      </c>
      <c r="G49" s="69" t="s">
        <v>518</v>
      </c>
      <c r="I49" s="73">
        <v>21</v>
      </c>
      <c r="J49" s="73" t="s">
        <v>30</v>
      </c>
      <c r="K49" s="73" t="s">
        <v>515</v>
      </c>
      <c r="L49" s="74">
        <v>24</v>
      </c>
      <c r="M49" s="74" t="s">
        <v>230</v>
      </c>
      <c r="N49" s="74" t="s">
        <v>518</v>
      </c>
    </row>
    <row r="50" spans="1:14" x14ac:dyDescent="0.25">
      <c r="A50">
        <f t="shared" si="2"/>
        <v>49</v>
      </c>
      <c r="B50" s="68" t="s">
        <v>105</v>
      </c>
      <c r="C50" t="s">
        <v>33</v>
      </c>
      <c r="E50" s="71">
        <v>25</v>
      </c>
      <c r="F50" s="69" t="s">
        <v>56</v>
      </c>
      <c r="G50" s="69" t="s">
        <v>519</v>
      </c>
      <c r="I50" s="74">
        <v>28</v>
      </c>
      <c r="J50" s="74" t="s">
        <v>401</v>
      </c>
      <c r="K50" s="74" t="s">
        <v>522</v>
      </c>
      <c r="L50" s="70"/>
      <c r="M50" s="70"/>
      <c r="N50" s="70"/>
    </row>
    <row r="51" spans="1:14" x14ac:dyDescent="0.25">
      <c r="A51">
        <f t="shared" si="2"/>
        <v>50</v>
      </c>
      <c r="B51" s="68" t="s">
        <v>99</v>
      </c>
      <c r="E51" s="71">
        <v>26</v>
      </c>
      <c r="F51" s="69" t="s">
        <v>124</v>
      </c>
      <c r="G51" s="69" t="s">
        <v>520</v>
      </c>
      <c r="I51" s="74">
        <v>27</v>
      </c>
      <c r="J51" s="74" t="s">
        <v>34</v>
      </c>
      <c r="K51" s="74" t="s">
        <v>521</v>
      </c>
      <c r="L51" s="70"/>
      <c r="M51" s="70"/>
      <c r="N51" s="70"/>
    </row>
    <row r="52" spans="1:14" x14ac:dyDescent="0.25">
      <c r="A52">
        <f t="shared" si="2"/>
        <v>51</v>
      </c>
      <c r="B52" s="68" t="s">
        <v>82</v>
      </c>
      <c r="E52" s="71">
        <v>27</v>
      </c>
      <c r="F52" s="69" t="s">
        <v>34</v>
      </c>
      <c r="G52" s="69" t="s">
        <v>521</v>
      </c>
      <c r="I52" s="74">
        <v>22</v>
      </c>
      <c r="J52" s="74" t="s">
        <v>31</v>
      </c>
      <c r="K52" s="74" t="s">
        <v>516</v>
      </c>
      <c r="L52" s="70"/>
      <c r="M52" s="70"/>
      <c r="N52" s="70"/>
    </row>
    <row r="53" spans="1:14" x14ac:dyDescent="0.25">
      <c r="A53">
        <f t="shared" si="2"/>
        <v>52</v>
      </c>
      <c r="B53" s="68" t="s">
        <v>20</v>
      </c>
      <c r="E53" s="71">
        <v>28</v>
      </c>
      <c r="F53" s="69" t="s">
        <v>401</v>
      </c>
      <c r="G53" s="69" t="s">
        <v>522</v>
      </c>
      <c r="I53" s="74">
        <v>26</v>
      </c>
      <c r="J53" s="74" t="s">
        <v>124</v>
      </c>
      <c r="K53" s="74" t="s">
        <v>520</v>
      </c>
      <c r="L53" s="70"/>
      <c r="M53" s="70"/>
      <c r="N53" s="70"/>
    </row>
    <row r="54" spans="1:14" x14ac:dyDescent="0.25">
      <c r="A54">
        <f t="shared" si="2"/>
        <v>53</v>
      </c>
      <c r="B54" s="68" t="s">
        <v>19</v>
      </c>
      <c r="F54" s="68"/>
    </row>
    <row r="55" spans="1:14" x14ac:dyDescent="0.25">
      <c r="A55">
        <f t="shared" si="2"/>
        <v>54</v>
      </c>
      <c r="B55" s="68" t="s">
        <v>26</v>
      </c>
      <c r="C55" t="s">
        <v>513</v>
      </c>
    </row>
    <row r="56" spans="1:14" x14ac:dyDescent="0.25">
      <c r="A56">
        <f t="shared" si="2"/>
        <v>55</v>
      </c>
      <c r="B56" s="68" t="s">
        <v>514</v>
      </c>
      <c r="C56" t="s">
        <v>110</v>
      </c>
    </row>
    <row r="57" spans="1:14" x14ac:dyDescent="0.25">
      <c r="A57">
        <f t="shared" si="2"/>
        <v>56</v>
      </c>
      <c r="B57" s="68" t="s">
        <v>30</v>
      </c>
      <c r="C57" t="s">
        <v>515</v>
      </c>
    </row>
    <row r="58" spans="1:14" x14ac:dyDescent="0.25">
      <c r="A58">
        <f t="shared" si="2"/>
        <v>57</v>
      </c>
      <c r="B58" s="68" t="s">
        <v>17</v>
      </c>
      <c r="F58" s="68"/>
    </row>
    <row r="59" spans="1:14" x14ac:dyDescent="0.25">
      <c r="A59">
        <f t="shared" si="2"/>
        <v>58</v>
      </c>
      <c r="B59" s="68" t="s">
        <v>404</v>
      </c>
      <c r="F59" s="68"/>
    </row>
    <row r="60" spans="1:14" x14ac:dyDescent="0.25">
      <c r="A60">
        <f t="shared" si="2"/>
        <v>59</v>
      </c>
      <c r="B60" s="68" t="s">
        <v>31</v>
      </c>
      <c r="C60" t="s">
        <v>516</v>
      </c>
    </row>
    <row r="61" spans="1:14" x14ac:dyDescent="0.25">
      <c r="A61">
        <f t="shared" si="2"/>
        <v>60</v>
      </c>
      <c r="B61" s="68" t="s">
        <v>49</v>
      </c>
      <c r="C61" t="s">
        <v>517</v>
      </c>
    </row>
    <row r="62" spans="1:14" x14ac:dyDescent="0.25">
      <c r="A62">
        <f t="shared" si="2"/>
        <v>61</v>
      </c>
      <c r="B62" s="68" t="s">
        <v>230</v>
      </c>
      <c r="C62" t="s">
        <v>518</v>
      </c>
    </row>
    <row r="63" spans="1:14" x14ac:dyDescent="0.25">
      <c r="A63">
        <f t="shared" si="2"/>
        <v>62</v>
      </c>
      <c r="B63" s="68" t="s">
        <v>253</v>
      </c>
      <c r="F63" s="68"/>
    </row>
    <row r="64" spans="1:14" x14ac:dyDescent="0.25">
      <c r="A64">
        <f t="shared" si="2"/>
        <v>63</v>
      </c>
      <c r="B64" s="68" t="s">
        <v>6</v>
      </c>
      <c r="F64" s="68"/>
    </row>
    <row r="65" spans="1:6" x14ac:dyDescent="0.25">
      <c r="A65">
        <f t="shared" si="2"/>
        <v>64</v>
      </c>
      <c r="B65" s="68" t="s">
        <v>56</v>
      </c>
      <c r="C65" t="s">
        <v>519</v>
      </c>
    </row>
    <row r="66" spans="1:6" x14ac:dyDescent="0.25">
      <c r="A66">
        <f t="shared" si="2"/>
        <v>65</v>
      </c>
      <c r="B66" s="68" t="s">
        <v>90</v>
      </c>
      <c r="F66" s="68"/>
    </row>
    <row r="67" spans="1:6" x14ac:dyDescent="0.25">
      <c r="A67">
        <f t="shared" si="2"/>
        <v>66</v>
      </c>
      <c r="B67" s="68" t="s">
        <v>124</v>
      </c>
      <c r="C67" t="s">
        <v>520</v>
      </c>
    </row>
    <row r="68" spans="1:6" x14ac:dyDescent="0.25">
      <c r="A68">
        <f t="shared" si="2"/>
        <v>67</v>
      </c>
      <c r="B68" s="68" t="s">
        <v>33</v>
      </c>
      <c r="F68" s="68"/>
    </row>
    <row r="69" spans="1:6" x14ac:dyDescent="0.25">
      <c r="A69">
        <f t="shared" si="2"/>
        <v>68</v>
      </c>
      <c r="B69" s="68" t="s">
        <v>34</v>
      </c>
      <c r="C69" t="s">
        <v>521</v>
      </c>
    </row>
    <row r="70" spans="1:6" x14ac:dyDescent="0.25">
      <c r="A70">
        <f t="shared" si="2"/>
        <v>69</v>
      </c>
      <c r="B70" s="68" t="s">
        <v>28</v>
      </c>
      <c r="F70" s="68"/>
    </row>
    <row r="71" spans="1:6" x14ac:dyDescent="0.25">
      <c r="A71">
        <f t="shared" si="2"/>
        <v>70</v>
      </c>
      <c r="B71" s="68" t="s">
        <v>401</v>
      </c>
      <c r="C71" t="s">
        <v>522</v>
      </c>
    </row>
    <row r="74" spans="1:6" x14ac:dyDescent="0.25">
      <c r="A74" t="s">
        <v>523</v>
      </c>
    </row>
    <row r="75" spans="1:6" x14ac:dyDescent="0.25">
      <c r="A75" t="s">
        <v>524</v>
      </c>
    </row>
    <row r="76" spans="1:6" x14ac:dyDescent="0.25">
      <c r="A76" t="s">
        <v>525</v>
      </c>
    </row>
    <row r="77" spans="1:6" x14ac:dyDescent="0.25">
      <c r="A77" t="s">
        <v>526</v>
      </c>
    </row>
    <row r="78" spans="1:6" x14ac:dyDescent="0.25">
      <c r="A78" t="s">
        <v>527</v>
      </c>
    </row>
    <row r="79" spans="1:6" x14ac:dyDescent="0.25">
      <c r="A79" t="s">
        <v>528</v>
      </c>
    </row>
    <row r="80" spans="1:6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2025-12-12T22:33:32Z</dcterms:modified>
</cp:coreProperties>
</file>