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AE4D17E1-1107-478C-8EFF-CB0C2D99E46E}" xr6:coauthVersionLast="47" xr6:coauthVersionMax="47" xr10:uidLastSave="{00000000-0000-0000-0000-000000000000}"/>
  <bookViews>
    <workbookView xWindow="-120" yWindow="-120" windowWidth="38640" windowHeight="211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3" l="1"/>
  <c r="L14" i="13"/>
  <c r="N52" i="13"/>
  <c r="L52" i="13"/>
  <c r="N34" i="13"/>
  <c r="L34" i="13"/>
  <c r="N60" i="13"/>
  <c r="L60" i="13"/>
  <c r="N39" i="13"/>
  <c r="L39" i="13"/>
  <c r="N61" i="13"/>
  <c r="L61" i="13"/>
  <c r="N59" i="13"/>
  <c r="L59" i="13"/>
  <c r="N46" i="13"/>
  <c r="L46" i="13"/>
  <c r="N48" i="13"/>
  <c r="L48" i="13"/>
  <c r="N23" i="13"/>
  <c r="L23" i="13"/>
  <c r="N15" i="13"/>
  <c r="L15" i="13"/>
  <c r="N36" i="13"/>
  <c r="L36" i="13"/>
  <c r="N58" i="13"/>
  <c r="L58" i="13"/>
  <c r="N45" i="13"/>
  <c r="L45" i="13"/>
  <c r="N26" i="13"/>
  <c r="L26" i="13"/>
  <c r="N22" i="13"/>
  <c r="L22" i="13"/>
  <c r="N47" i="13"/>
  <c r="L47" i="13"/>
  <c r="N18" i="13"/>
  <c r="L18" i="13"/>
  <c r="N38" i="13"/>
  <c r="L38" i="13"/>
  <c r="N32" i="13"/>
  <c r="L32" i="13"/>
  <c r="N55" i="13"/>
  <c r="L55" i="13"/>
  <c r="N42" i="13"/>
  <c r="L42" i="13"/>
  <c r="N17" i="13"/>
  <c r="L17" i="13"/>
  <c r="N40" i="13"/>
  <c r="L40" i="13"/>
  <c r="N28" i="13"/>
  <c r="L28" i="13"/>
  <c r="N44" i="13"/>
  <c r="L44" i="13"/>
  <c r="N33" i="13"/>
  <c r="L33" i="13"/>
  <c r="N64" i="13"/>
  <c r="L64" i="13"/>
  <c r="N41" i="13" l="1"/>
  <c r="L41" i="13"/>
  <c r="N62" i="13"/>
  <c r="L62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7" i="13"/>
  <c r="L37" i="13"/>
  <c r="N30" i="13"/>
  <c r="L30" i="13"/>
  <c r="N51" i="13"/>
  <c r="L51" i="13"/>
  <c r="N29" i="13"/>
  <c r="L29" i="13"/>
  <c r="N53" i="13" l="1"/>
  <c r="L53" i="13"/>
  <c r="N50" i="13"/>
  <c r="L50" i="13"/>
  <c r="N27" i="13" l="1"/>
  <c r="L27" i="13"/>
  <c r="N25" i="13" l="1"/>
  <c r="L25" i="13"/>
  <c r="N24" i="13"/>
  <c r="L24" i="13"/>
  <c r="N63" i="13"/>
  <c r="L63" i="13"/>
  <c r="F30" i="13" l="1"/>
  <c r="D30" i="13"/>
  <c r="N16" i="13" l="1"/>
  <c r="L16" i="13"/>
  <c r="N13" i="13" l="1"/>
  <c r="L13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7" i="13"/>
  <c r="L57" i="13"/>
  <c r="F71" i="13"/>
  <c r="D71" i="13"/>
  <c r="N56" i="13"/>
  <c r="L56" i="13"/>
  <c r="F70" i="13"/>
  <c r="D70" i="13"/>
  <c r="F69" i="13"/>
  <c r="D69" i="13"/>
  <c r="F68" i="13"/>
  <c r="D68" i="13"/>
  <c r="F67" i="13"/>
  <c r="D67" i="13"/>
  <c r="N54" i="13"/>
  <c r="L54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9" i="13"/>
  <c r="L49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3" i="13"/>
  <c r="L43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<sst xmlns="http://schemas.openxmlformats.org/spreadsheetml/2006/main" count="16278" uniqueCount="588">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</sst>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00"/>
  <sheetViews>
    <sheetView topLeftCell="A271" zoomScaleNormal="100" workbookViewId="0">
      <selection activeCell="S292" sqref="S292:Z30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I14" sqref="I14:N14"/>
    </sheetView>
  </sheetViews>
  <sheetFormatPr defaultRowHeight="15" x14ac:dyDescent="0.25"/>
  <sheetData>
    <row r="1" spans="1:14 16384:16384" x14ac:dyDescent="0.25">
      <c r="A1" s="1">
        <v>46100</v>
      </c>
      <c r="B1" s="1">
        <v>46100</v>
      </c>
      <c r="C1" s="1">
        <v>46101</v>
      </c>
      <c r="D1" s="1">
        <v>46101</v>
      </c>
      <c r="E1" s="1">
        <v>46101</v>
      </c>
      <c r="F1" s="1">
        <v>46107</v>
      </c>
      <c r="G1" s="1">
        <v>46107</v>
      </c>
      <c r="H1" s="1">
        <v>46107</v>
      </c>
      <c r="I1" s="1">
        <v>46107</v>
      </c>
      <c r="J1" s="1">
        <v>46108</v>
      </c>
      <c r="K1" s="1">
        <v>46108</v>
      </c>
      <c r="L1" s="1">
        <v>46109</v>
      </c>
      <c r="M1" s="1">
        <v>46109</v>
      </c>
      <c r="XFD1" s="1"/>
    </row>
    <row r="2" spans="1:14 16384:16384" x14ac:dyDescent="0.25">
      <c r="A2" t="s">
        <v>117</v>
      </c>
      <c r="B2" t="s">
        <v>78</v>
      </c>
      <c r="C2" t="s">
        <v>8</v>
      </c>
      <c r="D2" t="s">
        <v>232</v>
      </c>
      <c r="E2" t="s">
        <v>585</v>
      </c>
      <c r="F2" t="s">
        <v>58</v>
      </c>
      <c r="G2" t="s">
        <v>9</v>
      </c>
      <c r="H2" t="s">
        <v>572</v>
      </c>
      <c r="I2" t="s">
        <v>35</v>
      </c>
    </row>
    <row r="3" spans="1:14 16384:16384" x14ac:dyDescent="0.25">
      <c r="A3" t="s">
        <v>25</v>
      </c>
      <c r="B3" t="s">
        <v>232</v>
      </c>
      <c r="C3" t="s">
        <v>35</v>
      </c>
      <c r="D3" t="s">
        <v>87</v>
      </c>
      <c r="E3" t="s">
        <v>56</v>
      </c>
      <c r="F3" t="s">
        <v>9</v>
      </c>
      <c r="G3" t="s">
        <v>586</v>
      </c>
      <c r="H3" t="s">
        <v>122</v>
      </c>
      <c r="I3" t="s">
        <v>122</v>
      </c>
    </row>
    <row r="4" spans="1:14 16384:16384" x14ac:dyDescent="0.25">
      <c r="A4" t="s">
        <v>116</v>
      </c>
      <c r="B4" t="s">
        <v>123</v>
      </c>
      <c r="C4" t="s">
        <v>31</v>
      </c>
      <c r="D4" t="s">
        <v>8</v>
      </c>
      <c r="E4" t="s">
        <v>175</v>
      </c>
      <c r="F4" t="s">
        <v>25</v>
      </c>
      <c r="G4" t="s">
        <v>28</v>
      </c>
      <c r="H4" t="s">
        <v>35</v>
      </c>
      <c r="I4" t="s">
        <v>232</v>
      </c>
    </row>
    <row r="5" spans="1:14 16384:16384" x14ac:dyDescent="0.25">
      <c r="A5" t="s">
        <v>78</v>
      </c>
      <c r="B5" t="s">
        <v>25</v>
      </c>
      <c r="C5" t="s">
        <v>121</v>
      </c>
      <c r="D5" t="s">
        <v>28</v>
      </c>
      <c r="E5" t="s">
        <v>232</v>
      </c>
      <c r="F5" t="s">
        <v>31</v>
      </c>
      <c r="G5" t="s">
        <v>129</v>
      </c>
      <c r="H5" t="s">
        <v>104</v>
      </c>
      <c r="I5" t="s">
        <v>26</v>
      </c>
    </row>
    <row r="6" spans="1:14 16384:16384" x14ac:dyDescent="0.25">
      <c r="A6" t="s">
        <v>28</v>
      </c>
      <c r="B6" t="s">
        <v>117</v>
      </c>
      <c r="C6" t="s">
        <v>28</v>
      </c>
      <c r="D6" t="s">
        <v>31</v>
      </c>
      <c r="E6" t="s">
        <v>31</v>
      </c>
      <c r="F6" t="s">
        <v>10</v>
      </c>
      <c r="G6" t="s">
        <v>10</v>
      </c>
      <c r="H6" t="s">
        <v>26</v>
      </c>
      <c r="I6" t="s">
        <v>58</v>
      </c>
    </row>
    <row r="7" spans="1:14 16384:16384" x14ac:dyDescent="0.25">
      <c r="A7" t="s">
        <v>31</v>
      </c>
      <c r="B7" t="s">
        <v>31</v>
      </c>
      <c r="C7" t="s">
        <v>232</v>
      </c>
      <c r="D7" t="s">
        <v>585</v>
      </c>
      <c r="E7" t="s">
        <v>28</v>
      </c>
      <c r="F7" t="s">
        <v>19</v>
      </c>
      <c r="G7" t="s">
        <v>116</v>
      </c>
      <c r="H7" t="s">
        <v>29</v>
      </c>
      <c r="I7" t="s">
        <v>587</v>
      </c>
    </row>
    <row r="8" spans="1:14 16384:16384" x14ac:dyDescent="0.25">
      <c r="A8" t="s">
        <v>87</v>
      </c>
      <c r="B8" t="s">
        <v>28</v>
      </c>
      <c r="C8" t="s">
        <v>87</v>
      </c>
      <c r="D8" t="s">
        <v>25</v>
      </c>
      <c r="E8" t="s">
        <v>25</v>
      </c>
      <c r="F8" t="s">
        <v>28</v>
      </c>
      <c r="G8" t="s">
        <v>31</v>
      </c>
      <c r="H8" t="s">
        <v>587</v>
      </c>
      <c r="I8" t="s">
        <v>29</v>
      </c>
    </row>
    <row r="9" spans="1:14 16384:16384" x14ac:dyDescent="0.25">
      <c r="A9" t="s">
        <v>128</v>
      </c>
      <c r="B9" t="s">
        <v>87</v>
      </c>
      <c r="C9" t="s">
        <v>25</v>
      </c>
      <c r="D9" t="s">
        <v>35</v>
      </c>
      <c r="E9" t="s">
        <v>571</v>
      </c>
      <c r="F9" t="s">
        <v>586</v>
      </c>
      <c r="G9" t="s">
        <v>25</v>
      </c>
      <c r="H9" t="s">
        <v>574</v>
      </c>
      <c r="I9" t="s">
        <v>104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4 16384:16384" x14ac:dyDescent="0.25">
      <c r="A14" s="18" t="s">
        <v>104</v>
      </c>
      <c r="B14" s="18">
        <v>115</v>
      </c>
      <c r="C14" s="18">
        <v>9</v>
      </c>
      <c r="D14" s="18">
        <f t="shared" si="0"/>
        <v>4.2434782608695656</v>
      </c>
      <c r="E14" s="18">
        <v>488</v>
      </c>
      <c r="F14" s="18">
        <f t="shared" si="1"/>
        <v>7.8260869565217397E-2</v>
      </c>
      <c r="G14" s="32">
        <v>2.3273733406281498</v>
      </c>
      <c r="I14" s="18" t="s">
        <v>104</v>
      </c>
      <c r="J14" s="18">
        <v>115</v>
      </c>
      <c r="K14" s="18">
        <v>9</v>
      </c>
      <c r="L14" s="18">
        <f t="shared" si="2"/>
        <v>4.2434782608695656</v>
      </c>
      <c r="M14" s="18">
        <v>488</v>
      </c>
      <c r="N14" s="18">
        <f t="shared" si="3"/>
        <v>7.8260869565217397E-2</v>
      </c>
    </row>
    <row r="15" spans="1:14 16384:16384" x14ac:dyDescent="0.25">
      <c r="A15" s="18" t="s">
        <v>31</v>
      </c>
      <c r="B15" s="18">
        <v>219</v>
      </c>
      <c r="C15" s="18">
        <v>15</v>
      </c>
      <c r="D15" s="18">
        <f t="shared" si="0"/>
        <v>5.2100456621004563</v>
      </c>
      <c r="E15" s="18">
        <v>1141</v>
      </c>
      <c r="F15" s="18">
        <f t="shared" si="1"/>
        <v>6.8493150684931503E-2</v>
      </c>
      <c r="G15" s="32">
        <v>1.87082869338697</v>
      </c>
      <c r="I15" s="18" t="s">
        <v>31</v>
      </c>
      <c r="J15" s="18">
        <v>219</v>
      </c>
      <c r="K15" s="18">
        <v>15</v>
      </c>
      <c r="L15" s="18">
        <f t="shared" si="2"/>
        <v>5.2100456621004563</v>
      </c>
      <c r="M15" s="18">
        <v>1141</v>
      </c>
      <c r="N15" s="18">
        <f t="shared" si="3"/>
        <v>6.8493150684931503E-2</v>
      </c>
    </row>
    <row r="16" spans="1:14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8" si="4">M16/J16</f>
        <v>4.6333333333333337</v>
      </c>
      <c r="M16" s="18">
        <v>139</v>
      </c>
      <c r="N16" s="18">
        <f t="shared" ref="N16:N18" si="5">K16/J16</f>
        <v>0.13333333333333333</v>
      </c>
    </row>
    <row r="17" spans="1:14" x14ac:dyDescent="0.25">
      <c r="A17" s="18" t="s">
        <v>128</v>
      </c>
      <c r="B17" s="18">
        <v>107</v>
      </c>
      <c r="C17" s="18">
        <v>32</v>
      </c>
      <c r="D17" s="18">
        <f t="shared" si="0"/>
        <v>3.2616822429906542</v>
      </c>
      <c r="E17" s="18">
        <v>349</v>
      </c>
      <c r="F17" s="18">
        <f t="shared" si="1"/>
        <v>0.29906542056074764</v>
      </c>
      <c r="G17" s="32">
        <v>2.03049835952651</v>
      </c>
      <c r="I17" s="18" t="s">
        <v>128</v>
      </c>
      <c r="J17" s="18">
        <v>107</v>
      </c>
      <c r="K17" s="18">
        <v>32</v>
      </c>
      <c r="L17" s="18">
        <f t="shared" si="4"/>
        <v>3.2616822429906542</v>
      </c>
      <c r="M17" s="18">
        <v>349</v>
      </c>
      <c r="N17" s="18">
        <f t="shared" si="5"/>
        <v>0.29906542056074764</v>
      </c>
    </row>
    <row r="18" spans="1:14" x14ac:dyDescent="0.25">
      <c r="A18" s="18" t="s">
        <v>8</v>
      </c>
      <c r="B18" s="18">
        <v>48</v>
      </c>
      <c r="C18" s="18">
        <v>6</v>
      </c>
      <c r="D18" s="18">
        <f t="shared" si="0"/>
        <v>4.375</v>
      </c>
      <c r="E18" s="18">
        <v>210</v>
      </c>
      <c r="F18" s="18">
        <f t="shared" si="1"/>
        <v>0.125</v>
      </c>
      <c r="G18" s="32">
        <v>2.4994623077688098</v>
      </c>
      <c r="I18" s="18" t="s">
        <v>8</v>
      </c>
      <c r="J18" s="18">
        <v>48</v>
      </c>
      <c r="K18" s="18">
        <v>6</v>
      </c>
      <c r="L18" s="18">
        <f t="shared" si="4"/>
        <v>4.375</v>
      </c>
      <c r="M18" s="18">
        <v>210</v>
      </c>
      <c r="N18" s="18">
        <f t="shared" si="5"/>
        <v>0.125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31</v>
      </c>
      <c r="K22" s="18">
        <v>3</v>
      </c>
      <c r="L22" s="18">
        <f t="shared" ref="L22:L23" si="8">M22/J22</f>
        <v>5.193548387096774</v>
      </c>
      <c r="M22" s="18">
        <v>161</v>
      </c>
      <c r="N22" s="18">
        <f t="shared" ref="N22:N23" si="9">K22/J22</f>
        <v>9.6774193548387094E-2</v>
      </c>
    </row>
    <row r="23" spans="1:14" x14ac:dyDescent="0.25">
      <c r="A23" s="18" t="s">
        <v>19</v>
      </c>
      <c r="B23" s="18">
        <v>31</v>
      </c>
      <c r="C23" s="18">
        <v>3</v>
      </c>
      <c r="D23" s="18">
        <f t="shared" si="0"/>
        <v>5.193548387096774</v>
      </c>
      <c r="E23" s="18">
        <v>161</v>
      </c>
      <c r="F23" s="18">
        <f t="shared" si="1"/>
        <v>9.6774193548387094E-2</v>
      </c>
      <c r="G23" s="32">
        <v>2.3299294900428702</v>
      </c>
      <c r="I23" s="18" t="s">
        <v>25</v>
      </c>
      <c r="J23" s="18">
        <v>187</v>
      </c>
      <c r="K23" s="18">
        <v>18</v>
      </c>
      <c r="L23" s="18">
        <f t="shared" si="8"/>
        <v>5.0588235294117645</v>
      </c>
      <c r="M23" s="18">
        <v>946</v>
      </c>
      <c r="N23" s="18">
        <f t="shared" si="9"/>
        <v>9.6256684491978606E-2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141</v>
      </c>
      <c r="K26" s="18">
        <v>16</v>
      </c>
      <c r="L26" s="18">
        <f t="shared" si="10"/>
        <v>4.8865248226950353</v>
      </c>
      <c r="M26" s="18">
        <v>689</v>
      </c>
      <c r="N26" s="18">
        <f t="shared" si="11"/>
        <v>0.11347517730496454</v>
      </c>
    </row>
    <row r="27" spans="1:14" x14ac:dyDescent="0.25">
      <c r="A27" s="18" t="s">
        <v>25</v>
      </c>
      <c r="B27" s="18">
        <v>187</v>
      </c>
      <c r="C27" s="18">
        <v>18</v>
      </c>
      <c r="D27" s="18">
        <f t="shared" si="0"/>
        <v>5.0588235294117645</v>
      </c>
      <c r="E27" s="18">
        <v>946</v>
      </c>
      <c r="F27" s="18">
        <f t="shared" si="1"/>
        <v>9.6256684491978606E-2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78</v>
      </c>
      <c r="K28" s="18">
        <v>5</v>
      </c>
      <c r="L28" s="18">
        <f t="shared" si="12"/>
        <v>5.1923076923076925</v>
      </c>
      <c r="M28" s="18">
        <v>405</v>
      </c>
      <c r="N28" s="18">
        <f t="shared" si="13"/>
        <v>6.4102564102564097E-2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4">M29/J29</f>
        <v>4.5333333333333332</v>
      </c>
      <c r="M29" s="18">
        <v>136</v>
      </c>
      <c r="N29" s="18">
        <f t="shared" ref="N29" si="15">K29/J29</f>
        <v>0</v>
      </c>
    </row>
    <row r="30" spans="1:14" x14ac:dyDescent="0.25">
      <c r="A30" s="18" t="s">
        <v>87</v>
      </c>
      <c r="B30" s="18">
        <v>141</v>
      </c>
      <c r="C30" s="18">
        <v>16</v>
      </c>
      <c r="D30" s="18">
        <f t="shared" si="0"/>
        <v>4.8865248226950353</v>
      </c>
      <c r="E30" s="18">
        <v>689</v>
      </c>
      <c r="F30" s="18">
        <f t="shared" si="1"/>
        <v>0.11347517730496454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6">M30/J30</f>
        <v>4.166666666666667</v>
      </c>
      <c r="M30" s="18">
        <v>125</v>
      </c>
      <c r="N30" s="18">
        <f t="shared" ref="N30" si="17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78</v>
      </c>
      <c r="C32" s="18">
        <v>5</v>
      </c>
      <c r="D32" s="18">
        <f t="shared" si="0"/>
        <v>5.1923076923076925</v>
      </c>
      <c r="E32" s="18">
        <v>405</v>
      </c>
      <c r="F32" s="18">
        <f t="shared" si="1"/>
        <v>6.4102564102564097E-2</v>
      </c>
      <c r="G32" s="32">
        <v>1.76776695296636</v>
      </c>
      <c r="I32" s="18" t="s">
        <v>117</v>
      </c>
      <c r="J32" s="18">
        <v>30</v>
      </c>
      <c r="K32" s="18">
        <v>5</v>
      </c>
      <c r="L32" s="18">
        <f t="shared" ref="L32" si="18">M32/J32</f>
        <v>4.4333333333333336</v>
      </c>
      <c r="M32" s="18">
        <v>133</v>
      </c>
      <c r="N32" s="18">
        <f t="shared" ref="N32" si="19">K32/J32</f>
        <v>0.16666666666666666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65</v>
      </c>
      <c r="K33" s="18">
        <v>3</v>
      </c>
      <c r="L33" s="18">
        <f t="shared" ref="L33:L34" si="20">M33/J33</f>
        <v>5.4153846153846157</v>
      </c>
      <c r="M33" s="18">
        <v>352</v>
      </c>
      <c r="N33" s="18">
        <f t="shared" ref="N33:N34" si="21">K33/J33</f>
        <v>4.6153846153846156E-2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251</v>
      </c>
      <c r="K34" s="18">
        <v>38</v>
      </c>
      <c r="L34" s="18">
        <f t="shared" si="20"/>
        <v>4.5896414342629486</v>
      </c>
      <c r="M34" s="18">
        <v>1152</v>
      </c>
      <c r="N34" s="18">
        <f t="shared" si="21"/>
        <v>0.15139442231075698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30</v>
      </c>
      <c r="C36" s="18">
        <v>5</v>
      </c>
      <c r="D36" s="18">
        <f t="shared" si="0"/>
        <v>4.4333333333333336</v>
      </c>
      <c r="E36" s="18">
        <v>133</v>
      </c>
      <c r="F36" s="18">
        <f t="shared" si="1"/>
        <v>0.16666666666666666</v>
      </c>
      <c r="G36" s="32">
        <v>2.7284509239574799</v>
      </c>
      <c r="I36" s="18" t="s">
        <v>10</v>
      </c>
      <c r="J36" s="18">
        <v>69</v>
      </c>
      <c r="K36" s="18">
        <v>13</v>
      </c>
      <c r="L36" s="18">
        <f t="shared" ref="L36" si="22">M36/J36</f>
        <v>3.9275362318840581</v>
      </c>
      <c r="M36" s="18">
        <v>271</v>
      </c>
      <c r="N36" s="18">
        <f t="shared" ref="N36" si="23">K36/J36</f>
        <v>0.18840579710144928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30</v>
      </c>
      <c r="K37" s="18">
        <v>4</v>
      </c>
      <c r="L37" s="18">
        <f t="shared" ref="L37:L40" si="24">M37/J37</f>
        <v>4.8</v>
      </c>
      <c r="M37" s="18">
        <v>144</v>
      </c>
      <c r="N37" s="18">
        <f t="shared" ref="N37:N40" si="25">K37/J37</f>
        <v>0.13333333333333333</v>
      </c>
    </row>
    <row r="38" spans="1:14" x14ac:dyDescent="0.25">
      <c r="A38" s="18" t="s">
        <v>401</v>
      </c>
      <c r="B38" s="18">
        <v>65</v>
      </c>
      <c r="C38" s="18">
        <v>3</v>
      </c>
      <c r="D38" s="18">
        <f t="shared" si="0"/>
        <v>5.4153846153846157</v>
      </c>
      <c r="E38" s="18">
        <v>352</v>
      </c>
      <c r="F38" s="18">
        <f t="shared" si="1"/>
        <v>4.6153846153846156E-2</v>
      </c>
      <c r="G38" s="32">
        <v>2.1248885888797799</v>
      </c>
      <c r="I38" s="18" t="s">
        <v>121</v>
      </c>
      <c r="J38" s="18">
        <v>98</v>
      </c>
      <c r="K38" s="18">
        <v>22</v>
      </c>
      <c r="L38" s="18">
        <f t="shared" si="24"/>
        <v>3.8673469387755102</v>
      </c>
      <c r="M38" s="18">
        <v>379</v>
      </c>
      <c r="N38" s="18">
        <f t="shared" si="25"/>
        <v>0.22448979591836735</v>
      </c>
    </row>
    <row r="39" spans="1:14" x14ac:dyDescent="0.25">
      <c r="A39" s="18" t="s">
        <v>15</v>
      </c>
      <c r="B39" s="18">
        <v>251</v>
      </c>
      <c r="C39" s="18">
        <v>38</v>
      </c>
      <c r="D39" s="18">
        <f t="shared" si="0"/>
        <v>4.5896414342629486</v>
      </c>
      <c r="E39" s="18">
        <v>1152</v>
      </c>
      <c r="F39" s="18">
        <f t="shared" si="1"/>
        <v>0.15139442231075698</v>
      </c>
      <c r="G39" s="32">
        <v>2.3694389634605302</v>
      </c>
      <c r="I39" s="18" t="s">
        <v>232</v>
      </c>
      <c r="J39" s="18">
        <v>124</v>
      </c>
      <c r="K39" s="18">
        <v>22</v>
      </c>
      <c r="L39" s="18">
        <f t="shared" si="24"/>
        <v>3.806451612903226</v>
      </c>
      <c r="M39" s="18">
        <v>472</v>
      </c>
      <c r="N39" s="18">
        <f t="shared" si="25"/>
        <v>0.17741935483870969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21</v>
      </c>
      <c r="J40" s="18">
        <v>168</v>
      </c>
      <c r="K40" s="18">
        <v>25</v>
      </c>
      <c r="L40" s="18">
        <f t="shared" si="24"/>
        <v>4.3273809523809526</v>
      </c>
      <c r="M40" s="18">
        <v>727</v>
      </c>
      <c r="N40" s="18">
        <f t="shared" si="25"/>
        <v>0.14880952380952381</v>
      </c>
    </row>
    <row r="41" spans="1:14" x14ac:dyDescent="0.25">
      <c r="A41" s="18" t="s">
        <v>10</v>
      </c>
      <c r="B41" s="18">
        <v>69</v>
      </c>
      <c r="C41" s="18">
        <v>13</v>
      </c>
      <c r="D41" s="18">
        <f t="shared" si="0"/>
        <v>3.9275362318840581</v>
      </c>
      <c r="E41" s="18">
        <v>271</v>
      </c>
      <c r="F41" s="18">
        <f t="shared" si="1"/>
        <v>0.18840579710144928</v>
      </c>
      <c r="G41" s="32">
        <v>2.2086889501029501</v>
      </c>
      <c r="I41" s="18" t="s">
        <v>51</v>
      </c>
      <c r="J41" s="18">
        <v>44</v>
      </c>
      <c r="K41" s="18">
        <v>3</v>
      </c>
      <c r="L41" s="18">
        <f t="shared" ref="L41" si="26">M41/J41</f>
        <v>4.9772727272727275</v>
      </c>
      <c r="M41" s="18">
        <v>219</v>
      </c>
      <c r="N41" s="18">
        <f t="shared" ref="N41" si="27">K41/J41</f>
        <v>6.8181818181818177E-2</v>
      </c>
    </row>
    <row r="42" spans="1:14" x14ac:dyDescent="0.25">
      <c r="A42" t="s">
        <v>63</v>
      </c>
      <c r="B42">
        <v>29</v>
      </c>
      <c r="C42">
        <v>4</v>
      </c>
      <c r="D42">
        <f t="shared" si="0"/>
        <v>4.3448275862068968</v>
      </c>
      <c r="E42">
        <v>126</v>
      </c>
      <c r="F42">
        <f t="shared" si="1"/>
        <v>0.13793103448275862</v>
      </c>
      <c r="G42" s="32">
        <v>2.6394443859772201</v>
      </c>
      <c r="I42" s="18" t="s">
        <v>414</v>
      </c>
      <c r="J42" s="18">
        <v>30</v>
      </c>
      <c r="K42" s="18">
        <v>4</v>
      </c>
      <c r="L42" s="18">
        <f t="shared" ref="L42" si="28">M42/J42</f>
        <v>4.6333333333333337</v>
      </c>
      <c r="M42" s="18">
        <v>139</v>
      </c>
      <c r="N42" s="18">
        <f t="shared" ref="N42" si="29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0</v>
      </c>
      <c r="J43" s="18">
        <v>84</v>
      </c>
      <c r="K43" s="18">
        <v>14</v>
      </c>
      <c r="L43" s="18">
        <f>M43/J43</f>
        <v>4.1547619047619051</v>
      </c>
      <c r="M43" s="18">
        <v>349</v>
      </c>
      <c r="N43" s="18">
        <f>K43/J43</f>
        <v>0.16666666666666666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1</v>
      </c>
      <c r="J44" s="18">
        <v>104</v>
      </c>
      <c r="K44" s="18">
        <v>6</v>
      </c>
      <c r="L44" s="18">
        <f>M44/J44</f>
        <v>4.634615384615385</v>
      </c>
      <c r="M44" s="18">
        <v>482</v>
      </c>
      <c r="N44" s="18">
        <f>K44/J44</f>
        <v>5.7692307692307696E-2</v>
      </c>
    </row>
    <row r="45" spans="1:14" x14ac:dyDescent="0.25">
      <c r="A45" s="18" t="s">
        <v>232</v>
      </c>
      <c r="B45" s="18">
        <v>124</v>
      </c>
      <c r="C45" s="18">
        <v>22</v>
      </c>
      <c r="D45" s="18">
        <f t="shared" si="0"/>
        <v>3.806451612903226</v>
      </c>
      <c r="E45" s="18">
        <v>472</v>
      </c>
      <c r="F45" s="18">
        <f t="shared" si="1"/>
        <v>0.17741935483870969</v>
      </c>
      <c r="G45" s="32">
        <v>2.2509257354845502</v>
      </c>
      <c r="I45" s="18" t="s">
        <v>28</v>
      </c>
      <c r="J45" s="18">
        <v>40</v>
      </c>
      <c r="K45" s="18">
        <v>0</v>
      </c>
      <c r="L45" s="18">
        <f t="shared" ref="L45:L46" si="30">M45/J45</f>
        <v>5.55</v>
      </c>
      <c r="M45" s="18">
        <v>222</v>
      </c>
      <c r="N45" s="18">
        <f t="shared" ref="N45:N46" si="31">K45/J45</f>
        <v>0</v>
      </c>
    </row>
    <row r="46" spans="1:14" x14ac:dyDescent="0.25">
      <c r="A46" s="18" t="s">
        <v>21</v>
      </c>
      <c r="B46" s="18">
        <v>168</v>
      </c>
      <c r="C46" s="18">
        <v>25</v>
      </c>
      <c r="D46" s="18">
        <f t="shared" si="0"/>
        <v>4.3273809523809526</v>
      </c>
      <c r="E46" s="18">
        <v>727</v>
      </c>
      <c r="F46" s="18">
        <f t="shared" si="1"/>
        <v>0.14880952380952381</v>
      </c>
      <c r="G46" s="32">
        <v>2.0655911179772799</v>
      </c>
      <c r="I46" s="18" t="s">
        <v>253</v>
      </c>
      <c r="J46" s="18">
        <v>37</v>
      </c>
      <c r="K46" s="18">
        <v>1</v>
      </c>
      <c r="L46" s="18">
        <f t="shared" si="30"/>
        <v>5.4324324324324325</v>
      </c>
      <c r="M46" s="18">
        <v>201</v>
      </c>
      <c r="N46" s="18">
        <f t="shared" si="31"/>
        <v>2.7027027027027029E-2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175</v>
      </c>
      <c r="J47" s="18">
        <v>49</v>
      </c>
      <c r="K47" s="18">
        <v>13</v>
      </c>
      <c r="L47" s="18">
        <f t="shared" ref="L46:L48" si="32">M47/J47</f>
        <v>3.204081632653061</v>
      </c>
      <c r="M47" s="18">
        <v>157</v>
      </c>
      <c r="N47" s="18">
        <f t="shared" ref="N46:N47" si="33">K47/J47</f>
        <v>0.26530612244897961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61</v>
      </c>
      <c r="J48" s="18">
        <v>48</v>
      </c>
      <c r="K48" s="18">
        <v>9</v>
      </c>
      <c r="L48" s="18">
        <f t="shared" si="32"/>
        <v>4.8125</v>
      </c>
      <c r="M48" s="18">
        <v>231</v>
      </c>
      <c r="N48" s="18">
        <f>K48/J48</f>
        <v>0.1875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115</v>
      </c>
      <c r="J49" s="18">
        <v>39</v>
      </c>
      <c r="K49" s="18">
        <v>3</v>
      </c>
      <c r="L49" s="18">
        <f t="shared" ref="L49:L56" si="34">M49/J49</f>
        <v>4.384615384615385</v>
      </c>
      <c r="M49" s="18">
        <v>171</v>
      </c>
      <c r="N49" s="18">
        <f t="shared" ref="N49:N56" si="35">K49/J49</f>
        <v>7.6923076923076927E-2</v>
      </c>
    </row>
    <row r="50" spans="1:14" x14ac:dyDescent="0.25">
      <c r="A50" s="18" t="s">
        <v>1</v>
      </c>
      <c r="B50" s="18">
        <v>104</v>
      </c>
      <c r="C50" s="18">
        <v>6</v>
      </c>
      <c r="D50" s="18">
        <f t="shared" si="0"/>
        <v>4.634615384615385</v>
      </c>
      <c r="E50" s="18">
        <v>482</v>
      </c>
      <c r="F50" s="18">
        <f t="shared" si="1"/>
        <v>5.7692307692307696E-2</v>
      </c>
      <c r="G50" s="32">
        <v>2.0412414523193099</v>
      </c>
      <c r="I50" s="18" t="s">
        <v>24</v>
      </c>
      <c r="J50" s="18">
        <v>101</v>
      </c>
      <c r="K50" s="18">
        <v>12</v>
      </c>
      <c r="L50" s="18">
        <f t="shared" si="34"/>
        <v>4.5247524752475243</v>
      </c>
      <c r="M50" s="18">
        <v>457</v>
      </c>
      <c r="N50" s="18">
        <f t="shared" si="35"/>
        <v>0.11881188118811881</v>
      </c>
    </row>
    <row r="51" spans="1:14" x14ac:dyDescent="0.25">
      <c r="A51" s="18" t="s">
        <v>28</v>
      </c>
      <c r="B51" s="18">
        <v>40</v>
      </c>
      <c r="C51" s="18">
        <v>0</v>
      </c>
      <c r="D51" s="18">
        <f t="shared" si="0"/>
        <v>5.55</v>
      </c>
      <c r="E51" s="18">
        <v>222</v>
      </c>
      <c r="F51" s="18">
        <f t="shared" si="1"/>
        <v>0</v>
      </c>
      <c r="G51" s="32">
        <v>1.30384048104052</v>
      </c>
      <c r="I51" s="18" t="s">
        <v>30</v>
      </c>
      <c r="J51" s="18">
        <v>55</v>
      </c>
      <c r="K51" s="18">
        <v>4</v>
      </c>
      <c r="L51" s="18">
        <f t="shared" si="34"/>
        <v>5.0363636363636362</v>
      </c>
      <c r="M51" s="18">
        <v>277</v>
      </c>
      <c r="N51" s="18">
        <f t="shared" si="35"/>
        <v>7.2727272727272724E-2</v>
      </c>
    </row>
    <row r="52" spans="1:14" x14ac:dyDescent="0.25">
      <c r="A52" s="18" t="s">
        <v>253</v>
      </c>
      <c r="B52" s="18">
        <v>37</v>
      </c>
      <c r="C52" s="18">
        <v>1</v>
      </c>
      <c r="D52" s="18">
        <f t="shared" si="0"/>
        <v>5.4324324324324325</v>
      </c>
      <c r="E52" s="18">
        <v>201</v>
      </c>
      <c r="F52" s="18">
        <f t="shared" si="1"/>
        <v>2.7027027027027029E-2</v>
      </c>
      <c r="G52" s="32"/>
      <c r="I52" s="18" t="s">
        <v>29</v>
      </c>
      <c r="J52" s="18">
        <v>122</v>
      </c>
      <c r="K52" s="18">
        <v>16</v>
      </c>
      <c r="L52" s="18">
        <f t="shared" si="34"/>
        <v>4.0163934426229506</v>
      </c>
      <c r="M52" s="18">
        <v>490</v>
      </c>
      <c r="N52" s="18">
        <f t="shared" si="35"/>
        <v>0.13114754098360656</v>
      </c>
    </row>
    <row r="53" spans="1:14" x14ac:dyDescent="0.25">
      <c r="A53" s="18" t="s">
        <v>175</v>
      </c>
      <c r="B53" s="18">
        <v>49</v>
      </c>
      <c r="C53" s="18">
        <v>13</v>
      </c>
      <c r="D53" s="18">
        <f t="shared" si="0"/>
        <v>3.204081632653061</v>
      </c>
      <c r="E53" s="18">
        <v>157</v>
      </c>
      <c r="F53" s="18">
        <f t="shared" si="1"/>
        <v>0.26530612244897961</v>
      </c>
      <c r="G53" s="32">
        <v>2</v>
      </c>
      <c r="I53" s="18" t="s">
        <v>148</v>
      </c>
      <c r="J53" s="18">
        <v>42</v>
      </c>
      <c r="K53" s="18">
        <v>8</v>
      </c>
      <c r="L53" s="18">
        <f t="shared" si="34"/>
        <v>3.7380952380952381</v>
      </c>
      <c r="M53" s="18">
        <v>157</v>
      </c>
      <c r="N53" s="18">
        <f t="shared" si="35"/>
        <v>0.19047619047619047</v>
      </c>
    </row>
    <row r="54" spans="1:14" x14ac:dyDescent="0.25">
      <c r="A54" s="18" t="s">
        <v>61</v>
      </c>
      <c r="B54" s="18">
        <v>48</v>
      </c>
      <c r="C54" s="18">
        <v>9</v>
      </c>
      <c r="D54" s="18">
        <f t="shared" si="0"/>
        <v>4.8125</v>
      </c>
      <c r="E54" s="18">
        <v>231</v>
      </c>
      <c r="F54" s="18">
        <f>C54/B54</f>
        <v>0.1875</v>
      </c>
      <c r="G54" s="32">
        <v>3.2403703492039302</v>
      </c>
      <c r="I54" s="18" t="s">
        <v>79</v>
      </c>
      <c r="J54" s="18">
        <v>54</v>
      </c>
      <c r="K54" s="18">
        <v>6</v>
      </c>
      <c r="L54" s="18">
        <f t="shared" si="34"/>
        <v>4.6296296296296298</v>
      </c>
      <c r="M54" s="18">
        <v>250</v>
      </c>
      <c r="N54" s="18">
        <f t="shared" si="35"/>
        <v>0.1111111111111111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123</v>
      </c>
      <c r="J55" s="18">
        <v>36</v>
      </c>
      <c r="K55" s="18">
        <v>6</v>
      </c>
      <c r="L55" s="18">
        <f t="shared" si="34"/>
        <v>4.416666666666667</v>
      </c>
      <c r="M55" s="18">
        <v>159</v>
      </c>
      <c r="N55" s="18">
        <f t="shared" si="35"/>
        <v>0.16666666666666666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22</v>
      </c>
      <c r="J56" s="18">
        <v>182</v>
      </c>
      <c r="K56" s="18">
        <v>30</v>
      </c>
      <c r="L56" s="18">
        <f t="shared" si="34"/>
        <v>4.104395604395604</v>
      </c>
      <c r="M56" s="18">
        <v>747</v>
      </c>
      <c r="N56" s="18">
        <f t="shared" si="35"/>
        <v>0.16483516483516483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33</v>
      </c>
      <c r="J57" s="18">
        <v>64</v>
      </c>
      <c r="K57" s="18">
        <v>4</v>
      </c>
      <c r="L57" s="18">
        <f t="shared" ref="L57:L64" si="36">M57/J57</f>
        <v>5.515625</v>
      </c>
      <c r="M57" s="18">
        <v>353</v>
      </c>
      <c r="N57" s="18">
        <f t="shared" ref="N57:N64" si="37">K57/J57</f>
        <v>6.25E-2</v>
      </c>
    </row>
    <row r="58" spans="1:14" x14ac:dyDescent="0.25">
      <c r="A58" t="s">
        <v>116</v>
      </c>
      <c r="B58">
        <v>22</v>
      </c>
      <c r="C58">
        <v>4</v>
      </c>
      <c r="D58">
        <f t="shared" si="0"/>
        <v>4.0909090909090908</v>
      </c>
      <c r="E58">
        <v>90</v>
      </c>
      <c r="F58">
        <f t="shared" si="1"/>
        <v>0.18181818181818182</v>
      </c>
      <c r="G58" s="32">
        <v>1.7043362064926899</v>
      </c>
      <c r="I58" s="18" t="s">
        <v>129</v>
      </c>
      <c r="J58" s="18">
        <v>43</v>
      </c>
      <c r="K58" s="18">
        <v>7</v>
      </c>
      <c r="L58" s="18">
        <f t="shared" si="36"/>
        <v>4.558139534883721</v>
      </c>
      <c r="M58" s="18">
        <v>196</v>
      </c>
      <c r="N58" s="18">
        <f t="shared" si="37"/>
        <v>0.16279069767441862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35</v>
      </c>
      <c r="J59" s="18">
        <v>169</v>
      </c>
      <c r="K59" s="18">
        <v>43</v>
      </c>
      <c r="L59" s="18">
        <f t="shared" si="36"/>
        <v>3.5502958579881656</v>
      </c>
      <c r="M59" s="18">
        <v>600</v>
      </c>
      <c r="N59" s="18">
        <f t="shared" si="37"/>
        <v>0.25443786982248523</v>
      </c>
    </row>
    <row r="60" spans="1:14" x14ac:dyDescent="0.25">
      <c r="A60" t="s">
        <v>58</v>
      </c>
      <c r="B60">
        <v>28</v>
      </c>
      <c r="C60">
        <v>6</v>
      </c>
      <c r="D60">
        <f t="shared" si="0"/>
        <v>3.6428571428571428</v>
      </c>
      <c r="E60">
        <v>102</v>
      </c>
      <c r="F60">
        <f t="shared" si="1"/>
        <v>0.21428571428571427</v>
      </c>
      <c r="G60" s="32">
        <v>2.33809038890002</v>
      </c>
      <c r="I60" s="18" t="s">
        <v>26</v>
      </c>
      <c r="J60" s="18">
        <v>87</v>
      </c>
      <c r="K60" s="18">
        <v>6</v>
      </c>
      <c r="L60" s="18">
        <f t="shared" si="36"/>
        <v>5.1839080459770113</v>
      </c>
      <c r="M60" s="18">
        <v>451</v>
      </c>
      <c r="N60" s="18">
        <f t="shared" si="37"/>
        <v>6.8965517241379309E-2</v>
      </c>
    </row>
    <row r="61" spans="1:14" x14ac:dyDescent="0.25">
      <c r="A61" s="18" t="s">
        <v>30</v>
      </c>
      <c r="B61" s="18">
        <v>55</v>
      </c>
      <c r="C61" s="18">
        <v>4</v>
      </c>
      <c r="D61" s="18">
        <f t="shared" si="0"/>
        <v>5.0363636363636362</v>
      </c>
      <c r="E61" s="18">
        <v>277</v>
      </c>
      <c r="F61" s="18">
        <f t="shared" si="1"/>
        <v>7.2727272727272724E-2</v>
      </c>
      <c r="G61" s="32">
        <v>2.5226248955475601</v>
      </c>
      <c r="I61" s="18" t="s">
        <v>122</v>
      </c>
      <c r="J61" s="18">
        <v>122</v>
      </c>
      <c r="K61" s="18">
        <v>14</v>
      </c>
      <c r="L61" s="18">
        <f t="shared" si="36"/>
        <v>4.0327868852459012</v>
      </c>
      <c r="M61" s="18">
        <v>492</v>
      </c>
      <c r="N61" s="18">
        <f t="shared" si="37"/>
        <v>0.11475409836065574</v>
      </c>
    </row>
    <row r="62" spans="1:14" x14ac:dyDescent="0.25">
      <c r="A62" s="18" t="s">
        <v>29</v>
      </c>
      <c r="B62" s="18">
        <v>122</v>
      </c>
      <c r="C62" s="18">
        <v>16</v>
      </c>
      <c r="D62" s="18">
        <f t="shared" si="0"/>
        <v>4.0163934426229506</v>
      </c>
      <c r="E62" s="18">
        <v>490</v>
      </c>
      <c r="F62" s="18">
        <f t="shared" si="1"/>
        <v>0.13114754098360656</v>
      </c>
      <c r="G62" s="32">
        <v>2.0875571218153701</v>
      </c>
      <c r="I62" s="18" t="s">
        <v>49</v>
      </c>
      <c r="J62" s="18">
        <v>124</v>
      </c>
      <c r="K62" s="18">
        <v>7</v>
      </c>
      <c r="L62" s="18">
        <f t="shared" si="36"/>
        <v>5.120967741935484</v>
      </c>
      <c r="M62" s="18">
        <v>635</v>
      </c>
      <c r="N62" s="18">
        <f t="shared" si="37"/>
        <v>5.6451612903225805E-2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</v>
      </c>
      <c r="J63" s="18">
        <v>46</v>
      </c>
      <c r="K63" s="18">
        <v>7</v>
      </c>
      <c r="L63" s="18">
        <f t="shared" si="36"/>
        <v>4.1304347826086953</v>
      </c>
      <c r="M63" s="18">
        <v>190</v>
      </c>
      <c r="N63" s="18">
        <f t="shared" si="37"/>
        <v>0.15217391304347827</v>
      </c>
    </row>
    <row r="64" spans="1:14" x14ac:dyDescent="0.25">
      <c r="A64" t="s">
        <v>9</v>
      </c>
      <c r="B64">
        <v>22</v>
      </c>
      <c r="C64">
        <v>3</v>
      </c>
      <c r="D64">
        <f t="shared" si="0"/>
        <v>3.9090909090909092</v>
      </c>
      <c r="E64">
        <v>86</v>
      </c>
      <c r="F64">
        <f t="shared" si="1"/>
        <v>0.13636363636363635</v>
      </c>
      <c r="G64" s="32">
        <v>2.42097317438899</v>
      </c>
      <c r="I64" s="18" t="s">
        <v>124</v>
      </c>
      <c r="J64" s="18">
        <v>30</v>
      </c>
      <c r="K64" s="18">
        <v>1</v>
      </c>
      <c r="L64" s="18">
        <f t="shared" si="36"/>
        <v>4.9666666666666668</v>
      </c>
      <c r="M64" s="18">
        <v>149</v>
      </c>
      <c r="N64" s="18">
        <f t="shared" si="37"/>
        <v>3.3333333333333333E-2</v>
      </c>
    </row>
    <row r="65" spans="1:7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</row>
    <row r="66" spans="1:7" x14ac:dyDescent="0.25">
      <c r="A66" t="s">
        <v>428</v>
      </c>
      <c r="B66">
        <v>26</v>
      </c>
      <c r="C66">
        <v>3</v>
      </c>
      <c r="D66">
        <f t="shared" si="0"/>
        <v>4.2692307692307692</v>
      </c>
      <c r="E66">
        <v>111</v>
      </c>
      <c r="F66">
        <f t="shared" si="1"/>
        <v>0.11538461538461539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</row>
    <row r="69" spans="1:7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7" x14ac:dyDescent="0.25">
      <c r="A70" s="18" t="s">
        <v>123</v>
      </c>
      <c r="B70" s="18">
        <v>36</v>
      </c>
      <c r="C70" s="18">
        <v>6</v>
      </c>
      <c r="D70" s="18">
        <f t="shared" si="0"/>
        <v>4.416666666666667</v>
      </c>
      <c r="E70" s="18">
        <v>159</v>
      </c>
      <c r="F70" s="18">
        <f t="shared" si="1"/>
        <v>0.16666666666666666</v>
      </c>
      <c r="G70" s="32">
        <v>2</v>
      </c>
    </row>
    <row r="71" spans="1:7" x14ac:dyDescent="0.25">
      <c r="A71" t="s">
        <v>12</v>
      </c>
      <c r="B71">
        <v>20</v>
      </c>
      <c r="C71">
        <v>0</v>
      </c>
      <c r="D71">
        <f t="shared" si="0"/>
        <v>4.75</v>
      </c>
      <c r="E71">
        <v>95</v>
      </c>
      <c r="F71">
        <f t="shared" si="1"/>
        <v>0</v>
      </c>
      <c r="G71" s="32">
        <v>2.44584195260913</v>
      </c>
    </row>
    <row r="72" spans="1:7" x14ac:dyDescent="0.25">
      <c r="A72" t="s">
        <v>404</v>
      </c>
      <c r="B72">
        <v>20</v>
      </c>
      <c r="C72">
        <v>2</v>
      </c>
      <c r="D72">
        <f t="shared" si="0"/>
        <v>5.25</v>
      </c>
      <c r="E72">
        <v>105</v>
      </c>
      <c r="F72">
        <f t="shared" si="1"/>
        <v>0.1</v>
      </c>
      <c r="G72" s="32">
        <v>2.3094010767584998</v>
      </c>
    </row>
    <row r="73" spans="1:7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</row>
    <row r="76" spans="1:7" x14ac:dyDescent="0.25">
      <c r="A76" t="s">
        <v>82</v>
      </c>
      <c r="B76">
        <v>20</v>
      </c>
      <c r="C76">
        <v>0</v>
      </c>
      <c r="D76">
        <f t="shared" ref="D76:D91" si="38">E76/B76</f>
        <v>5.15</v>
      </c>
      <c r="E76">
        <v>103</v>
      </c>
      <c r="F76">
        <f>C76/B76</f>
        <v>0</v>
      </c>
      <c r="G76" s="32">
        <v>2</v>
      </c>
    </row>
    <row r="77" spans="1:7" x14ac:dyDescent="0.25">
      <c r="A77" s="18" t="s">
        <v>33</v>
      </c>
      <c r="B77" s="18">
        <v>64</v>
      </c>
      <c r="C77" s="18">
        <v>4</v>
      </c>
      <c r="D77" s="18">
        <f t="shared" si="38"/>
        <v>5.515625</v>
      </c>
      <c r="E77" s="18">
        <v>353</v>
      </c>
      <c r="F77" s="18">
        <f t="shared" ref="F77:F91" si="39">C77/B77</f>
        <v>6.25E-2</v>
      </c>
      <c r="G77" s="32">
        <v>2.14993539954627</v>
      </c>
    </row>
    <row r="78" spans="1:7" x14ac:dyDescent="0.25">
      <c r="A78" t="s">
        <v>99</v>
      </c>
      <c r="B78">
        <v>20</v>
      </c>
      <c r="C78">
        <v>2</v>
      </c>
      <c r="D78">
        <f t="shared" si="38"/>
        <v>5.05</v>
      </c>
      <c r="E78">
        <v>101</v>
      </c>
      <c r="F78">
        <f t="shared" si="39"/>
        <v>0.1</v>
      </c>
      <c r="G78" s="32">
        <v>2.6687491868330699</v>
      </c>
    </row>
    <row r="79" spans="1:7" x14ac:dyDescent="0.25">
      <c r="A79" t="s">
        <v>7</v>
      </c>
      <c r="B79">
        <v>20</v>
      </c>
      <c r="C79">
        <v>4</v>
      </c>
      <c r="D79">
        <f t="shared" si="38"/>
        <v>4.0999999999999996</v>
      </c>
      <c r="E79">
        <v>82</v>
      </c>
      <c r="F79">
        <f t="shared" si="39"/>
        <v>0.2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38"/>
        <v>4</v>
      </c>
      <c r="E80" s="41">
        <v>20</v>
      </c>
      <c r="F80" s="41">
        <f t="shared" si="39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38"/>
        <v>4.1818181818181817</v>
      </c>
      <c r="E81" s="41">
        <v>46</v>
      </c>
      <c r="F81" s="41">
        <f t="shared" si="39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43</v>
      </c>
      <c r="C82" s="18">
        <v>7</v>
      </c>
      <c r="D82" s="18">
        <f t="shared" si="38"/>
        <v>4.558139534883721</v>
      </c>
      <c r="E82" s="18">
        <v>196</v>
      </c>
      <c r="F82" s="18">
        <f t="shared" si="39"/>
        <v>0.16279069767441862</v>
      </c>
      <c r="G82" s="32">
        <v>2.1315096371664199</v>
      </c>
    </row>
    <row r="83" spans="1:7" x14ac:dyDescent="0.25">
      <c r="A83" t="s">
        <v>113</v>
      </c>
      <c r="B83">
        <v>24</v>
      </c>
      <c r="C83">
        <v>0</v>
      </c>
      <c r="D83">
        <f t="shared" si="38"/>
        <v>4.416666666666667</v>
      </c>
      <c r="E83">
        <v>106</v>
      </c>
      <c r="F83">
        <f t="shared" si="39"/>
        <v>0</v>
      </c>
      <c r="G83" s="32">
        <v>2.4899799195977401</v>
      </c>
    </row>
    <row r="84" spans="1:7" x14ac:dyDescent="0.25">
      <c r="A84" s="18" t="s">
        <v>35</v>
      </c>
      <c r="B84" s="18">
        <v>169</v>
      </c>
      <c r="C84" s="18">
        <v>43</v>
      </c>
      <c r="D84" s="18">
        <f t="shared" si="38"/>
        <v>3.5502958579881656</v>
      </c>
      <c r="E84" s="18">
        <v>600</v>
      </c>
      <c r="F84" s="18">
        <f t="shared" si="39"/>
        <v>0.25443786982248523</v>
      </c>
      <c r="G84" s="32">
        <v>2.6214406763289899</v>
      </c>
    </row>
    <row r="85" spans="1:7" x14ac:dyDescent="0.25">
      <c r="A85" s="18" t="s">
        <v>26</v>
      </c>
      <c r="B85" s="18">
        <v>87</v>
      </c>
      <c r="C85" s="18">
        <v>6</v>
      </c>
      <c r="D85" s="18">
        <f t="shared" si="38"/>
        <v>5.1839080459770113</v>
      </c>
      <c r="E85" s="18">
        <v>451</v>
      </c>
      <c r="F85" s="18">
        <f t="shared" si="39"/>
        <v>6.8965517241379309E-2</v>
      </c>
      <c r="G85" s="32">
        <v>2.4494897427831699</v>
      </c>
    </row>
    <row r="86" spans="1:7" x14ac:dyDescent="0.25">
      <c r="A86" s="18" t="s">
        <v>122</v>
      </c>
      <c r="B86" s="18">
        <v>122</v>
      </c>
      <c r="C86" s="18">
        <v>14</v>
      </c>
      <c r="D86" s="18">
        <f t="shared" si="38"/>
        <v>4.0327868852459012</v>
      </c>
      <c r="E86" s="18">
        <v>492</v>
      </c>
      <c r="F86" s="18">
        <f t="shared" si="39"/>
        <v>0.11475409836065574</v>
      </c>
      <c r="G86" s="32">
        <v>1.6329931618554501</v>
      </c>
    </row>
    <row r="87" spans="1:7" x14ac:dyDescent="0.25">
      <c r="A87" s="18" t="s">
        <v>49</v>
      </c>
      <c r="B87" s="18">
        <v>124</v>
      </c>
      <c r="C87" s="18">
        <v>7</v>
      </c>
      <c r="D87" s="18">
        <f t="shared" si="38"/>
        <v>5.120967741935484</v>
      </c>
      <c r="E87" s="18">
        <v>635</v>
      </c>
      <c r="F87" s="18">
        <f t="shared" si="39"/>
        <v>5.6451612903225805E-2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38"/>
        <v>4.1304347826086953</v>
      </c>
      <c r="E88" s="18">
        <v>190</v>
      </c>
      <c r="F88" s="18">
        <f t="shared" si="39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38"/>
        <v>4.8076923076923075</v>
      </c>
      <c r="E89">
        <v>125</v>
      </c>
      <c r="F89">
        <f t="shared" si="39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38"/>
        <v>4.1428571428571432</v>
      </c>
      <c r="E90">
        <v>116</v>
      </c>
      <c r="F90">
        <f t="shared" si="39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30</v>
      </c>
      <c r="C91" s="18">
        <v>1</v>
      </c>
      <c r="D91" s="18">
        <f t="shared" si="38"/>
        <v>4.9666666666666668</v>
      </c>
      <c r="E91" s="18">
        <v>149</v>
      </c>
      <c r="F91" s="18">
        <f t="shared" si="39"/>
        <v>3.3333333333333333E-2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xmlns:xlrd2="http://schemas.microsoft.com/office/spreadsheetml/2017/richdata2"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2026-03-27T22:10:43Z</dcterms:modified>
</cp:coreProperties>
</file>