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CBFFB449-41E3-4FC4-A187-5013F7FB2962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0" l="1"/>
  <c r="L27" i="10"/>
  <c r="N62" i="10"/>
  <c r="L62" i="10"/>
  <c r="N29" i="10"/>
  <c r="L29" i="10"/>
  <c r="N75" i="10"/>
  <c r="L75" i="10"/>
  <c r="N35" i="10"/>
  <c r="L35" i="10"/>
  <c r="N72" i="10"/>
  <c r="L72" i="10"/>
  <c r="N41" i="10"/>
  <c r="L41" i="10"/>
  <c r="N17" i="10"/>
  <c r="L17" i="10"/>
  <c r="N63" i="10"/>
  <c r="L63" i="10"/>
  <c r="N73" i="10"/>
  <c r="L73" i="10"/>
  <c r="N55" i="10"/>
  <c r="L55" i="10"/>
  <c r="N28" i="10"/>
  <c r="L28" i="10"/>
  <c r="N56" i="10"/>
  <c r="L56" i="10"/>
  <c r="N49" i="10"/>
  <c r="L49" i="10"/>
  <c r="N48" i="10"/>
  <c r="L48" i="10"/>
  <c r="N45" i="10"/>
  <c r="L45" i="10"/>
  <c r="N15" i="10"/>
  <c r="L15" i="10"/>
  <c r="N53" i="10"/>
  <c r="L53" i="10"/>
  <c r="N42" i="10"/>
  <c r="L42" i="10"/>
  <c r="N24" i="10"/>
  <c r="L24" i="10"/>
  <c r="N44" i="10"/>
  <c r="L44" i="10"/>
  <c r="N34" i="10"/>
  <c r="L34" i="10"/>
  <c r="N43" i="10"/>
  <c r="L43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51" i="10"/>
  <c r="L51" i="10"/>
  <c r="N50" i="10"/>
  <c r="L50" i="10"/>
  <c r="N14" i="10"/>
  <c r="L14" i="10"/>
  <c r="N57" i="10"/>
  <c r="L57" i="10"/>
  <c r="N40" i="10"/>
  <c r="L40" i="10"/>
  <c r="N58" i="10"/>
  <c r="L58" i="10"/>
  <c r="N61" i="10"/>
  <c r="L61" i="10"/>
  <c r="N68" i="10"/>
  <c r="L68" i="10"/>
  <c r="N31" i="10"/>
  <c r="L31" i="10"/>
  <c r="N47" i="10"/>
  <c r="L47" i="10"/>
  <c r="N66" i="10"/>
  <c r="L66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6" i="10"/>
  <c r="L46" i="10"/>
  <c r="N32" i="10"/>
  <c r="L32" i="10"/>
  <c r="N69" i="10"/>
  <c r="L69" i="10"/>
  <c r="N33" i="10"/>
  <c r="L33" i="10"/>
  <c r="N38" i="10"/>
  <c r="L38" i="10"/>
  <c r="N74" i="10"/>
  <c r="L74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<sst xmlns="http://schemas.openxmlformats.org/spreadsheetml/2006/main" count="14269" uniqueCount="496">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</sst>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30"/>
  <sheetViews>
    <sheetView topLeftCell="D196" zoomScaleNormal="100" workbookViewId="0">
      <selection activeCell="V222" sqref="V222:AA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7"/>
  <sheetViews>
    <sheetView tabSelected="1" topLeftCell="A13" workbookViewId="0">
      <selection activeCell="I27" sqref="I27:N2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45974</v>
      </c>
      <c r="B1" s="1">
        <v>45974</v>
      </c>
      <c r="C1" s="1">
        <v>45974</v>
      </c>
      <c r="D1" s="1">
        <v>45974</v>
      </c>
      <c r="E1" s="1">
        <v>45981</v>
      </c>
      <c r="F1" s="1">
        <v>45981</v>
      </c>
      <c r="G1" s="1">
        <v>45987</v>
      </c>
      <c r="H1" s="1">
        <v>45987</v>
      </c>
    </row>
    <row r="2" spans="1:19" x14ac:dyDescent="0.25">
      <c r="A2" t="s">
        <v>25</v>
      </c>
      <c r="B2" t="s">
        <v>31</v>
      </c>
      <c r="C2" t="s">
        <v>26</v>
      </c>
      <c r="D2" t="s">
        <v>15</v>
      </c>
      <c r="E2" t="s">
        <v>15</v>
      </c>
      <c r="F2" t="s">
        <v>128</v>
      </c>
    </row>
    <row r="3" spans="1:19" x14ac:dyDescent="0.25">
      <c r="A3" t="s">
        <v>147</v>
      </c>
      <c r="B3" t="s">
        <v>232</v>
      </c>
      <c r="C3" t="s">
        <v>175</v>
      </c>
      <c r="D3" t="s">
        <v>49</v>
      </c>
      <c r="E3" t="s">
        <v>123</v>
      </c>
      <c r="F3" t="s">
        <v>232</v>
      </c>
    </row>
    <row r="4" spans="1:19" x14ac:dyDescent="0.25">
      <c r="A4" t="s">
        <v>123</v>
      </c>
      <c r="B4" t="s">
        <v>25</v>
      </c>
      <c r="C4" t="s">
        <v>15</v>
      </c>
      <c r="D4" t="s">
        <v>147</v>
      </c>
      <c r="E4" t="s">
        <v>79</v>
      </c>
      <c r="F4" t="s">
        <v>35</v>
      </c>
    </row>
    <row r="5" spans="1:19" x14ac:dyDescent="0.25">
      <c r="A5" t="s">
        <v>31</v>
      </c>
      <c r="B5" t="s">
        <v>123</v>
      </c>
      <c r="C5" t="s">
        <v>36</v>
      </c>
      <c r="D5" t="s">
        <v>30</v>
      </c>
      <c r="E5" t="s">
        <v>25</v>
      </c>
      <c r="F5" t="s">
        <v>15</v>
      </c>
    </row>
    <row r="6" spans="1:19" x14ac:dyDescent="0.25">
      <c r="A6" t="s">
        <v>300</v>
      </c>
      <c r="B6" t="s">
        <v>300</v>
      </c>
      <c r="C6" t="s">
        <v>61</v>
      </c>
      <c r="D6" t="s">
        <v>110</v>
      </c>
      <c r="E6" t="s">
        <v>87</v>
      </c>
      <c r="F6" t="s">
        <v>49</v>
      </c>
    </row>
    <row r="7" spans="1:19" x14ac:dyDescent="0.25">
      <c r="A7" t="s">
        <v>1</v>
      </c>
      <c r="B7" t="s">
        <v>36</v>
      </c>
      <c r="C7" t="s">
        <v>30</v>
      </c>
      <c r="D7" t="s">
        <v>35</v>
      </c>
      <c r="E7" t="s">
        <v>49</v>
      </c>
      <c r="F7" t="s">
        <v>87</v>
      </c>
    </row>
    <row r="8" spans="1:19" x14ac:dyDescent="0.25">
      <c r="A8" t="s">
        <v>79</v>
      </c>
      <c r="B8" t="s">
        <v>79</v>
      </c>
      <c r="C8" t="s">
        <v>29</v>
      </c>
      <c r="D8" t="s">
        <v>26</v>
      </c>
      <c r="E8" t="s">
        <v>35</v>
      </c>
      <c r="F8" t="s">
        <v>79</v>
      </c>
    </row>
    <row r="9" spans="1:19" x14ac:dyDescent="0.25">
      <c r="A9" t="s">
        <v>35</v>
      </c>
      <c r="B9" t="s">
        <v>1</v>
      </c>
      <c r="C9" t="s">
        <v>49</v>
      </c>
      <c r="D9" t="s">
        <v>34</v>
      </c>
      <c r="E9" t="s">
        <v>36</v>
      </c>
      <c r="F9" t="s">
        <v>25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155</v>
      </c>
      <c r="C15" s="18">
        <v>11</v>
      </c>
      <c r="D15" s="18">
        <f t="shared" si="0"/>
        <v>5.2451612903225806</v>
      </c>
      <c r="E15" s="18">
        <v>813</v>
      </c>
      <c r="F15" s="18">
        <f t="shared" si="1"/>
        <v>7.0967741935483872E-2</v>
      </c>
      <c r="G15" s="32">
        <v>1.87082869338697</v>
      </c>
      <c r="I15" s="18" t="s">
        <v>31</v>
      </c>
      <c r="J15" s="18">
        <v>155</v>
      </c>
      <c r="K15" s="18">
        <v>11</v>
      </c>
      <c r="L15" s="18">
        <f t="shared" si="2"/>
        <v>5.2451612903225806</v>
      </c>
      <c r="M15" s="18">
        <v>813</v>
      </c>
      <c r="N15" s="18">
        <f t="shared" si="3"/>
        <v>7.0967741935483872E-2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90</v>
      </c>
      <c r="C17" s="18">
        <v>28</v>
      </c>
      <c r="D17" s="18">
        <f t="shared" si="0"/>
        <v>3.0555555555555554</v>
      </c>
      <c r="E17" s="18">
        <v>275</v>
      </c>
      <c r="F17" s="18">
        <f t="shared" si="1"/>
        <v>0.31111111111111112</v>
      </c>
      <c r="G17" s="32">
        <v>2.03049835952651</v>
      </c>
      <c r="I17" s="18" t="s">
        <v>128</v>
      </c>
      <c r="J17" s="18">
        <v>90</v>
      </c>
      <c r="K17" s="18">
        <v>28</v>
      </c>
      <c r="L17" s="18">
        <f t="shared" si="4"/>
        <v>3.0555555555555554</v>
      </c>
      <c r="M17" s="18">
        <v>275</v>
      </c>
      <c r="N17" s="18">
        <f t="shared" si="5"/>
        <v>0.31111111111111112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114</v>
      </c>
      <c r="C27" s="18">
        <v>11</v>
      </c>
      <c r="D27" s="18">
        <f t="shared" si="0"/>
        <v>4.9298245614035086</v>
      </c>
      <c r="E27" s="18">
        <v>562</v>
      </c>
      <c r="F27" s="18">
        <f t="shared" si="1"/>
        <v>9.6491228070175433E-2</v>
      </c>
      <c r="G27" s="32">
        <v>2.1609054109613202</v>
      </c>
      <c r="I27" s="18" t="s">
        <v>25</v>
      </c>
      <c r="J27" s="18">
        <v>114</v>
      </c>
      <c r="K27" s="18">
        <v>11</v>
      </c>
      <c r="L27" s="18">
        <f t="shared" ref="L27" si="6">M27/J27</f>
        <v>4.9298245614035086</v>
      </c>
      <c r="M27" s="18">
        <v>562</v>
      </c>
      <c r="N27" s="18">
        <f t="shared" ref="N27" si="7">K27/J27</f>
        <v>9.6491228070175433E-2</v>
      </c>
      <c r="S27" s="18" t="s">
        <v>392</v>
      </c>
    </row>
    <row r="28" spans="1:27" x14ac:dyDescent="0.25">
      <c r="A28" t="s">
        <v>34</v>
      </c>
      <c r="B28">
        <v>14</v>
      </c>
      <c r="C28">
        <v>1</v>
      </c>
      <c r="D28">
        <f t="shared" si="0"/>
        <v>5.6428571428571432</v>
      </c>
      <c r="E28">
        <v>79</v>
      </c>
      <c r="F28">
        <f t="shared" si="1"/>
        <v>7.1428571428571425E-2</v>
      </c>
      <c r="G28" s="32">
        <v>2.2360679774997898</v>
      </c>
      <c r="I28" s="18" t="s">
        <v>147</v>
      </c>
      <c r="J28" s="18">
        <v>95</v>
      </c>
      <c r="K28" s="18">
        <v>18</v>
      </c>
      <c r="L28" s="18">
        <f t="shared" ref="L27:L29" si="8">M28/J28</f>
        <v>3.6842105263157894</v>
      </c>
      <c r="M28" s="18">
        <v>350</v>
      </c>
      <c r="N28" s="18">
        <f t="shared" ref="N27:N29" si="9">K28/J28</f>
        <v>0.18947368421052632</v>
      </c>
      <c r="S28" s="18" t="s">
        <v>392</v>
      </c>
    </row>
    <row r="29" spans="1:27" x14ac:dyDescent="0.25">
      <c r="A29" s="18" t="s">
        <v>147</v>
      </c>
      <c r="B29" s="18">
        <v>95</v>
      </c>
      <c r="C29" s="18">
        <v>18</v>
      </c>
      <c r="D29" s="18">
        <f t="shared" si="0"/>
        <v>3.6842105263157894</v>
      </c>
      <c r="E29" s="18">
        <v>350</v>
      </c>
      <c r="F29" s="18">
        <f t="shared" si="1"/>
        <v>0.18947368421052632</v>
      </c>
      <c r="G29" s="32">
        <v>1.94935886896179</v>
      </c>
      <c r="I29" s="18" t="s">
        <v>87</v>
      </c>
      <c r="J29" s="18">
        <v>78</v>
      </c>
      <c r="K29" s="18">
        <v>11</v>
      </c>
      <c r="L29" s="18">
        <f t="shared" si="8"/>
        <v>4.833333333333333</v>
      </c>
      <c r="M29" s="18">
        <v>377</v>
      </c>
      <c r="N29" s="18">
        <f t="shared" si="9"/>
        <v>0.14102564102564102</v>
      </c>
    </row>
    <row r="30" spans="1:27" x14ac:dyDescent="0.25">
      <c r="A30" s="18" t="s">
        <v>87</v>
      </c>
      <c r="B30" s="18">
        <v>78</v>
      </c>
      <c r="C30" s="18">
        <v>11</v>
      </c>
      <c r="D30" s="18">
        <f t="shared" si="0"/>
        <v>4.833333333333333</v>
      </c>
      <c r="E30" s="18">
        <v>377</v>
      </c>
      <c r="F30" s="18">
        <f t="shared" si="1"/>
        <v>0.14102564102564102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10">M30/J30</f>
        <v>4.25</v>
      </c>
      <c r="M30" s="18">
        <v>85</v>
      </c>
      <c r="N30" s="18">
        <f t="shared" ref="N30:N35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10"/>
        <v>5</v>
      </c>
      <c r="M31" s="18">
        <v>265</v>
      </c>
      <c r="N31" s="18">
        <f t="shared" si="11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10"/>
        <v>4.2307692307692308</v>
      </c>
      <c r="M32" s="18">
        <v>110</v>
      </c>
      <c r="N32" s="18">
        <f t="shared" si="11"/>
        <v>0.19230769230769232</v>
      </c>
      <c r="S32" s="18" t="s">
        <v>392</v>
      </c>
    </row>
    <row r="33" spans="1:19" x14ac:dyDescent="0.25">
      <c r="A33" t="s">
        <v>36</v>
      </c>
      <c r="B33">
        <v>16</v>
      </c>
      <c r="C33">
        <v>0</v>
      </c>
      <c r="D33">
        <f t="shared" si="0"/>
        <v>4.75</v>
      </c>
      <c r="E33">
        <v>76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10"/>
        <v>4.4444444444444446</v>
      </c>
      <c r="M33" s="18">
        <v>160</v>
      </c>
      <c r="N33" s="18">
        <f t="shared" si="11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55</v>
      </c>
      <c r="K34" s="18">
        <v>3</v>
      </c>
      <c r="L34" s="18">
        <f t="shared" si="10"/>
        <v>5.6909090909090905</v>
      </c>
      <c r="M34" s="18">
        <v>313</v>
      </c>
      <c r="N34" s="18">
        <f t="shared" si="11"/>
        <v>5.4545454545454543E-2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214</v>
      </c>
      <c r="K35" s="18">
        <v>35</v>
      </c>
      <c r="L35" s="18">
        <f t="shared" si="10"/>
        <v>4.5</v>
      </c>
      <c r="M35" s="18">
        <v>963</v>
      </c>
      <c r="N35" s="18">
        <f t="shared" si="11"/>
        <v>0.16355140186915887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2">M36/J36</f>
        <v>4.7222222222222223</v>
      </c>
      <c r="M36" s="18">
        <v>170</v>
      </c>
      <c r="N36" s="18">
        <f t="shared" ref="N36:N38" si="13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2"/>
        <v>3.8787878787878789</v>
      </c>
      <c r="M37" s="18">
        <v>256</v>
      </c>
      <c r="N37" s="18">
        <f t="shared" si="13"/>
        <v>0.19696969696969696</v>
      </c>
    </row>
    <row r="38" spans="1:19" x14ac:dyDescent="0.25">
      <c r="A38" s="18" t="s">
        <v>401</v>
      </c>
      <c r="B38" s="18">
        <v>55</v>
      </c>
      <c r="C38" s="18">
        <v>3</v>
      </c>
      <c r="D38" s="18">
        <f t="shared" si="0"/>
        <v>5.6909090909090905</v>
      </c>
      <c r="E38" s="18">
        <v>313</v>
      </c>
      <c r="F38" s="18">
        <f t="shared" si="1"/>
        <v>5.4545454545454543E-2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2"/>
        <v>4.2380952380952381</v>
      </c>
      <c r="M38" s="18">
        <v>89</v>
      </c>
      <c r="N38" s="18">
        <f t="shared" si="13"/>
        <v>0.14285714285714285</v>
      </c>
    </row>
    <row r="39" spans="1:19" x14ac:dyDescent="0.25">
      <c r="A39" s="18" t="s">
        <v>15</v>
      </c>
      <c r="B39" s="18">
        <v>214</v>
      </c>
      <c r="C39" s="18">
        <v>35</v>
      </c>
      <c r="D39" s="18">
        <f t="shared" si="0"/>
        <v>4.5</v>
      </c>
      <c r="E39" s="18">
        <v>963</v>
      </c>
      <c r="F39" s="18">
        <f t="shared" si="1"/>
        <v>0.16355140186915887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4">M39/J39</f>
        <v>4.95</v>
      </c>
      <c r="M39" s="18">
        <v>99</v>
      </c>
      <c r="N39" s="18">
        <f t="shared" ref="N39:N45" si="15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4"/>
        <v>3.9230769230769229</v>
      </c>
      <c r="M40" s="18">
        <v>306</v>
      </c>
      <c r="N40" s="18">
        <f t="shared" si="15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69</v>
      </c>
      <c r="K41" s="18">
        <v>14</v>
      </c>
      <c r="L41" s="18">
        <f t="shared" si="14"/>
        <v>3.8695652173913042</v>
      </c>
      <c r="M41" s="18">
        <v>267</v>
      </c>
      <c r="N41" s="18">
        <f t="shared" si="15"/>
        <v>0.20289855072463769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131</v>
      </c>
      <c r="K42" s="18">
        <v>18</v>
      </c>
      <c r="L42" s="18">
        <f t="shared" si="14"/>
        <v>4.4274809160305342</v>
      </c>
      <c r="M42" s="18">
        <v>580</v>
      </c>
      <c r="N42" s="18">
        <f t="shared" si="15"/>
        <v>0.13740458015267176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4"/>
        <v>4.9189189189189193</v>
      </c>
      <c r="M43" s="18">
        <v>182</v>
      </c>
      <c r="N43" s="18">
        <f t="shared" si="15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4"/>
        <v>4.1547619047619051</v>
      </c>
      <c r="M44" s="18">
        <v>349</v>
      </c>
      <c r="N44" s="18">
        <f t="shared" si="15"/>
        <v>0.16666666666666666</v>
      </c>
      <c r="S44" s="18" t="s">
        <v>392</v>
      </c>
    </row>
    <row r="45" spans="1:19" x14ac:dyDescent="0.25">
      <c r="A45" s="18" t="s">
        <v>232</v>
      </c>
      <c r="B45" s="18">
        <v>69</v>
      </c>
      <c r="C45" s="18">
        <v>14</v>
      </c>
      <c r="D45" s="18">
        <f t="shared" si="0"/>
        <v>3.8695652173913042</v>
      </c>
      <c r="E45" s="18">
        <v>267</v>
      </c>
      <c r="F45" s="18">
        <f t="shared" si="1"/>
        <v>0.20289855072463769</v>
      </c>
      <c r="G45" s="32">
        <v>2.2509257354845502</v>
      </c>
      <c r="I45" s="18" t="s">
        <v>1</v>
      </c>
      <c r="J45" s="18">
        <v>90</v>
      </c>
      <c r="K45" s="18">
        <v>4</v>
      </c>
      <c r="L45" s="18">
        <f t="shared" si="14"/>
        <v>4.6222222222222218</v>
      </c>
      <c r="M45" s="18">
        <v>416</v>
      </c>
      <c r="N45" s="18">
        <f t="shared" si="15"/>
        <v>4.4444444444444446E-2</v>
      </c>
      <c r="S45" s="18" t="s">
        <v>392</v>
      </c>
    </row>
    <row r="46" spans="1:19" x14ac:dyDescent="0.25">
      <c r="A46" s="18" t="s">
        <v>21</v>
      </c>
      <c r="B46" s="18">
        <v>131</v>
      </c>
      <c r="C46" s="18">
        <v>18</v>
      </c>
      <c r="D46" s="18">
        <f t="shared" si="0"/>
        <v>4.4274809160305342</v>
      </c>
      <c r="E46" s="18">
        <v>580</v>
      </c>
      <c r="F46" s="18">
        <f t="shared" si="1"/>
        <v>0.13740458015267176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9" si="16">M46/J46</f>
        <v>5.65</v>
      </c>
      <c r="M46" s="18">
        <v>113</v>
      </c>
      <c r="N46" s="18">
        <f t="shared" ref="N46:N49" si="17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6"/>
        <v>5.3103448275862073</v>
      </c>
      <c r="M47" s="18">
        <v>154</v>
      </c>
      <c r="N47" s="18">
        <f t="shared" si="17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32</v>
      </c>
      <c r="K48" s="18">
        <v>8</v>
      </c>
      <c r="L48" s="18">
        <f t="shared" si="16"/>
        <v>3.28125</v>
      </c>
      <c r="M48" s="18">
        <v>105</v>
      </c>
      <c r="N48" s="18">
        <f t="shared" si="17"/>
        <v>0.25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26</v>
      </c>
      <c r="K49" s="18">
        <v>6</v>
      </c>
      <c r="L49" s="18">
        <f t="shared" si="16"/>
        <v>4.7307692307692308</v>
      </c>
      <c r="M49" s="18">
        <v>123</v>
      </c>
      <c r="N49" s="18">
        <f t="shared" si="17"/>
        <v>0.23076923076923078</v>
      </c>
    </row>
    <row r="50" spans="1:26" x14ac:dyDescent="0.25">
      <c r="A50" s="18" t="s">
        <v>1</v>
      </c>
      <c r="B50" s="18">
        <v>90</v>
      </c>
      <c r="C50" s="18">
        <v>4</v>
      </c>
      <c r="D50" s="18">
        <f t="shared" si="0"/>
        <v>4.6222222222222218</v>
      </c>
      <c r="E50" s="18">
        <v>416</v>
      </c>
      <c r="F50" s="18">
        <f t="shared" si="1"/>
        <v>4.4444444444444446E-2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18">M50/J50</f>
        <v>4.384615384615385</v>
      </c>
      <c r="M50" s="18">
        <v>171</v>
      </c>
      <c r="N50" s="18">
        <f t="shared" ref="N50:N51" si="19">K50/J50</f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8"/>
        <v>4.5287356321839081</v>
      </c>
      <c r="M51" s="18">
        <v>394</v>
      </c>
      <c r="N51" s="18">
        <f t="shared" si="19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20">M52/J52</f>
        <v>4.05</v>
      </c>
      <c r="M52" s="18">
        <v>81</v>
      </c>
      <c r="N52" s="18">
        <f t="shared" ref="N52:N53" si="21">K52/J52</f>
        <v>0.2</v>
      </c>
    </row>
    <row r="53" spans="1:26" x14ac:dyDescent="0.25">
      <c r="A53" s="18" t="s">
        <v>175</v>
      </c>
      <c r="B53" s="18">
        <v>32</v>
      </c>
      <c r="C53" s="18">
        <v>8</v>
      </c>
      <c r="D53" s="18">
        <f t="shared" si="0"/>
        <v>3.28125</v>
      </c>
      <c r="E53" s="18">
        <v>105</v>
      </c>
      <c r="F53" s="18">
        <f t="shared" si="1"/>
        <v>0.25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20"/>
        <v>4.6086956521739131</v>
      </c>
      <c r="M53" s="18">
        <v>106</v>
      </c>
      <c r="N53" s="18">
        <f t="shared" si="21"/>
        <v>4.3478260869565216E-2</v>
      </c>
    </row>
    <row r="54" spans="1:26" x14ac:dyDescent="0.25">
      <c r="A54" s="18" t="s">
        <v>61</v>
      </c>
      <c r="B54" s="18">
        <v>26</v>
      </c>
      <c r="C54" s="18">
        <v>6</v>
      </c>
      <c r="D54" s="18">
        <f t="shared" si="0"/>
        <v>4.7307692307692308</v>
      </c>
      <c r="E54" s="18">
        <v>123</v>
      </c>
      <c r="F54" s="18">
        <f t="shared" si="1"/>
        <v>0.23076923076923078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2">M54/J54</f>
        <v>4.1500000000000004</v>
      </c>
      <c r="M54" s="18">
        <v>83</v>
      </c>
      <c r="N54" s="18">
        <f t="shared" ref="N54:N57" si="23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40</v>
      </c>
      <c r="K55" s="18">
        <v>3</v>
      </c>
      <c r="L55" s="18">
        <f t="shared" si="22"/>
        <v>5.2</v>
      </c>
      <c r="M55" s="18">
        <v>208</v>
      </c>
      <c r="N55" s="18">
        <f t="shared" si="23"/>
        <v>7.4999999999999997E-2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102</v>
      </c>
      <c r="K56" s="18">
        <v>15</v>
      </c>
      <c r="L56" s="18">
        <f t="shared" si="22"/>
        <v>3.892156862745098</v>
      </c>
      <c r="M56" s="18">
        <v>397</v>
      </c>
      <c r="N56" s="18">
        <f t="shared" si="23"/>
        <v>0.14705882352941177</v>
      </c>
      <c r="S56" s="18">
        <v>1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148</v>
      </c>
      <c r="J57" s="18">
        <v>37</v>
      </c>
      <c r="K57" s="18">
        <v>8</v>
      </c>
      <c r="L57" s="18">
        <f t="shared" si="22"/>
        <v>3.7297297297297298</v>
      </c>
      <c r="M57" s="18">
        <v>138</v>
      </c>
      <c r="N57" s="18">
        <f t="shared" si="23"/>
        <v>0.21621621621621623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4">M58/J58</f>
        <v>4.1500000000000004</v>
      </c>
      <c r="M58" s="18">
        <v>83</v>
      </c>
      <c r="N58" s="18">
        <f t="shared" ref="N58" si="25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6">M59/J59</f>
        <v>4.3</v>
      </c>
      <c r="M59" s="18">
        <v>86</v>
      </c>
      <c r="N59" s="18">
        <f t="shared" ref="N59" si="27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40</v>
      </c>
      <c r="C61" s="18">
        <v>3</v>
      </c>
      <c r="D61" s="18">
        <f t="shared" si="0"/>
        <v>5.2</v>
      </c>
      <c r="E61" s="18">
        <v>208</v>
      </c>
      <c r="F61" s="18">
        <f t="shared" si="1"/>
        <v>7.4999999999999997E-2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3" si="28">M61/J61</f>
        <v>5.25</v>
      </c>
      <c r="M61" s="18">
        <v>105</v>
      </c>
      <c r="N61" s="18">
        <f t="shared" ref="N61:N63" si="29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102</v>
      </c>
      <c r="C62" s="18">
        <v>15</v>
      </c>
      <c r="D62" s="18">
        <f t="shared" si="0"/>
        <v>3.892156862745098</v>
      </c>
      <c r="E62" s="18">
        <v>397</v>
      </c>
      <c r="F62" s="18">
        <f t="shared" si="1"/>
        <v>0.14705882352941177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si="28"/>
        <v>4.6296296296296298</v>
      </c>
      <c r="M62" s="18">
        <v>250</v>
      </c>
      <c r="N62" s="18">
        <f t="shared" si="29"/>
        <v>0.1111111111111111</v>
      </c>
      <c r="S62" s="18" t="s">
        <v>392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123</v>
      </c>
      <c r="J63" s="18">
        <v>30</v>
      </c>
      <c r="K63" s="18">
        <v>4</v>
      </c>
      <c r="L63" s="18">
        <f t="shared" si="28"/>
        <v>4.4333333333333336</v>
      </c>
      <c r="M63" s="18">
        <v>133</v>
      </c>
      <c r="N63" s="18">
        <f t="shared" si="29"/>
        <v>0.13333333333333333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30">M64/J64</f>
        <v>4.75</v>
      </c>
      <c r="M64" s="18">
        <v>95</v>
      </c>
      <c r="N64" s="18">
        <f t="shared" ref="N64" si="31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174</v>
      </c>
      <c r="K66" s="18">
        <v>26</v>
      </c>
      <c r="L66" s="18">
        <f>M66/J66</f>
        <v>4.1781609195402298</v>
      </c>
      <c r="M66" s="18">
        <v>727</v>
      </c>
      <c r="N66" s="18">
        <f>K66/J66</f>
        <v>0.14942528735632185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2">M67/J67</f>
        <v>5.515625</v>
      </c>
      <c r="M67" s="18">
        <v>353</v>
      </c>
      <c r="N67" s="18">
        <f t="shared" ref="N67" si="33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4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5">M69/J69</f>
        <v>5.05</v>
      </c>
      <c r="M69" s="18">
        <v>101</v>
      </c>
      <c r="N69" s="18">
        <f t="shared" ref="N69" si="36">K69/J69</f>
        <v>0.1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7">M70/J70</f>
        <v>4.0999999999999996</v>
      </c>
      <c r="M70" s="18">
        <v>82</v>
      </c>
      <c r="N70" s="18">
        <f t="shared" ref="N70" si="38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137</v>
      </c>
      <c r="K72" s="18">
        <v>37</v>
      </c>
      <c r="L72" s="18">
        <f t="shared" ref="L72" si="39">M72/J72</f>
        <v>3.5839416058394162</v>
      </c>
      <c r="M72" s="18">
        <v>491</v>
      </c>
      <c r="N72" s="18">
        <f t="shared" ref="N72" si="40">K72/J72</f>
        <v>0.27007299270072993</v>
      </c>
      <c r="S72" s="18" t="s">
        <v>392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26</v>
      </c>
      <c r="J73" s="18">
        <v>49</v>
      </c>
      <c r="K73" s="18">
        <v>4</v>
      </c>
      <c r="L73" s="18">
        <f t="shared" ref="L72:L73" si="41">M73/J73</f>
        <v>5.2244897959183669</v>
      </c>
      <c r="M73" s="18">
        <v>256</v>
      </c>
      <c r="N73" s="18">
        <f t="shared" ref="N72:N73" si="42">K73/J73</f>
        <v>8.1632653061224483E-2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72</v>
      </c>
      <c r="K74" s="18">
        <v>7</v>
      </c>
      <c r="L74" s="18">
        <f t="shared" ref="L74:L76" si="43">M74/J74</f>
        <v>4.2361111111111107</v>
      </c>
      <c r="M74" s="18">
        <v>305</v>
      </c>
      <c r="N74" s="18">
        <f t="shared" ref="N74:N76" si="44">K74/J74</f>
        <v>9.7222222222222224E-2</v>
      </c>
      <c r="S74" s="18" t="s">
        <v>392</v>
      </c>
    </row>
    <row r="75" spans="1:19" x14ac:dyDescent="0.25">
      <c r="A75" t="s">
        <v>110</v>
      </c>
      <c r="B75">
        <v>14</v>
      </c>
      <c r="C75">
        <v>1</v>
      </c>
      <c r="D75">
        <f>E75/B75</f>
        <v>5.2142857142857144</v>
      </c>
      <c r="E75">
        <v>73</v>
      </c>
      <c r="F75">
        <f>C75/B75</f>
        <v>7.1428571428571425E-2</v>
      </c>
      <c r="G75" s="32">
        <v>1.9407902170679501</v>
      </c>
      <c r="I75" s="18" t="s">
        <v>49</v>
      </c>
      <c r="J75" s="18">
        <v>93</v>
      </c>
      <c r="K75" s="18">
        <v>6</v>
      </c>
      <c r="L75" s="18">
        <f t="shared" si="43"/>
        <v>5.32258064516129</v>
      </c>
      <c r="M75" s="18">
        <v>495</v>
      </c>
      <c r="N75" s="18">
        <f t="shared" si="44"/>
        <v>6.4516129032258063E-2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5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3"/>
        <v>4.0487804878048781</v>
      </c>
      <c r="M76" s="18">
        <v>166</v>
      </c>
      <c r="N76" s="18">
        <f t="shared" si="44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5"/>
        <v>5.515625</v>
      </c>
      <c r="E77" s="18">
        <v>353</v>
      </c>
      <c r="F77" s="18">
        <f t="shared" ref="F77:F91" si="46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5"/>
        <v>5.05</v>
      </c>
      <c r="E78" s="18">
        <v>101</v>
      </c>
      <c r="F78" s="18">
        <f t="shared" si="46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5"/>
        <v>4.0999999999999996</v>
      </c>
      <c r="E79" s="18">
        <v>82</v>
      </c>
      <c r="F79" s="18">
        <f t="shared" si="46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5"/>
        <v>4</v>
      </c>
      <c r="E80">
        <v>20</v>
      </c>
      <c r="F80">
        <f t="shared" si="46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5"/>
        <v>4.1818181818181817</v>
      </c>
      <c r="E81">
        <v>46</v>
      </c>
      <c r="F81">
        <f t="shared" si="46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5"/>
        <v>4.45</v>
      </c>
      <c r="E82" s="18">
        <v>178</v>
      </c>
      <c r="F82" s="18">
        <f t="shared" si="46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5"/>
        <v>4.1052631578947372</v>
      </c>
      <c r="E83">
        <v>78</v>
      </c>
      <c r="F83">
        <f t="shared" si="46"/>
        <v>0</v>
      </c>
      <c r="G83" s="32">
        <v>2.4899799195977401</v>
      </c>
    </row>
    <row r="84" spans="1:16" x14ac:dyDescent="0.25">
      <c r="A84" s="18" t="s">
        <v>35</v>
      </c>
      <c r="B84" s="18">
        <v>137</v>
      </c>
      <c r="C84" s="18">
        <v>37</v>
      </c>
      <c r="D84" s="18">
        <f t="shared" si="45"/>
        <v>3.5839416058394162</v>
      </c>
      <c r="E84" s="18">
        <v>491</v>
      </c>
      <c r="F84" s="18">
        <f t="shared" si="46"/>
        <v>0.27007299270072993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49</v>
      </c>
      <c r="C85" s="18">
        <v>4</v>
      </c>
      <c r="D85" s="18">
        <f t="shared" si="45"/>
        <v>5.2244897959183669</v>
      </c>
      <c r="E85" s="18">
        <v>256</v>
      </c>
      <c r="F85" s="18">
        <f t="shared" si="46"/>
        <v>8.1632653061224483E-2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5"/>
        <v>4.2361111111111107</v>
      </c>
      <c r="E86" s="18">
        <v>305</v>
      </c>
      <c r="F86" s="18">
        <f t="shared" si="46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93</v>
      </c>
      <c r="C87" s="18">
        <v>6</v>
      </c>
      <c r="D87" s="18">
        <f t="shared" si="45"/>
        <v>5.32258064516129</v>
      </c>
      <c r="E87" s="18">
        <v>495</v>
      </c>
      <c r="F87" s="18">
        <f t="shared" si="46"/>
        <v>6.4516129032258063E-2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5"/>
        <v>4.0487804878048781</v>
      </c>
      <c r="E88" s="18">
        <v>166</v>
      </c>
      <c r="F88" s="18">
        <f t="shared" si="46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5"/>
        <v>5.2666666666666666</v>
      </c>
      <c r="E89">
        <v>79</v>
      </c>
      <c r="F89">
        <f t="shared" si="46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5"/>
        <v>4.1428571428571432</v>
      </c>
      <c r="E90" s="18">
        <v>116</v>
      </c>
      <c r="F90" s="18">
        <f t="shared" si="46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5"/>
        <v>5.4545454545454541</v>
      </c>
      <c r="E91">
        <v>60</v>
      </c>
      <c r="F91">
        <f t="shared" si="46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7">E96/B96</f>
        <v>6</v>
      </c>
      <c r="E96">
        <v>42</v>
      </c>
      <c r="F96">
        <f t="shared" ref="F96:F97" si="48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7"/>
        <v>5.8461538461538458</v>
      </c>
      <c r="E97" s="18">
        <v>76</v>
      </c>
      <c r="F97" s="18">
        <f t="shared" si="48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xmlns:xlrd2="http://schemas.microsoft.com/office/spreadsheetml/2017/richdata2"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2025-11-21T20:38:56Z</dcterms:modified>
</cp:coreProperties>
</file>