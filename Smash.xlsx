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38280" yWindow="5280" windowWidth="29040" windowHeight="15720" firstSheet="2" activeTab="13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15" l="1"/>
  <c r="L23" i="15"/>
  <c r="N34" i="15"/>
  <c r="L34" i="15"/>
  <c r="N37" i="15"/>
  <c r="L37" i="15"/>
  <c r="N49" i="15"/>
  <c r="L49" i="15"/>
  <c r="N36" i="15"/>
  <c r="L36" i="15"/>
  <c r="N29" i="15"/>
  <c r="L29" i="15"/>
  <c r="N47" i="15"/>
  <c r="L47" i="15"/>
  <c r="N21" i="15"/>
  <c r="L21" i="15"/>
  <c r="N38" i="15"/>
  <c r="L38" i="15"/>
  <c r="N15" i="15"/>
  <c r="L15" i="15"/>
  <c r="N20" i="15"/>
  <c r="L20" i="15"/>
  <c r="N43" i="15" l="1"/>
  <c r="L43" i="15"/>
  <c r="N30" i="15"/>
  <c r="L30" i="15"/>
  <c r="N13" i="15"/>
  <c r="L13" i="15"/>
  <c r="N48" i="15" l="1"/>
  <c r="L48" i="15"/>
  <c r="N24" i="15"/>
  <c r="L24" i="15"/>
  <c r="N14" i="15"/>
  <c r="L14" i="15"/>
  <c r="N40" i="15"/>
  <c r="L40" i="15"/>
  <c r="N22" i="15"/>
  <c r="L22" i="15"/>
  <c r="N28" i="15"/>
  <c r="L28" i="15"/>
  <c r="N50" i="15"/>
  <c r="L50" i="15"/>
  <c r="N16" i="15"/>
  <c r="L16" i="15"/>
  <c r="N26" i="15"/>
  <c r="L26" i="15"/>
  <c r="F91" i="15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N51" i="15"/>
  <c r="L51" i="15"/>
  <c r="F82" i="15"/>
  <c r="D82" i="15"/>
  <c r="F81" i="15"/>
  <c r="D81" i="15"/>
  <c r="F80" i="15"/>
  <c r="D80" i="15"/>
  <c r="F79" i="15"/>
  <c r="D79" i="15"/>
  <c r="F78" i="15"/>
  <c r="D78" i="15"/>
  <c r="F77" i="15"/>
  <c r="D77" i="15"/>
  <c r="N46" i="15"/>
  <c r="L46" i="15"/>
  <c r="F76" i="15"/>
  <c r="D76" i="15"/>
  <c r="F75" i="15"/>
  <c r="D75" i="15"/>
  <c r="F74" i="15"/>
  <c r="D74" i="15"/>
  <c r="N45" i="15"/>
  <c r="L45" i="15"/>
  <c r="F73" i="15"/>
  <c r="D73" i="15"/>
  <c r="F72" i="15"/>
  <c r="D72" i="15"/>
  <c r="F71" i="15"/>
  <c r="D71" i="15"/>
  <c r="N44" i="15"/>
  <c r="L44" i="15"/>
  <c r="F70" i="15"/>
  <c r="D70" i="15"/>
  <c r="F69" i="15"/>
  <c r="D69" i="15"/>
  <c r="F68" i="15"/>
  <c r="D68" i="15"/>
  <c r="F67" i="15"/>
  <c r="D67" i="15"/>
  <c r="N42" i="15"/>
  <c r="L42" i="15"/>
  <c r="F66" i="15"/>
  <c r="D66" i="15"/>
  <c r="F65" i="15"/>
  <c r="D65" i="15"/>
  <c r="F64" i="15"/>
  <c r="D64" i="15"/>
  <c r="F63" i="15"/>
  <c r="D63" i="15"/>
  <c r="F62" i="15"/>
  <c r="D62" i="15"/>
  <c r="N41" i="15"/>
  <c r="L41" i="15"/>
  <c r="F61" i="15"/>
  <c r="D61" i="15"/>
  <c r="F60" i="15"/>
  <c r="D60" i="15"/>
  <c r="N39" i="15"/>
  <c r="L39" i="15"/>
  <c r="F59" i="15"/>
  <c r="D59" i="15"/>
  <c r="F58" i="15"/>
  <c r="D58" i="15"/>
  <c r="F57" i="15"/>
  <c r="D57" i="15"/>
  <c r="F56" i="15"/>
  <c r="D56" i="15"/>
  <c r="F55" i="15"/>
  <c r="D55" i="15"/>
  <c r="F54" i="15"/>
  <c r="D54" i="15"/>
  <c r="F53" i="15"/>
  <c r="D53" i="15"/>
  <c r="F52" i="15"/>
  <c r="D52" i="15"/>
  <c r="N35" i="15"/>
  <c r="L35" i="15"/>
  <c r="F51" i="15"/>
  <c r="D51" i="15"/>
  <c r="F50" i="15"/>
  <c r="D50" i="15"/>
  <c r="N33" i="15"/>
  <c r="L33" i="15"/>
  <c r="F49" i="15"/>
  <c r="D49" i="15"/>
  <c r="N32" i="15"/>
  <c r="L32" i="15"/>
  <c r="F48" i="15"/>
  <c r="D48" i="15"/>
  <c r="F47" i="15"/>
  <c r="D47" i="15"/>
  <c r="N31" i="15"/>
  <c r="L31" i="15"/>
  <c r="F46" i="15"/>
  <c r="D46" i="15"/>
  <c r="F45" i="15"/>
  <c r="D45" i="15"/>
  <c r="F44" i="15"/>
  <c r="D44" i="15"/>
  <c r="F43" i="15"/>
  <c r="D43" i="15"/>
  <c r="F42" i="15"/>
  <c r="D42" i="15"/>
  <c r="F41" i="15"/>
  <c r="D41" i="15"/>
  <c r="N27" i="15"/>
  <c r="L27" i="15"/>
  <c r="F40" i="15"/>
  <c r="D40" i="15"/>
  <c r="F39" i="15"/>
  <c r="D39" i="15"/>
  <c r="F38" i="15"/>
  <c r="D38" i="15"/>
  <c r="N25" i="15"/>
  <c r="L25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19" i="15"/>
  <c r="L19" i="15"/>
  <c r="F22" i="15"/>
  <c r="D22" i="15"/>
  <c r="F21" i="15"/>
  <c r="D21" i="15"/>
  <c r="N18" i="15"/>
  <c r="L18" i="15"/>
  <c r="F20" i="15"/>
  <c r="D20" i="15"/>
  <c r="F19" i="15"/>
  <c r="D19" i="15"/>
  <c r="N17" i="15"/>
  <c r="L17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<sst xmlns="http://schemas.openxmlformats.org/spreadsheetml/2006/main" count="17291" uniqueCount="606">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</sst>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7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workbookViewId="0">
      <selection activeCell="E2" sqref="E2"/>
    </sheetView>
  </sheetViews>
  <sheetFormatPr defaultRowHeight="14.5" x14ac:dyDescent="0.35"/>
  <cols>
    <col min="1" max="1" width="17.7265625" bestFit="1" customWidth="1"/>
    <col min="2" max="3" width="14" bestFit="1" customWidth="1"/>
    <col min="4" max="4" width="37.453125" bestFit="1" customWidth="1"/>
    <col min="5" max="5" width="14.1796875" bestFit="1" customWidth="1"/>
    <col min="6" max="8" width="17.7265625" bestFit="1" customWidth="1"/>
    <col min="9" max="9" width="14" bestFit="1" customWidth="1"/>
    <col min="10" max="12" width="17.7265625" bestFit="1" customWidth="1"/>
    <col min="13" max="14" width="14" bestFit="1" customWidth="1"/>
    <col min="15" max="15" width="13.54296875" bestFit="1" customWidth="1"/>
    <col min="16" max="16" width="15.1796875" bestFit="1" customWidth="1"/>
    <col min="17" max="18" width="14" bestFit="1" customWidth="1"/>
    <col min="19" max="19" width="17.7265625" bestFit="1" customWidth="1"/>
    <col min="20" max="21" width="14" bestFit="1" customWidth="1"/>
  </cols>
  <sheetData>
    <row r="1" spans="1:14" x14ac:dyDescent="0.3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3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3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3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3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3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3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3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3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3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3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3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3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3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3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3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3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3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3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3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3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3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3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3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3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3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3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3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3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3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3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3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3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3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3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3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3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3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3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3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3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3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3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3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3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3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3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3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3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3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3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3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3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3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3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3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3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3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3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3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3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3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3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3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3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3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3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3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3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3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3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3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3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3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3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3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3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3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3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3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3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3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3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3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3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3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3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3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3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3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3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3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3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4.5" x14ac:dyDescent="0.35"/>
  <cols>
    <col min="1" max="1" width="19.453125" bestFit="1" customWidth="1"/>
    <col min="2" max="2" width="7.453125" bestFit="1" customWidth="1"/>
    <col min="3" max="3" width="8.7265625" bestFit="1" customWidth="1"/>
    <col min="4" max="4" width="12.1796875" bestFit="1" customWidth="1"/>
    <col min="5" max="5" width="12" bestFit="1" customWidth="1"/>
    <col min="6" max="6" width="20.7265625" bestFit="1" customWidth="1"/>
    <col min="8" max="8" width="19.453125" bestFit="1" customWidth="1"/>
    <col min="9" max="9" width="7.453125" bestFit="1" customWidth="1"/>
    <col min="10" max="10" width="8.7265625" bestFit="1" customWidth="1"/>
    <col min="11" max="11" width="12.1796875" bestFit="1" customWidth="1"/>
    <col min="12" max="12" width="12" bestFit="1" customWidth="1"/>
    <col min="15" max="15" width="17.7265625" bestFit="1" customWidth="1"/>
    <col min="16" max="16" width="7.1796875" bestFit="1" customWidth="1"/>
    <col min="17" max="17" width="8.7265625" bestFit="1" customWidth="1"/>
    <col min="18" max="18" width="12" bestFit="1" customWidth="1"/>
    <col min="19" max="19" width="11.54296875" bestFit="1" customWidth="1"/>
    <col min="20" max="20" width="11.1796875" bestFit="1" customWidth="1"/>
  </cols>
  <sheetData>
    <row r="1" spans="1:20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3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3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3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3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3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3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3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3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3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3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3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3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3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3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3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3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3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3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3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3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3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3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3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3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3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3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3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3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3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3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3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3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3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3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3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3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3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3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3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3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3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3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3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3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3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3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3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3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3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3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3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3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3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3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3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3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3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3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3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3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3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3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3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3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3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3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3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3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3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3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3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3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3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3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3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3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3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3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350"/>
  <sheetViews>
    <sheetView topLeftCell="A328" zoomScaleNormal="100" workbookViewId="0">
      <selection activeCell="U342" sqref="U342:AF350"/>
    </sheetView>
  </sheetViews>
  <sheetFormatPr defaultRowHeight="14.5" x14ac:dyDescent="0.35"/>
  <sheetData>
    <row r="1" spans="1:39" x14ac:dyDescent="0.3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3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3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3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3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3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3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3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3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3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3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3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3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3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3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3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3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3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3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3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3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3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3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3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3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3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3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3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3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3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3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3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3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3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3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3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35">
      <c r="K42" s="18" t="s">
        <v>268</v>
      </c>
    </row>
    <row r="43" spans="1:32" x14ac:dyDescent="0.35">
      <c r="K43" t="s">
        <v>177</v>
      </c>
    </row>
    <row r="44" spans="1:32" x14ac:dyDescent="0.3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3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3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3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3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3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3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3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3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35">
      <c r="K53" t="s">
        <v>301</v>
      </c>
    </row>
    <row r="54" spans="11:29" x14ac:dyDescent="0.35">
      <c r="K54" s="18" t="s">
        <v>357</v>
      </c>
    </row>
    <row r="55" spans="11:29" x14ac:dyDescent="0.35">
      <c r="K55" s="18" t="s">
        <v>246</v>
      </c>
    </row>
    <row r="56" spans="11:29" x14ac:dyDescent="0.3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3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3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3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3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3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3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3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3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35">
      <c r="K65" s="18" t="s">
        <v>264</v>
      </c>
    </row>
    <row r="66" spans="11:31" x14ac:dyDescent="0.35">
      <c r="K66" s="18" t="s">
        <v>294</v>
      </c>
    </row>
    <row r="67" spans="11:31" x14ac:dyDescent="0.3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3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3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3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3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3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3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3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3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35">
      <c r="K76">
        <v>2</v>
      </c>
    </row>
    <row r="77" spans="11:31" x14ac:dyDescent="0.3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3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3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3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3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3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3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3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3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35">
      <c r="K86" s="18" t="s">
        <v>354</v>
      </c>
    </row>
    <row r="87" spans="11:31" x14ac:dyDescent="0.3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3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3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3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3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3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3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3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3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35">
      <c r="K96" s="18" t="s">
        <v>299</v>
      </c>
    </row>
    <row r="97" spans="11:33" x14ac:dyDescent="0.35">
      <c r="K97" s="18" t="s">
        <v>330</v>
      </c>
    </row>
    <row r="98" spans="11:33" x14ac:dyDescent="0.35">
      <c r="K98" t="s">
        <v>206</v>
      </c>
    </row>
    <row r="99" spans="11:33" x14ac:dyDescent="0.35">
      <c r="K99" s="18" t="s">
        <v>353</v>
      </c>
    </row>
    <row r="100" spans="11:33" x14ac:dyDescent="0.35">
      <c r="K100" t="s">
        <v>288</v>
      </c>
    </row>
    <row r="101" spans="11:33" x14ac:dyDescent="0.35">
      <c r="K101" t="s">
        <v>209</v>
      </c>
    </row>
    <row r="102" spans="11:33" x14ac:dyDescent="0.3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3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3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3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3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3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3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3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3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35">
      <c r="K111" s="18" t="s">
        <v>247</v>
      </c>
    </row>
    <row r="112" spans="11:33" x14ac:dyDescent="0.3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3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3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3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3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3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3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3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3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3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3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3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3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3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3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3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3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3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3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3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3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3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3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3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3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3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3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3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3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3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3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3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3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3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3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3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3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3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3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3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3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3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3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3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3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3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3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3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3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3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3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3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3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3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3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3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3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3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3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3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3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3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3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3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3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3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3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3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3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3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3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3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3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3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3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3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3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3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3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3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3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3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3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3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3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3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3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3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3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3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3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3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3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3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3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3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3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3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3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3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3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3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3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3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3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3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3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3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3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3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3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3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3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3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3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3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3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3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3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3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3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3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3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3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3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3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3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3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3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3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3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3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3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3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3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3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3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3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3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3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3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3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3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3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3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3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3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3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3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3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3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3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3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3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3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3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3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3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3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3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3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3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3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3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3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3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3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3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3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3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3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3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3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3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3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3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3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3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3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3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3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3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3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3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3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3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3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3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3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3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3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3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3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3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3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3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3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3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3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3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3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3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3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32" x14ac:dyDescent="0.3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32" x14ac:dyDescent="0.3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32" x14ac:dyDescent="0.3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32" x14ac:dyDescent="0.3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32" x14ac:dyDescent="0.3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  <c r="U342" s="1">
        <v>46178</v>
      </c>
      <c r="V342" s="1">
        <v>46178</v>
      </c>
      <c r="W342" s="1">
        <v>46179</v>
      </c>
      <c r="X342" s="1">
        <v>46179</v>
      </c>
      <c r="Y342" s="1">
        <v>46179</v>
      </c>
      <c r="Z342" s="1">
        <v>46179</v>
      </c>
      <c r="AA342" s="1">
        <v>46179</v>
      </c>
      <c r="AB342" s="1">
        <v>46179</v>
      </c>
      <c r="AC342" s="1">
        <v>46179</v>
      </c>
      <c r="AD342" s="1">
        <v>46179</v>
      </c>
      <c r="AE342" s="1">
        <v>46179</v>
      </c>
      <c r="AF342" s="1">
        <v>46179</v>
      </c>
    </row>
    <row r="343" spans="10:32" x14ac:dyDescent="0.3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  <c r="U343" t="s">
        <v>586</v>
      </c>
      <c r="V343" t="s">
        <v>28</v>
      </c>
      <c r="W343" t="s">
        <v>403</v>
      </c>
      <c r="X343" t="s">
        <v>552</v>
      </c>
      <c r="Y343" t="s">
        <v>113</v>
      </c>
      <c r="Z343" t="s">
        <v>31</v>
      </c>
      <c r="AA343" t="s">
        <v>105</v>
      </c>
      <c r="AB343" t="s">
        <v>34</v>
      </c>
      <c r="AC343" t="s">
        <v>36</v>
      </c>
      <c r="AD343" t="s">
        <v>31</v>
      </c>
      <c r="AE343" t="s">
        <v>572</v>
      </c>
      <c r="AF343" t="s">
        <v>28</v>
      </c>
    </row>
    <row r="344" spans="10:32" x14ac:dyDescent="0.3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  <c r="U344" t="s">
        <v>56</v>
      </c>
      <c r="V344" t="s">
        <v>31</v>
      </c>
      <c r="W344" t="s">
        <v>90</v>
      </c>
      <c r="X344" t="s">
        <v>90</v>
      </c>
      <c r="Y344" t="s">
        <v>593</v>
      </c>
      <c r="Z344" t="s">
        <v>593</v>
      </c>
      <c r="AA344" t="s">
        <v>232</v>
      </c>
      <c r="AB344" t="s">
        <v>49</v>
      </c>
      <c r="AC344" t="s">
        <v>104</v>
      </c>
      <c r="AD344" t="s">
        <v>25</v>
      </c>
      <c r="AE344" t="s">
        <v>112</v>
      </c>
      <c r="AF344" t="s">
        <v>112</v>
      </c>
    </row>
    <row r="345" spans="10:32" x14ac:dyDescent="0.3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  <c r="U345" t="s">
        <v>31</v>
      </c>
      <c r="V345" t="s">
        <v>232</v>
      </c>
      <c r="W345" t="s">
        <v>588</v>
      </c>
      <c r="X345" t="s">
        <v>553</v>
      </c>
      <c r="Y345" t="s">
        <v>28</v>
      </c>
      <c r="Z345" t="s">
        <v>113</v>
      </c>
      <c r="AA345" t="s">
        <v>121</v>
      </c>
      <c r="AB345" t="s">
        <v>25</v>
      </c>
      <c r="AC345" t="s">
        <v>81</v>
      </c>
      <c r="AD345" t="s">
        <v>56</v>
      </c>
      <c r="AE345" t="s">
        <v>29</v>
      </c>
      <c r="AF345" t="s">
        <v>26</v>
      </c>
    </row>
    <row r="346" spans="10:32" x14ac:dyDescent="0.3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  <c r="U346" t="s">
        <v>25</v>
      </c>
      <c r="V346" t="s">
        <v>34</v>
      </c>
      <c r="W346" t="s">
        <v>81</v>
      </c>
      <c r="X346" t="s">
        <v>104</v>
      </c>
      <c r="Y346" t="s">
        <v>128</v>
      </c>
      <c r="Z346" t="s">
        <v>28</v>
      </c>
      <c r="AA346" t="s">
        <v>34</v>
      </c>
      <c r="AB346" t="s">
        <v>121</v>
      </c>
      <c r="AC346" t="s">
        <v>27</v>
      </c>
      <c r="AD346" t="s">
        <v>112</v>
      </c>
      <c r="AE346" t="s">
        <v>552</v>
      </c>
      <c r="AF346" t="s">
        <v>113</v>
      </c>
    </row>
    <row r="347" spans="10:32" x14ac:dyDescent="0.3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  <c r="U347" t="s">
        <v>121</v>
      </c>
      <c r="V347" t="s">
        <v>25</v>
      </c>
      <c r="W347" t="s">
        <v>104</v>
      </c>
      <c r="X347" t="s">
        <v>105</v>
      </c>
      <c r="Y347" t="s">
        <v>31</v>
      </c>
      <c r="Z347" t="s">
        <v>147</v>
      </c>
      <c r="AA347" t="s">
        <v>90</v>
      </c>
      <c r="AB347" t="s">
        <v>232</v>
      </c>
      <c r="AC347" t="s">
        <v>113</v>
      </c>
      <c r="AD347" t="s">
        <v>28</v>
      </c>
      <c r="AE347" t="s">
        <v>104</v>
      </c>
      <c r="AF347" t="s">
        <v>34</v>
      </c>
    </row>
    <row r="348" spans="10:32" x14ac:dyDescent="0.3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  <c r="U348" t="s">
        <v>232</v>
      </c>
      <c r="V348" t="s">
        <v>56</v>
      </c>
      <c r="W348" t="s">
        <v>26</v>
      </c>
      <c r="X348" t="s">
        <v>588</v>
      </c>
      <c r="Y348" t="s">
        <v>588</v>
      </c>
      <c r="Z348" t="s">
        <v>588</v>
      </c>
      <c r="AA348" t="s">
        <v>25</v>
      </c>
      <c r="AB348" t="s">
        <v>105</v>
      </c>
      <c r="AC348" t="s">
        <v>34</v>
      </c>
      <c r="AD348" t="s">
        <v>123</v>
      </c>
      <c r="AE348" t="s">
        <v>81</v>
      </c>
      <c r="AF348" t="s">
        <v>25</v>
      </c>
    </row>
    <row r="349" spans="10:32" x14ac:dyDescent="0.3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  <c r="U349" t="s">
        <v>28</v>
      </c>
      <c r="V349" t="s">
        <v>147</v>
      </c>
      <c r="W349" t="s">
        <v>34</v>
      </c>
      <c r="X349" t="s">
        <v>26</v>
      </c>
      <c r="Y349" t="s">
        <v>147</v>
      </c>
      <c r="Z349" t="s">
        <v>128</v>
      </c>
      <c r="AA349" t="s">
        <v>56</v>
      </c>
      <c r="AB349" t="s">
        <v>56</v>
      </c>
      <c r="AC349" t="s">
        <v>29</v>
      </c>
      <c r="AD349" t="s">
        <v>232</v>
      </c>
      <c r="AE349" t="s">
        <v>113</v>
      </c>
      <c r="AF349" t="s">
        <v>232</v>
      </c>
    </row>
    <row r="350" spans="10:32" x14ac:dyDescent="0.3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  <c r="U350" t="s">
        <v>147</v>
      </c>
      <c r="V350" t="s">
        <v>586</v>
      </c>
      <c r="W350" t="s">
        <v>15</v>
      </c>
      <c r="X350" t="s">
        <v>81</v>
      </c>
      <c r="Y350" t="s">
        <v>586</v>
      </c>
      <c r="Z350" t="s">
        <v>34</v>
      </c>
      <c r="AA350" t="s">
        <v>49</v>
      </c>
      <c r="AB350" t="s">
        <v>90</v>
      </c>
      <c r="AC350" t="s">
        <v>26</v>
      </c>
      <c r="AD350" t="s">
        <v>593</v>
      </c>
      <c r="AE350" t="s">
        <v>26</v>
      </c>
      <c r="AF350" t="s">
        <v>593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915"/>
  <sheetViews>
    <sheetView topLeftCell="A733" workbookViewId="0">
      <selection activeCell="H886" sqref="H886"/>
    </sheetView>
  </sheetViews>
  <sheetFormatPr defaultRowHeight="14.5" x14ac:dyDescent="0.35"/>
  <sheetData>
    <row r="1" spans="1:35" x14ac:dyDescent="0.3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3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3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3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3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3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3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3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3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3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3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3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3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3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3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3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3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3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3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3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3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3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3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3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3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3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3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3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3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3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3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3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3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3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3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3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3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3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3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3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3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3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3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3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3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3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3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3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3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3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3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3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3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3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3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3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3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3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3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3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3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3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3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3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3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3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3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3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3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3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3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3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3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3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3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3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3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3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3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3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3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3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3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3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3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3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3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3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3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3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3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3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3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3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3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3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3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3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3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3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3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3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3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3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3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3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3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3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3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3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3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3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3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3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3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3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3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3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3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3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3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3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3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3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3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3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3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3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3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3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3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3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3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3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3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3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3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3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3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3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3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3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3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3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3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3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3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3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3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3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3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3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3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3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3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3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3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3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3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3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3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3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3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3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3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3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3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3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3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3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3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3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3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3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3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3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3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3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3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3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3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3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3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3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3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3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3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3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3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3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3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3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3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3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3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3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3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3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3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3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3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3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3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3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3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3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3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3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3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3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3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3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3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3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3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3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3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3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3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3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3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3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3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3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3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3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3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3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3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3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3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3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3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3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3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3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3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3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3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3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3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3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3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3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3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3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3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3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3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3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3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3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3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3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3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3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3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3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3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3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3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3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3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3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3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3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3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3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3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3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3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3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3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3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3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3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3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3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3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3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3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3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3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3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3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3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3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3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3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3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3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3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3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3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3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3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3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3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3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3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3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3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3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3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3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3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3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3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3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3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3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3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3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3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3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3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3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3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3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3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3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3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3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3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3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3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3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3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3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3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3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3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3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3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3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3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3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3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3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3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3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3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3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3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3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3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3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3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3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3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3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3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3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3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3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3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3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3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3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3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3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3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3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3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3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3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3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3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3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3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3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3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3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3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3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3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3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3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3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3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3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3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3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3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3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3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3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3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3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3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3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3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3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3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3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3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3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3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3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3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3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3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3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3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3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3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3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3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3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3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3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3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3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3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3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3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3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3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3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3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3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3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3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3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3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3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3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3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3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3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3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3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3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3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3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3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3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3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3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3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3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3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3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3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3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3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3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3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3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3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3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3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3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3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3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3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3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3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3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3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3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3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3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3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3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3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3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3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3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3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3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3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3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3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3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3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3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3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3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3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3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3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3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3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3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3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3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3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3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3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3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3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3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3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3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3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3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3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3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3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3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3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3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3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3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3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3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3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3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3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3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3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3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3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3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3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3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3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3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3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3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3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3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3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3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3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3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3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3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3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3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3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3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3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3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3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3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3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3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3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3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3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3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3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3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3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3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3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3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3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3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3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3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3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3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3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3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3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3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3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3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3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3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3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3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3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3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3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3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3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3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3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3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3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3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3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3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3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3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3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3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3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3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3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3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3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3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3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3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3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3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3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3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3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3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3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3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3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3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3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3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3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3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3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3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3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3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3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3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3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3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3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3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3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3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3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3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3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3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3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3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3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3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3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3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3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3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3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3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3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3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3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3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3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3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3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3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3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3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3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3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3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3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3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3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3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3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3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3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3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3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3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3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3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3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3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3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3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3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3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3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3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3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3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3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3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3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3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3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3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3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3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3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3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3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3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3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3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3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3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3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3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3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3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3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3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3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3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3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3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3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3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3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3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3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3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3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3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3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3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3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3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3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3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3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3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3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3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3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3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3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3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3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3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3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3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3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3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3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3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3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3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3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3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3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3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3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3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3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3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3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3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3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3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3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3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3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3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3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3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3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3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3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3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3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3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3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3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3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3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3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3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3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3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3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3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3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3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3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3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3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3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3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3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3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3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3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3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3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3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3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3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3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3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3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3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3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3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3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3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3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3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3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3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3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3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3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3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3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3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3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3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3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3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3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3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3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3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3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3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3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3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3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3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3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3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3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3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3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3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3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3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3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3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3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3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3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3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3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3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3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3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3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3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3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3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3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3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3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3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3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3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3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3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3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3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3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3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3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3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3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35">
      <c r="H872" s="74" t="s">
        <v>59</v>
      </c>
    </row>
    <row r="873" spans="8:8" x14ac:dyDescent="0.35">
      <c r="H873" s="74" t="s">
        <v>44</v>
      </c>
    </row>
    <row r="874" spans="8:8" x14ac:dyDescent="0.35">
      <c r="H874" s="3" t="s">
        <v>45</v>
      </c>
    </row>
    <row r="875" spans="8:8" x14ac:dyDescent="0.35">
      <c r="H875" s="3" t="s">
        <v>45</v>
      </c>
    </row>
    <row r="876" spans="8:8" x14ac:dyDescent="0.35">
      <c r="H876" s="11" t="s">
        <v>578</v>
      </c>
    </row>
    <row r="877" spans="8:8" x14ac:dyDescent="0.35">
      <c r="H877" s="3" t="s">
        <v>46</v>
      </c>
    </row>
    <row r="878" spans="8:8" x14ac:dyDescent="0.35">
      <c r="H878" s="74" t="s">
        <v>44</v>
      </c>
    </row>
    <row r="879" spans="8:8" x14ac:dyDescent="0.35">
      <c r="H879" s="3" t="s">
        <v>46</v>
      </c>
    </row>
    <row r="880" spans="8:8" x14ac:dyDescent="0.35">
      <c r="H880" s="3" t="s">
        <v>54</v>
      </c>
    </row>
    <row r="881" spans="8:8" x14ac:dyDescent="0.35">
      <c r="H881" s="57" t="s">
        <v>583</v>
      </c>
    </row>
    <row r="882" spans="8:8" x14ac:dyDescent="0.35">
      <c r="H882" s="3" t="s">
        <v>45</v>
      </c>
    </row>
    <row r="883" spans="8:8" x14ac:dyDescent="0.35">
      <c r="H883" s="3" t="s">
        <v>45</v>
      </c>
    </row>
    <row r="884" spans="8:8" x14ac:dyDescent="0.35">
      <c r="H884" s="57" t="s">
        <v>575</v>
      </c>
    </row>
    <row r="885" spans="8:8" x14ac:dyDescent="0.35">
      <c r="H885" s="3" t="s">
        <v>54</v>
      </c>
    </row>
    <row r="886" spans="8:8" x14ac:dyDescent="0.35">
      <c r="H886" s="3" t="s">
        <v>54</v>
      </c>
    </row>
    <row r="887" spans="8:8" x14ac:dyDescent="0.35">
      <c r="H887" s="74" t="s">
        <v>47</v>
      </c>
    </row>
    <row r="888" spans="8:8" x14ac:dyDescent="0.35">
      <c r="H888" s="3" t="s">
        <v>54</v>
      </c>
    </row>
    <row r="889" spans="8:8" x14ac:dyDescent="0.35">
      <c r="H889" s="3" t="s">
        <v>45</v>
      </c>
    </row>
    <row r="890" spans="8:8" x14ac:dyDescent="0.35">
      <c r="H890" s="57" t="s">
        <v>582</v>
      </c>
    </row>
    <row r="891" spans="8:8" x14ac:dyDescent="0.35">
      <c r="H891" s="3" t="s">
        <v>69</v>
      </c>
    </row>
    <row r="892" spans="8:8" x14ac:dyDescent="0.35">
      <c r="H892" s="3" t="s">
        <v>195</v>
      </c>
    </row>
    <row r="893" spans="8:8" x14ac:dyDescent="0.35">
      <c r="H893" s="3" t="s">
        <v>494</v>
      </c>
    </row>
    <row r="894" spans="8:8" x14ac:dyDescent="0.35">
      <c r="H894" s="3" t="s">
        <v>55</v>
      </c>
    </row>
    <row r="895" spans="8:8" x14ac:dyDescent="0.35">
      <c r="H895" s="57" t="s">
        <v>584</v>
      </c>
    </row>
    <row r="896" spans="8:8" x14ac:dyDescent="0.35">
      <c r="H896" s="3" t="s">
        <v>55</v>
      </c>
    </row>
    <row r="897" spans="8:8" x14ac:dyDescent="0.35">
      <c r="H897" s="3" t="s">
        <v>55</v>
      </c>
    </row>
    <row r="898" spans="8:8" x14ac:dyDescent="0.35">
      <c r="H898" s="57" t="s">
        <v>581</v>
      </c>
    </row>
    <row r="899" spans="8:8" x14ac:dyDescent="0.35">
      <c r="H899" s="3" t="s">
        <v>494</v>
      </c>
    </row>
    <row r="900" spans="8:8" x14ac:dyDescent="0.35">
      <c r="H900" s="3" t="s">
        <v>495</v>
      </c>
    </row>
    <row r="901" spans="8:8" x14ac:dyDescent="0.35">
      <c r="H901" s="3" t="s">
        <v>195</v>
      </c>
    </row>
    <row r="902" spans="8:8" x14ac:dyDescent="0.35">
      <c r="H902" s="3" t="s">
        <v>195</v>
      </c>
    </row>
    <row r="903" spans="8:8" x14ac:dyDescent="0.35">
      <c r="H903" s="3" t="s">
        <v>55</v>
      </c>
    </row>
    <row r="904" spans="8:8" x14ac:dyDescent="0.35">
      <c r="H904" s="3" t="s">
        <v>55</v>
      </c>
    </row>
    <row r="905" spans="8:8" x14ac:dyDescent="0.35">
      <c r="H905" s="57" t="s">
        <v>580</v>
      </c>
    </row>
    <row r="906" spans="8:8" x14ac:dyDescent="0.35">
      <c r="H906" s="3" t="s">
        <v>495</v>
      </c>
    </row>
    <row r="907" spans="8:8" x14ac:dyDescent="0.35">
      <c r="H907" s="3" t="s">
        <v>495</v>
      </c>
    </row>
    <row r="908" spans="8:8" x14ac:dyDescent="0.35">
      <c r="H908" s="3" t="s">
        <v>69</v>
      </c>
    </row>
    <row r="909" spans="8:8" x14ac:dyDescent="0.35">
      <c r="H909" s="3" t="s">
        <v>69</v>
      </c>
    </row>
    <row r="910" spans="8:8" x14ac:dyDescent="0.35">
      <c r="H910" s="3" t="s">
        <v>69</v>
      </c>
    </row>
    <row r="911" spans="8:8" x14ac:dyDescent="0.35">
      <c r="H911" s="3" t="s">
        <v>195</v>
      </c>
    </row>
    <row r="912" spans="8:8" x14ac:dyDescent="0.35">
      <c r="H912" s="3" t="s">
        <v>296</v>
      </c>
    </row>
    <row r="913" spans="8:8" x14ac:dyDescent="0.35">
      <c r="H913" s="57" t="s">
        <v>577</v>
      </c>
    </row>
    <row r="914" spans="8:8" x14ac:dyDescent="0.35">
      <c r="H914" s="75" t="s">
        <v>576</v>
      </c>
    </row>
    <row r="915" spans="8:8" x14ac:dyDescent="0.3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4.5" x14ac:dyDescent="0.35"/>
  <cols>
    <col min="1" max="1" width="17.7265625" bestFit="1" customWidth="1"/>
    <col min="2" max="2" width="16.7265625" bestFit="1" customWidth="1"/>
    <col min="3" max="4" width="16.26953125" bestFit="1" customWidth="1"/>
    <col min="5" max="5" width="14.1796875" bestFit="1" customWidth="1"/>
    <col min="6" max="8" width="16.26953125" bestFit="1" customWidth="1"/>
    <col min="9" max="9" width="17.7265625" bestFit="1" customWidth="1"/>
    <col min="10" max="11" width="16.7265625" bestFit="1" customWidth="1"/>
    <col min="12" max="12" width="12" bestFit="1" customWidth="1"/>
    <col min="13" max="13" width="11.54296875" bestFit="1" customWidth="1"/>
  </cols>
  <sheetData>
    <row r="1" spans="1:14" x14ac:dyDescent="0.3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3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3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3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3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3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3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3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3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3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3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3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3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3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3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3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3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3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3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3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3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3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3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3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3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3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3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3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3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3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3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3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3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3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3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3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3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3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3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3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3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3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3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3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3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3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3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3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3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3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3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3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3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3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3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3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3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3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3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3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3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3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3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3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3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3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3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3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3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3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3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3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3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3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3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3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3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3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3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3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3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3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3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3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3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3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3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3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3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3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3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3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3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4.5" x14ac:dyDescent="0.35"/>
  <cols>
    <col min="1" max="1" width="18.81640625" bestFit="1" customWidth="1"/>
    <col min="2" max="2" width="10" bestFit="1" customWidth="1"/>
    <col min="3" max="3" width="11.54296875" bestFit="1" customWidth="1"/>
    <col min="4" max="4" width="15.81640625" bestFit="1" customWidth="1"/>
    <col min="5" max="5" width="15.453125" bestFit="1" customWidth="1"/>
    <col min="6" max="6" width="14.81640625" bestFit="1" customWidth="1"/>
    <col min="7" max="7" width="33.54296875" bestFit="1" customWidth="1"/>
    <col min="8" max="8" width="18.26953125" customWidth="1"/>
    <col min="9" max="9" width="9.7265625" customWidth="1"/>
    <col min="10" max="10" width="11.26953125" bestFit="1" customWidth="1"/>
    <col min="11" max="11" width="15.453125" bestFit="1" customWidth="1"/>
    <col min="12" max="12" width="15" customWidth="1"/>
    <col min="13" max="13" width="14.453125" bestFit="1" customWidth="1"/>
    <col min="14" max="14" width="37.7265625" bestFit="1" customWidth="1"/>
    <col min="16" max="16" width="18.26953125" bestFit="1" customWidth="1"/>
    <col min="17" max="17" width="9.7265625" bestFit="1" customWidth="1"/>
    <col min="18" max="18" width="11.26953125" bestFit="1" customWidth="1"/>
    <col min="19" max="19" width="15.453125" bestFit="1" customWidth="1"/>
    <col min="20" max="20" width="15" bestFit="1" customWidth="1"/>
    <col min="22" max="22" width="18.26953125" bestFit="1" customWidth="1"/>
    <col min="23" max="23" width="9.7265625" bestFit="1" customWidth="1"/>
    <col min="24" max="24" width="16.54296875" bestFit="1" customWidth="1"/>
    <col min="25" max="25" width="11.26953125" bestFit="1" customWidth="1"/>
    <col min="26" max="26" width="17.81640625" bestFit="1" customWidth="1"/>
    <col min="27" max="27" width="15.453125" bestFit="1" customWidth="1"/>
    <col min="28" max="28" width="21.26953125" bestFit="1" customWidth="1"/>
    <col min="29" max="29" width="14.453125" bestFit="1" customWidth="1"/>
  </cols>
  <sheetData>
    <row r="1" spans="1:29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3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3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3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3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3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3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3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3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3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3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3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3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3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3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3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3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3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3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3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3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3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3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3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3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3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3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3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3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3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3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3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3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3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3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3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3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3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3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3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3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3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3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3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3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3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3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3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3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3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3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3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3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3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3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3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3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3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3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3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3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3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3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3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3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3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3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3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3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3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3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3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3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3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3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3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3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3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4.5" x14ac:dyDescent="0.35"/>
  <cols>
    <col min="1" max="1" width="17.7265625" bestFit="1" customWidth="1"/>
    <col min="2" max="2" width="17.26953125" bestFit="1" customWidth="1"/>
    <col min="3" max="3" width="13.54296875" bestFit="1" customWidth="1"/>
    <col min="4" max="4" width="15.1796875" bestFit="1" customWidth="1"/>
    <col min="5" max="5" width="13.54296875" bestFit="1" customWidth="1"/>
    <col min="6" max="6" width="12" bestFit="1" customWidth="1"/>
    <col min="7" max="7" width="17.7265625" bestFit="1" customWidth="1"/>
    <col min="8" max="8" width="12.26953125" bestFit="1" customWidth="1"/>
    <col min="9" max="9" width="11.81640625" bestFit="1" customWidth="1"/>
    <col min="10" max="10" width="9.7265625" bestFit="1" customWidth="1"/>
    <col min="11" max="11" width="10.81640625" bestFit="1" customWidth="1"/>
    <col min="12" max="12" width="11.81640625" bestFit="1" customWidth="1"/>
    <col min="13" max="13" width="11.7265625" bestFit="1" customWidth="1"/>
    <col min="14" max="14" width="4" bestFit="1" customWidth="1"/>
    <col min="15" max="15" width="11.26953125" bestFit="1" customWidth="1"/>
    <col min="16" max="16" width="12" bestFit="1" customWidth="1"/>
  </cols>
  <sheetData>
    <row r="1" spans="1:16" x14ac:dyDescent="0.3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3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3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3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3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3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3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3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3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3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3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3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3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3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3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3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3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3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3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3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3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3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3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3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3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3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3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3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3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3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3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3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3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3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3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3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3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3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3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3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3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3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3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3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3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3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3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3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3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3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3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3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3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3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3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3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3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3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3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3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3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3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3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3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3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3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3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3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3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3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3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3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3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3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3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3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3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3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3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3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3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3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3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3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3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3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3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3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3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4.5" x14ac:dyDescent="0.35"/>
  <cols>
    <col min="1" max="1" width="22.453125" bestFit="1" customWidth="1"/>
    <col min="2" max="2" width="10" bestFit="1" customWidth="1"/>
    <col min="3" max="3" width="11.54296875" bestFit="1" customWidth="1"/>
    <col min="4" max="4" width="15.81640625" bestFit="1" customWidth="1"/>
    <col min="5" max="5" width="15.453125" bestFit="1" customWidth="1"/>
    <col min="6" max="6" width="19.54296875" bestFit="1" customWidth="1"/>
    <col min="7" max="7" width="33.1796875" bestFit="1" customWidth="1"/>
    <col min="10" max="10" width="22.453125" bestFit="1" customWidth="1"/>
    <col min="11" max="11" width="10" bestFit="1" customWidth="1"/>
    <col min="12" max="12" width="11.54296875" bestFit="1" customWidth="1"/>
    <col min="13" max="13" width="15.81640625" bestFit="1" customWidth="1"/>
    <col min="14" max="14" width="15.453125" customWidth="1"/>
    <col min="15" max="15" width="19.54296875" bestFit="1" customWidth="1"/>
    <col min="16" max="16" width="33.1796875" bestFit="1" customWidth="1"/>
    <col min="20" max="20" width="18.81640625" bestFit="1" customWidth="1"/>
    <col min="21" max="21" width="10" bestFit="1" customWidth="1"/>
    <col min="22" max="22" width="11.54296875" bestFit="1" customWidth="1"/>
    <col min="23" max="23" width="15.81640625" bestFit="1" customWidth="1"/>
    <col min="24" max="24" width="15.453125" bestFit="1" customWidth="1"/>
    <col min="26" max="26" width="22.453125" bestFit="1" customWidth="1"/>
    <col min="27" max="27" width="10" bestFit="1" customWidth="1"/>
    <col min="28" max="28" width="10.54296875" bestFit="1" customWidth="1"/>
    <col min="29" max="29" width="15.81640625" bestFit="1" customWidth="1"/>
    <col min="30" max="30" width="10.54296875" bestFit="1" customWidth="1"/>
    <col min="31" max="31" width="19.54296875" bestFit="1" customWidth="1"/>
    <col min="32" max="32" width="33.1796875" bestFit="1" customWidth="1"/>
    <col min="33" max="33" width="36.26953125" bestFit="1" customWidth="1"/>
  </cols>
  <sheetData>
    <row r="1" spans="1:44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3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3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3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3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3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3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3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3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3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3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3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3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3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3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3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3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3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3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3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3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3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3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3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3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3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3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3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3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3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3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3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3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3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3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3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3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3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3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3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3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3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3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3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3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3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3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3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3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3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3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3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3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3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3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3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3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3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3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3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3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3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3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3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3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3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3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3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3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3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3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3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3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3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3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3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3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3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35">
      <c r="AC81" s="4"/>
      <c r="AD81" s="4"/>
      <c r="AE81" s="4"/>
    </row>
    <row r="86" spans="29:31" x14ac:dyDescent="0.35">
      <c r="AD86" s="7"/>
    </row>
    <row r="1048576" spans="16:33" x14ac:dyDescent="0.3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7"/>
  <sheetViews>
    <sheetView zoomScaleNormal="100" workbookViewId="0">
      <selection activeCell="G109" sqref="G108:G109"/>
    </sheetView>
  </sheetViews>
  <sheetFormatPr defaultRowHeight="14.5" x14ac:dyDescent="0.35"/>
  <cols>
    <col min="1" max="1" width="17.7265625" bestFit="1" customWidth="1"/>
    <col min="2" max="2" width="17.26953125" bestFit="1" customWidth="1"/>
    <col min="3" max="3" width="13.54296875" bestFit="1" customWidth="1"/>
    <col min="4" max="4" width="15.1796875" bestFit="1" customWidth="1"/>
    <col min="5" max="5" width="13.54296875" bestFit="1" customWidth="1"/>
    <col min="6" max="6" width="12" bestFit="1" customWidth="1"/>
    <col min="7" max="7" width="17.7265625" bestFit="1" customWidth="1"/>
    <col min="8" max="8" width="12.26953125" bestFit="1" customWidth="1"/>
    <col min="9" max="9" width="11.81640625" bestFit="1" customWidth="1"/>
    <col min="10" max="10" width="9.7265625" bestFit="1" customWidth="1"/>
    <col min="11" max="11" width="10.81640625" bestFit="1" customWidth="1"/>
    <col min="12" max="12" width="11.81640625" bestFit="1" customWidth="1"/>
    <col min="13" max="13" width="11.7265625" bestFit="1" customWidth="1"/>
    <col min="14" max="14" width="12" bestFit="1" customWidth="1"/>
    <col min="15" max="15" width="11.26953125" bestFit="1" customWidth="1"/>
    <col min="16" max="16" width="12" bestFit="1" customWidth="1"/>
  </cols>
  <sheetData>
    <row r="1" spans="1:19 16384:16384" x14ac:dyDescent="0.3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3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3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3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3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3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3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3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3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3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3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3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3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3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3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3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3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3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3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3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3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3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3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3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3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3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3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3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3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3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3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3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3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3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3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3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3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3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3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3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3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3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3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3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3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3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3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3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3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3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3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3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3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3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3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3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3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3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3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3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3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3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3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3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3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3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3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3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3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3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3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3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3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3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3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3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3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3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3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3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3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3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3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3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3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3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zoomScale="90" zoomScaleNormal="90" workbookViewId="0">
      <selection activeCell="I2" sqref="I2"/>
    </sheetView>
  </sheetViews>
  <sheetFormatPr defaultRowHeight="14.5" x14ac:dyDescent="0.35"/>
  <sheetData>
    <row r="1" spans="1:27 16384:16384" x14ac:dyDescent="0.3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3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3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3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3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3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3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3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3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3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3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3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3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3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3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3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3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3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3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3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3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3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3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3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3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3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3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3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3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3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3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3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3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3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3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3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3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3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3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3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3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3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3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3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3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3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3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3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3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3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3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3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3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3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3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3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3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3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3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3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3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3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3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3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3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3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3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3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3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3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3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3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3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3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3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3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3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3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3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3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3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3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3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3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48576"/>
  <sheetViews>
    <sheetView zoomScale="70" zoomScaleNormal="70" workbookViewId="0">
      <selection activeCell="L31" sqref="L31"/>
    </sheetView>
  </sheetViews>
  <sheetFormatPr defaultRowHeight="14.5" x14ac:dyDescent="0.35"/>
  <cols>
    <col min="1" max="1" width="22.1796875" bestFit="1" customWidth="1"/>
    <col min="2" max="2" width="7.453125" bestFit="1" customWidth="1"/>
    <col min="3" max="3" width="8.7265625" bestFit="1" customWidth="1"/>
    <col min="4" max="5" width="13" bestFit="1" customWidth="1"/>
    <col min="6" max="6" width="43.81640625" bestFit="1" customWidth="1"/>
    <col min="9" max="9" width="22.1796875" bestFit="1" customWidth="1"/>
    <col min="10" max="10" width="7.453125" customWidth="1"/>
    <col min="11" max="11" width="8.7265625" bestFit="1" customWidth="1"/>
    <col min="12" max="13" width="13" bestFit="1" customWidth="1"/>
    <col min="14" max="14" width="69.54296875" bestFit="1" customWidth="1"/>
  </cols>
  <sheetData>
    <row r="1" spans="1:15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3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3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3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3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3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3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3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3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3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3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3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3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3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3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3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3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3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3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3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3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3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3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3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3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3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3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3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3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3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3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3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3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3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3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3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3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3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3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3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3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3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3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3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3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3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3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3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3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3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3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3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3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3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3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3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3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3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3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3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3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3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3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3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3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3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3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3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3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3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3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3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3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3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35">
      <c r="F1048576" s="3"/>
    </row>
  </sheetData>
  <sortState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8"/>
  <sheetViews>
    <sheetView zoomScale="90" zoomScaleNormal="90" workbookViewId="0">
      <selection activeCell="N10" sqref="N10"/>
    </sheetView>
  </sheetViews>
  <sheetFormatPr defaultRowHeight="14.5" x14ac:dyDescent="0.35"/>
  <cols>
    <col min="1" max="1" width="17.7265625" bestFit="1" customWidth="1"/>
    <col min="2" max="2" width="7.1796875" bestFit="1" customWidth="1"/>
    <col min="3" max="3" width="8.7265625" bestFit="1" customWidth="1"/>
    <col min="4" max="4" width="12" bestFit="1" customWidth="1"/>
    <col min="5" max="5" width="11.81640625" customWidth="1"/>
    <col min="8" max="8" width="20.26953125" bestFit="1" customWidth="1"/>
    <col min="9" max="9" width="7.1796875" bestFit="1" customWidth="1"/>
    <col min="10" max="10" width="8.7265625" bestFit="1" customWidth="1"/>
    <col min="11" max="12" width="13.26953125" bestFit="1" customWidth="1"/>
    <col min="13" max="13" width="73.7265625" bestFit="1" customWidth="1"/>
  </cols>
  <sheetData>
    <row r="1" spans="1:14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3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3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3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3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3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3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3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3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3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3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3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3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3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3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3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3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3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3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3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3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3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3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3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3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3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3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3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3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3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3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3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3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3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3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3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3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3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3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3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3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3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3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3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3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3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3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3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3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3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3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3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3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3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3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3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3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3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101"/>
  <sheetViews>
    <sheetView workbookViewId="0">
      <selection activeCell="AB26" sqref="AB26"/>
    </sheetView>
  </sheetViews>
  <sheetFormatPr defaultRowHeight="14.5" x14ac:dyDescent="0.35"/>
  <cols>
    <col min="6" max="6" width="15.1796875" bestFit="1" customWidth="1"/>
  </cols>
  <sheetData>
    <row r="2" spans="1:26" x14ac:dyDescent="0.3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3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3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3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3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3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3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3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3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3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3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3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3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3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3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3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3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3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3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3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3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3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3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3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3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3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3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3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3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3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3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3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3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3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3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3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3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3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3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3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35">
      <c r="A42">
        <f t="shared" si="2"/>
        <v>41</v>
      </c>
      <c r="B42" t="s">
        <v>12</v>
      </c>
    </row>
    <row r="43" spans="1:17" x14ac:dyDescent="0.35">
      <c r="A43">
        <f t="shared" si="2"/>
        <v>42</v>
      </c>
      <c r="B43" t="s">
        <v>87</v>
      </c>
      <c r="C43" t="s">
        <v>510</v>
      </c>
    </row>
    <row r="44" spans="1:17" x14ac:dyDescent="0.35">
      <c r="A44">
        <f t="shared" si="2"/>
        <v>43</v>
      </c>
      <c r="B44" t="s">
        <v>61</v>
      </c>
    </row>
    <row r="45" spans="1:17" x14ac:dyDescent="0.35">
      <c r="A45">
        <f t="shared" si="2"/>
        <v>44</v>
      </c>
      <c r="B45" t="s">
        <v>37</v>
      </c>
    </row>
    <row r="46" spans="1:17" x14ac:dyDescent="0.35">
      <c r="A46">
        <f t="shared" si="2"/>
        <v>45</v>
      </c>
      <c r="B46" t="s">
        <v>51</v>
      </c>
    </row>
    <row r="47" spans="1:17" x14ac:dyDescent="0.35">
      <c r="A47">
        <f t="shared" si="2"/>
        <v>46</v>
      </c>
      <c r="B47" t="s">
        <v>4</v>
      </c>
    </row>
    <row r="48" spans="1:17" x14ac:dyDescent="0.35">
      <c r="A48">
        <f t="shared" si="2"/>
        <v>47</v>
      </c>
      <c r="B48" t="s">
        <v>25</v>
      </c>
      <c r="C48" t="s">
        <v>511</v>
      </c>
    </row>
    <row r="49" spans="1:3" x14ac:dyDescent="0.35">
      <c r="A49">
        <f t="shared" si="2"/>
        <v>48</v>
      </c>
      <c r="B49" t="s">
        <v>81</v>
      </c>
      <c r="C49" t="s">
        <v>512</v>
      </c>
    </row>
    <row r="50" spans="1:3" x14ac:dyDescent="0.35">
      <c r="A50">
        <f t="shared" si="2"/>
        <v>49</v>
      </c>
      <c r="B50" t="s">
        <v>105</v>
      </c>
      <c r="C50" t="s">
        <v>33</v>
      </c>
    </row>
    <row r="51" spans="1:3" x14ac:dyDescent="0.35">
      <c r="A51">
        <f t="shared" si="2"/>
        <v>50</v>
      </c>
      <c r="B51" t="s">
        <v>99</v>
      </c>
    </row>
    <row r="52" spans="1:3" x14ac:dyDescent="0.35">
      <c r="A52">
        <f t="shared" si="2"/>
        <v>51</v>
      </c>
      <c r="B52" t="s">
        <v>82</v>
      </c>
    </row>
    <row r="53" spans="1:3" x14ac:dyDescent="0.35">
      <c r="A53">
        <f t="shared" si="2"/>
        <v>52</v>
      </c>
      <c r="B53" t="s">
        <v>20</v>
      </c>
    </row>
    <row r="54" spans="1:3" x14ac:dyDescent="0.35">
      <c r="A54">
        <f t="shared" si="2"/>
        <v>53</v>
      </c>
      <c r="B54" t="s">
        <v>19</v>
      </c>
    </row>
    <row r="55" spans="1:3" x14ac:dyDescent="0.35">
      <c r="A55">
        <f t="shared" si="2"/>
        <v>54</v>
      </c>
      <c r="B55" t="s">
        <v>26</v>
      </c>
      <c r="C55" t="s">
        <v>513</v>
      </c>
    </row>
    <row r="56" spans="1:3" x14ac:dyDescent="0.35">
      <c r="A56">
        <f t="shared" si="2"/>
        <v>55</v>
      </c>
      <c r="B56" t="s">
        <v>514</v>
      </c>
      <c r="C56" t="s">
        <v>110</v>
      </c>
    </row>
    <row r="57" spans="1:3" x14ac:dyDescent="0.35">
      <c r="A57">
        <f t="shared" si="2"/>
        <v>56</v>
      </c>
      <c r="B57" t="s">
        <v>30</v>
      </c>
      <c r="C57" t="s">
        <v>515</v>
      </c>
    </row>
    <row r="58" spans="1:3" x14ac:dyDescent="0.35">
      <c r="A58">
        <f t="shared" si="2"/>
        <v>57</v>
      </c>
      <c r="B58" t="s">
        <v>17</v>
      </c>
    </row>
    <row r="59" spans="1:3" x14ac:dyDescent="0.35">
      <c r="A59">
        <f t="shared" si="2"/>
        <v>58</v>
      </c>
      <c r="B59" t="s">
        <v>404</v>
      </c>
    </row>
    <row r="60" spans="1:3" x14ac:dyDescent="0.35">
      <c r="A60">
        <f t="shared" si="2"/>
        <v>59</v>
      </c>
      <c r="B60" t="s">
        <v>31</v>
      </c>
      <c r="C60" t="s">
        <v>516</v>
      </c>
    </row>
    <row r="61" spans="1:3" x14ac:dyDescent="0.35">
      <c r="A61">
        <f t="shared" si="2"/>
        <v>60</v>
      </c>
      <c r="B61" t="s">
        <v>49</v>
      </c>
      <c r="C61" t="s">
        <v>517</v>
      </c>
    </row>
    <row r="62" spans="1:3" x14ac:dyDescent="0.35">
      <c r="A62">
        <f t="shared" si="2"/>
        <v>61</v>
      </c>
      <c r="B62" t="s">
        <v>230</v>
      </c>
      <c r="C62" t="s">
        <v>518</v>
      </c>
    </row>
    <row r="63" spans="1:3" x14ac:dyDescent="0.35">
      <c r="A63">
        <f t="shared" si="2"/>
        <v>62</v>
      </c>
      <c r="B63" t="s">
        <v>253</v>
      </c>
    </row>
    <row r="64" spans="1:3" x14ac:dyDescent="0.35">
      <c r="A64">
        <f t="shared" si="2"/>
        <v>63</v>
      </c>
      <c r="B64" t="s">
        <v>6</v>
      </c>
    </row>
    <row r="65" spans="1:3" x14ac:dyDescent="0.35">
      <c r="A65">
        <f t="shared" si="2"/>
        <v>64</v>
      </c>
      <c r="B65" t="s">
        <v>56</v>
      </c>
      <c r="C65" t="s">
        <v>519</v>
      </c>
    </row>
    <row r="66" spans="1:3" x14ac:dyDescent="0.35">
      <c r="A66">
        <f t="shared" si="2"/>
        <v>65</v>
      </c>
      <c r="B66" t="s">
        <v>90</v>
      </c>
    </row>
    <row r="67" spans="1:3" x14ac:dyDescent="0.35">
      <c r="A67">
        <f t="shared" si="2"/>
        <v>66</v>
      </c>
      <c r="B67" t="s">
        <v>124</v>
      </c>
      <c r="C67" t="s">
        <v>520</v>
      </c>
    </row>
    <row r="68" spans="1:3" x14ac:dyDescent="0.35">
      <c r="A68">
        <f t="shared" si="2"/>
        <v>67</v>
      </c>
      <c r="B68" t="s">
        <v>33</v>
      </c>
    </row>
    <row r="69" spans="1:3" x14ac:dyDescent="0.35">
      <c r="A69">
        <f t="shared" si="2"/>
        <v>68</v>
      </c>
      <c r="B69" t="s">
        <v>34</v>
      </c>
      <c r="C69" t="s">
        <v>521</v>
      </c>
    </row>
    <row r="70" spans="1:3" x14ac:dyDescent="0.35">
      <c r="A70">
        <f t="shared" si="2"/>
        <v>69</v>
      </c>
      <c r="B70" t="s">
        <v>28</v>
      </c>
    </row>
    <row r="71" spans="1:3" x14ac:dyDescent="0.35">
      <c r="A71">
        <f t="shared" si="2"/>
        <v>70</v>
      </c>
      <c r="B71" t="s">
        <v>401</v>
      </c>
      <c r="C71" t="s">
        <v>522</v>
      </c>
    </row>
    <row r="74" spans="1:3" x14ac:dyDescent="0.35">
      <c r="A74" t="s">
        <v>523</v>
      </c>
    </row>
    <row r="75" spans="1:3" x14ac:dyDescent="0.35">
      <c r="A75" t="s">
        <v>524</v>
      </c>
    </row>
    <row r="76" spans="1:3" x14ac:dyDescent="0.35">
      <c r="A76" t="s">
        <v>525</v>
      </c>
    </row>
    <row r="77" spans="1:3" x14ac:dyDescent="0.35">
      <c r="A77" t="s">
        <v>526</v>
      </c>
    </row>
    <row r="78" spans="1:3" x14ac:dyDescent="0.35">
      <c r="A78" t="s">
        <v>527</v>
      </c>
    </row>
    <row r="79" spans="1:3" x14ac:dyDescent="0.35">
      <c r="A79" t="s">
        <v>528</v>
      </c>
    </row>
    <row r="80" spans="1:3" x14ac:dyDescent="0.35">
      <c r="A80" t="s">
        <v>529</v>
      </c>
    </row>
    <row r="81" spans="1:1" x14ac:dyDescent="0.35">
      <c r="A81" t="s">
        <v>530</v>
      </c>
    </row>
    <row r="82" spans="1:1" x14ac:dyDescent="0.35">
      <c r="A82" t="s">
        <v>531</v>
      </c>
    </row>
    <row r="83" spans="1:1" x14ac:dyDescent="0.35">
      <c r="A83" t="s">
        <v>532</v>
      </c>
    </row>
    <row r="84" spans="1:1" x14ac:dyDescent="0.35">
      <c r="A84" t="s">
        <v>533</v>
      </c>
    </row>
    <row r="85" spans="1:1" x14ac:dyDescent="0.35">
      <c r="A85" t="s">
        <v>534</v>
      </c>
    </row>
    <row r="86" spans="1:1" x14ac:dyDescent="0.35">
      <c r="A86" t="s">
        <v>535</v>
      </c>
    </row>
    <row r="87" spans="1:1" x14ac:dyDescent="0.35">
      <c r="A87" t="s">
        <v>536</v>
      </c>
    </row>
    <row r="88" spans="1:1" x14ac:dyDescent="0.35">
      <c r="A88" t="s">
        <v>537</v>
      </c>
    </row>
    <row r="89" spans="1:1" x14ac:dyDescent="0.35">
      <c r="A89" t="s">
        <v>538</v>
      </c>
    </row>
    <row r="90" spans="1:1" x14ac:dyDescent="0.35">
      <c r="A90" t="s">
        <v>539</v>
      </c>
    </row>
    <row r="91" spans="1:1" x14ac:dyDescent="0.35">
      <c r="A91" t="s">
        <v>540</v>
      </c>
    </row>
    <row r="92" spans="1:1" x14ac:dyDescent="0.35">
      <c r="A92" t="s">
        <v>541</v>
      </c>
    </row>
    <row r="93" spans="1:1" x14ac:dyDescent="0.35">
      <c r="A93" t="s">
        <v>542</v>
      </c>
    </row>
    <row r="94" spans="1:1" x14ac:dyDescent="0.35">
      <c r="A94" t="s">
        <v>543</v>
      </c>
    </row>
    <row r="95" spans="1:1" x14ac:dyDescent="0.35">
      <c r="A95" t="s">
        <v>544</v>
      </c>
    </row>
    <row r="96" spans="1:1" x14ac:dyDescent="0.35">
      <c r="A96" t="s">
        <v>545</v>
      </c>
    </row>
    <row r="97" spans="1:1" x14ac:dyDescent="0.35">
      <c r="A97" t="s">
        <v>546</v>
      </c>
    </row>
    <row r="98" spans="1:1" x14ac:dyDescent="0.35">
      <c r="A98" t="s">
        <v>547</v>
      </c>
    </row>
    <row r="99" spans="1:1" x14ac:dyDescent="0.35">
      <c r="A99" t="s">
        <v>548</v>
      </c>
    </row>
    <row r="100" spans="1:1" x14ac:dyDescent="0.35">
      <c r="A100" t="s">
        <v>549</v>
      </c>
    </row>
    <row r="101" spans="1:1" x14ac:dyDescent="0.3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tabSelected="1" workbookViewId="0">
      <selection activeCell="I23" sqref="I23:N23"/>
    </sheetView>
  </sheetViews>
  <sheetFormatPr defaultRowHeight="14.5" x14ac:dyDescent="0.35"/>
  <sheetData>
    <row r="1" spans="1:27 16384:16384" x14ac:dyDescent="0.35">
      <c r="A1" s="1">
        <v>46184</v>
      </c>
      <c r="B1" s="1">
        <v>46184</v>
      </c>
      <c r="C1" s="1">
        <v>46185</v>
      </c>
      <c r="D1" s="1">
        <v>46185</v>
      </c>
      <c r="E1" s="1">
        <v>46186</v>
      </c>
      <c r="F1" s="1">
        <v>46186</v>
      </c>
      <c r="G1" s="1">
        <v>46191</v>
      </c>
      <c r="H1" s="1">
        <v>46191</v>
      </c>
      <c r="I1" s="1">
        <v>46191</v>
      </c>
      <c r="J1" s="1">
        <v>46191</v>
      </c>
      <c r="K1" s="1">
        <v>46192</v>
      </c>
      <c r="L1" s="1">
        <v>46192</v>
      </c>
      <c r="Z1" s="1"/>
      <c r="AA1" s="1"/>
      <c r="XFD1" s="1"/>
    </row>
    <row r="2" spans="1:27 16384:16384" x14ac:dyDescent="0.35">
      <c r="A2" t="s">
        <v>586</v>
      </c>
      <c r="B2" t="s">
        <v>31</v>
      </c>
      <c r="C2" t="s">
        <v>552</v>
      </c>
      <c r="D2" t="s">
        <v>591</v>
      </c>
      <c r="E2" t="s">
        <v>232</v>
      </c>
      <c r="F2" t="s">
        <v>35</v>
      </c>
    </row>
    <row r="3" spans="1:27 16384:16384" x14ac:dyDescent="0.35">
      <c r="A3" t="s">
        <v>28</v>
      </c>
      <c r="B3" t="s">
        <v>593</v>
      </c>
      <c r="C3" t="s">
        <v>586</v>
      </c>
      <c r="D3" t="s">
        <v>553</v>
      </c>
      <c r="E3" t="s">
        <v>28</v>
      </c>
      <c r="F3" t="s">
        <v>232</v>
      </c>
    </row>
    <row r="4" spans="1:27 16384:16384" x14ac:dyDescent="0.35">
      <c r="A4" t="s">
        <v>593</v>
      </c>
      <c r="B4" t="s">
        <v>21</v>
      </c>
      <c r="C4" t="s">
        <v>31</v>
      </c>
      <c r="D4" t="s">
        <v>586</v>
      </c>
      <c r="E4" t="s">
        <v>35</v>
      </c>
      <c r="F4" t="s">
        <v>552</v>
      </c>
    </row>
    <row r="5" spans="1:27 16384:16384" x14ac:dyDescent="0.35">
      <c r="A5" t="s">
        <v>31</v>
      </c>
      <c r="B5" t="s">
        <v>586</v>
      </c>
      <c r="C5" t="s">
        <v>34</v>
      </c>
      <c r="D5" t="s">
        <v>28</v>
      </c>
      <c r="E5" t="s">
        <v>24</v>
      </c>
      <c r="F5" t="s">
        <v>593</v>
      </c>
    </row>
    <row r="6" spans="1:27 16384:16384" x14ac:dyDescent="0.35">
      <c r="A6" t="s">
        <v>139</v>
      </c>
      <c r="B6" t="s">
        <v>139</v>
      </c>
      <c r="C6" t="s">
        <v>232</v>
      </c>
      <c r="D6" t="s">
        <v>232</v>
      </c>
      <c r="E6" t="s">
        <v>34</v>
      </c>
      <c r="F6" t="s">
        <v>553</v>
      </c>
    </row>
    <row r="7" spans="1:27 16384:16384" x14ac:dyDescent="0.35">
      <c r="A7" t="s">
        <v>25</v>
      </c>
      <c r="B7" t="s">
        <v>123</v>
      </c>
      <c r="C7" t="s">
        <v>553</v>
      </c>
      <c r="D7" t="s">
        <v>34</v>
      </c>
      <c r="E7" t="s">
        <v>553</v>
      </c>
      <c r="F7" t="s">
        <v>90</v>
      </c>
    </row>
    <row r="8" spans="1:27 16384:16384" x14ac:dyDescent="0.35">
      <c r="A8" t="s">
        <v>123</v>
      </c>
      <c r="B8" t="s">
        <v>25</v>
      </c>
      <c r="C8" t="s">
        <v>25</v>
      </c>
      <c r="D8" t="s">
        <v>552</v>
      </c>
      <c r="E8" t="s">
        <v>87</v>
      </c>
      <c r="F8" t="s">
        <v>28</v>
      </c>
    </row>
    <row r="9" spans="1:27 16384:16384" x14ac:dyDescent="0.35">
      <c r="A9" t="s">
        <v>588</v>
      </c>
      <c r="B9" t="s">
        <v>28</v>
      </c>
      <c r="C9" t="s">
        <v>28</v>
      </c>
      <c r="D9" t="s">
        <v>31</v>
      </c>
      <c r="E9" t="s">
        <v>552</v>
      </c>
      <c r="F9" t="s">
        <v>87</v>
      </c>
    </row>
    <row r="12" spans="1:27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35">
      <c r="A13" s="18" t="s">
        <v>125</v>
      </c>
      <c r="B13" s="18">
        <v>40</v>
      </c>
      <c r="C13" s="18">
        <v>2</v>
      </c>
      <c r="D13" s="18">
        <f t="shared" ref="D13:D72" si="0">E13/B13</f>
        <v>4.375</v>
      </c>
      <c r="E13" s="18">
        <v>175</v>
      </c>
      <c r="F13" s="18">
        <f t="shared" ref="F13:F72" si="1">C13/B13</f>
        <v>0.05</v>
      </c>
      <c r="G13" s="32">
        <v>2.3664319132398401</v>
      </c>
      <c r="I13" s="18" t="s">
        <v>125</v>
      </c>
      <c r="J13" s="18">
        <v>40</v>
      </c>
      <c r="K13" s="18">
        <v>2</v>
      </c>
      <c r="L13" s="18">
        <f t="shared" ref="L13" si="2">M13/J13</f>
        <v>4.375</v>
      </c>
      <c r="M13" s="18">
        <v>175</v>
      </c>
      <c r="N13" s="18">
        <f t="shared" ref="N13" si="3">K13/J13</f>
        <v>0.05</v>
      </c>
    </row>
    <row r="14" spans="1:27 16384:16384" x14ac:dyDescent="0.35">
      <c r="A14" s="18" t="s">
        <v>104</v>
      </c>
      <c r="B14" s="18">
        <v>132</v>
      </c>
      <c r="C14" s="18">
        <v>9</v>
      </c>
      <c r="D14" s="18">
        <f t="shared" si="0"/>
        <v>4.25</v>
      </c>
      <c r="E14" s="18">
        <v>561</v>
      </c>
      <c r="F14" s="18">
        <f t="shared" si="1"/>
        <v>6.8181818181818177E-2</v>
      </c>
      <c r="G14" s="32">
        <v>2.3273733406281498</v>
      </c>
      <c r="I14" s="18" t="s">
        <v>104</v>
      </c>
      <c r="J14" s="18">
        <v>132</v>
      </c>
      <c r="K14" s="18">
        <v>9</v>
      </c>
      <c r="L14" s="18">
        <f t="shared" ref="L14:L15" si="4">M14/J14</f>
        <v>4.25</v>
      </c>
      <c r="M14" s="18">
        <v>561</v>
      </c>
      <c r="N14" s="18">
        <f t="shared" ref="N14:N15" si="5">K14/J14</f>
        <v>6.8181818181818177E-2</v>
      </c>
    </row>
    <row r="15" spans="1:27 16384:16384" x14ac:dyDescent="0.35">
      <c r="A15" s="18" t="s">
        <v>31</v>
      </c>
      <c r="B15" s="18">
        <v>266</v>
      </c>
      <c r="C15" s="18">
        <v>22</v>
      </c>
      <c r="D15" s="18">
        <f t="shared" si="0"/>
        <v>5.003759398496241</v>
      </c>
      <c r="E15" s="18">
        <v>1331</v>
      </c>
      <c r="F15" s="18">
        <f t="shared" si="1"/>
        <v>8.2706766917293228E-2</v>
      </c>
      <c r="G15" s="32">
        <v>1.87082869338697</v>
      </c>
      <c r="I15" s="18" t="s">
        <v>31</v>
      </c>
      <c r="J15" s="18">
        <v>266</v>
      </c>
      <c r="K15" s="18">
        <v>22</v>
      </c>
      <c r="L15" s="18">
        <f t="shared" si="4"/>
        <v>5.003759398496241</v>
      </c>
      <c r="M15" s="18">
        <v>1331</v>
      </c>
      <c r="N15" s="18">
        <f t="shared" si="5"/>
        <v>8.2706766917293228E-2</v>
      </c>
    </row>
    <row r="16" spans="1:27 16384:16384" x14ac:dyDescent="0.35">
      <c r="A16" t="s">
        <v>105</v>
      </c>
      <c r="B16">
        <v>36</v>
      </c>
      <c r="C16">
        <v>6</v>
      </c>
      <c r="D16">
        <f t="shared" si="0"/>
        <v>4.6111111111111107</v>
      </c>
      <c r="E16">
        <v>166</v>
      </c>
      <c r="F16">
        <f t="shared" si="1"/>
        <v>0.16666666666666666</v>
      </c>
      <c r="G16" s="32">
        <v>1.8165902124584901</v>
      </c>
      <c r="I16" s="18" t="s">
        <v>128</v>
      </c>
      <c r="J16" s="18">
        <v>114</v>
      </c>
      <c r="K16" s="18">
        <v>36</v>
      </c>
      <c r="L16" s="18">
        <f t="shared" ref="L16" si="6">M16/J16</f>
        <v>3.236842105263158</v>
      </c>
      <c r="M16" s="18">
        <v>369</v>
      </c>
      <c r="N16" s="18">
        <f t="shared" ref="N16" si="7">K16/J16</f>
        <v>0.31578947368421051</v>
      </c>
    </row>
    <row r="17" spans="1:24" x14ac:dyDescent="0.35">
      <c r="A17" s="18" t="s">
        <v>128</v>
      </c>
      <c r="B17" s="18">
        <v>114</v>
      </c>
      <c r="C17" s="18">
        <v>36</v>
      </c>
      <c r="D17" s="18">
        <f t="shared" si="0"/>
        <v>3.236842105263158</v>
      </c>
      <c r="E17" s="18">
        <v>369</v>
      </c>
      <c r="F17" s="18">
        <f t="shared" si="1"/>
        <v>0.31578947368421051</v>
      </c>
      <c r="G17" s="32">
        <v>2.03049835952651</v>
      </c>
      <c r="I17" s="18" t="s">
        <v>8</v>
      </c>
      <c r="J17" s="18">
        <v>49</v>
      </c>
      <c r="K17" s="18">
        <v>6</v>
      </c>
      <c r="L17" s="18">
        <f t="shared" ref="L17:L49" si="8">M17/J17</f>
        <v>4.4285714285714288</v>
      </c>
      <c r="M17" s="18">
        <v>217</v>
      </c>
      <c r="N17" s="18">
        <f t="shared" ref="N17:N31" si="9">K17/J17</f>
        <v>0.12244897959183673</v>
      </c>
      <c r="S17" s="18"/>
      <c r="T17" s="18"/>
      <c r="U17" s="18"/>
      <c r="V17" s="18"/>
      <c r="W17" s="18"/>
      <c r="X17" s="18"/>
    </row>
    <row r="18" spans="1:24" x14ac:dyDescent="0.3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t="s">
        <v>14</v>
      </c>
      <c r="J18">
        <v>45</v>
      </c>
      <c r="K18">
        <v>3</v>
      </c>
      <c r="L18">
        <f t="shared" si="8"/>
        <v>4.7111111111111112</v>
      </c>
      <c r="M18">
        <v>212</v>
      </c>
      <c r="N18">
        <f t="shared" si="9"/>
        <v>6.6666666666666666E-2</v>
      </c>
    </row>
    <row r="19" spans="1:24" x14ac:dyDescent="0.35">
      <c r="A19" t="s">
        <v>37</v>
      </c>
      <c r="B19">
        <v>30</v>
      </c>
      <c r="C19">
        <v>2</v>
      </c>
      <c r="D19">
        <f t="shared" si="0"/>
        <v>5.0666666666666664</v>
      </c>
      <c r="E19">
        <v>152</v>
      </c>
      <c r="F19">
        <f t="shared" si="1"/>
        <v>6.6666666666666666E-2</v>
      </c>
      <c r="G19" s="32">
        <v>2.4235565546581199</v>
      </c>
      <c r="I19" s="18" t="s">
        <v>6</v>
      </c>
      <c r="J19" s="18">
        <v>45</v>
      </c>
      <c r="K19" s="18">
        <v>3</v>
      </c>
      <c r="L19" s="18">
        <f t="shared" si="8"/>
        <v>5.3555555555555552</v>
      </c>
      <c r="M19" s="18">
        <v>241</v>
      </c>
      <c r="N19" s="18">
        <f t="shared" si="9"/>
        <v>6.6666666666666666E-2</v>
      </c>
    </row>
    <row r="20" spans="1:24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18" t="s">
        <v>25</v>
      </c>
      <c r="J20" s="18">
        <v>237</v>
      </c>
      <c r="K20" s="18">
        <v>22</v>
      </c>
      <c r="L20" s="18">
        <f t="shared" si="8"/>
        <v>4.9915611814345988</v>
      </c>
      <c r="M20" s="18">
        <v>1183</v>
      </c>
      <c r="N20" s="18">
        <f t="shared" si="9"/>
        <v>9.2827004219409287E-2</v>
      </c>
    </row>
    <row r="21" spans="1:24" x14ac:dyDescent="0.35">
      <c r="A21" s="79" t="s">
        <v>90</v>
      </c>
      <c r="B21" s="79">
        <v>35</v>
      </c>
      <c r="C21" s="79">
        <v>3</v>
      </c>
      <c r="D21" s="79">
        <f t="shared" si="0"/>
        <v>5.4571428571428573</v>
      </c>
      <c r="E21" s="79">
        <v>191</v>
      </c>
      <c r="F21" s="79">
        <f t="shared" si="1"/>
        <v>8.5714285714285715E-2</v>
      </c>
      <c r="G21" s="32">
        <v>2.2962419891481902</v>
      </c>
      <c r="I21" s="18" t="s">
        <v>34</v>
      </c>
      <c r="J21" s="18">
        <v>40</v>
      </c>
      <c r="K21" s="18">
        <v>3</v>
      </c>
      <c r="L21" s="18">
        <f t="shared" ref="L21" si="10">M21/J21</f>
        <v>5.4</v>
      </c>
      <c r="M21" s="18">
        <v>216</v>
      </c>
      <c r="N21" s="18">
        <f t="shared" ref="N21" si="11">K21/J21</f>
        <v>7.4999999999999997E-2</v>
      </c>
    </row>
    <row r="22" spans="1:24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147</v>
      </c>
      <c r="J22" s="18">
        <v>139</v>
      </c>
      <c r="K22" s="18">
        <v>27</v>
      </c>
      <c r="L22" s="18">
        <f>M22/J22</f>
        <v>3.8273381294964031</v>
      </c>
      <c r="M22" s="18">
        <v>532</v>
      </c>
      <c r="N22" s="18">
        <f>K22/J22</f>
        <v>0.19424460431654678</v>
      </c>
    </row>
    <row r="23" spans="1:24" x14ac:dyDescent="0.35">
      <c r="A23" t="s">
        <v>19</v>
      </c>
      <c r="B23">
        <v>37</v>
      </c>
      <c r="C23">
        <v>3</v>
      </c>
      <c r="D23">
        <f t="shared" si="0"/>
        <v>5.0270270270270272</v>
      </c>
      <c r="E23">
        <v>186</v>
      </c>
      <c r="F23">
        <f t="shared" si="1"/>
        <v>8.1081081081081086E-2</v>
      </c>
      <c r="G23" s="32">
        <v>2.3299294900428702</v>
      </c>
      <c r="I23" s="18" t="s">
        <v>87</v>
      </c>
      <c r="J23" s="18">
        <v>185</v>
      </c>
      <c r="K23" s="18">
        <v>23</v>
      </c>
      <c r="L23" s="18">
        <f t="shared" ref="L23" si="12">M23/J23</f>
        <v>5.0270270270270272</v>
      </c>
      <c r="M23" s="18">
        <v>930</v>
      </c>
      <c r="N23" s="18">
        <f t="shared" ref="N23" si="13">K23/J23</f>
        <v>0.12432432432432433</v>
      </c>
    </row>
    <row r="24" spans="1:24" x14ac:dyDescent="0.35">
      <c r="A24" t="s">
        <v>56</v>
      </c>
      <c r="B24">
        <v>37</v>
      </c>
      <c r="C24">
        <v>0</v>
      </c>
      <c r="D24">
        <f t="shared" si="0"/>
        <v>5.1081081081081079</v>
      </c>
      <c r="E24">
        <v>189</v>
      </c>
      <c r="F24">
        <f t="shared" si="1"/>
        <v>0</v>
      </c>
      <c r="G24" s="32">
        <v>2.0655911179772799</v>
      </c>
      <c r="I24" s="18" t="s">
        <v>81</v>
      </c>
      <c r="J24" s="18">
        <v>87</v>
      </c>
      <c r="K24" s="18">
        <v>6</v>
      </c>
      <c r="L24" s="18">
        <f>M24/J24</f>
        <v>5.1149425287356323</v>
      </c>
      <c r="M24" s="18">
        <v>445</v>
      </c>
      <c r="N24" s="18">
        <f>K24/J24</f>
        <v>6.8965517241379309E-2</v>
      </c>
    </row>
    <row r="25" spans="1:24" x14ac:dyDescent="0.35">
      <c r="A25" t="s">
        <v>52</v>
      </c>
      <c r="B25">
        <v>31</v>
      </c>
      <c r="C25">
        <v>3</v>
      </c>
      <c r="D25">
        <f t="shared" si="0"/>
        <v>3.903225806451613</v>
      </c>
      <c r="E25">
        <v>121</v>
      </c>
      <c r="F25">
        <f t="shared" si="1"/>
        <v>9.6774193548387094E-2</v>
      </c>
      <c r="G25" s="32">
        <v>2.1794494717703299</v>
      </c>
      <c r="I25" s="18" t="s">
        <v>401</v>
      </c>
      <c r="J25" s="18">
        <v>69</v>
      </c>
      <c r="K25" s="18">
        <v>3</v>
      </c>
      <c r="L25" s="18">
        <f>M25/J25</f>
        <v>5.3913043478260869</v>
      </c>
      <c r="M25" s="18">
        <v>372</v>
      </c>
      <c r="N25" s="18">
        <f>K25/J25</f>
        <v>4.3478260869565216E-2</v>
      </c>
    </row>
    <row r="26" spans="1:24" x14ac:dyDescent="0.35">
      <c r="A26" t="s">
        <v>20</v>
      </c>
      <c r="B26">
        <v>31</v>
      </c>
      <c r="C26">
        <v>2</v>
      </c>
      <c r="D26">
        <f t="shared" si="0"/>
        <v>5.32258064516129</v>
      </c>
      <c r="E26">
        <v>165</v>
      </c>
      <c r="F26">
        <f t="shared" si="1"/>
        <v>6.4516129032258063E-2</v>
      </c>
      <c r="G26" s="32">
        <v>2.3159525823376299</v>
      </c>
      <c r="I26" s="18" t="s">
        <v>15</v>
      </c>
      <c r="J26" s="18">
        <v>270</v>
      </c>
      <c r="K26" s="18">
        <v>40</v>
      </c>
      <c r="L26" s="18">
        <f>M26/J26</f>
        <v>4.6148148148148147</v>
      </c>
      <c r="M26" s="18">
        <v>1246</v>
      </c>
      <c r="N26" s="18">
        <f>K26/J26</f>
        <v>0.14814814814814814</v>
      </c>
    </row>
    <row r="27" spans="1:24" x14ac:dyDescent="0.35">
      <c r="A27" s="18" t="s">
        <v>25</v>
      </c>
      <c r="B27" s="18">
        <v>237</v>
      </c>
      <c r="C27" s="18">
        <v>22</v>
      </c>
      <c r="D27" s="18">
        <f t="shared" si="0"/>
        <v>4.9915611814345988</v>
      </c>
      <c r="E27" s="18">
        <v>1183</v>
      </c>
      <c r="F27" s="18">
        <f t="shared" si="1"/>
        <v>9.2827004219409287E-2</v>
      </c>
      <c r="G27" s="32">
        <v>2.1609054109613202</v>
      </c>
      <c r="I27" s="18" t="s">
        <v>10</v>
      </c>
      <c r="J27" s="18">
        <v>73</v>
      </c>
      <c r="K27" s="18">
        <v>13</v>
      </c>
      <c r="L27" s="18">
        <f>M27/J27</f>
        <v>3.9452054794520546</v>
      </c>
      <c r="M27" s="18">
        <v>288</v>
      </c>
      <c r="N27" s="18">
        <f>K27/J27</f>
        <v>0.17808219178082191</v>
      </c>
    </row>
    <row r="28" spans="1:24" x14ac:dyDescent="0.35">
      <c r="A28" s="18" t="s">
        <v>34</v>
      </c>
      <c r="B28" s="18">
        <v>40</v>
      </c>
      <c r="C28" s="18">
        <v>3</v>
      </c>
      <c r="D28" s="18">
        <f t="shared" si="0"/>
        <v>5.4</v>
      </c>
      <c r="E28" s="18">
        <v>216</v>
      </c>
      <c r="F28" s="18">
        <f t="shared" si="1"/>
        <v>7.4999999999999997E-2</v>
      </c>
      <c r="G28" s="32">
        <v>2.2360679774997898</v>
      </c>
      <c r="I28" s="18" t="s">
        <v>121</v>
      </c>
      <c r="J28" s="18">
        <v>108</v>
      </c>
      <c r="K28" s="18">
        <v>23</v>
      </c>
      <c r="L28" s="18">
        <f>M28/J28</f>
        <v>3.8703703703703702</v>
      </c>
      <c r="M28" s="18">
        <v>418</v>
      </c>
      <c r="N28" s="18">
        <f>K28/J28</f>
        <v>0.21296296296296297</v>
      </c>
    </row>
    <row r="29" spans="1:24" x14ac:dyDescent="0.35">
      <c r="A29" s="18" t="s">
        <v>147</v>
      </c>
      <c r="B29" s="18">
        <v>139</v>
      </c>
      <c r="C29" s="18">
        <v>27</v>
      </c>
      <c r="D29" s="18">
        <f t="shared" si="0"/>
        <v>3.8273381294964031</v>
      </c>
      <c r="E29" s="18">
        <v>532</v>
      </c>
      <c r="F29" s="18">
        <f t="shared" si="1"/>
        <v>0.19424460431654678</v>
      </c>
      <c r="G29" s="32">
        <v>1.94935886896179</v>
      </c>
      <c r="I29" s="18" t="s">
        <v>232</v>
      </c>
      <c r="J29" s="18">
        <v>172</v>
      </c>
      <c r="K29" s="18">
        <v>36</v>
      </c>
      <c r="L29" s="18">
        <f t="shared" ref="L29" si="14">M29/J29</f>
        <v>3.6569767441860463</v>
      </c>
      <c r="M29" s="18">
        <v>629</v>
      </c>
      <c r="N29" s="18">
        <f t="shared" ref="N29" si="15">K29/J29</f>
        <v>0.20930232558139536</v>
      </c>
    </row>
    <row r="30" spans="1:24" x14ac:dyDescent="0.35">
      <c r="A30" s="18" t="s">
        <v>87</v>
      </c>
      <c r="B30" s="18">
        <v>185</v>
      </c>
      <c r="C30" s="18">
        <v>23</v>
      </c>
      <c r="D30" s="18">
        <f t="shared" si="0"/>
        <v>5.0270270270270272</v>
      </c>
      <c r="E30" s="18">
        <v>930</v>
      </c>
      <c r="F30" s="18">
        <f t="shared" si="1"/>
        <v>0.12432432432432433</v>
      </c>
      <c r="G30" s="32">
        <v>1.7888543819998299</v>
      </c>
      <c r="I30" s="18" t="s">
        <v>21</v>
      </c>
      <c r="J30" s="18">
        <v>180</v>
      </c>
      <c r="K30" s="18">
        <v>25</v>
      </c>
      <c r="L30" s="18">
        <f>M30/J30</f>
        <v>4.3055555555555554</v>
      </c>
      <c r="M30" s="18">
        <v>775</v>
      </c>
      <c r="N30" s="18">
        <f>K30/J30</f>
        <v>0.1388888888888889</v>
      </c>
    </row>
    <row r="31" spans="1:24" x14ac:dyDescent="0.35">
      <c r="A31" t="s">
        <v>50</v>
      </c>
      <c r="B31">
        <v>30</v>
      </c>
      <c r="C31">
        <v>1</v>
      </c>
      <c r="D31">
        <f t="shared" si="0"/>
        <v>4.3</v>
      </c>
      <c r="E31">
        <v>129</v>
      </c>
      <c r="F31">
        <f t="shared" si="1"/>
        <v>3.3333333333333333E-2</v>
      </c>
      <c r="G31" s="32">
        <v>2.2360679774997898</v>
      </c>
      <c r="I31" s="18" t="s">
        <v>51</v>
      </c>
      <c r="J31" s="18">
        <v>47</v>
      </c>
      <c r="K31" s="18">
        <v>4</v>
      </c>
      <c r="L31" s="18">
        <f>M31/J31</f>
        <v>4.8085106382978724</v>
      </c>
      <c r="M31" s="18">
        <v>226</v>
      </c>
      <c r="N31" s="18">
        <f>K31/J31</f>
        <v>8.5106382978723402E-2</v>
      </c>
    </row>
    <row r="32" spans="1:24" x14ac:dyDescent="0.35">
      <c r="A32" s="18" t="s">
        <v>81</v>
      </c>
      <c r="B32" s="18">
        <v>87</v>
      </c>
      <c r="C32" s="18">
        <v>6</v>
      </c>
      <c r="D32" s="18">
        <f t="shared" si="0"/>
        <v>5.1149425287356323</v>
      </c>
      <c r="E32" s="18">
        <v>445</v>
      </c>
      <c r="F32" s="18">
        <f t="shared" si="1"/>
        <v>6.8965517241379309E-2</v>
      </c>
      <c r="G32" s="32">
        <v>1.76776695296636</v>
      </c>
      <c r="I32" s="18" t="s">
        <v>0</v>
      </c>
      <c r="J32" s="18">
        <v>84</v>
      </c>
      <c r="K32" s="18">
        <v>14</v>
      </c>
      <c r="L32" s="18">
        <f>M32/J32</f>
        <v>4.1547619047619051</v>
      </c>
      <c r="M32" s="18">
        <v>349</v>
      </c>
      <c r="N32" s="18">
        <f>K32/J32</f>
        <v>0.16666666666666666</v>
      </c>
    </row>
    <row r="33" spans="1:14" x14ac:dyDescent="0.35">
      <c r="A33" t="s">
        <v>36</v>
      </c>
      <c r="B33">
        <v>31</v>
      </c>
      <c r="C33">
        <v>1</v>
      </c>
      <c r="D33">
        <f t="shared" si="0"/>
        <v>4.419354838709677</v>
      </c>
      <c r="E33">
        <v>137</v>
      </c>
      <c r="F33">
        <f t="shared" si="1"/>
        <v>3.2258064516129031E-2</v>
      </c>
      <c r="G33" s="32">
        <v>2.6076809620810502</v>
      </c>
      <c r="I33" s="18" t="s">
        <v>1</v>
      </c>
      <c r="J33" s="18">
        <v>115</v>
      </c>
      <c r="K33" s="18">
        <v>6</v>
      </c>
      <c r="L33" s="18">
        <f>M33/J33</f>
        <v>4.6260869565217391</v>
      </c>
      <c r="M33" s="18">
        <v>532</v>
      </c>
      <c r="N33" s="18">
        <f t="shared" ref="N33:N36" si="16">K33/J33</f>
        <v>5.2173913043478258E-2</v>
      </c>
    </row>
    <row r="34" spans="1:14" x14ac:dyDescent="0.35">
      <c r="A34" t="s">
        <v>112</v>
      </c>
      <c r="B34">
        <v>33</v>
      </c>
      <c r="C34">
        <v>6</v>
      </c>
      <c r="D34">
        <f t="shared" si="0"/>
        <v>4.0303030303030303</v>
      </c>
      <c r="E34">
        <v>133</v>
      </c>
      <c r="F34">
        <f t="shared" si="1"/>
        <v>0.18181818181818182</v>
      </c>
      <c r="G34" s="32">
        <v>2.71006354989037</v>
      </c>
      <c r="I34" s="18" t="s">
        <v>28</v>
      </c>
      <c r="J34" s="18">
        <v>91</v>
      </c>
      <c r="K34" s="18">
        <v>6</v>
      </c>
      <c r="L34" s="18">
        <f t="shared" ref="L34" si="17">M34/J34</f>
        <v>5.1538461538461542</v>
      </c>
      <c r="M34" s="18">
        <v>469</v>
      </c>
      <c r="N34" s="18">
        <f t="shared" si="16"/>
        <v>6.5934065934065936E-2</v>
      </c>
    </row>
    <row r="35" spans="1:14" x14ac:dyDescent="0.35">
      <c r="A35" t="s">
        <v>27</v>
      </c>
      <c r="B35">
        <v>37</v>
      </c>
      <c r="C35">
        <v>3</v>
      </c>
      <c r="D35">
        <f t="shared" si="0"/>
        <v>4.4324324324324325</v>
      </c>
      <c r="E35">
        <v>164</v>
      </c>
      <c r="F35">
        <f t="shared" si="1"/>
        <v>8.1081081081081086E-2</v>
      </c>
      <c r="G35" s="32">
        <v>2.54950975679639</v>
      </c>
      <c r="I35" s="18" t="s">
        <v>253</v>
      </c>
      <c r="J35" s="18">
        <v>60</v>
      </c>
      <c r="K35" s="18">
        <v>4</v>
      </c>
      <c r="L35" s="18">
        <f>M35/J35</f>
        <v>5.5666666666666664</v>
      </c>
      <c r="M35" s="18">
        <v>334</v>
      </c>
      <c r="N35" s="18">
        <f t="shared" si="16"/>
        <v>6.6666666666666666E-2</v>
      </c>
    </row>
    <row r="36" spans="1:14" x14ac:dyDescent="0.35">
      <c r="A36" t="s">
        <v>117</v>
      </c>
      <c r="B36">
        <v>33</v>
      </c>
      <c r="C36">
        <v>6</v>
      </c>
      <c r="D36">
        <f t="shared" si="0"/>
        <v>4.1818181818181817</v>
      </c>
      <c r="E36">
        <v>138</v>
      </c>
      <c r="F36">
        <f t="shared" si="1"/>
        <v>0.18181818181818182</v>
      </c>
      <c r="G36" s="32">
        <v>2.7284509239574799</v>
      </c>
      <c r="I36" s="18" t="s">
        <v>175</v>
      </c>
      <c r="J36" s="18">
        <v>65</v>
      </c>
      <c r="K36" s="18">
        <v>18</v>
      </c>
      <c r="L36" s="18">
        <f t="shared" ref="L36:L37" si="18">M36/J36</f>
        <v>3.4153846153846152</v>
      </c>
      <c r="M36" s="18">
        <v>222</v>
      </c>
      <c r="N36" s="18">
        <f t="shared" si="16"/>
        <v>0.27692307692307694</v>
      </c>
    </row>
    <row r="37" spans="1:14" x14ac:dyDescent="0.3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61</v>
      </c>
      <c r="J37" s="18">
        <v>69</v>
      </c>
      <c r="K37" s="18">
        <v>14</v>
      </c>
      <c r="L37" s="18">
        <f t="shared" si="18"/>
        <v>4.3768115942028984</v>
      </c>
      <c r="M37" s="18">
        <v>302</v>
      </c>
      <c r="N37" s="18">
        <f>K37/J37</f>
        <v>0.20289855072463769</v>
      </c>
    </row>
    <row r="38" spans="1:14" x14ac:dyDescent="0.3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24</v>
      </c>
      <c r="J38" s="18">
        <v>102</v>
      </c>
      <c r="K38" s="18">
        <v>12</v>
      </c>
      <c r="L38" s="18">
        <f>M38/J38</f>
        <v>4.5196078431372548</v>
      </c>
      <c r="M38" s="18">
        <v>461</v>
      </c>
      <c r="N38" s="18">
        <f t="shared" ref="N38" si="19">K38/J38</f>
        <v>0.11764705882352941</v>
      </c>
    </row>
    <row r="39" spans="1:14" x14ac:dyDescent="0.35">
      <c r="A39" s="18" t="s">
        <v>15</v>
      </c>
      <c r="B39" s="18">
        <v>270</v>
      </c>
      <c r="C39" s="18">
        <v>40</v>
      </c>
      <c r="D39" s="18">
        <f t="shared" si="0"/>
        <v>4.6148148148148147</v>
      </c>
      <c r="E39" s="18">
        <v>1246</v>
      </c>
      <c r="F39" s="18">
        <f t="shared" si="1"/>
        <v>0.14814814814814814</v>
      </c>
      <c r="G39" s="32">
        <v>2.3694389634605302</v>
      </c>
      <c r="I39" s="18" t="s">
        <v>30</v>
      </c>
      <c r="J39" s="18">
        <v>63</v>
      </c>
      <c r="K39" s="18">
        <v>5</v>
      </c>
      <c r="L39" s="18">
        <f>M39/J39</f>
        <v>5.1428571428571432</v>
      </c>
      <c r="M39" s="18">
        <v>324</v>
      </c>
      <c r="N39" s="18">
        <f t="shared" ref="N38:N50" si="20">K39/J39</f>
        <v>7.9365079365079361E-2</v>
      </c>
    </row>
    <row r="40" spans="1:14" x14ac:dyDescent="0.35">
      <c r="A40" t="s">
        <v>13</v>
      </c>
      <c r="B40">
        <v>36</v>
      </c>
      <c r="C40">
        <v>2</v>
      </c>
      <c r="D40">
        <f t="shared" si="0"/>
        <v>4.7222222222222223</v>
      </c>
      <c r="E40">
        <v>170</v>
      </c>
      <c r="F40">
        <f t="shared" si="1"/>
        <v>5.5555555555555552E-2</v>
      </c>
      <c r="G40" s="32">
        <v>2.1392325234704299</v>
      </c>
      <c r="I40" s="18" t="s">
        <v>29</v>
      </c>
      <c r="J40" s="18">
        <v>134</v>
      </c>
      <c r="K40" s="18">
        <v>19</v>
      </c>
      <c r="L40" s="18">
        <f>M40/J40</f>
        <v>4</v>
      </c>
      <c r="M40" s="18">
        <v>536</v>
      </c>
      <c r="N40" s="18">
        <f t="shared" si="20"/>
        <v>0.1417910447761194</v>
      </c>
    </row>
    <row r="41" spans="1:14" x14ac:dyDescent="0.3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148</v>
      </c>
      <c r="J41" s="18">
        <v>42</v>
      </c>
      <c r="K41" s="18">
        <v>8</v>
      </c>
      <c r="L41" s="18">
        <f>M41/J41</f>
        <v>3.7380952380952381</v>
      </c>
      <c r="M41" s="18">
        <v>157</v>
      </c>
      <c r="N41" s="18">
        <f t="shared" si="20"/>
        <v>0.19047619047619047</v>
      </c>
    </row>
    <row r="42" spans="1:14" x14ac:dyDescent="0.35">
      <c r="A42" t="s">
        <v>63</v>
      </c>
      <c r="B42">
        <v>30</v>
      </c>
      <c r="C42">
        <v>5</v>
      </c>
      <c r="D42">
        <f t="shared" si="0"/>
        <v>4.2333333333333334</v>
      </c>
      <c r="E42">
        <v>127</v>
      </c>
      <c r="F42">
        <f t="shared" si="1"/>
        <v>0.16666666666666666</v>
      </c>
      <c r="G42" s="32">
        <v>2.6394443859772201</v>
      </c>
      <c r="I42" s="18" t="s">
        <v>79</v>
      </c>
      <c r="J42" s="18">
        <v>54</v>
      </c>
      <c r="K42" s="18">
        <v>6</v>
      </c>
      <c r="L42" s="18">
        <f>M42/J42</f>
        <v>4.6296296296296298</v>
      </c>
      <c r="M42" s="18">
        <v>250</v>
      </c>
      <c r="N42" s="18">
        <f t="shared" si="20"/>
        <v>0.1111111111111111</v>
      </c>
    </row>
    <row r="43" spans="1:14" x14ac:dyDescent="0.35">
      <c r="A43" t="s">
        <v>4</v>
      </c>
      <c r="B43">
        <v>30</v>
      </c>
      <c r="C43">
        <v>4</v>
      </c>
      <c r="D43">
        <f t="shared" si="0"/>
        <v>4.8</v>
      </c>
      <c r="E43">
        <v>144</v>
      </c>
      <c r="F43">
        <f t="shared" si="1"/>
        <v>0.13333333333333333</v>
      </c>
      <c r="G43" s="32">
        <v>2.08832734769027</v>
      </c>
      <c r="I43" s="18" t="s">
        <v>123</v>
      </c>
      <c r="J43" s="18">
        <v>44</v>
      </c>
      <c r="K43" s="18">
        <v>6</v>
      </c>
      <c r="L43" s="18">
        <f>M43/J43</f>
        <v>4.4772727272727275</v>
      </c>
      <c r="M43" s="18">
        <v>197</v>
      </c>
      <c r="N43" s="18">
        <f t="shared" si="20"/>
        <v>0.13636363636363635</v>
      </c>
    </row>
    <row r="44" spans="1:14" x14ac:dyDescent="0.35">
      <c r="A44" s="18" t="s">
        <v>121</v>
      </c>
      <c r="B44" s="18">
        <v>108</v>
      </c>
      <c r="C44" s="18">
        <v>23</v>
      </c>
      <c r="D44" s="18">
        <f t="shared" si="0"/>
        <v>3.8703703703703702</v>
      </c>
      <c r="E44" s="18">
        <v>418</v>
      </c>
      <c r="F44" s="18">
        <f t="shared" si="1"/>
        <v>0.21296296296296297</v>
      </c>
      <c r="G44" s="32">
        <v>2.2233267457082899</v>
      </c>
      <c r="I44" s="18" t="s">
        <v>22</v>
      </c>
      <c r="J44" s="18">
        <v>184</v>
      </c>
      <c r="K44" s="18">
        <v>30</v>
      </c>
      <c r="L44" s="18">
        <f>M44/J44</f>
        <v>4.1141304347826084</v>
      </c>
      <c r="M44" s="18">
        <v>757</v>
      </c>
      <c r="N44" s="18">
        <f t="shared" si="20"/>
        <v>0.16304347826086957</v>
      </c>
    </row>
    <row r="45" spans="1:14" x14ac:dyDescent="0.35">
      <c r="A45" s="18" t="s">
        <v>232</v>
      </c>
      <c r="B45" s="18">
        <v>172</v>
      </c>
      <c r="C45" s="18">
        <v>36</v>
      </c>
      <c r="D45" s="18">
        <f t="shared" si="0"/>
        <v>3.6569767441860463</v>
      </c>
      <c r="E45" s="18">
        <v>629</v>
      </c>
      <c r="F45" s="18">
        <f t="shared" si="1"/>
        <v>0.20930232558139536</v>
      </c>
      <c r="G45" s="32">
        <v>2.2509257354845502</v>
      </c>
      <c r="I45" s="18" t="s">
        <v>33</v>
      </c>
      <c r="J45" s="18">
        <v>66</v>
      </c>
      <c r="K45" s="18">
        <v>4</v>
      </c>
      <c r="L45" s="18">
        <f>M45/J45</f>
        <v>5.5303030303030303</v>
      </c>
      <c r="M45" s="18">
        <v>365</v>
      </c>
      <c r="N45" s="18">
        <f t="shared" si="20"/>
        <v>6.0606060606060608E-2</v>
      </c>
    </row>
    <row r="46" spans="1:14" x14ac:dyDescent="0.35">
      <c r="A46" s="18" t="s">
        <v>21</v>
      </c>
      <c r="B46" s="18">
        <v>180</v>
      </c>
      <c r="C46" s="18">
        <v>25</v>
      </c>
      <c r="D46" s="18">
        <f t="shared" si="0"/>
        <v>4.3055555555555554</v>
      </c>
      <c r="E46" s="18">
        <v>775</v>
      </c>
      <c r="F46" s="18">
        <f t="shared" si="1"/>
        <v>0.1388888888888889</v>
      </c>
      <c r="G46" s="32">
        <v>2.0655911179772799</v>
      </c>
      <c r="I46" s="18" t="s">
        <v>129</v>
      </c>
      <c r="J46" s="18">
        <v>46</v>
      </c>
      <c r="K46" s="18">
        <v>8</v>
      </c>
      <c r="L46" s="18">
        <f>M46/J46</f>
        <v>4.5217391304347823</v>
      </c>
      <c r="M46" s="18">
        <v>208</v>
      </c>
      <c r="N46" s="18">
        <f t="shared" si="20"/>
        <v>0.17391304347826086</v>
      </c>
    </row>
    <row r="47" spans="1:14" x14ac:dyDescent="0.3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35</v>
      </c>
      <c r="J47" s="18">
        <v>187</v>
      </c>
      <c r="K47" s="18">
        <v>45</v>
      </c>
      <c r="L47" s="18">
        <f t="shared" ref="L47" si="21">M47/J47</f>
        <v>3.5775401069518717</v>
      </c>
      <c r="M47" s="18">
        <v>669</v>
      </c>
      <c r="N47" s="18">
        <f t="shared" si="20"/>
        <v>0.24064171122994651</v>
      </c>
    </row>
    <row r="48" spans="1:14" x14ac:dyDescent="0.35">
      <c r="A48" t="s">
        <v>414</v>
      </c>
      <c r="B48">
        <v>31</v>
      </c>
      <c r="C48">
        <v>4</v>
      </c>
      <c r="D48">
        <f t="shared" si="0"/>
        <v>4.709677419354839</v>
      </c>
      <c r="E48">
        <v>146</v>
      </c>
      <c r="F48">
        <f t="shared" si="1"/>
        <v>0.12903225806451613</v>
      </c>
      <c r="G48" s="32">
        <v>2.8702082220799299</v>
      </c>
      <c r="I48" s="18" t="s">
        <v>26</v>
      </c>
      <c r="J48" s="18">
        <v>107</v>
      </c>
      <c r="K48" s="18">
        <v>6</v>
      </c>
      <c r="L48" s="18">
        <f>M48/J48</f>
        <v>5.2710280373831777</v>
      </c>
      <c r="M48" s="18">
        <v>564</v>
      </c>
      <c r="N48" s="18">
        <f t="shared" si="20"/>
        <v>5.6074766355140186E-2</v>
      </c>
    </row>
    <row r="49" spans="1:14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122</v>
      </c>
      <c r="J49" s="18">
        <v>158</v>
      </c>
      <c r="K49" s="18">
        <v>19</v>
      </c>
      <c r="L49" s="18">
        <f t="shared" ref="L49" si="22">M49/J49</f>
        <v>4</v>
      </c>
      <c r="M49" s="18">
        <v>632</v>
      </c>
      <c r="N49" s="18">
        <f t="shared" si="20"/>
        <v>0.12025316455696203</v>
      </c>
    </row>
    <row r="50" spans="1:14" x14ac:dyDescent="0.3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49</v>
      </c>
      <c r="J50" s="18">
        <v>145</v>
      </c>
      <c r="K50" s="18">
        <v>9</v>
      </c>
      <c r="L50" s="18">
        <f>M50/J50</f>
        <v>5.0758620689655176</v>
      </c>
      <c r="M50" s="18">
        <v>736</v>
      </c>
      <c r="N50" s="18">
        <f t="shared" si="20"/>
        <v>6.2068965517241378E-2</v>
      </c>
    </row>
    <row r="51" spans="1:14" x14ac:dyDescent="0.35">
      <c r="A51" s="18" t="s">
        <v>28</v>
      </c>
      <c r="B51" s="18">
        <v>91</v>
      </c>
      <c r="C51" s="18">
        <v>6</v>
      </c>
      <c r="D51" s="18">
        <f t="shared" si="0"/>
        <v>5.1538461538461542</v>
      </c>
      <c r="E51" s="18">
        <v>469</v>
      </c>
      <c r="F51" s="18">
        <f t="shared" si="1"/>
        <v>6.5934065934065936E-2</v>
      </c>
      <c r="G51" s="32">
        <v>1.30384048104052</v>
      </c>
      <c r="I51" s="18" t="s">
        <v>3</v>
      </c>
      <c r="J51" s="18">
        <v>48</v>
      </c>
      <c r="K51" s="18">
        <v>7</v>
      </c>
      <c r="L51" s="18">
        <f>M51/J51</f>
        <v>4.229166666666667</v>
      </c>
      <c r="M51" s="18">
        <v>203</v>
      </c>
      <c r="N51" s="18">
        <f>K51/J51</f>
        <v>0.14583333333333334</v>
      </c>
    </row>
    <row r="52" spans="1:14" x14ac:dyDescent="0.3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</row>
    <row r="53" spans="1:14" x14ac:dyDescent="0.35">
      <c r="A53" s="18" t="s">
        <v>175</v>
      </c>
      <c r="B53" s="18">
        <v>65</v>
      </c>
      <c r="C53" s="18">
        <v>18</v>
      </c>
      <c r="D53" s="18">
        <f t="shared" si="0"/>
        <v>3.4153846153846152</v>
      </c>
      <c r="E53" s="18">
        <v>222</v>
      </c>
      <c r="F53" s="18">
        <f t="shared" si="1"/>
        <v>0.27692307692307694</v>
      </c>
      <c r="G53" s="32">
        <v>2</v>
      </c>
    </row>
    <row r="54" spans="1:14" x14ac:dyDescent="0.35">
      <c r="A54" s="18" t="s">
        <v>61</v>
      </c>
      <c r="B54" s="18">
        <v>69</v>
      </c>
      <c r="C54" s="18">
        <v>14</v>
      </c>
      <c r="D54" s="18">
        <f t="shared" si="0"/>
        <v>4.3768115942028984</v>
      </c>
      <c r="E54" s="18">
        <v>302</v>
      </c>
      <c r="F54" s="18">
        <f>C54/B54</f>
        <v>0.20289855072463769</v>
      </c>
      <c r="G54" s="32">
        <v>3.2403703492039302</v>
      </c>
      <c r="I54" s="18"/>
      <c r="J54" s="18"/>
      <c r="K54" s="18"/>
      <c r="L54" s="18"/>
      <c r="M54" s="18"/>
      <c r="N54" s="18"/>
    </row>
    <row r="55" spans="1:14" x14ac:dyDescent="0.3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</row>
    <row r="56" spans="1:14" x14ac:dyDescent="0.35">
      <c r="A56" t="s">
        <v>115</v>
      </c>
      <c r="B56">
        <v>39</v>
      </c>
      <c r="C56">
        <v>3</v>
      </c>
      <c r="D56">
        <f t="shared" si="0"/>
        <v>4.384615384615385</v>
      </c>
      <c r="E56">
        <v>171</v>
      </c>
      <c r="F56">
        <f t="shared" si="1"/>
        <v>7.6923076923076927E-2</v>
      </c>
      <c r="G56" s="32">
        <v>1.71824938596844</v>
      </c>
      <c r="I56" s="18"/>
      <c r="J56" s="18"/>
      <c r="K56" s="18"/>
      <c r="L56" s="18"/>
      <c r="M56" s="18"/>
      <c r="N56" s="18"/>
    </row>
    <row r="57" spans="1:14" x14ac:dyDescent="0.35">
      <c r="A57" s="18" t="s">
        <v>24</v>
      </c>
      <c r="B57" s="18">
        <v>102</v>
      </c>
      <c r="C57" s="18">
        <v>12</v>
      </c>
      <c r="D57" s="18">
        <f t="shared" si="0"/>
        <v>4.5196078431372548</v>
      </c>
      <c r="E57" s="18">
        <v>461</v>
      </c>
      <c r="F57" s="18">
        <f t="shared" si="1"/>
        <v>0.11764705882352941</v>
      </c>
      <c r="G57" s="32">
        <v>2.26909243703399</v>
      </c>
      <c r="I57" s="18"/>
      <c r="J57" s="18"/>
      <c r="K57" s="18"/>
      <c r="L57" s="18"/>
      <c r="M57" s="18"/>
      <c r="N57" s="18"/>
    </row>
    <row r="58" spans="1:14" x14ac:dyDescent="0.35">
      <c r="A58" t="s">
        <v>116</v>
      </c>
      <c r="B58">
        <v>30</v>
      </c>
      <c r="C58">
        <v>5</v>
      </c>
      <c r="D58">
        <f t="shared" si="0"/>
        <v>4.0666666666666664</v>
      </c>
      <c r="E58">
        <v>122</v>
      </c>
      <c r="F58">
        <f t="shared" si="1"/>
        <v>0.16666666666666666</v>
      </c>
      <c r="G58" s="32">
        <v>1.7043362064926899</v>
      </c>
      <c r="I58" s="18"/>
      <c r="J58" s="18"/>
      <c r="K58" s="18"/>
      <c r="L58" s="18"/>
      <c r="M58" s="18"/>
      <c r="N58" s="18"/>
    </row>
    <row r="59" spans="1:14" x14ac:dyDescent="0.35">
      <c r="A59" t="s">
        <v>5</v>
      </c>
      <c r="B59">
        <v>31</v>
      </c>
      <c r="C59">
        <v>1</v>
      </c>
      <c r="D59">
        <f t="shared" si="0"/>
        <v>4.612903225806452</v>
      </c>
      <c r="E59">
        <v>143</v>
      </c>
      <c r="F59">
        <f t="shared" si="1"/>
        <v>3.2258064516129031E-2</v>
      </c>
      <c r="G59" s="32">
        <v>1.8898223650461301</v>
      </c>
    </row>
    <row r="60" spans="1:14" x14ac:dyDescent="0.35">
      <c r="A60" t="s">
        <v>58</v>
      </c>
      <c r="B60">
        <v>30</v>
      </c>
      <c r="C60">
        <v>6</v>
      </c>
      <c r="D60">
        <f t="shared" si="0"/>
        <v>3.7</v>
      </c>
      <c r="E60">
        <v>111</v>
      </c>
      <c r="F60">
        <f t="shared" si="1"/>
        <v>0.2</v>
      </c>
      <c r="G60" s="32">
        <v>2.33809038890002</v>
      </c>
    </row>
    <row r="61" spans="1:14" x14ac:dyDescent="0.3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</row>
    <row r="62" spans="1:14" x14ac:dyDescent="0.35">
      <c r="A62" s="18" t="s">
        <v>29</v>
      </c>
      <c r="B62" s="18">
        <v>134</v>
      </c>
      <c r="C62" s="18">
        <v>19</v>
      </c>
      <c r="D62" s="18">
        <f t="shared" si="0"/>
        <v>4</v>
      </c>
      <c r="E62" s="18">
        <v>536</v>
      </c>
      <c r="F62" s="18">
        <f t="shared" si="1"/>
        <v>0.1417910447761194</v>
      </c>
      <c r="G62" s="32">
        <v>2.0875571218153701</v>
      </c>
      <c r="I62" s="18"/>
      <c r="J62" s="18"/>
      <c r="K62" s="18"/>
      <c r="L62" s="18"/>
      <c r="M62" s="18"/>
      <c r="N62" s="18"/>
    </row>
    <row r="63" spans="1:14" x14ac:dyDescent="0.3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/>
      <c r="J63" s="18"/>
      <c r="K63" s="18"/>
      <c r="L63" s="18"/>
      <c r="M63" s="18"/>
      <c r="N63" s="18"/>
    </row>
    <row r="64" spans="1:14" x14ac:dyDescent="0.35">
      <c r="A64" t="s">
        <v>9</v>
      </c>
      <c r="B64">
        <v>30</v>
      </c>
      <c r="C64">
        <v>3</v>
      </c>
      <c r="D64">
        <f t="shared" si="0"/>
        <v>3.8</v>
      </c>
      <c r="E64">
        <v>114</v>
      </c>
      <c r="F64">
        <f t="shared" si="1"/>
        <v>0.1</v>
      </c>
      <c r="G64" s="32">
        <v>2.42097317438899</v>
      </c>
      <c r="I64" s="18"/>
      <c r="J64" s="18"/>
      <c r="K64" s="18"/>
      <c r="L64" s="18"/>
      <c r="M64" s="18"/>
      <c r="N64" s="18"/>
    </row>
    <row r="65" spans="1:14" x14ac:dyDescent="0.35">
      <c r="A65" t="s">
        <v>139</v>
      </c>
      <c r="B65">
        <v>32</v>
      </c>
      <c r="C65">
        <v>4</v>
      </c>
      <c r="D65">
        <f t="shared" si="0"/>
        <v>4.3125</v>
      </c>
      <c r="E65">
        <v>138</v>
      </c>
      <c r="F65">
        <f t="shared" si="1"/>
        <v>0.125</v>
      </c>
      <c r="G65" s="32">
        <v>1.9944979263017399</v>
      </c>
      <c r="I65" s="18"/>
      <c r="J65" s="18"/>
      <c r="K65" s="18"/>
      <c r="L65" s="18"/>
      <c r="M65" s="18"/>
      <c r="N65" s="18"/>
    </row>
    <row r="66" spans="1:14" x14ac:dyDescent="0.35">
      <c r="A66" t="s">
        <v>428</v>
      </c>
      <c r="B66">
        <v>31</v>
      </c>
      <c r="C66">
        <v>5</v>
      </c>
      <c r="D66">
        <f t="shared" si="0"/>
        <v>4.096774193548387</v>
      </c>
      <c r="E66">
        <v>127</v>
      </c>
      <c r="F66">
        <f t="shared" si="1"/>
        <v>0.16129032258064516</v>
      </c>
      <c r="G66" s="32">
        <v>1.9414506867882999</v>
      </c>
    </row>
    <row r="67" spans="1:14" x14ac:dyDescent="0.3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</row>
    <row r="68" spans="1:14" x14ac:dyDescent="0.35">
      <c r="A68" t="s">
        <v>17</v>
      </c>
      <c r="B68">
        <v>30</v>
      </c>
      <c r="C68">
        <v>2</v>
      </c>
      <c r="D68">
        <f t="shared" si="0"/>
        <v>5.0999999999999996</v>
      </c>
      <c r="E68">
        <v>153</v>
      </c>
      <c r="F68">
        <f t="shared" si="1"/>
        <v>6.6666666666666666E-2</v>
      </c>
      <c r="G68" s="32">
        <v>2.4832774042918899</v>
      </c>
      <c r="I68" s="18"/>
      <c r="J68" s="18"/>
      <c r="K68" s="18"/>
      <c r="L68" s="18"/>
      <c r="M68" s="18"/>
      <c r="N68" s="18"/>
    </row>
    <row r="69" spans="1:14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/>
      <c r="J69" s="18"/>
      <c r="K69" s="18"/>
      <c r="L69" s="18"/>
      <c r="M69" s="18"/>
      <c r="N69" s="18"/>
    </row>
    <row r="70" spans="1:14" x14ac:dyDescent="0.35">
      <c r="A70" s="18" t="s">
        <v>123</v>
      </c>
      <c r="B70" s="18">
        <v>44</v>
      </c>
      <c r="C70" s="18">
        <v>6</v>
      </c>
      <c r="D70" s="18">
        <f t="shared" si="0"/>
        <v>4.4772727272727275</v>
      </c>
      <c r="E70" s="18">
        <v>197</v>
      </c>
      <c r="F70" s="18">
        <f t="shared" si="1"/>
        <v>0.13636363636363635</v>
      </c>
      <c r="G70" s="32">
        <v>2</v>
      </c>
    </row>
    <row r="71" spans="1:14" x14ac:dyDescent="0.35">
      <c r="A71" t="s">
        <v>12</v>
      </c>
      <c r="B71">
        <v>30</v>
      </c>
      <c r="C71">
        <v>1</v>
      </c>
      <c r="D71">
        <f t="shared" si="0"/>
        <v>4.8666666666666663</v>
      </c>
      <c r="E71">
        <v>146</v>
      </c>
      <c r="F71">
        <f t="shared" si="1"/>
        <v>3.3333333333333333E-2</v>
      </c>
      <c r="G71" s="32">
        <v>2.44584195260913</v>
      </c>
      <c r="I71" s="18"/>
      <c r="J71" s="18"/>
      <c r="K71" s="18"/>
      <c r="L71" s="18"/>
      <c r="M71" s="18"/>
      <c r="N71" s="18"/>
    </row>
    <row r="72" spans="1:14" x14ac:dyDescent="0.35">
      <c r="A72" t="s">
        <v>404</v>
      </c>
      <c r="B72">
        <v>32</v>
      </c>
      <c r="C72">
        <v>3</v>
      </c>
      <c r="D72">
        <f t="shared" si="0"/>
        <v>4.8125</v>
      </c>
      <c r="E72">
        <v>154</v>
      </c>
      <c r="F72">
        <f t="shared" si="1"/>
        <v>9.375E-2</v>
      </c>
      <c r="G72" s="32">
        <v>2.3094010767584998</v>
      </c>
      <c r="I72" s="18"/>
      <c r="J72" s="18"/>
      <c r="K72" s="18"/>
      <c r="L72" s="18"/>
      <c r="M72" s="18"/>
      <c r="N72" s="18"/>
    </row>
    <row r="73" spans="1:14" x14ac:dyDescent="0.3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</row>
    <row r="74" spans="1:14" x14ac:dyDescent="0.3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/>
      <c r="J74" s="18"/>
      <c r="K74" s="18"/>
      <c r="L74" s="18"/>
      <c r="M74" s="18"/>
      <c r="N74" s="18"/>
    </row>
    <row r="75" spans="1:14" x14ac:dyDescent="0.35">
      <c r="A75" t="s">
        <v>110</v>
      </c>
      <c r="B75">
        <v>30</v>
      </c>
      <c r="C75">
        <v>1</v>
      </c>
      <c r="D75">
        <f>E75/B75</f>
        <v>5.166666666666667</v>
      </c>
      <c r="E75">
        <v>155</v>
      </c>
      <c r="F75">
        <f>C75/B75</f>
        <v>3.3333333333333333E-2</v>
      </c>
      <c r="G75" s="32">
        <v>1.9407902170679501</v>
      </c>
      <c r="I75" s="18"/>
      <c r="J75" s="18"/>
      <c r="K75" s="18"/>
      <c r="L75" s="18"/>
      <c r="M75" s="18"/>
      <c r="N75" s="18"/>
    </row>
    <row r="76" spans="1:14" x14ac:dyDescent="0.35">
      <c r="A76" t="s">
        <v>82</v>
      </c>
      <c r="B76">
        <v>30</v>
      </c>
      <c r="C76">
        <v>1</v>
      </c>
      <c r="D76">
        <f t="shared" ref="D76:D91" si="23">E76/B76</f>
        <v>5.2</v>
      </c>
      <c r="E76">
        <v>156</v>
      </c>
      <c r="F76">
        <f>C76/B76</f>
        <v>3.3333333333333333E-2</v>
      </c>
      <c r="G76" s="32">
        <v>2</v>
      </c>
    </row>
    <row r="77" spans="1:14" x14ac:dyDescent="0.35">
      <c r="A77" s="18" t="s">
        <v>33</v>
      </c>
      <c r="B77" s="18">
        <v>66</v>
      </c>
      <c r="C77" s="18">
        <v>4</v>
      </c>
      <c r="D77" s="18">
        <f t="shared" si="23"/>
        <v>5.5303030303030303</v>
      </c>
      <c r="E77" s="18">
        <v>365</v>
      </c>
      <c r="F77" s="18">
        <f t="shared" ref="F77:F91" si="24">C77/B77</f>
        <v>6.0606060606060608E-2</v>
      </c>
      <c r="G77" s="32">
        <v>2.14993539954627</v>
      </c>
      <c r="I77" s="18"/>
      <c r="J77" s="18"/>
      <c r="K77" s="18"/>
      <c r="L77" s="18"/>
      <c r="M77" s="18"/>
      <c r="N77" s="18"/>
    </row>
    <row r="78" spans="1:14" x14ac:dyDescent="0.35">
      <c r="A78" t="s">
        <v>99</v>
      </c>
      <c r="B78">
        <v>30</v>
      </c>
      <c r="C78">
        <v>2</v>
      </c>
      <c r="D78">
        <f t="shared" si="23"/>
        <v>5.2</v>
      </c>
      <c r="E78">
        <v>156</v>
      </c>
      <c r="F78">
        <f t="shared" si="24"/>
        <v>6.6666666666666666E-2</v>
      </c>
      <c r="G78" s="32">
        <v>2.6687491868330699</v>
      </c>
    </row>
    <row r="79" spans="1:14" x14ac:dyDescent="0.35">
      <c r="A79" t="s">
        <v>7</v>
      </c>
      <c r="B79">
        <v>30</v>
      </c>
      <c r="C79">
        <v>7</v>
      </c>
      <c r="D79">
        <f t="shared" si="23"/>
        <v>3.7666666666666666</v>
      </c>
      <c r="E79">
        <v>113</v>
      </c>
      <c r="F79">
        <f t="shared" si="24"/>
        <v>0.23333333333333334</v>
      </c>
      <c r="G79" s="32">
        <v>2.7888667551135802</v>
      </c>
    </row>
    <row r="80" spans="1:14" x14ac:dyDescent="0.35">
      <c r="A80" s="41" t="s">
        <v>138</v>
      </c>
      <c r="B80" s="41">
        <v>5</v>
      </c>
      <c r="C80" s="41">
        <v>1</v>
      </c>
      <c r="D80" s="41">
        <f t="shared" si="23"/>
        <v>4</v>
      </c>
      <c r="E80" s="41">
        <v>20</v>
      </c>
      <c r="F80" s="41">
        <f t="shared" si="24"/>
        <v>0.2</v>
      </c>
      <c r="G80" s="32">
        <v>2.2173557826083399</v>
      </c>
    </row>
    <row r="81" spans="1:14" x14ac:dyDescent="0.35">
      <c r="A81" s="41" t="s">
        <v>137</v>
      </c>
      <c r="B81" s="41">
        <v>11</v>
      </c>
      <c r="C81" s="41">
        <v>1</v>
      </c>
      <c r="D81" s="41">
        <f t="shared" si="23"/>
        <v>4.1818181818181817</v>
      </c>
      <c r="E81" s="41">
        <v>46</v>
      </c>
      <c r="F81" s="41">
        <f t="shared" si="24"/>
        <v>9.0909090909090912E-2</v>
      </c>
      <c r="G81" s="32">
        <v>1.8618986725025199</v>
      </c>
    </row>
    <row r="82" spans="1:14" x14ac:dyDescent="0.35">
      <c r="A82" s="18" t="s">
        <v>129</v>
      </c>
      <c r="B82" s="18">
        <v>46</v>
      </c>
      <c r="C82" s="18">
        <v>8</v>
      </c>
      <c r="D82" s="18">
        <f t="shared" si="23"/>
        <v>4.5217391304347823</v>
      </c>
      <c r="E82" s="18">
        <v>208</v>
      </c>
      <c r="F82" s="18">
        <f t="shared" si="24"/>
        <v>0.17391304347826086</v>
      </c>
      <c r="G82" s="32">
        <v>2.1315096371664199</v>
      </c>
    </row>
    <row r="83" spans="1:14" x14ac:dyDescent="0.35">
      <c r="A83" t="s">
        <v>113</v>
      </c>
      <c r="B83">
        <v>36</v>
      </c>
      <c r="C83">
        <v>1</v>
      </c>
      <c r="D83">
        <f t="shared" si="23"/>
        <v>4.1944444444444446</v>
      </c>
      <c r="E83">
        <v>151</v>
      </c>
      <c r="F83">
        <f t="shared" si="24"/>
        <v>2.7777777777777776E-2</v>
      </c>
      <c r="G83" s="32">
        <v>2.4899799195977401</v>
      </c>
      <c r="I83" s="18"/>
      <c r="J83" s="18"/>
      <c r="K83" s="18"/>
      <c r="L83" s="18"/>
      <c r="M83" s="18"/>
      <c r="N83" s="18"/>
    </row>
    <row r="84" spans="1:14" x14ac:dyDescent="0.35">
      <c r="A84" s="18" t="s">
        <v>35</v>
      </c>
      <c r="B84" s="18">
        <v>187</v>
      </c>
      <c r="C84" s="18">
        <v>45</v>
      </c>
      <c r="D84" s="18">
        <f t="shared" si="23"/>
        <v>3.5775401069518717</v>
      </c>
      <c r="E84" s="18">
        <v>669</v>
      </c>
      <c r="F84" s="18">
        <f t="shared" si="24"/>
        <v>0.24064171122994651</v>
      </c>
      <c r="G84" s="32">
        <v>2.6214406763289899</v>
      </c>
      <c r="I84" s="18"/>
      <c r="J84" s="18"/>
      <c r="K84" s="18"/>
      <c r="L84" s="18"/>
      <c r="M84" s="18"/>
      <c r="N84" s="18"/>
    </row>
    <row r="85" spans="1:14" x14ac:dyDescent="0.35">
      <c r="A85" s="18" t="s">
        <v>26</v>
      </c>
      <c r="B85" s="18">
        <v>107</v>
      </c>
      <c r="C85" s="18">
        <v>6</v>
      </c>
      <c r="D85" s="18">
        <f t="shared" si="23"/>
        <v>5.2710280373831777</v>
      </c>
      <c r="E85" s="18">
        <v>564</v>
      </c>
      <c r="F85" s="18">
        <f t="shared" si="24"/>
        <v>5.6074766355140186E-2</v>
      </c>
      <c r="G85" s="32">
        <v>2.4494897427831699</v>
      </c>
    </row>
    <row r="86" spans="1:14" x14ac:dyDescent="0.35">
      <c r="A86" s="18" t="s">
        <v>122</v>
      </c>
      <c r="B86" s="18">
        <v>158</v>
      </c>
      <c r="C86" s="18">
        <v>19</v>
      </c>
      <c r="D86" s="18">
        <f t="shared" si="23"/>
        <v>4</v>
      </c>
      <c r="E86" s="18">
        <v>632</v>
      </c>
      <c r="F86" s="18">
        <f t="shared" si="24"/>
        <v>0.12025316455696203</v>
      </c>
      <c r="G86" s="32">
        <v>1.6329931618554501</v>
      </c>
    </row>
    <row r="87" spans="1:14" x14ac:dyDescent="0.35">
      <c r="A87" s="18" t="s">
        <v>49</v>
      </c>
      <c r="B87" s="18">
        <v>145</v>
      </c>
      <c r="C87" s="18">
        <v>9</v>
      </c>
      <c r="D87" s="18">
        <f t="shared" si="23"/>
        <v>5.0758620689655176</v>
      </c>
      <c r="E87" s="18">
        <v>736</v>
      </c>
      <c r="F87" s="18">
        <f t="shared" si="24"/>
        <v>6.2068965517241378E-2</v>
      </c>
      <c r="G87" s="32">
        <v>2.79455252402308</v>
      </c>
    </row>
    <row r="88" spans="1:14" x14ac:dyDescent="0.35">
      <c r="A88" s="18" t="s">
        <v>3</v>
      </c>
      <c r="B88" s="18">
        <v>48</v>
      </c>
      <c r="C88" s="18">
        <v>7</v>
      </c>
      <c r="D88" s="18">
        <f t="shared" si="23"/>
        <v>4.229166666666667</v>
      </c>
      <c r="E88" s="18">
        <v>203</v>
      </c>
      <c r="F88" s="18">
        <f t="shared" si="24"/>
        <v>0.14583333333333334</v>
      </c>
      <c r="G88" s="32">
        <v>2.3731557327466102</v>
      </c>
    </row>
    <row r="89" spans="1:14" x14ac:dyDescent="0.35">
      <c r="A89" t="s">
        <v>230</v>
      </c>
      <c r="B89">
        <v>30</v>
      </c>
      <c r="C89">
        <v>4</v>
      </c>
      <c r="D89">
        <f t="shared" si="23"/>
        <v>4.9666666666666668</v>
      </c>
      <c r="E89">
        <v>149</v>
      </c>
      <c r="F89">
        <f t="shared" si="24"/>
        <v>0.13333333333333333</v>
      </c>
      <c r="G89" s="32">
        <v>2.7748873851023199</v>
      </c>
    </row>
    <row r="90" spans="1:14" x14ac:dyDescent="0.35">
      <c r="A90" t="s">
        <v>2</v>
      </c>
      <c r="B90">
        <v>30</v>
      </c>
      <c r="C90">
        <v>6</v>
      </c>
      <c r="D90">
        <f t="shared" si="23"/>
        <v>3.9666666666666668</v>
      </c>
      <c r="E90">
        <v>119</v>
      </c>
      <c r="F90">
        <f t="shared" si="24"/>
        <v>0.2</v>
      </c>
      <c r="G90" s="32">
        <v>2.5876449587894599</v>
      </c>
    </row>
    <row r="91" spans="1:14" x14ac:dyDescent="0.35">
      <c r="A91" t="s">
        <v>124</v>
      </c>
      <c r="B91">
        <v>31</v>
      </c>
      <c r="C91">
        <v>1</v>
      </c>
      <c r="D91">
        <f t="shared" si="23"/>
        <v>4.935483870967742</v>
      </c>
      <c r="E91">
        <v>153</v>
      </c>
      <c r="F91">
        <f t="shared" si="24"/>
        <v>3.2258064516129031E-2</v>
      </c>
      <c r="G91" s="32">
        <v>2.16794833886788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2026-06-15T04:41:53Z</dcterms:modified>
</cp:coreProperties>
</file>