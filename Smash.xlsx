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cui\Desktop\elosite\elo\"/>
    </mc:Choice>
  </mc:AlternateContent>
  <xr:revisionPtr revIDLastSave="0" documentId="13_ncr:1_{4C80B515-6DC7-4C83-B15E-AE5D48A0223F}" xr6:coauthVersionLast="47" xr6:coauthVersionMax="47" xr10:uidLastSave="{00000000-0000-0000-0000-000000000000}"/>
  <bookViews>
    <workbookView xWindow="3510" yWindow="3510" windowWidth="28800" windowHeight="15345" firstSheet="2" activeTab="9" xr2:uid="{00000000-000D-0000-FFFF-FFFF00000000}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r:id="rId10"/>
    <sheet name="4.0" sheetId="11" state="hidden" r:id="rId11"/>
    <sheet name="5.0" sheetId="14" r:id="rId12"/>
    <sheet name="WE25" sheetId="12" r:id="rId13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7" i="13" l="1"/>
  <c r="L47" i="13"/>
  <c r="N34" i="13"/>
  <c r="L34" i="13"/>
  <c r="N68" i="13"/>
  <c r="L68" i="13"/>
  <c r="N67" i="13"/>
  <c r="L67" i="13"/>
  <c r="N65" i="13"/>
  <c r="L65" i="13"/>
  <c r="N42" i="13"/>
  <c r="L42" i="13"/>
  <c r="N49" i="13"/>
  <c r="L49" i="13"/>
  <c r="N63" i="13"/>
  <c r="L63" i="13"/>
  <c r="N14" i="13"/>
  <c r="L14" i="13"/>
  <c r="N46" i="13"/>
  <c r="L46" i="13"/>
  <c r="N66" i="13"/>
  <c r="L66" i="13"/>
  <c r="N23" i="13"/>
  <c r="L23" i="13"/>
  <c r="N26" i="13"/>
  <c r="L26" i="13"/>
  <c r="AB800" i="4"/>
  <c r="AC800" i="4"/>
  <c r="AB801" i="4"/>
  <c r="AC801" i="4"/>
  <c r="AB802" i="4"/>
  <c r="AC802" i="4"/>
  <c r="AB803" i="4"/>
  <c r="AC803" i="4"/>
  <c r="AB804" i="4"/>
  <c r="AC804" i="4"/>
  <c r="AB805" i="4"/>
  <c r="AC805" i="4"/>
  <c r="AB806" i="4"/>
  <c r="AC806" i="4"/>
  <c r="AB807" i="4"/>
  <c r="AC807" i="4"/>
  <c r="AB808" i="4"/>
  <c r="AC808" i="4"/>
  <c r="AB809" i="4"/>
  <c r="AC809" i="4"/>
  <c r="AB810" i="4"/>
  <c r="AC810" i="4"/>
  <c r="AB811" i="4"/>
  <c r="AC811" i="4"/>
  <c r="AB812" i="4"/>
  <c r="AC812" i="4"/>
  <c r="AB813" i="4"/>
  <c r="AC813" i="4"/>
  <c r="AB814" i="4"/>
  <c r="AC814" i="4"/>
  <c r="AB815" i="4"/>
  <c r="AC815" i="4"/>
  <c r="AB816" i="4"/>
  <c r="AC816" i="4"/>
  <c r="AB817" i="4"/>
  <c r="AC817" i="4"/>
  <c r="AB818" i="4"/>
  <c r="AC818" i="4"/>
  <c r="AB819" i="4"/>
  <c r="AC819" i="4"/>
  <c r="AB820" i="4"/>
  <c r="AC820" i="4"/>
  <c r="AB821" i="4"/>
  <c r="AC821" i="4"/>
  <c r="AB822" i="4"/>
  <c r="AC822" i="4"/>
  <c r="AB823" i="4"/>
  <c r="AC823" i="4"/>
  <c r="AB824" i="4"/>
  <c r="AC824" i="4"/>
  <c r="AB825" i="4"/>
  <c r="AC825" i="4"/>
  <c r="AB826" i="4"/>
  <c r="AC826" i="4"/>
  <c r="AB827" i="4"/>
  <c r="AC827" i="4"/>
  <c r="AB828" i="4"/>
  <c r="AC828" i="4"/>
  <c r="AB829" i="4"/>
  <c r="AC829" i="4"/>
  <c r="AB830" i="4"/>
  <c r="AC830" i="4"/>
  <c r="AB831" i="4"/>
  <c r="AC831" i="4"/>
  <c r="AB832" i="4"/>
  <c r="AC832" i="4"/>
  <c r="AB833" i="4"/>
  <c r="AC833" i="4"/>
  <c r="AB834" i="4"/>
  <c r="AC834" i="4"/>
  <c r="AB835" i="4"/>
  <c r="AC835" i="4"/>
  <c r="AB836" i="4"/>
  <c r="AC836" i="4"/>
  <c r="AB837" i="4"/>
  <c r="AC837" i="4"/>
  <c r="AB838" i="4"/>
  <c r="AC838" i="4"/>
  <c r="L42" i="14"/>
  <c r="K42" i="14"/>
  <c r="L17" i="14"/>
  <c r="K17" i="14"/>
  <c r="L47" i="14"/>
  <c r="K47" i="14"/>
  <c r="L12" i="14"/>
  <c r="K12" i="14"/>
  <c r="L52" i="14"/>
  <c r="K52" i="14"/>
  <c r="L4" i="14"/>
  <c r="K4" i="14"/>
  <c r="L32" i="14"/>
  <c r="K32" i="14"/>
  <c r="L56" i="14"/>
  <c r="K56" i="14"/>
  <c r="L16" i="14"/>
  <c r="K16" i="14"/>
  <c r="L25" i="14"/>
  <c r="K25" i="14"/>
  <c r="L35" i="14"/>
  <c r="K35" i="14"/>
  <c r="L15" i="14"/>
  <c r="K15" i="14"/>
  <c r="L9" i="14"/>
  <c r="K9" i="14"/>
  <c r="L8" i="14"/>
  <c r="K8" i="14"/>
  <c r="L13" i="14"/>
  <c r="K13" i="14"/>
  <c r="L51" i="14"/>
  <c r="K51" i="14"/>
  <c r="L7" i="14"/>
  <c r="K7" i="14"/>
  <c r="L14" i="14"/>
  <c r="K14" i="14"/>
  <c r="L30" i="14"/>
  <c r="K30" i="14"/>
  <c r="L27" i="14"/>
  <c r="K27" i="14"/>
  <c r="L37" i="14"/>
  <c r="K37" i="14"/>
  <c r="L3" i="14"/>
  <c r="K3" i="14"/>
  <c r="L50" i="14"/>
  <c r="K50" i="14"/>
  <c r="L55" i="14"/>
  <c r="K55" i="14"/>
  <c r="L34" i="14"/>
  <c r="K34" i="14"/>
  <c r="L18" i="14"/>
  <c r="K18" i="14"/>
  <c r="L36" i="14"/>
  <c r="K36" i="14"/>
  <c r="L43" i="14"/>
  <c r="K43" i="14"/>
  <c r="L26" i="14"/>
  <c r="K26" i="14"/>
  <c r="L5" i="14"/>
  <c r="K5" i="14"/>
  <c r="L10" i="14"/>
  <c r="K10" i="14"/>
  <c r="L41" i="14"/>
  <c r="K41" i="14"/>
  <c r="L21" i="14"/>
  <c r="K21" i="14"/>
  <c r="L11" i="14"/>
  <c r="K11" i="14"/>
  <c r="L39" i="14"/>
  <c r="K39" i="14"/>
  <c r="L33" i="14"/>
  <c r="K33" i="14"/>
  <c r="L54" i="14"/>
  <c r="K54" i="14"/>
  <c r="L22" i="14"/>
  <c r="K22" i="14"/>
  <c r="L29" i="14"/>
  <c r="K29" i="14"/>
  <c r="L19" i="14"/>
  <c r="K19" i="14"/>
  <c r="L31" i="14"/>
  <c r="K31" i="14"/>
  <c r="L46" i="14"/>
  <c r="K46" i="14"/>
  <c r="L24" i="14"/>
  <c r="K24" i="14"/>
  <c r="L44" i="14"/>
  <c r="K44" i="14"/>
  <c r="L6" i="14"/>
  <c r="K6" i="14"/>
  <c r="L57" i="14"/>
  <c r="K57" i="14"/>
  <c r="L45" i="14"/>
  <c r="K45" i="14"/>
  <c r="L48" i="14"/>
  <c r="K48" i="14"/>
  <c r="L53" i="14"/>
  <c r="K53" i="14"/>
  <c r="L58" i="14"/>
  <c r="K58" i="14"/>
  <c r="L38" i="14"/>
  <c r="K38" i="14"/>
  <c r="L28" i="14"/>
  <c r="K28" i="14"/>
  <c r="L2" i="14"/>
  <c r="K2" i="14"/>
  <c r="L40" i="14"/>
  <c r="K40" i="14"/>
  <c r="L49" i="14"/>
  <c r="K49" i="14"/>
  <c r="L23" i="14"/>
  <c r="K23" i="14"/>
  <c r="L20" i="14"/>
  <c r="K20" i="14"/>
  <c r="N48" i="13"/>
  <c r="L48" i="13"/>
  <c r="N40" i="13"/>
  <c r="L40" i="13"/>
  <c r="N45" i="13"/>
  <c r="L45" i="13"/>
  <c r="N15" i="13"/>
  <c r="L15" i="13"/>
  <c r="N58" i="13"/>
  <c r="L58" i="13"/>
  <c r="N28" i="13"/>
  <c r="L28" i="13"/>
  <c r="N62" i="13"/>
  <c r="L62" i="13"/>
  <c r="N41" i="13"/>
  <c r="L41" i="13"/>
  <c r="N33" i="13" l="1"/>
  <c r="L33" i="13"/>
  <c r="N57" i="13"/>
  <c r="L57" i="13"/>
  <c r="N54" i="13"/>
  <c r="L54" i="13"/>
  <c r="L61" i="13"/>
  <c r="N61" i="13"/>
  <c r="N37" i="13"/>
  <c r="L37" i="13"/>
  <c r="N55" i="13"/>
  <c r="L55" i="13"/>
  <c r="N53" i="13"/>
  <c r="L53" i="13"/>
  <c r="L56" i="13"/>
  <c r="N56" i="13"/>
  <c r="L59" i="13"/>
  <c r="N59" i="13"/>
  <c r="L60" i="13"/>
  <c r="N60" i="13"/>
  <c r="L64" i="13"/>
  <c r="N64" i="13"/>
  <c r="L69" i="13"/>
  <c r="N69" i="13"/>
  <c r="N52" i="13"/>
  <c r="L52" i="13"/>
  <c r="N17" i="13"/>
  <c r="L17" i="13"/>
  <c r="N36" i="13"/>
  <c r="L36" i="13"/>
  <c r="N32" i="13"/>
  <c r="L32" i="13"/>
  <c r="N13" i="13"/>
  <c r="L13" i="13"/>
  <c r="N22" i="13"/>
  <c r="L22" i="13"/>
  <c r="N18" i="13" l="1"/>
  <c r="L18" i="13"/>
  <c r="N16" i="13"/>
  <c r="L16" i="13"/>
  <c r="N39" i="13"/>
  <c r="L39" i="13"/>
  <c r="N43" i="13"/>
  <c r="L43" i="13"/>
  <c r="E14" i="14" l="1"/>
  <c r="D14" i="14"/>
  <c r="E39" i="14"/>
  <c r="D39" i="14"/>
  <c r="E13" i="14"/>
  <c r="D13" i="14"/>
  <c r="E42" i="14"/>
  <c r="D42" i="14"/>
  <c r="E4" i="14"/>
  <c r="D4" i="14"/>
  <c r="E26" i="14"/>
  <c r="D26" i="14"/>
  <c r="E47" i="14"/>
  <c r="D47" i="14"/>
  <c r="E12" i="14"/>
  <c r="D12" i="14"/>
  <c r="E22" i="14"/>
  <c r="D22" i="14"/>
  <c r="E29" i="14"/>
  <c r="D29" i="14"/>
  <c r="E6" i="14"/>
  <c r="D6" i="14"/>
  <c r="E10" i="14"/>
  <c r="D10" i="14"/>
  <c r="E38" i="14"/>
  <c r="D38" i="14"/>
  <c r="E24" i="14"/>
  <c r="D24" i="14"/>
  <c r="E20" i="14"/>
  <c r="D20" i="14"/>
  <c r="E35" i="14"/>
  <c r="D35" i="14"/>
  <c r="E2" i="14"/>
  <c r="D2" i="14"/>
  <c r="E45" i="14"/>
  <c r="D45" i="14"/>
  <c r="E50" i="14"/>
  <c r="D50" i="14"/>
  <c r="E28" i="14"/>
  <c r="D28" i="14"/>
  <c r="E15" i="14"/>
  <c r="D15" i="14"/>
  <c r="E36" i="14"/>
  <c r="D36" i="14"/>
  <c r="E18" i="14"/>
  <c r="D18" i="14"/>
  <c r="E7" i="14"/>
  <c r="D7" i="14"/>
  <c r="E8" i="14"/>
  <c r="D8" i="14"/>
  <c r="E33" i="14"/>
  <c r="D33" i="14"/>
  <c r="E9" i="14"/>
  <c r="D9" i="14"/>
  <c r="E32" i="14"/>
  <c r="D32" i="14"/>
  <c r="E27" i="14"/>
  <c r="D27" i="14"/>
  <c r="E46" i="14"/>
  <c r="D46" i="14"/>
  <c r="E21" i="14"/>
  <c r="D21" i="14"/>
  <c r="E16" i="14"/>
  <c r="D16" i="14"/>
  <c r="E25" i="14"/>
  <c r="D25" i="14"/>
  <c r="E41" i="14"/>
  <c r="D41" i="14"/>
  <c r="E19" i="14"/>
  <c r="D19" i="14"/>
  <c r="E34" i="14"/>
  <c r="D34" i="14"/>
  <c r="E5" i="14"/>
  <c r="D5" i="14"/>
  <c r="E48" i="14"/>
  <c r="D48" i="14"/>
  <c r="E37" i="14"/>
  <c r="D37" i="14"/>
  <c r="E40" i="14"/>
  <c r="D40" i="14"/>
  <c r="E44" i="14"/>
  <c r="D44" i="14"/>
  <c r="E49" i="14"/>
  <c r="D49" i="14"/>
  <c r="E31" i="14"/>
  <c r="D31" i="14"/>
  <c r="E23" i="14"/>
  <c r="D23" i="14"/>
  <c r="E3" i="14"/>
  <c r="D3" i="14"/>
  <c r="E30" i="14"/>
  <c r="D30" i="14"/>
  <c r="E43" i="14"/>
  <c r="D43" i="14"/>
  <c r="E17" i="14"/>
  <c r="D17" i="14"/>
  <c r="E11" i="14"/>
  <c r="D11" i="14"/>
  <c r="N38" i="13"/>
  <c r="L38" i="13"/>
  <c r="N30" i="13"/>
  <c r="L30" i="13"/>
  <c r="N29" i="13"/>
  <c r="L29" i="13"/>
  <c r="N51" i="13" l="1"/>
  <c r="L51" i="13"/>
  <c r="N27" i="13" l="1"/>
  <c r="L27" i="13"/>
  <c r="N25" i="13" l="1"/>
  <c r="L25" i="13"/>
  <c r="N24" i="13"/>
  <c r="L24" i="13"/>
  <c r="F30" i="13" l="1"/>
  <c r="D30" i="13"/>
  <c r="N20" i="13" l="1"/>
  <c r="L20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F71" i="13"/>
  <c r="D71" i="13"/>
  <c r="F70" i="13"/>
  <c r="D70" i="13"/>
  <c r="F69" i="13"/>
  <c r="D69" i="13"/>
  <c r="F68" i="13"/>
  <c r="D68" i="13"/>
  <c r="F67" i="13"/>
  <c r="D67" i="13"/>
  <c r="F66" i="13"/>
  <c r="D66" i="13"/>
  <c r="F65" i="13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50" i="13"/>
  <c r="L50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N44" i="13"/>
  <c r="L44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5" i="13"/>
  <c r="L35" i="13"/>
  <c r="F39" i="13"/>
  <c r="D39" i="13"/>
  <c r="F38" i="13"/>
  <c r="D38" i="13"/>
  <c r="F37" i="13"/>
  <c r="D37" i="13"/>
  <c r="F36" i="13"/>
  <c r="D36" i="13"/>
  <c r="N31" i="13"/>
  <c r="L31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1" i="13"/>
  <c r="L21" i="13"/>
  <c r="F22" i="13"/>
  <c r="D22" i="13"/>
  <c r="F21" i="13"/>
  <c r="D21" i="13"/>
  <c r="N19" i="13"/>
  <c r="L19" i="13"/>
  <c r="F20" i="13"/>
  <c r="D20" i="13"/>
  <c r="F19" i="13"/>
  <c r="D19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<sst xmlns="http://schemas.openxmlformats.org/spreadsheetml/2006/main" count="16658" uniqueCount="605">
  <si>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</si>
  <si>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</si>
  <si>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</si>
  <si>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</si>
  <si>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</si>
  <si>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</si>
  <si>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</si>
  <si>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</si>
  <si>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</si>
  <si>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</si>
  <si>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</si>
  <si>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</si>
  <si>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</si>
  <si>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</si>
  <si>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</si>
  <si>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</si>
  <si>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</si>
  <si>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</si>
  <si>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</si>
  <si>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</si>
  <si>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</si>
  <si>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</si>
  <si>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</si>
  <si>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</si>
  <si>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</si>
  <si>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</si>
  <si>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</si>
  <si>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</si>
  <si>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</si>
  <si>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</si>
  <si>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</si>
  <si>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</si>
  <si>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</si>
  <si>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</si>
  <si>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</si>
  <si>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</si>
  <si>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</si>
  <si>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</si>
  <si>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</si>
  <si>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</si>
  <si>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</si>
  <si>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</si>
  <si>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</si>
  <si>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</si>
  <si>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</si>
  <si>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</si>
  <si>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</si>
  <si>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</si>
  <si>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</si>
  <si>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</si>
  <si>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</si>
  <si>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</si>
  <si>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</si>
  <si>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</si>
  <si>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</si>
  <si>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</si>
  <si>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</si>
  <si>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</si>
  <si>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</si>
  <si>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</si>
  <si>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</si>
  <si>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</si>
  <si>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</si>
  <si>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</si>
  <si>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</si>
  <si>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</si>
  <si>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</si>
  <si>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</si>
  <si>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</si>
  <si>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</si>
  <si>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</si>
  <si>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</si>
  <si>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</si>
  <si>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</si>
  <si>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</si>
  <si>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</si>
  <si>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</si>
  <si>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</si>
  <si>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</si>
  <si>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</si>
  <si>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</si>
  <si>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</si>
  <si>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</si>
  <si>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</si>
  <si>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</si>
  <si>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</si>
  <si>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</si>
  <si>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</si>
  <si>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</si>
  <si>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</si>
  <si>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</si>
  <si>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</si>
  <si>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</si>
  <si>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</si>
  <si>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</si>
  <si>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</si>
  <si>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</si>
  <si>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</si>
  <si>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</si>
  <si>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</si>
  <si>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</si>
  <si>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</si>
  <si>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</si>
  <si>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</si>
  <si>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</si>
  <si>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</si>
  <si>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</si>
  <si>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</si>
  <si>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</si>
  <si>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</si>
  <si>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</si>
  <si>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</si>
  <si>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</si>
  <si>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</si>
  <si>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</si>
  <si>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</si>
  <si>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</si>
  <si>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</si>
  <si>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</si>
  <si>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</si>
  <si>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</si>
  <si>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</si>
  <si>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</si>
  <si>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</si>
  <si>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</si>
  <si>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</si>
  <si>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</si>
  <si>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</si>
  <si>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</si>
  <si>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</si>
  <si>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</si>
  <si>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</si>
  <si>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</si>
  <si>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</si>
  <si>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</si>
  <si>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</si>
  <si>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</si>
  <si>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</si>
  <si>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</si>
  <si>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</si>
  <si>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</si>
  <si>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</si>
  <si>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</si>
  <si>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</si>
  <si>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</si>
  <si>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</si>
  <si>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</si>
  <si>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</si>
  <si>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</si>
  <si>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</si>
  <si>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</si>
  <si>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</si>
  <si>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</si>
  <si>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</si>
  <si>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</si>
  <si>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</si>
  <si>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</si>
  <si>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</si>
  <si>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</si>
  <si>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</si>
  <si>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</si>
  <si>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</si>
  <si>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</si>
  <si>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</si>
  <si>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</si>
  <si>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</si>
  <si>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</si>
  <si>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</si>
  <si>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</si>
  <si>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</si>
  <si>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</si>
  <si>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</si>
  <si>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</si>
  <si>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</si>
  <si>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</si>
  <si>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</si>
  <si>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</si>
  <si>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</si>
  <si>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</si>
  <si>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</si>
  <si>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</si>
  <si>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</si>
  <si>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</si>
  <si>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</si>
  <si>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</si>
  <si>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</si>
  <si>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</si>
  <si>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</si>
  <si>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</si>
  <si>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</si>
  <si>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</si>
  <si>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</si>
  <si>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</si>
  <si>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</si>
  <si>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</si>
  <si>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</si>
  <si>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</si>
  <si>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</si>
  <si>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</si>
  <si>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</si>
  <si>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</si>
  <si>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</si>
  <si>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</si>
  <si>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</si>
  <si>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</si>
  <si>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</si>
  <si>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</si>
  <si>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</si>
  <si>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</si>
  <si>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</si>
  <si>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</si>
  <si>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</si>
  <si>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</si>
  <si>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</si>
  <si>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</si>
  <si>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</si>
  <si>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</si>
  <si>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</si>
  <si>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</si>
  <si>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</si>
  <si>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</si>
  <si>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</si>
  <si>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</si>
  <si>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</si>
  <si>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</si>
  <si>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</si>
  <si>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</si>
  <si>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</si>
  <si>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</si>
  <si>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</si>
  <si>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</si>
  <si>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</si>
  <si>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</si>
  <si>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</si>
  <si>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</si>
  <si>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</si>
  <si>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</si>
  <si>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</si>
  <si>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</si>
  <si>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</si>
  <si>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</si>
  <si>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</si>
  <si>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</si>
  <si>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</si>
  <si>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</si>
  <si>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</si>
  <si>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</si>
  <si>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</si>
  <si>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</si>
  <si>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</si>
  <si>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</si>
  <si>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</si>
  <si>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</si>
  <si>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</si>
  <si>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</si>
  <si>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</si>
  <si>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</si>
  <si>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</si>
  <si>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</si>
  <si>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</si>
  <si>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</si>
  <si>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</si>
  <si>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</si>
  <si>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</si>
  <si>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</si>
  <si>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</si>
  <si>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</si>
  <si>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</si>
  <si>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</si>
  <si>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</si>
  <si>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</si>
  <si>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</si>
  <si>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</si>
  <si>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</si>
  <si>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</si>
  <si>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</si>
  <si>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</si>
  <si>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</si>
  <si>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</si>
  <si>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</si>
  <si>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</si>
  <si>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</si>
  <si>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</si>
  <si>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</si>
  <si>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</si>
  <si>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</si>
  <si>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</si>
  <si>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</si>
  <si>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</si>
  <si>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</si>
  <si>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</si>
  <si>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</si>
  <si>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</si>
  <si>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</si>
  <si>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</si>
  <si>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</si>
  <si>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</si>
  <si>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</si>
  <si>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</si>
  <si>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</si>
  <si>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</si>
  <si>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</si>
  <si>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</si>
  <si>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</si>
  <si>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</si>
  <si>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</si>
  <si>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</si>
  <si>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</si>
  <si>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</si>
  <si>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</si>
  <si>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</si>
  <si>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</si>
  <si>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</si>
  <si>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</si>
  <si>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</si>
  <si>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</si>
  <si>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</si>
  <si>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</si>
  <si>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</si>
  <si>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</si>
  <si>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</si>
  <si>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</si>
  <si>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</si>
  <si>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</si>
  <si>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</si>
  <si>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</si>
  <si>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</si>
  <si>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</si>
  <si>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</si>
  <si>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</si>
  <si>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</si>
  <si>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</si>
  <si>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</si>
  <si>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</si>
  <si>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</si>
  <si>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</si>
  <si>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</si>
  <si>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</si>
  <si>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</si>
  <si>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</si>
  <si>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</si>
  <si>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</si>
  <si>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</si>
  <si>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</si>
  <si>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</si>
  <si>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</si>
  <si>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</si>
  <si>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</si>
  <si>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</si>
  <si>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</si>
  <si>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</si>
  <si>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</si>
  <si>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</si>
  <si>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</si>
  <si>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</si>
  <si>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</si>
  <si>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</si>
  <si>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</si>
  <si>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</si>
  <si>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</si>
  <si>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</si>
  <si>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</si>
  <si>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</si>
  <si>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</si>
  <si>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</si>
  <si>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</si>
  <si>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</si>
  <si>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</si>
  <si>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</si>
  <si>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</si>
  <si>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</si>
  <si>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</si>
  <si>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</si>
  <si>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</si>
  <si>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</si>
  <si>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</si>
  <si>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</si>
  <si>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</si>
  <si>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</si>
  <si>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</si>
  <si>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</si>
  <si>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</si>
  <si>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</si>
  <si>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</si>
  <si>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</si>
  <si>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</si>
  <si>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</si>
  <si>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</si>
  <si>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</si>
  <si>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</si>
  <si>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</si>
  <si>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</si>
  <si>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</si>
  <si>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</si>
  <si>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</si>
  <si>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</si>
  <si>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</si>
  <si>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</si>
  <si>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</si>
  <si>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</si>
  <si>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</si>
  <si>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</si>
  <si>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</si>
  <si>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</si>
  <si>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</si>
  <si>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</si>
  <si>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</si>
  <si>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</si>
  <si>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</si>
  <si>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</si>
  <si>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</si>
  <si>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</si>
  <si>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</si>
  <si>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</si>
  <si>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</si>
  <si>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</si>
  <si>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</si>
  <si>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</si>
  <si>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</si>
  <si>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</si>
  <si>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</si>
  <si>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</si>
  <si>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</si>
  <si>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</si>
  <si>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</si>
  <si>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</si>
  <si>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</si>
  <si>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</si>
  <si>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</si>
  <si>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</si>
  <si>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</si>
  <si>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</si>
  <si>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</si>
  <si>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</si>
  <si>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</si>
  <si>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</si>
  <si>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</si>
  <si>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</si>
  <si>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</si>
  <si>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</si>
  <si>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</si>
  <si>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</si>
  <si>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</si>
  <si>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</si>
  <si>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</si>
  <si>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</si>
  <si>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</si>
  <si>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</si>
  <si>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</si>
  <si>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</si>
  <si>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</si>
  <si>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</si>
  <si>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</si>
  <si>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</si>
  <si>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</si>
  <si>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</si>
  <si>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</si>
  <si>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</si>
  <si>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</si>
  <si>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</si>
  <si>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</si>
  <si>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</si>
  <si>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</si>
  <si>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</si>
  <si>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</si>
  <si>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</si>
  <si>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</si>
  <si>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</si>
  <si>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</si>
  <si>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</si>
  <si>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</si>
  <si>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</si>
  <si>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</si>
  <si>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</si>
  <si>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</si>
  <si>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</si>
  <si>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</si>
  <si>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</si>
  <si>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</si>
  <si>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</si>
  <si>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</si>
  <si>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</si>
  <si>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</si>
  <si>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</si>
  <si>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</si>
  <si>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</si>
  <si>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</si>
  <si>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</si>
  <si>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</si>
  <si>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</si>
  <si>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</si>
  <si>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</si>
  <si>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</si>
  <si>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</si>
  <si>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</si>
  <si>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</si>
  <si>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</si>
  <si>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</si>
  <si>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</si>
  <si>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</si>
  <si>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</si>
  <si>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</si>
  <si>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</si>
  <si>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</si>
  <si>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</si>
  <si>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</si>
  <si>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</si>
  <si>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</si>
  <si>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</si>
  <si>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</si>
  <si>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</si>
  <si>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</si>
  <si>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</si>
  <si>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</si>
  <si>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</si>
  <si>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</si>
  <si>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</si>
  <si>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</si>
  <si>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</si>
  <si>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</si>
  <si>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</si>
  <si>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</si>
  <si>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</si>
  <si>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</si>
  <si>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</si>
  <si>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</si>
  <si>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</si>
  <si>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</si>
  <si>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</si>
  <si>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</si>
  <si>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</si>
  <si>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</si>
  <si>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</si>
  <si>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</si>
  <si>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</si>
  <si>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</si>
  <si>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</si>
  <si>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</si>
  <si>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</si>
  <si>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</si>
  <si>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</si>
  <si>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</si>
  <si>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</si>
  <si>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</si>
  <si>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</si>
  <si>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</si>
  <si>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</si>
  <si>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</si>
  <si>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</si>
  <si>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</si>
  <si>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</si>
  <si>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</si>
  <si>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</si>
  <si>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</si>
  <si>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</si>
  <si>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</si>
  <si>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</si>
  <si>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</si>
  <si>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</si>
  <si>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</si>
  <si>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</si>
  <si>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</si>
  <si>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</si>
  <si>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</si>
  <si>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</si>
  <si>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</si>
  <si>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</si>
  <si>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</si>
  <si>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</si>
  <si>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</si>
  <si>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</si>
  <si>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</si>
  <si>
    <t>Swordfight</t>
  </si>
  <si>
    <t>Meta-Knight</t>
  </si>
  <si>
    <t>Brawler</t>
  </si>
  <si>
    <t>New Violence of the Crystalline Variety</t>
  </si>
  <si>
    <t>New hunt for the un-EDH priced Mox Amber</t>
  </si>
  <si>
    <t>New Tragedy of the Cowabunga™! Prerelease Turnout Variety</t>
  </si>
  <si>
    <t>New Bonny Pall Lore of the Lumberjack Folk Hero, Midnight Ride, Aspiration Employee, Founding Father, Abolitionist, and Large Fruit Residing Variety</t>
  </si>
  <si>
    <r>
      <t xml:space="preserve">New Nathan's Goat </t>
    </r>
    <r>
      <rPr>
        <strike/>
        <sz val="11"/>
        <color rgb="FFFF0000"/>
        <rFont val="Calibri"/>
        <family val="2"/>
      </rPr>
      <t>of the trash variety, but that doesn't fit the narrative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</si>
  <si>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Sol Ring Variety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</si>
  <si>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Jitte Variety</t>
    </r>
  </si>
  <si>
    <r>
      <rPr>
        <strike/>
        <sz val="11"/>
        <color rgb="FFFF0000"/>
        <rFont val="Calibri"/>
        <family val="2"/>
      </rPr>
      <t>Ever-Persistent</t>
    </r>
    <r>
      <rPr>
        <sz val="11"/>
        <color rgb="FFFF0000"/>
        <rFont val="Calibri"/>
        <family val="2"/>
      </rPr>
      <t xml:space="preserve"> New Violence of the Frosted Variety</t>
    </r>
  </si>
  <si>
    <r>
      <t xml:space="preserve">New </t>
    </r>
    <r>
      <rPr>
        <i/>
        <sz val="11"/>
        <color rgb="FFFF0000"/>
        <rFont val="Calibri"/>
        <family val="2"/>
      </rPr>
      <t>Cowabunga™</t>
    </r>
    <r>
      <rPr>
        <sz val="11"/>
        <color rgb="FFFF0000"/>
        <rFont val="Calibri"/>
        <family val="2"/>
      </rPr>
      <t>!</t>
    </r>
    <r>
      <rPr>
        <i/>
        <sz val="11"/>
        <color rgb="FFFF0000"/>
        <rFont val="Calibri"/>
        <family val="2"/>
      </rPr>
      <t xml:space="preserve"> The Gathering</t>
    </r>
    <r>
      <rPr>
        <sz val="11"/>
        <color rgb="FFFF0000"/>
        <rFont val="Calibri"/>
        <family val="2"/>
      </rPr>
      <t xml:space="preserve"> season</t>
    </r>
  </si>
  <si>
    <t>New Copium Modern Staple of the $60 Urza's Saga Target Variety</t>
  </si>
  <si>
    <t>Peach</t>
  </si>
  <si>
    <t>Climbers</t>
  </si>
  <si>
    <t>Dedede</t>
  </si>
  <si>
    <t>Banjo</t>
  </si>
  <si>
    <t>Metaknight</t>
  </si>
  <si>
    <t>Meta knight</t>
  </si>
  <si>
    <t>Ganon</t>
  </si>
  <si>
    <t>Wii Fit Trainr</t>
  </si>
  <si>
    <t>Wii Fit</t>
  </si>
  <si>
    <t>▲1🐐</t>
  </si>
  <si>
    <t>New Rage Bait of the Sorcery Speed Variety</t>
  </si>
  <si>
    <t xml:space="preserve">New Narrative of the Kid Icarus Variety </t>
  </si>
  <si>
    <t>▼10 💀💀</t>
  </si>
  <si>
    <t>🐐</t>
  </si>
  <si>
    <t xml:space="preserve">New Nathan Violence Agenda of the BFZ/OGW Variety </t>
  </si>
  <si>
    <t>New 2AM Commander Planechase Chaos Violence of the Upheaval Variety</t>
  </si>
  <si>
    <t>New SLGS Escape Room Team of the 0% Winrate Variety</t>
  </si>
  <si>
    <t>New SLGS Ultra PRO Apex™ League of the Revived by the Nathan Reaper Variety</t>
  </si>
  <si>
    <t>New long awaited return of the COSTA RICAN GOAT Variety</t>
  </si>
  <si>
    <t>New Simping for Cantrips of the Japanese Girls Pondering over Orbs Variety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</si>
</sst>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  <font>
      <strike/>
      <sz val="11"/>
      <color rgb="FFFF0000"/>
      <name val="Calibri"/>
      <family val="2"/>
    </font>
    <font>
      <i/>
      <sz val="11"/>
      <color rgb="FFFF0000"/>
      <name val="Calibri"/>
      <family val="2"/>
    </font>
    <font>
      <sz val="11"/>
      <color rgb="FF00B0F0"/>
      <name val="Calibri"/>
      <family val="2"/>
    </font>
    <font>
      <sz val="11"/>
      <color rgb="FF00B05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9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  <xf numFmtId="0" fontId="14" fillId="0" borderId="0" xfId="0" applyFont="1"/>
    <xf numFmtId="0" fontId="27" fillId="0" borderId="0" xfId="0" applyFont="1"/>
    <xf numFmtId="0" fontId="35" fillId="0" borderId="0" xfId="0" applyFont="1"/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5"/>
  <sheetViews>
    <sheetView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xmlns:xlrd2="http://schemas.microsoft.com/office/spreadsheetml/2017/richdata2"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xmlns:xlrd2="http://schemas.microsoft.com/office/spreadsheetml/2017/richdata2"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320"/>
  <sheetViews>
    <sheetView topLeftCell="A289" zoomScaleNormal="100" workbookViewId="0">
      <selection activeCell="S312" sqref="S312:AA32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2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2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2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2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2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2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2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2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2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2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2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2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2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2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2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2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2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2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2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  <c r="S272" s="1">
        <v>46058</v>
      </c>
      <c r="T272" s="1">
        <v>46058</v>
      </c>
      <c r="U272" s="1">
        <v>46058</v>
      </c>
      <c r="V272" s="1">
        <v>46060</v>
      </c>
      <c r="W272" s="1">
        <v>46060</v>
      </c>
    </row>
    <row r="273" spans="10:34" x14ac:dyDescent="0.2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  <c r="S273" t="s">
        <v>3</v>
      </c>
      <c r="T273" t="s">
        <v>232</v>
      </c>
      <c r="U273" t="s">
        <v>35</v>
      </c>
      <c r="V273" t="s">
        <v>552</v>
      </c>
      <c r="W273" t="s">
        <v>139</v>
      </c>
    </row>
    <row r="274" spans="10:34" x14ac:dyDescent="0.2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  <c r="S274" t="s">
        <v>50</v>
      </c>
      <c r="T274" t="s">
        <v>31</v>
      </c>
      <c r="U274" t="s">
        <v>32</v>
      </c>
      <c r="V274" t="s">
        <v>232</v>
      </c>
      <c r="W274" t="s">
        <v>232</v>
      </c>
    </row>
    <row r="275" spans="10:34" x14ac:dyDescent="0.2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  <c r="S275" t="s">
        <v>49</v>
      </c>
      <c r="T275" t="s">
        <v>50</v>
      </c>
      <c r="U275" t="s">
        <v>29</v>
      </c>
      <c r="V275" t="s">
        <v>30</v>
      </c>
      <c r="W275" t="s">
        <v>31</v>
      </c>
    </row>
    <row r="276" spans="10:34" x14ac:dyDescent="0.2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  <c r="S276" t="s">
        <v>121</v>
      </c>
      <c r="T276" t="s">
        <v>36</v>
      </c>
      <c r="U276" t="s">
        <v>30</v>
      </c>
      <c r="V276" t="s">
        <v>31</v>
      </c>
      <c r="W276" t="s">
        <v>34</v>
      </c>
    </row>
    <row r="277" spans="10:34" x14ac:dyDescent="0.2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  <c r="S277" t="s">
        <v>113</v>
      </c>
      <c r="T277" t="s">
        <v>25</v>
      </c>
      <c r="U277" t="s">
        <v>15</v>
      </c>
      <c r="V277" t="s">
        <v>1</v>
      </c>
      <c r="W277" t="s">
        <v>25</v>
      </c>
    </row>
    <row r="278" spans="10:34" x14ac:dyDescent="0.2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  <c r="S278" t="s">
        <v>31</v>
      </c>
      <c r="T278" t="s">
        <v>34</v>
      </c>
      <c r="U278" t="s">
        <v>51</v>
      </c>
      <c r="V278" t="s">
        <v>25</v>
      </c>
      <c r="W278" t="s">
        <v>1</v>
      </c>
    </row>
    <row r="279" spans="10:34" x14ac:dyDescent="0.2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  <c r="S279" t="s">
        <v>25</v>
      </c>
      <c r="T279" t="s">
        <v>49</v>
      </c>
      <c r="U279" t="s">
        <v>175</v>
      </c>
      <c r="V279" t="s">
        <v>15</v>
      </c>
      <c r="W279" t="s">
        <v>15</v>
      </c>
    </row>
    <row r="280" spans="10:34" x14ac:dyDescent="0.2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  <c r="S280" t="s">
        <v>19</v>
      </c>
      <c r="T280" t="s">
        <v>3</v>
      </c>
      <c r="U280" t="s">
        <v>571</v>
      </c>
      <c r="V280" t="s">
        <v>147</v>
      </c>
      <c r="W280" t="s">
        <v>147</v>
      </c>
    </row>
    <row r="282" spans="10:34" x14ac:dyDescent="0.25">
      <c r="J282" s="1">
        <v>46065</v>
      </c>
      <c r="K282" s="1">
        <v>46065</v>
      </c>
      <c r="L282" s="1">
        <v>46065</v>
      </c>
      <c r="M282" s="1">
        <v>46065</v>
      </c>
      <c r="N282" s="1">
        <v>46079</v>
      </c>
      <c r="O282" s="1">
        <v>46079</v>
      </c>
      <c r="P282" s="1">
        <v>46079</v>
      </c>
      <c r="Q282" s="1">
        <v>46079</v>
      </c>
      <c r="R282" s="1">
        <v>46080</v>
      </c>
      <c r="T282" s="1">
        <v>46081</v>
      </c>
      <c r="U282" s="1">
        <v>46081</v>
      </c>
      <c r="V282" s="1">
        <v>46081</v>
      </c>
      <c r="W282" s="1">
        <v>46081</v>
      </c>
      <c r="X282" s="1">
        <v>46081</v>
      </c>
      <c r="Y282" s="1">
        <v>46081</v>
      </c>
      <c r="Z282" s="1">
        <v>46081</v>
      </c>
      <c r="AA282" s="1">
        <v>46081</v>
      </c>
      <c r="AB282" s="1">
        <v>46081</v>
      </c>
      <c r="AC282" s="1">
        <v>46081</v>
      </c>
      <c r="AD282" s="1">
        <v>46081</v>
      </c>
      <c r="AE282" s="1">
        <v>46081</v>
      </c>
      <c r="AF282" s="1">
        <v>46086</v>
      </c>
      <c r="AG282" s="1">
        <v>46086</v>
      </c>
      <c r="AH282" s="1">
        <v>46086</v>
      </c>
    </row>
    <row r="283" spans="10:34" x14ac:dyDescent="0.25">
      <c r="J283" t="s">
        <v>25</v>
      </c>
      <c r="K283" t="s">
        <v>25</v>
      </c>
      <c r="L283" t="s">
        <v>35</v>
      </c>
      <c r="M283" t="s">
        <v>232</v>
      </c>
      <c r="N283" t="s">
        <v>122</v>
      </c>
      <c r="O283" t="s">
        <v>25</v>
      </c>
      <c r="P283" t="s">
        <v>128</v>
      </c>
      <c r="Q283" t="s">
        <v>15</v>
      </c>
      <c r="R283" t="s">
        <v>24</v>
      </c>
      <c r="T283" t="s">
        <v>121</v>
      </c>
      <c r="U283" t="s">
        <v>63</v>
      </c>
      <c r="V283" t="s">
        <v>112</v>
      </c>
      <c r="W283" t="s">
        <v>4</v>
      </c>
      <c r="X283" t="s">
        <v>572</v>
      </c>
      <c r="Y283" t="s">
        <v>552</v>
      </c>
      <c r="Z283" t="s">
        <v>31</v>
      </c>
      <c r="AA283" t="s">
        <v>104</v>
      </c>
      <c r="AB283" t="s">
        <v>104</v>
      </c>
      <c r="AC283" t="s">
        <v>25</v>
      </c>
      <c r="AD283" t="s">
        <v>552</v>
      </c>
      <c r="AE283" t="s">
        <v>552</v>
      </c>
      <c r="AF283" t="s">
        <v>123</v>
      </c>
      <c r="AG283" t="s">
        <v>25</v>
      </c>
      <c r="AH283" t="s">
        <v>30</v>
      </c>
    </row>
    <row r="284" spans="10:34" x14ac:dyDescent="0.25">
      <c r="J284" t="s">
        <v>121</v>
      </c>
      <c r="K284" t="s">
        <v>36</v>
      </c>
      <c r="L284" t="s">
        <v>49</v>
      </c>
      <c r="M284" t="s">
        <v>35</v>
      </c>
      <c r="N284" t="s">
        <v>121</v>
      </c>
      <c r="O284" t="s">
        <v>21</v>
      </c>
      <c r="P284" t="s">
        <v>15</v>
      </c>
      <c r="Q284" t="s">
        <v>175</v>
      </c>
      <c r="R284" t="s">
        <v>25</v>
      </c>
      <c r="T284" t="s">
        <v>36</v>
      </c>
      <c r="U284" t="s">
        <v>49</v>
      </c>
      <c r="V284" t="s">
        <v>21</v>
      </c>
      <c r="W284" t="s">
        <v>112</v>
      </c>
      <c r="X284" t="s">
        <v>104</v>
      </c>
      <c r="Y284" t="s">
        <v>104</v>
      </c>
      <c r="Z284" t="s">
        <v>4</v>
      </c>
      <c r="AA284" t="s">
        <v>4</v>
      </c>
      <c r="AB284" t="s">
        <v>232</v>
      </c>
      <c r="AC284" t="s">
        <v>124</v>
      </c>
      <c r="AD284" t="s">
        <v>232</v>
      </c>
      <c r="AE284" t="s">
        <v>553</v>
      </c>
      <c r="AF284" t="s">
        <v>128</v>
      </c>
      <c r="AG284" t="s">
        <v>21</v>
      </c>
      <c r="AH284" t="s">
        <v>122</v>
      </c>
    </row>
    <row r="285" spans="10:34" x14ac:dyDescent="0.25">
      <c r="J285" t="s">
        <v>19</v>
      </c>
      <c r="K285" t="s">
        <v>139</v>
      </c>
      <c r="L285" t="s">
        <v>29</v>
      </c>
      <c r="M285" t="s">
        <v>29</v>
      </c>
      <c r="N285" t="s">
        <v>21</v>
      </c>
      <c r="O285" t="s">
        <v>122</v>
      </c>
      <c r="P285" t="s">
        <v>32</v>
      </c>
      <c r="Q285" t="s">
        <v>51</v>
      </c>
      <c r="R285" t="s">
        <v>148</v>
      </c>
      <c r="T285" t="s">
        <v>78</v>
      </c>
      <c r="U285" t="s">
        <v>36</v>
      </c>
      <c r="V285" t="s">
        <v>63</v>
      </c>
      <c r="W285" t="s">
        <v>121</v>
      </c>
      <c r="X285" t="s">
        <v>26</v>
      </c>
      <c r="Y285" t="s">
        <v>32</v>
      </c>
      <c r="Z285" t="s">
        <v>122</v>
      </c>
      <c r="AA285" t="s">
        <v>26</v>
      </c>
      <c r="AB285" t="s">
        <v>4</v>
      </c>
      <c r="AC285" t="s">
        <v>87</v>
      </c>
      <c r="AD285" t="s">
        <v>28</v>
      </c>
      <c r="AE285" t="s">
        <v>124</v>
      </c>
      <c r="AF285" t="s">
        <v>35</v>
      </c>
      <c r="AG285" t="s">
        <v>87</v>
      </c>
      <c r="AH285" t="s">
        <v>49</v>
      </c>
    </row>
    <row r="286" spans="10:34" x14ac:dyDescent="0.25">
      <c r="J286" t="s">
        <v>36</v>
      </c>
      <c r="K286" t="s">
        <v>87</v>
      </c>
      <c r="L286" t="s">
        <v>51</v>
      </c>
      <c r="M286" t="s">
        <v>51</v>
      </c>
      <c r="N286" t="s">
        <v>25</v>
      </c>
      <c r="O286" t="s">
        <v>87</v>
      </c>
      <c r="P286" t="s">
        <v>175</v>
      </c>
      <c r="Q286" t="s">
        <v>49</v>
      </c>
      <c r="R286" t="s">
        <v>87</v>
      </c>
      <c r="T286" t="s">
        <v>87</v>
      </c>
      <c r="U286" t="s">
        <v>21</v>
      </c>
      <c r="V286" t="s">
        <v>122</v>
      </c>
      <c r="W286" t="s">
        <v>25</v>
      </c>
      <c r="X286" t="s">
        <v>253</v>
      </c>
      <c r="Y286" t="s">
        <v>572</v>
      </c>
      <c r="Z286" t="s">
        <v>87</v>
      </c>
      <c r="AA286" t="s">
        <v>81</v>
      </c>
      <c r="AB286" t="s">
        <v>15</v>
      </c>
      <c r="AC286" t="s">
        <v>21</v>
      </c>
      <c r="AD286" t="s">
        <v>574</v>
      </c>
      <c r="AE286" t="s">
        <v>31</v>
      </c>
      <c r="AF286" t="s">
        <v>121</v>
      </c>
      <c r="AG286" t="s">
        <v>122</v>
      </c>
      <c r="AH286" t="s">
        <v>51</v>
      </c>
    </row>
    <row r="287" spans="10:34" x14ac:dyDescent="0.25">
      <c r="J287" t="s">
        <v>147</v>
      </c>
      <c r="K287" t="s">
        <v>31</v>
      </c>
      <c r="L287" t="s">
        <v>15</v>
      </c>
      <c r="M287" t="s">
        <v>49</v>
      </c>
      <c r="N287" t="s">
        <v>50</v>
      </c>
      <c r="O287" t="s">
        <v>232</v>
      </c>
      <c r="P287" t="s">
        <v>571</v>
      </c>
      <c r="Q287" t="s">
        <v>29</v>
      </c>
      <c r="R287" t="s">
        <v>37</v>
      </c>
      <c r="T287" t="s">
        <v>112</v>
      </c>
      <c r="U287" t="s">
        <v>31</v>
      </c>
      <c r="V287" t="s">
        <v>232</v>
      </c>
      <c r="W287" t="s">
        <v>87</v>
      </c>
      <c r="X287" t="s">
        <v>32</v>
      </c>
      <c r="Y287" t="s">
        <v>81</v>
      </c>
      <c r="Z287" t="s">
        <v>21</v>
      </c>
      <c r="AA287" t="s">
        <v>36</v>
      </c>
      <c r="AB287" t="s">
        <v>63</v>
      </c>
      <c r="AC287" t="s">
        <v>574</v>
      </c>
      <c r="AD287" t="s">
        <v>15</v>
      </c>
      <c r="AE287" t="s">
        <v>122</v>
      </c>
      <c r="AF287" t="s">
        <v>25</v>
      </c>
      <c r="AG287" t="s">
        <v>35</v>
      </c>
      <c r="AH287" t="s">
        <v>29</v>
      </c>
    </row>
    <row r="288" spans="10:34" x14ac:dyDescent="0.25">
      <c r="J288" t="s">
        <v>50</v>
      </c>
      <c r="K288" t="s">
        <v>50</v>
      </c>
      <c r="L288" t="s">
        <v>30</v>
      </c>
      <c r="M288" t="s">
        <v>15</v>
      </c>
      <c r="N288" t="s">
        <v>31</v>
      </c>
      <c r="O288" t="s">
        <v>50</v>
      </c>
      <c r="P288" t="s">
        <v>104</v>
      </c>
      <c r="Q288" t="s">
        <v>35</v>
      </c>
      <c r="R288" t="s">
        <v>31</v>
      </c>
      <c r="T288" t="s">
        <v>25</v>
      </c>
      <c r="U288" t="s">
        <v>232</v>
      </c>
      <c r="V288" t="s">
        <v>49</v>
      </c>
      <c r="W288" t="s">
        <v>36</v>
      </c>
      <c r="X288" t="s">
        <v>81</v>
      </c>
      <c r="Y288" t="s">
        <v>36</v>
      </c>
      <c r="Z288" t="s">
        <v>25</v>
      </c>
      <c r="AA288" t="s">
        <v>63</v>
      </c>
      <c r="AB288" t="s">
        <v>574</v>
      </c>
      <c r="AC288" t="s">
        <v>122</v>
      </c>
      <c r="AD288" t="s">
        <v>4</v>
      </c>
      <c r="AE288" t="s">
        <v>28</v>
      </c>
      <c r="AF288" t="s">
        <v>21</v>
      </c>
      <c r="AG288" t="s">
        <v>232</v>
      </c>
      <c r="AH288" t="s">
        <v>15</v>
      </c>
    </row>
    <row r="289" spans="10:34" x14ac:dyDescent="0.25">
      <c r="J289" t="s">
        <v>31</v>
      </c>
      <c r="K289" t="s">
        <v>24</v>
      </c>
      <c r="L289" t="s">
        <v>26</v>
      </c>
      <c r="M289" t="s">
        <v>81</v>
      </c>
      <c r="N289" t="s">
        <v>230</v>
      </c>
      <c r="O289" t="s">
        <v>31</v>
      </c>
      <c r="P289" t="s">
        <v>35</v>
      </c>
      <c r="Q289" t="s">
        <v>26</v>
      </c>
      <c r="R289" t="s">
        <v>573</v>
      </c>
      <c r="T289" t="s">
        <v>28</v>
      </c>
      <c r="U289" t="s">
        <v>15</v>
      </c>
      <c r="V289" t="s">
        <v>36</v>
      </c>
      <c r="W289" t="s">
        <v>31</v>
      </c>
      <c r="X289" t="s">
        <v>36</v>
      </c>
      <c r="Y289" t="s">
        <v>26</v>
      </c>
      <c r="Z289" t="s">
        <v>28</v>
      </c>
      <c r="AA289" t="s">
        <v>15</v>
      </c>
      <c r="AB289" t="s">
        <v>553</v>
      </c>
      <c r="AC289" t="s">
        <v>572</v>
      </c>
      <c r="AD289" t="s">
        <v>26</v>
      </c>
      <c r="AE289" t="s">
        <v>87</v>
      </c>
      <c r="AF289" t="s">
        <v>87</v>
      </c>
      <c r="AG289" t="s">
        <v>49</v>
      </c>
      <c r="AH289" t="s">
        <v>112</v>
      </c>
    </row>
    <row r="290" spans="10:34" x14ac:dyDescent="0.25">
      <c r="J290" t="s">
        <v>87</v>
      </c>
      <c r="K290" t="s">
        <v>19</v>
      </c>
      <c r="L290" t="s">
        <v>81</v>
      </c>
      <c r="M290" t="s">
        <v>26</v>
      </c>
      <c r="N290" t="s">
        <v>87</v>
      </c>
      <c r="O290" t="s">
        <v>104</v>
      </c>
      <c r="P290" t="s">
        <v>49</v>
      </c>
      <c r="Q290" t="s">
        <v>571</v>
      </c>
      <c r="R290" t="s">
        <v>28</v>
      </c>
      <c r="T290" t="s">
        <v>4</v>
      </c>
      <c r="U290" t="s">
        <v>122</v>
      </c>
      <c r="V290" t="s">
        <v>15</v>
      </c>
      <c r="W290" t="s">
        <v>28</v>
      </c>
      <c r="X290" t="s">
        <v>4</v>
      </c>
      <c r="Y290" t="s">
        <v>4</v>
      </c>
      <c r="Z290" t="s">
        <v>232</v>
      </c>
      <c r="AA290" t="s">
        <v>49</v>
      </c>
      <c r="AB290" t="s">
        <v>26</v>
      </c>
      <c r="AC290" t="s">
        <v>31</v>
      </c>
      <c r="AD290" t="s">
        <v>572</v>
      </c>
      <c r="AE290" t="s">
        <v>25</v>
      </c>
      <c r="AF290" t="s">
        <v>28</v>
      </c>
      <c r="AG290" t="s">
        <v>28</v>
      </c>
      <c r="AH290" t="s">
        <v>26</v>
      </c>
    </row>
    <row r="292" spans="10:34" x14ac:dyDescent="0.25">
      <c r="J292" s="1">
        <v>46087</v>
      </c>
      <c r="K292" s="1">
        <v>46087</v>
      </c>
      <c r="L292" s="1">
        <v>46093</v>
      </c>
      <c r="M292" s="1">
        <v>46093</v>
      </c>
      <c r="N292" s="1">
        <v>46093</v>
      </c>
      <c r="O292" s="1">
        <v>46093</v>
      </c>
      <c r="P292" s="1">
        <v>46094</v>
      </c>
      <c r="Q292" s="1">
        <v>46094</v>
      </c>
      <c r="S292" s="1">
        <v>46095</v>
      </c>
      <c r="T292" s="1">
        <v>46095</v>
      </c>
      <c r="U292" s="1">
        <v>46095</v>
      </c>
      <c r="V292" s="1">
        <v>46095</v>
      </c>
      <c r="W292" s="1">
        <v>46095</v>
      </c>
      <c r="X292" s="1">
        <v>46095</v>
      </c>
      <c r="Y292" s="1">
        <v>46095</v>
      </c>
      <c r="Z292" s="1">
        <v>46095</v>
      </c>
    </row>
    <row r="293" spans="10:34" x14ac:dyDescent="0.25">
      <c r="J293" t="s">
        <v>87</v>
      </c>
      <c r="K293" t="s">
        <v>124</v>
      </c>
      <c r="L293" t="s">
        <v>21</v>
      </c>
      <c r="M293" t="s">
        <v>25</v>
      </c>
      <c r="N293" t="s">
        <v>78</v>
      </c>
      <c r="O293" t="s">
        <v>15</v>
      </c>
      <c r="P293" t="s">
        <v>121</v>
      </c>
      <c r="Q293" t="s">
        <v>31</v>
      </c>
      <c r="S293" t="s">
        <v>117</v>
      </c>
      <c r="T293" t="s">
        <v>15</v>
      </c>
      <c r="U293" t="s">
        <v>104</v>
      </c>
      <c r="V293" t="s">
        <v>31</v>
      </c>
      <c r="W293" t="s">
        <v>232</v>
      </c>
      <c r="X293" t="s">
        <v>585</v>
      </c>
      <c r="Y293" t="s">
        <v>26</v>
      </c>
      <c r="Z293" t="s">
        <v>585</v>
      </c>
    </row>
    <row r="294" spans="10:34" x14ac:dyDescent="0.25">
      <c r="J294" t="s">
        <v>124</v>
      </c>
      <c r="K294" t="s">
        <v>232</v>
      </c>
      <c r="L294" t="s">
        <v>122</v>
      </c>
      <c r="M294" t="s">
        <v>31</v>
      </c>
      <c r="N294" t="s">
        <v>49</v>
      </c>
      <c r="O294" t="s">
        <v>78</v>
      </c>
      <c r="P294" t="s">
        <v>232</v>
      </c>
      <c r="Q294" t="s">
        <v>232</v>
      </c>
      <c r="S294" t="s">
        <v>232</v>
      </c>
      <c r="T294" t="s">
        <v>21</v>
      </c>
      <c r="U294" t="s">
        <v>81</v>
      </c>
      <c r="V294" t="s">
        <v>32</v>
      </c>
      <c r="W294" t="s">
        <v>63</v>
      </c>
      <c r="X294" t="s">
        <v>28</v>
      </c>
      <c r="Y294" t="s">
        <v>113</v>
      </c>
      <c r="Z294" t="s">
        <v>122</v>
      </c>
    </row>
    <row r="295" spans="10:34" x14ac:dyDescent="0.25">
      <c r="J295" t="s">
        <v>28</v>
      </c>
      <c r="K295" t="s">
        <v>4</v>
      </c>
      <c r="L295" t="s">
        <v>35</v>
      </c>
      <c r="M295" t="s">
        <v>35</v>
      </c>
      <c r="N295" t="s">
        <v>26</v>
      </c>
      <c r="O295" t="s">
        <v>117</v>
      </c>
      <c r="P295" t="s">
        <v>28</v>
      </c>
      <c r="Q295" t="s">
        <v>87</v>
      </c>
      <c r="S295" t="s">
        <v>21</v>
      </c>
      <c r="T295" t="s">
        <v>232</v>
      </c>
      <c r="U295" t="s">
        <v>124</v>
      </c>
      <c r="V295" t="s">
        <v>58</v>
      </c>
      <c r="W295" t="s">
        <v>104</v>
      </c>
      <c r="X295" t="s">
        <v>122</v>
      </c>
      <c r="Y295" t="s">
        <v>81</v>
      </c>
      <c r="Z295" t="s">
        <v>232</v>
      </c>
    </row>
    <row r="296" spans="10:34" x14ac:dyDescent="0.25">
      <c r="J296" t="s">
        <v>4</v>
      </c>
      <c r="K296" t="s">
        <v>28</v>
      </c>
      <c r="L296" t="s">
        <v>25</v>
      </c>
      <c r="M296" t="s">
        <v>122</v>
      </c>
      <c r="N296" t="s">
        <v>15</v>
      </c>
      <c r="O296" t="s">
        <v>29</v>
      </c>
      <c r="P296" t="s">
        <v>31</v>
      </c>
      <c r="Q296" t="s">
        <v>29</v>
      </c>
      <c r="S296" t="s">
        <v>87</v>
      </c>
      <c r="T296" t="s">
        <v>87</v>
      </c>
      <c r="U296" t="s">
        <v>121</v>
      </c>
      <c r="V296" t="s">
        <v>121</v>
      </c>
      <c r="W296" t="s">
        <v>15</v>
      </c>
      <c r="X296" t="s">
        <v>31</v>
      </c>
      <c r="Y296" t="s">
        <v>104</v>
      </c>
      <c r="Z296" t="s">
        <v>15</v>
      </c>
    </row>
    <row r="297" spans="10:34" x14ac:dyDescent="0.25">
      <c r="J297" t="s">
        <v>63</v>
      </c>
      <c r="K297" t="s">
        <v>31</v>
      </c>
      <c r="L297" t="s">
        <v>31</v>
      </c>
      <c r="M297" t="s">
        <v>21</v>
      </c>
      <c r="N297" t="s">
        <v>104</v>
      </c>
      <c r="O297" t="s">
        <v>49</v>
      </c>
      <c r="P297" t="s">
        <v>87</v>
      </c>
      <c r="Q297" t="s">
        <v>25</v>
      </c>
      <c r="S297" t="s">
        <v>124</v>
      </c>
      <c r="T297" t="s">
        <v>25</v>
      </c>
      <c r="U297" t="s">
        <v>32</v>
      </c>
      <c r="V297" t="s">
        <v>26</v>
      </c>
      <c r="W297" t="s">
        <v>26</v>
      </c>
      <c r="X297" t="s">
        <v>21</v>
      </c>
      <c r="Y297" t="s">
        <v>585</v>
      </c>
      <c r="Z297" t="s">
        <v>28</v>
      </c>
    </row>
    <row r="298" spans="10:34" x14ac:dyDescent="0.25">
      <c r="J298" t="s">
        <v>121</v>
      </c>
      <c r="K298" t="s">
        <v>87</v>
      </c>
      <c r="L298" t="s">
        <v>117</v>
      </c>
      <c r="M298" t="s">
        <v>78</v>
      </c>
      <c r="N298" t="s">
        <v>29</v>
      </c>
      <c r="O298" t="s">
        <v>26</v>
      </c>
      <c r="P298" t="s">
        <v>472</v>
      </c>
      <c r="Q298" t="s">
        <v>124</v>
      </c>
      <c r="S298" t="s">
        <v>78</v>
      </c>
      <c r="T298" t="s">
        <v>117</v>
      </c>
      <c r="U298" t="s">
        <v>31</v>
      </c>
      <c r="V298" t="s">
        <v>104</v>
      </c>
      <c r="W298" t="s">
        <v>29</v>
      </c>
      <c r="X298" t="s">
        <v>25</v>
      </c>
      <c r="Y298" t="s">
        <v>15</v>
      </c>
      <c r="Z298" t="s">
        <v>25</v>
      </c>
    </row>
    <row r="299" spans="10:34" x14ac:dyDescent="0.25">
      <c r="J299" t="s">
        <v>31</v>
      </c>
      <c r="K299" t="s">
        <v>63</v>
      </c>
      <c r="L299" t="s">
        <v>87</v>
      </c>
      <c r="M299" t="s">
        <v>117</v>
      </c>
      <c r="N299" t="s">
        <v>117</v>
      </c>
      <c r="O299" t="s">
        <v>104</v>
      </c>
      <c r="P299" t="s">
        <v>25</v>
      </c>
      <c r="Q299" t="s">
        <v>472</v>
      </c>
      <c r="S299" t="s">
        <v>25</v>
      </c>
      <c r="T299" t="s">
        <v>124</v>
      </c>
      <c r="U299" t="s">
        <v>26</v>
      </c>
      <c r="V299" t="s">
        <v>113</v>
      </c>
      <c r="W299" t="s">
        <v>117</v>
      </c>
      <c r="X299" t="s">
        <v>1</v>
      </c>
      <c r="Y299" t="s">
        <v>232</v>
      </c>
      <c r="Z299" t="s">
        <v>26</v>
      </c>
    </row>
    <row r="300" spans="10:34" x14ac:dyDescent="0.25">
      <c r="J300" t="s">
        <v>25</v>
      </c>
      <c r="K300" t="s">
        <v>25</v>
      </c>
      <c r="L300" t="s">
        <v>78</v>
      </c>
      <c r="M300" t="s">
        <v>87</v>
      </c>
      <c r="N300" t="s">
        <v>51</v>
      </c>
      <c r="O300" t="s">
        <v>51</v>
      </c>
      <c r="P300" t="s">
        <v>21</v>
      </c>
      <c r="Q300" t="s">
        <v>21</v>
      </c>
      <c r="S300" t="s">
        <v>15</v>
      </c>
      <c r="T300" t="s">
        <v>78</v>
      </c>
      <c r="U300" t="s">
        <v>63</v>
      </c>
      <c r="V300" t="s">
        <v>81</v>
      </c>
      <c r="W300" t="s">
        <v>81</v>
      </c>
      <c r="X300" t="s">
        <v>87</v>
      </c>
      <c r="Y300" t="s">
        <v>29</v>
      </c>
      <c r="Z300" t="s">
        <v>21</v>
      </c>
    </row>
    <row r="302" spans="10:34" x14ac:dyDescent="0.25">
      <c r="J302" s="1">
        <v>46100</v>
      </c>
      <c r="K302" s="1">
        <v>46100</v>
      </c>
      <c r="L302" s="1">
        <v>46101</v>
      </c>
      <c r="M302" s="1">
        <v>46101</v>
      </c>
      <c r="N302" s="1">
        <v>46101</v>
      </c>
      <c r="O302" s="1">
        <v>46107</v>
      </c>
      <c r="P302" s="1">
        <v>46107</v>
      </c>
      <c r="Q302" s="1">
        <v>46107</v>
      </c>
      <c r="R302" s="1">
        <v>46107</v>
      </c>
      <c r="S302" s="1">
        <v>46108</v>
      </c>
      <c r="T302" s="1">
        <v>46108</v>
      </c>
      <c r="V302" s="1">
        <v>46109</v>
      </c>
      <c r="W302" s="1">
        <v>46109</v>
      </c>
      <c r="X302" s="1">
        <v>46114</v>
      </c>
      <c r="Y302" s="1">
        <v>46114</v>
      </c>
      <c r="Z302" s="1">
        <v>46114</v>
      </c>
      <c r="AA302" s="1">
        <v>46114</v>
      </c>
      <c r="AB302" s="1">
        <v>46115</v>
      </c>
      <c r="AC302" s="1">
        <v>46115</v>
      </c>
      <c r="AD302" s="1">
        <v>46115</v>
      </c>
    </row>
    <row r="303" spans="10:34" x14ac:dyDescent="0.25">
      <c r="J303" t="s">
        <v>117</v>
      </c>
      <c r="K303" t="s">
        <v>78</v>
      </c>
      <c r="L303" t="s">
        <v>8</v>
      </c>
      <c r="M303" t="s">
        <v>232</v>
      </c>
      <c r="N303" t="s">
        <v>585</v>
      </c>
      <c r="O303" t="s">
        <v>58</v>
      </c>
      <c r="P303" t="s">
        <v>9</v>
      </c>
      <c r="Q303" t="s">
        <v>572</v>
      </c>
      <c r="R303" t="s">
        <v>35</v>
      </c>
      <c r="S303" t="s">
        <v>232</v>
      </c>
      <c r="T303" t="s">
        <v>586</v>
      </c>
      <c r="V303" t="s">
        <v>31</v>
      </c>
      <c r="W303" t="s">
        <v>574</v>
      </c>
      <c r="X303" t="s">
        <v>128</v>
      </c>
      <c r="Y303" t="s">
        <v>116</v>
      </c>
      <c r="Z303" t="s">
        <v>122</v>
      </c>
      <c r="AA303" t="s">
        <v>29</v>
      </c>
      <c r="AB303" t="s">
        <v>25</v>
      </c>
      <c r="AC303" t="s">
        <v>232</v>
      </c>
      <c r="AD303" t="s">
        <v>117</v>
      </c>
    </row>
    <row r="304" spans="10:34" x14ac:dyDescent="0.25">
      <c r="J304" t="s">
        <v>25</v>
      </c>
      <c r="K304" t="s">
        <v>232</v>
      </c>
      <c r="L304" t="s">
        <v>35</v>
      </c>
      <c r="M304" t="s">
        <v>87</v>
      </c>
      <c r="N304" t="s">
        <v>56</v>
      </c>
      <c r="O304" t="s">
        <v>9</v>
      </c>
      <c r="P304" t="s">
        <v>586</v>
      </c>
      <c r="Q304" t="s">
        <v>122</v>
      </c>
      <c r="R304" t="s">
        <v>122</v>
      </c>
      <c r="S304" t="s">
        <v>123</v>
      </c>
      <c r="T304" t="s">
        <v>232</v>
      </c>
      <c r="V304" t="s">
        <v>232</v>
      </c>
      <c r="W304" t="s">
        <v>590</v>
      </c>
      <c r="X304" t="s">
        <v>35</v>
      </c>
      <c r="Y304" t="s">
        <v>31</v>
      </c>
      <c r="Z304" t="s">
        <v>9</v>
      </c>
      <c r="AA304" t="s">
        <v>104</v>
      </c>
      <c r="AB304" t="s">
        <v>232</v>
      </c>
      <c r="AC304" t="s">
        <v>117</v>
      </c>
      <c r="AD304" t="s">
        <v>10</v>
      </c>
    </row>
    <row r="305" spans="10:30" x14ac:dyDescent="0.25">
      <c r="J305" t="s">
        <v>116</v>
      </c>
      <c r="K305" t="s">
        <v>123</v>
      </c>
      <c r="L305" t="s">
        <v>31</v>
      </c>
      <c r="M305" t="s">
        <v>8</v>
      </c>
      <c r="N305" t="s">
        <v>175</v>
      </c>
      <c r="O305" t="s">
        <v>25</v>
      </c>
      <c r="P305" t="s">
        <v>28</v>
      </c>
      <c r="Q305" t="s">
        <v>35</v>
      </c>
      <c r="R305" t="s">
        <v>232</v>
      </c>
      <c r="S305" t="s">
        <v>28</v>
      </c>
      <c r="T305" t="s">
        <v>123</v>
      </c>
      <c r="V305" t="s">
        <v>589</v>
      </c>
      <c r="W305" t="s">
        <v>232</v>
      </c>
      <c r="X305" t="s">
        <v>10</v>
      </c>
      <c r="Y305" t="s">
        <v>122</v>
      </c>
      <c r="Z305" t="s">
        <v>49</v>
      </c>
      <c r="AA305" t="s">
        <v>122</v>
      </c>
      <c r="AB305" t="s">
        <v>31</v>
      </c>
      <c r="AC305" t="s">
        <v>588</v>
      </c>
      <c r="AD305" t="s">
        <v>574</v>
      </c>
    </row>
    <row r="306" spans="10:30" x14ac:dyDescent="0.25">
      <c r="J306" t="s">
        <v>78</v>
      </c>
      <c r="K306" t="s">
        <v>25</v>
      </c>
      <c r="L306" t="s">
        <v>121</v>
      </c>
      <c r="M306" t="s">
        <v>28</v>
      </c>
      <c r="N306" t="s">
        <v>232</v>
      </c>
      <c r="O306" t="s">
        <v>31</v>
      </c>
      <c r="P306" t="s">
        <v>129</v>
      </c>
      <c r="Q306" t="s">
        <v>104</v>
      </c>
      <c r="R306" t="s">
        <v>26</v>
      </c>
      <c r="S306" t="s">
        <v>588</v>
      </c>
      <c r="T306" t="s">
        <v>25</v>
      </c>
      <c r="V306" t="s">
        <v>124</v>
      </c>
      <c r="W306" t="s">
        <v>553</v>
      </c>
      <c r="X306" t="s">
        <v>25</v>
      </c>
      <c r="Y306" t="s">
        <v>19</v>
      </c>
      <c r="Z306" t="s">
        <v>116</v>
      </c>
      <c r="AA306" t="s">
        <v>49</v>
      </c>
      <c r="AB306" t="s">
        <v>28</v>
      </c>
      <c r="AC306" t="s">
        <v>587</v>
      </c>
      <c r="AD306" t="s">
        <v>553</v>
      </c>
    </row>
    <row r="307" spans="10:30" x14ac:dyDescent="0.25">
      <c r="J307" t="s">
        <v>28</v>
      </c>
      <c r="K307" t="s">
        <v>117</v>
      </c>
      <c r="L307" t="s">
        <v>28</v>
      </c>
      <c r="M307" t="s">
        <v>31</v>
      </c>
      <c r="N307" t="s">
        <v>31</v>
      </c>
      <c r="O307" t="s">
        <v>10</v>
      </c>
      <c r="P307" t="s">
        <v>10</v>
      </c>
      <c r="Q307" t="s">
        <v>26</v>
      </c>
      <c r="R307" t="s">
        <v>58</v>
      </c>
      <c r="S307" t="s">
        <v>25</v>
      </c>
      <c r="T307" t="s">
        <v>28</v>
      </c>
      <c r="V307" t="s">
        <v>28</v>
      </c>
      <c r="W307" t="s">
        <v>31</v>
      </c>
      <c r="X307" t="s">
        <v>586</v>
      </c>
      <c r="Y307" t="s">
        <v>35</v>
      </c>
      <c r="Z307" t="s">
        <v>30</v>
      </c>
      <c r="AA307" t="s">
        <v>26</v>
      </c>
      <c r="AB307" t="s">
        <v>586</v>
      </c>
      <c r="AC307" t="s">
        <v>10</v>
      </c>
      <c r="AD307" t="s">
        <v>28</v>
      </c>
    </row>
    <row r="308" spans="10:30" x14ac:dyDescent="0.25">
      <c r="J308" t="s">
        <v>31</v>
      </c>
      <c r="K308" t="s">
        <v>31</v>
      </c>
      <c r="L308" t="s">
        <v>232</v>
      </c>
      <c r="M308" t="s">
        <v>585</v>
      </c>
      <c r="N308" t="s">
        <v>28</v>
      </c>
      <c r="O308" t="s">
        <v>19</v>
      </c>
      <c r="P308" t="s">
        <v>116</v>
      </c>
      <c r="Q308" t="s">
        <v>29</v>
      </c>
      <c r="R308" t="s">
        <v>587</v>
      </c>
      <c r="S308" t="s">
        <v>403</v>
      </c>
      <c r="T308" t="s">
        <v>31</v>
      </c>
      <c r="V308" t="s">
        <v>116</v>
      </c>
      <c r="W308" t="s">
        <v>586</v>
      </c>
      <c r="X308" t="s">
        <v>31</v>
      </c>
      <c r="Y308" t="s">
        <v>25</v>
      </c>
      <c r="Z308" t="s">
        <v>29</v>
      </c>
      <c r="AA308" t="s">
        <v>9</v>
      </c>
      <c r="AB308" t="s">
        <v>587</v>
      </c>
      <c r="AC308" t="s">
        <v>28</v>
      </c>
      <c r="AD308" t="s">
        <v>31</v>
      </c>
    </row>
    <row r="309" spans="10:30" x14ac:dyDescent="0.25">
      <c r="J309" t="s">
        <v>87</v>
      </c>
      <c r="K309" t="s">
        <v>28</v>
      </c>
      <c r="L309" t="s">
        <v>87</v>
      </c>
      <c r="M309" t="s">
        <v>25</v>
      </c>
      <c r="N309" t="s">
        <v>25</v>
      </c>
      <c r="O309" t="s">
        <v>28</v>
      </c>
      <c r="P309" t="s">
        <v>31</v>
      </c>
      <c r="Q309" t="s">
        <v>587</v>
      </c>
      <c r="R309" t="s">
        <v>29</v>
      </c>
      <c r="S309" t="s">
        <v>586</v>
      </c>
      <c r="T309" t="s">
        <v>588</v>
      </c>
      <c r="V309" t="s">
        <v>8</v>
      </c>
      <c r="W309" t="s">
        <v>25</v>
      </c>
      <c r="X309" t="s">
        <v>116</v>
      </c>
      <c r="Y309" t="s">
        <v>586</v>
      </c>
      <c r="Z309" t="s">
        <v>26</v>
      </c>
      <c r="AA309" t="s">
        <v>30</v>
      </c>
      <c r="AB309" t="s">
        <v>10</v>
      </c>
      <c r="AC309" t="s">
        <v>591</v>
      </c>
      <c r="AD309" t="s">
        <v>12</v>
      </c>
    </row>
    <row r="310" spans="10:30" x14ac:dyDescent="0.25">
      <c r="J310" t="s">
        <v>128</v>
      </c>
      <c r="K310" t="s">
        <v>87</v>
      </c>
      <c r="L310" t="s">
        <v>25</v>
      </c>
      <c r="M310" t="s">
        <v>35</v>
      </c>
      <c r="N310" t="s">
        <v>571</v>
      </c>
      <c r="O310" t="s">
        <v>586</v>
      </c>
      <c r="P310" t="s">
        <v>25</v>
      </c>
      <c r="Q310" t="s">
        <v>574</v>
      </c>
      <c r="R310" t="s">
        <v>104</v>
      </c>
      <c r="S310" t="s">
        <v>31</v>
      </c>
      <c r="T310" t="s">
        <v>403</v>
      </c>
      <c r="V310" t="s">
        <v>586</v>
      </c>
      <c r="W310" t="s">
        <v>28</v>
      </c>
      <c r="X310" t="s">
        <v>28</v>
      </c>
      <c r="Y310" t="s">
        <v>28</v>
      </c>
      <c r="Z310" t="s">
        <v>104</v>
      </c>
      <c r="AA310" t="s">
        <v>116</v>
      </c>
      <c r="AB310" t="s">
        <v>588</v>
      </c>
      <c r="AC310" t="s">
        <v>31</v>
      </c>
      <c r="AD310" t="s">
        <v>591</v>
      </c>
    </row>
    <row r="312" spans="10:30" x14ac:dyDescent="0.25">
      <c r="J312" s="1">
        <v>46116</v>
      </c>
      <c r="K312" s="1">
        <v>46116</v>
      </c>
      <c r="L312" s="1">
        <v>46121</v>
      </c>
      <c r="M312" s="1">
        <v>46121</v>
      </c>
      <c r="N312" s="1">
        <v>46121</v>
      </c>
      <c r="O312" s="1">
        <v>46121</v>
      </c>
      <c r="P312" s="1">
        <v>46122</v>
      </c>
      <c r="Q312" s="1">
        <v>46122</v>
      </c>
      <c r="S312" s="1">
        <v>46123</v>
      </c>
      <c r="T312" s="1">
        <v>46123</v>
      </c>
      <c r="U312" s="1">
        <v>46123</v>
      </c>
      <c r="V312" s="1">
        <v>46123</v>
      </c>
      <c r="W312" s="1">
        <v>46123</v>
      </c>
      <c r="X312" s="1">
        <v>46123</v>
      </c>
      <c r="Y312" s="1">
        <v>46123</v>
      </c>
      <c r="Z312" s="1">
        <v>46123</v>
      </c>
      <c r="AA312" s="1">
        <v>46123</v>
      </c>
    </row>
    <row r="313" spans="10:30" x14ac:dyDescent="0.25">
      <c r="J313" t="s">
        <v>12</v>
      </c>
      <c r="K313" t="s">
        <v>122</v>
      </c>
      <c r="L313" t="s">
        <v>128</v>
      </c>
      <c r="M313" t="s">
        <v>122</v>
      </c>
      <c r="N313" t="s">
        <v>29</v>
      </c>
      <c r="O313" t="s">
        <v>232</v>
      </c>
      <c r="P313" t="s">
        <v>28</v>
      </c>
      <c r="Q313" t="s">
        <v>585</v>
      </c>
      <c r="S313" t="s">
        <v>31</v>
      </c>
      <c r="T313" t="s">
        <v>31</v>
      </c>
      <c r="U313" t="s">
        <v>63</v>
      </c>
      <c r="V313" t="s">
        <v>585</v>
      </c>
      <c r="W313" t="s">
        <v>81</v>
      </c>
      <c r="X313" t="s">
        <v>16</v>
      </c>
      <c r="Y313" t="s">
        <v>574</v>
      </c>
      <c r="Z313" t="s">
        <v>232</v>
      </c>
      <c r="AA313" t="s">
        <v>232</v>
      </c>
    </row>
    <row r="314" spans="10:30" x14ac:dyDescent="0.25">
      <c r="J314" t="s">
        <v>35</v>
      </c>
      <c r="K314" t="s">
        <v>553</v>
      </c>
      <c r="L314" t="s">
        <v>116</v>
      </c>
      <c r="M314" t="s">
        <v>116</v>
      </c>
      <c r="N314" t="s">
        <v>116</v>
      </c>
      <c r="O314" t="s">
        <v>58</v>
      </c>
      <c r="P314" t="s">
        <v>232</v>
      </c>
      <c r="Q314" t="s">
        <v>21</v>
      </c>
      <c r="S314" t="s">
        <v>232</v>
      </c>
      <c r="T314" t="s">
        <v>9</v>
      </c>
      <c r="U314" t="s">
        <v>9</v>
      </c>
      <c r="V314" t="s">
        <v>16</v>
      </c>
      <c r="W314" t="s">
        <v>104</v>
      </c>
      <c r="X314" t="s">
        <v>12</v>
      </c>
      <c r="Y314" t="s">
        <v>81</v>
      </c>
      <c r="Z314" t="s">
        <v>593</v>
      </c>
      <c r="AA314" t="s">
        <v>553</v>
      </c>
    </row>
    <row r="315" spans="10:30" x14ac:dyDescent="0.25">
      <c r="J315" t="s">
        <v>16</v>
      </c>
      <c r="K315" t="s">
        <v>28</v>
      </c>
      <c r="L315" t="s">
        <v>586</v>
      </c>
      <c r="M315" t="s">
        <v>28</v>
      </c>
      <c r="N315" t="s">
        <v>587</v>
      </c>
      <c r="O315" t="s">
        <v>9</v>
      </c>
      <c r="P315" t="s">
        <v>1</v>
      </c>
      <c r="Q315" t="s">
        <v>1</v>
      </c>
      <c r="S315" t="s">
        <v>9</v>
      </c>
      <c r="T315" t="s">
        <v>28</v>
      </c>
      <c r="U315" t="s">
        <v>49</v>
      </c>
      <c r="V315" t="s">
        <v>17</v>
      </c>
      <c r="W315" t="s">
        <v>26</v>
      </c>
      <c r="X315" t="s">
        <v>104</v>
      </c>
      <c r="Y315" t="s">
        <v>585</v>
      </c>
      <c r="Z315" t="s">
        <v>31</v>
      </c>
      <c r="AA315" t="s">
        <v>17</v>
      </c>
    </row>
    <row r="316" spans="10:30" x14ac:dyDescent="0.25">
      <c r="J316" t="s">
        <v>122</v>
      </c>
      <c r="K316" t="s">
        <v>591</v>
      </c>
      <c r="L316" t="s">
        <v>31</v>
      </c>
      <c r="M316" t="s">
        <v>123</v>
      </c>
      <c r="N316" t="s">
        <v>26</v>
      </c>
      <c r="O316" t="s">
        <v>587</v>
      </c>
      <c r="P316" t="s">
        <v>17</v>
      </c>
      <c r="Q316" t="s">
        <v>232</v>
      </c>
      <c r="S316" t="s">
        <v>28</v>
      </c>
      <c r="T316" t="s">
        <v>1</v>
      </c>
      <c r="U316" t="s">
        <v>22</v>
      </c>
      <c r="V316" t="s">
        <v>9</v>
      </c>
      <c r="W316" t="s">
        <v>17</v>
      </c>
      <c r="X316" t="s">
        <v>81</v>
      </c>
      <c r="Y316" t="s">
        <v>17</v>
      </c>
      <c r="Z316" t="s">
        <v>17</v>
      </c>
      <c r="AA316" t="s">
        <v>593</v>
      </c>
    </row>
    <row r="317" spans="10:30" x14ac:dyDescent="0.25">
      <c r="J317" t="s">
        <v>29</v>
      </c>
      <c r="K317" t="s">
        <v>232</v>
      </c>
      <c r="L317" t="s">
        <v>591</v>
      </c>
      <c r="M317" t="s">
        <v>31</v>
      </c>
      <c r="N317" t="s">
        <v>104</v>
      </c>
      <c r="O317" t="s">
        <v>26</v>
      </c>
      <c r="P317" t="s">
        <v>585</v>
      </c>
      <c r="Q317" t="s">
        <v>33</v>
      </c>
      <c r="S317" t="s">
        <v>573</v>
      </c>
      <c r="T317" t="s">
        <v>122</v>
      </c>
      <c r="U317" t="s">
        <v>17</v>
      </c>
      <c r="V317" t="s">
        <v>113</v>
      </c>
      <c r="W317" t="s">
        <v>16</v>
      </c>
      <c r="X317" t="s">
        <v>26</v>
      </c>
      <c r="Y317" t="s">
        <v>553</v>
      </c>
      <c r="Z317" t="s">
        <v>49</v>
      </c>
      <c r="AA317" t="s">
        <v>552</v>
      </c>
    </row>
    <row r="318" spans="10:30" x14ac:dyDescent="0.25">
      <c r="J318" t="s">
        <v>591</v>
      </c>
      <c r="K318" t="s">
        <v>35</v>
      </c>
      <c r="L318" t="s">
        <v>589</v>
      </c>
      <c r="M318" t="s">
        <v>1</v>
      </c>
      <c r="N318" t="s">
        <v>49</v>
      </c>
      <c r="O318" t="s">
        <v>104</v>
      </c>
      <c r="P318" t="s">
        <v>31</v>
      </c>
      <c r="Q318" t="s">
        <v>586</v>
      </c>
      <c r="S318" t="s">
        <v>592</v>
      </c>
      <c r="T318" t="s">
        <v>232</v>
      </c>
      <c r="U318" t="s">
        <v>585</v>
      </c>
      <c r="V318" t="s">
        <v>22</v>
      </c>
      <c r="W318" t="s">
        <v>9</v>
      </c>
      <c r="X318" t="s">
        <v>17</v>
      </c>
      <c r="Y318" t="s">
        <v>104</v>
      </c>
      <c r="Z318" t="s">
        <v>586</v>
      </c>
      <c r="AA318" t="s">
        <v>28</v>
      </c>
    </row>
    <row r="319" spans="10:30" x14ac:dyDescent="0.25">
      <c r="J319" t="s">
        <v>28</v>
      </c>
      <c r="K319" t="s">
        <v>574</v>
      </c>
      <c r="L319" t="s">
        <v>28</v>
      </c>
      <c r="M319" t="s">
        <v>591</v>
      </c>
      <c r="N319" t="s">
        <v>58</v>
      </c>
      <c r="O319" t="s">
        <v>29</v>
      </c>
      <c r="P319" t="s">
        <v>33</v>
      </c>
      <c r="Q319" t="s">
        <v>31</v>
      </c>
      <c r="S319" t="s">
        <v>587</v>
      </c>
      <c r="T319" t="s">
        <v>587</v>
      </c>
      <c r="U319" t="s">
        <v>16</v>
      </c>
      <c r="V319" t="s">
        <v>30</v>
      </c>
      <c r="W319" t="s">
        <v>32</v>
      </c>
      <c r="X319" t="s">
        <v>110</v>
      </c>
      <c r="Y319" t="s">
        <v>110</v>
      </c>
      <c r="Z319" t="s">
        <v>1</v>
      </c>
      <c r="AA319" t="s">
        <v>110</v>
      </c>
    </row>
    <row r="320" spans="10:30" x14ac:dyDescent="0.25">
      <c r="J320" t="s">
        <v>232</v>
      </c>
      <c r="K320" t="s">
        <v>16</v>
      </c>
      <c r="L320" t="s">
        <v>122</v>
      </c>
      <c r="M320" t="s">
        <v>586</v>
      </c>
      <c r="N320" t="s">
        <v>30</v>
      </c>
      <c r="O320" t="s">
        <v>49</v>
      </c>
      <c r="P320" t="s">
        <v>586</v>
      </c>
      <c r="Q320" t="s">
        <v>28</v>
      </c>
      <c r="S320" t="s">
        <v>300</v>
      </c>
      <c r="T320" t="s">
        <v>586</v>
      </c>
      <c r="U320" t="s">
        <v>30</v>
      </c>
      <c r="V320" t="s">
        <v>49</v>
      </c>
      <c r="W320" t="s">
        <v>12</v>
      </c>
      <c r="X320" t="s">
        <v>32</v>
      </c>
      <c r="Y320" t="s">
        <v>26</v>
      </c>
      <c r="Z320" t="s">
        <v>28</v>
      </c>
      <c r="AA320" t="s">
        <v>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K915"/>
  <sheetViews>
    <sheetView topLeftCell="A862" workbookViewId="0">
      <selection activeCell="H886" sqref="H886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2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2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2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  <c r="Y799" s="4" t="s">
        <v>42</v>
      </c>
      <c r="Z799" s="4" t="s">
        <v>38</v>
      </c>
      <c r="AA799" s="4" t="s">
        <v>39</v>
      </c>
      <c r="AB799" s="4" t="s">
        <v>40</v>
      </c>
      <c r="AC799" s="4" t="s">
        <v>111</v>
      </c>
    </row>
    <row r="800" spans="1:39" x14ac:dyDescent="0.2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  <c r="Y800" s="60" t="s">
        <v>175</v>
      </c>
      <c r="Z800" s="60">
        <v>38</v>
      </c>
      <c r="AA800" s="60">
        <v>9</v>
      </c>
      <c r="AB800" s="60">
        <f t="shared" ref="AB800:AB838" si="88">AE800/Z800</f>
        <v>3.236842105263158</v>
      </c>
      <c r="AC800" s="60">
        <f t="shared" ref="AC800:AC838" si="89">AA800/Z800</f>
        <v>0.23684210526315788</v>
      </c>
      <c r="AD800" s="2" t="s">
        <v>44</v>
      </c>
      <c r="AE800" s="18">
        <v>123</v>
      </c>
    </row>
    <row r="801" spans="1:31" x14ac:dyDescent="0.2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  <c r="Y801" s="60" t="s">
        <v>128</v>
      </c>
      <c r="Z801" s="60">
        <v>101</v>
      </c>
      <c r="AA801" s="60">
        <v>31</v>
      </c>
      <c r="AB801" s="60">
        <f t="shared" si="88"/>
        <v>3.2574257425742572</v>
      </c>
      <c r="AC801" s="60">
        <f t="shared" si="89"/>
        <v>0.30693069306930693</v>
      </c>
      <c r="AD801" s="3" t="s">
        <v>46</v>
      </c>
      <c r="AE801" s="18">
        <v>329</v>
      </c>
    </row>
    <row r="802" spans="1:31" x14ac:dyDescent="0.2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  <c r="Y802" s="59" t="s">
        <v>35</v>
      </c>
      <c r="Z802" s="59">
        <v>148</v>
      </c>
      <c r="AA802" s="59">
        <v>38</v>
      </c>
      <c r="AB802" s="59">
        <f t="shared" si="88"/>
        <v>3.5405405405405403</v>
      </c>
      <c r="AC802" s="59">
        <f t="shared" si="89"/>
        <v>0.25675675675675674</v>
      </c>
      <c r="AE802" s="18">
        <v>524</v>
      </c>
    </row>
    <row r="803" spans="1:31" x14ac:dyDescent="0.2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  <c r="Y803" s="59" t="s">
        <v>147</v>
      </c>
      <c r="Z803" s="59">
        <v>110</v>
      </c>
      <c r="AA803" s="59">
        <v>21</v>
      </c>
      <c r="AB803" s="59">
        <f t="shared" si="88"/>
        <v>3.6909090909090909</v>
      </c>
      <c r="AC803" s="59">
        <f t="shared" si="89"/>
        <v>0.19090909090909092</v>
      </c>
      <c r="AD803" s="3" t="s">
        <v>46</v>
      </c>
      <c r="AE803" s="18">
        <v>406</v>
      </c>
    </row>
    <row r="804" spans="1:31" x14ac:dyDescent="0.2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  <c r="Y804" s="59" t="s">
        <v>148</v>
      </c>
      <c r="Z804" s="59">
        <v>41</v>
      </c>
      <c r="AA804" s="59">
        <v>8</v>
      </c>
      <c r="AB804" s="59">
        <f t="shared" si="88"/>
        <v>3.7560975609756095</v>
      </c>
      <c r="AC804" s="59">
        <f t="shared" si="89"/>
        <v>0.1951219512195122</v>
      </c>
      <c r="AE804" s="18">
        <v>154</v>
      </c>
    </row>
    <row r="805" spans="1:31" x14ac:dyDescent="0.2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  <c r="Y805" s="59" t="s">
        <v>10</v>
      </c>
      <c r="Z805" s="59">
        <v>66</v>
      </c>
      <c r="AA805" s="59">
        <v>13</v>
      </c>
      <c r="AB805" s="59">
        <f t="shared" si="88"/>
        <v>3.8787878787878789</v>
      </c>
      <c r="AC805" s="59">
        <f t="shared" si="89"/>
        <v>0.19696969696969696</v>
      </c>
      <c r="AE805" s="18">
        <v>256</v>
      </c>
    </row>
    <row r="806" spans="1:31" x14ac:dyDescent="0.2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  <c r="Y806" s="59" t="s">
        <v>29</v>
      </c>
      <c r="Z806" s="59">
        <v>110</v>
      </c>
      <c r="AA806" s="59">
        <v>16</v>
      </c>
      <c r="AB806" s="59">
        <f t="shared" si="88"/>
        <v>3.9090909090909092</v>
      </c>
      <c r="AC806" s="59">
        <f t="shared" si="89"/>
        <v>0.14545454545454545</v>
      </c>
      <c r="AD806" s="3" t="s">
        <v>45</v>
      </c>
      <c r="AE806" s="18">
        <v>430</v>
      </c>
    </row>
    <row r="807" spans="1:31" x14ac:dyDescent="0.2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  <c r="Y807" s="59" t="s">
        <v>121</v>
      </c>
      <c r="Z807" s="59">
        <v>84</v>
      </c>
      <c r="AA807" s="59">
        <v>19</v>
      </c>
      <c r="AB807" s="59">
        <f t="shared" si="88"/>
        <v>3.9166666666666665</v>
      </c>
      <c r="AC807" s="59">
        <f t="shared" si="89"/>
        <v>0.22619047619047619</v>
      </c>
      <c r="AE807" s="18">
        <v>329</v>
      </c>
    </row>
    <row r="808" spans="1:31" x14ac:dyDescent="0.2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  <c r="Y808" s="59" t="s">
        <v>232</v>
      </c>
      <c r="Z808" s="59">
        <v>94</v>
      </c>
      <c r="AA808" s="59">
        <v>18</v>
      </c>
      <c r="AB808" s="59">
        <f t="shared" si="88"/>
        <v>3.9361702127659575</v>
      </c>
      <c r="AC808" s="59">
        <f t="shared" si="89"/>
        <v>0.19148936170212766</v>
      </c>
      <c r="AD808" s="3" t="s">
        <v>45</v>
      </c>
      <c r="AE808" s="18">
        <v>370</v>
      </c>
    </row>
    <row r="809" spans="1:31" x14ac:dyDescent="0.2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  <c r="Y809" s="41" t="s">
        <v>22</v>
      </c>
      <c r="Z809" s="41">
        <v>182</v>
      </c>
      <c r="AA809" s="41">
        <v>30</v>
      </c>
      <c r="AB809" s="41">
        <f t="shared" si="88"/>
        <v>4.104395604395604</v>
      </c>
      <c r="AC809" s="41">
        <f t="shared" si="89"/>
        <v>0.16483516483516483</v>
      </c>
      <c r="AD809" s="2" t="s">
        <v>59</v>
      </c>
      <c r="AE809" s="18">
        <v>747</v>
      </c>
    </row>
    <row r="810" spans="1:31" x14ac:dyDescent="0.2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  <c r="Y810" s="41" t="s">
        <v>0</v>
      </c>
      <c r="Z810" s="41">
        <v>84</v>
      </c>
      <c r="AA810" s="41">
        <v>14</v>
      </c>
      <c r="AB810" s="41">
        <f t="shared" si="88"/>
        <v>4.1547619047619051</v>
      </c>
      <c r="AC810" s="41">
        <f t="shared" si="89"/>
        <v>0.16666666666666666</v>
      </c>
      <c r="AD810" s="3" t="s">
        <v>46</v>
      </c>
      <c r="AE810" s="18">
        <v>349</v>
      </c>
    </row>
    <row r="811" spans="1:31" x14ac:dyDescent="0.2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  <c r="Y811" s="41" t="s">
        <v>3</v>
      </c>
      <c r="Z811" s="41">
        <v>43</v>
      </c>
      <c r="AA811" s="41">
        <v>6</v>
      </c>
      <c r="AB811" s="41">
        <f t="shared" si="88"/>
        <v>4.1627906976744189</v>
      </c>
      <c r="AC811" s="41">
        <f t="shared" si="89"/>
        <v>0.13953488372093023</v>
      </c>
      <c r="AD811" s="3" t="s">
        <v>555</v>
      </c>
      <c r="AE811" s="18">
        <v>179</v>
      </c>
    </row>
    <row r="812" spans="1:31" x14ac:dyDescent="0.2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  <c r="Y812" s="41" t="s">
        <v>122</v>
      </c>
      <c r="Z812" s="41">
        <v>96</v>
      </c>
      <c r="AA812" s="41">
        <v>9</v>
      </c>
      <c r="AB812" s="41">
        <f t="shared" si="88"/>
        <v>4.270833333333333</v>
      </c>
      <c r="AC812" s="41">
        <f t="shared" si="89"/>
        <v>9.375E-2</v>
      </c>
      <c r="AD812" s="3" t="s">
        <v>54</v>
      </c>
      <c r="AE812" s="18">
        <v>410</v>
      </c>
    </row>
    <row r="813" spans="1:31" x14ac:dyDescent="0.2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  <c r="Y813" s="41" t="s">
        <v>104</v>
      </c>
      <c r="Z813" s="41">
        <v>95</v>
      </c>
      <c r="AA813" s="41">
        <v>6</v>
      </c>
      <c r="AB813" s="41">
        <f t="shared" si="88"/>
        <v>4.2842105263157899</v>
      </c>
      <c r="AC813" s="41">
        <f t="shared" si="89"/>
        <v>6.3157894736842107E-2</v>
      </c>
      <c r="AD813" s="3" t="s">
        <v>45</v>
      </c>
      <c r="AE813" s="18">
        <v>407</v>
      </c>
    </row>
    <row r="814" spans="1:31" x14ac:dyDescent="0.2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  <c r="Y814" s="41" t="s">
        <v>21</v>
      </c>
      <c r="Z814" s="41">
        <v>145</v>
      </c>
      <c r="AA814" s="41">
        <v>22</v>
      </c>
      <c r="AB814" s="41">
        <f t="shared" si="88"/>
        <v>4.3724137931034486</v>
      </c>
      <c r="AC814" s="41">
        <f t="shared" si="89"/>
        <v>0.15172413793103448</v>
      </c>
      <c r="AD814" s="3" t="s">
        <v>558</v>
      </c>
      <c r="AE814" s="18">
        <v>634</v>
      </c>
    </row>
    <row r="815" spans="1:31" x14ac:dyDescent="0.2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  <c r="Y815" s="41" t="s">
        <v>115</v>
      </c>
      <c r="Z815" s="41">
        <v>39</v>
      </c>
      <c r="AA815" s="41">
        <v>3</v>
      </c>
      <c r="AB815" s="41">
        <f t="shared" si="88"/>
        <v>4.384615384615385</v>
      </c>
      <c r="AC815" s="41">
        <f t="shared" si="89"/>
        <v>7.6923076923076927E-2</v>
      </c>
      <c r="AD815" s="3" t="s">
        <v>54</v>
      </c>
      <c r="AE815" s="18">
        <v>171</v>
      </c>
    </row>
    <row r="816" spans="1:31" x14ac:dyDescent="0.2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  <c r="Y816" s="32" t="s">
        <v>27</v>
      </c>
      <c r="Z816" s="32">
        <v>36</v>
      </c>
      <c r="AA816" s="32">
        <v>3</v>
      </c>
      <c r="AB816" s="32">
        <f t="shared" si="88"/>
        <v>4.4444444444444446</v>
      </c>
      <c r="AC816" s="32">
        <f t="shared" si="89"/>
        <v>8.3333333333333329E-2</v>
      </c>
      <c r="AD816" s="3" t="s">
        <v>45</v>
      </c>
      <c r="AE816" s="18">
        <v>160</v>
      </c>
    </row>
    <row r="817" spans="1:31" x14ac:dyDescent="0.2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  <c r="Y817" s="32" t="s">
        <v>129</v>
      </c>
      <c r="Z817" s="32">
        <v>40</v>
      </c>
      <c r="AA817" s="32">
        <v>7</v>
      </c>
      <c r="AB817" s="32">
        <f t="shared" si="88"/>
        <v>4.45</v>
      </c>
      <c r="AC817" s="32">
        <f t="shared" si="89"/>
        <v>0.17499999999999999</v>
      </c>
      <c r="AD817" s="3" t="s">
        <v>45</v>
      </c>
      <c r="AE817">
        <v>178</v>
      </c>
    </row>
    <row r="818" spans="1:31" x14ac:dyDescent="0.2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  <c r="Y818" s="32" t="s">
        <v>8</v>
      </c>
      <c r="Z818" s="32">
        <v>46</v>
      </c>
      <c r="AA818" s="32">
        <v>5</v>
      </c>
      <c r="AB818" s="32">
        <f t="shared" si="88"/>
        <v>4.4782608695652177</v>
      </c>
      <c r="AC818" s="32">
        <f t="shared" si="89"/>
        <v>0.10869565217391304</v>
      </c>
      <c r="AD818" s="3" t="s">
        <v>45</v>
      </c>
      <c r="AE818" s="18">
        <v>206</v>
      </c>
    </row>
    <row r="819" spans="1:31" x14ac:dyDescent="0.2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  <c r="Y819" s="32" t="s">
        <v>15</v>
      </c>
      <c r="Z819" s="32">
        <v>226</v>
      </c>
      <c r="AA819" s="32">
        <v>35</v>
      </c>
      <c r="AB819" s="32">
        <f t="shared" si="88"/>
        <v>4.5309734513274336</v>
      </c>
      <c r="AC819" s="32">
        <f t="shared" si="89"/>
        <v>0.15486725663716813</v>
      </c>
      <c r="AD819" s="3" t="s">
        <v>54</v>
      </c>
      <c r="AE819" s="18">
        <v>1024</v>
      </c>
    </row>
    <row r="820" spans="1:31" x14ac:dyDescent="0.2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  <c r="Y820" s="32" t="s">
        <v>24</v>
      </c>
      <c r="Z820" s="32">
        <v>98</v>
      </c>
      <c r="AA820" s="32">
        <v>11</v>
      </c>
      <c r="AB820" s="32">
        <f t="shared" si="88"/>
        <v>4.5510204081632653</v>
      </c>
      <c r="AC820" s="32">
        <f t="shared" si="89"/>
        <v>0.11224489795918367</v>
      </c>
      <c r="AD820" s="3" t="s">
        <v>54</v>
      </c>
      <c r="AE820" s="18">
        <v>446</v>
      </c>
    </row>
    <row r="821" spans="1:31" x14ac:dyDescent="0.2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  <c r="Y821" s="32" t="s">
        <v>1</v>
      </c>
      <c r="Z821" s="32">
        <v>97</v>
      </c>
      <c r="AA821" s="32">
        <v>5</v>
      </c>
      <c r="AB821" s="32">
        <f t="shared" si="88"/>
        <v>4.5773195876288657</v>
      </c>
      <c r="AC821" s="32">
        <f t="shared" si="89"/>
        <v>5.1546391752577317E-2</v>
      </c>
      <c r="AD821" s="3" t="s">
        <v>54</v>
      </c>
      <c r="AE821" s="18">
        <v>444</v>
      </c>
    </row>
    <row r="822" spans="1:31" x14ac:dyDescent="0.2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  <c r="Y822" s="32" t="s">
        <v>123</v>
      </c>
      <c r="Z822" s="32">
        <v>32</v>
      </c>
      <c r="AA822" s="32">
        <v>4</v>
      </c>
      <c r="AB822" s="32">
        <f t="shared" si="88"/>
        <v>4.59375</v>
      </c>
      <c r="AC822" s="32">
        <f t="shared" si="89"/>
        <v>0.125</v>
      </c>
      <c r="AD822" s="3" t="s">
        <v>45</v>
      </c>
      <c r="AE822" s="18">
        <v>147</v>
      </c>
    </row>
    <row r="823" spans="1:31" x14ac:dyDescent="0.2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  <c r="Y823" s="32" t="s">
        <v>79</v>
      </c>
      <c r="Z823" s="32">
        <v>54</v>
      </c>
      <c r="AA823" s="32">
        <v>6</v>
      </c>
      <c r="AB823" s="32">
        <f t="shared" si="88"/>
        <v>4.6296296296296298</v>
      </c>
      <c r="AC823" s="32">
        <f t="shared" si="89"/>
        <v>0.1111111111111111</v>
      </c>
      <c r="AD823" s="3" t="s">
        <v>555</v>
      </c>
      <c r="AE823" s="18">
        <v>250</v>
      </c>
    </row>
    <row r="824" spans="1:31" x14ac:dyDescent="0.2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  <c r="Y824" s="32" t="s">
        <v>61</v>
      </c>
      <c r="Z824" s="32">
        <v>34</v>
      </c>
      <c r="AA824" s="32">
        <v>7</v>
      </c>
      <c r="AB824" s="32">
        <f t="shared" si="88"/>
        <v>4.6764705882352944</v>
      </c>
      <c r="AC824" s="32">
        <f t="shared" si="89"/>
        <v>0.20588235294117646</v>
      </c>
      <c r="AD824" s="3" t="s">
        <v>55</v>
      </c>
      <c r="AE824" s="18">
        <v>159</v>
      </c>
    </row>
    <row r="825" spans="1:31" x14ac:dyDescent="0.2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  <c r="Y825" s="32" t="s">
        <v>14</v>
      </c>
      <c r="Z825" s="32">
        <v>45</v>
      </c>
      <c r="AA825" s="32">
        <v>3</v>
      </c>
      <c r="AB825" s="32">
        <f t="shared" si="88"/>
        <v>4.7111111111111112</v>
      </c>
      <c r="AC825" s="32">
        <f t="shared" si="89"/>
        <v>6.6666666666666666E-2</v>
      </c>
      <c r="AD825" s="3" t="s">
        <v>555</v>
      </c>
      <c r="AE825">
        <v>212</v>
      </c>
    </row>
    <row r="826" spans="1:31" x14ac:dyDescent="0.2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  <c r="Y826" s="32" t="s">
        <v>13</v>
      </c>
      <c r="Z826" s="32">
        <v>36</v>
      </c>
      <c r="AA826" s="32">
        <v>2</v>
      </c>
      <c r="AB826" s="32">
        <f t="shared" si="88"/>
        <v>4.7222222222222223</v>
      </c>
      <c r="AC826" s="32">
        <f t="shared" si="89"/>
        <v>5.5555555555555552E-2</v>
      </c>
      <c r="AD826" s="3" t="s">
        <v>494</v>
      </c>
      <c r="AE826" s="18">
        <v>170</v>
      </c>
    </row>
    <row r="827" spans="1:31" x14ac:dyDescent="0.2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  <c r="Y827" s="38" t="s">
        <v>87</v>
      </c>
      <c r="Z827" s="38">
        <v>102</v>
      </c>
      <c r="AA827" s="38">
        <v>14</v>
      </c>
      <c r="AB827" s="38">
        <f t="shared" si="88"/>
        <v>4.8529411764705879</v>
      </c>
      <c r="AC827" s="38">
        <f t="shared" si="89"/>
        <v>0.13725490196078433</v>
      </c>
      <c r="AD827" s="3" t="s">
        <v>555</v>
      </c>
      <c r="AE827" s="18">
        <v>495</v>
      </c>
    </row>
    <row r="828" spans="1:31" x14ac:dyDescent="0.2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  <c r="Y828" s="38" t="s">
        <v>51</v>
      </c>
      <c r="Z828" s="38">
        <v>37</v>
      </c>
      <c r="AA828" s="38">
        <v>3</v>
      </c>
      <c r="AB828" s="38">
        <f t="shared" si="88"/>
        <v>4.9189189189189193</v>
      </c>
      <c r="AC828" s="38">
        <f t="shared" si="89"/>
        <v>8.1081081081081086E-2</v>
      </c>
      <c r="AD828" s="3" t="s">
        <v>45</v>
      </c>
      <c r="AE828" s="18">
        <v>182</v>
      </c>
    </row>
    <row r="829" spans="1:31" x14ac:dyDescent="0.2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  <c r="Y829" s="38" t="s">
        <v>25</v>
      </c>
      <c r="Z829" s="38">
        <v>142</v>
      </c>
      <c r="AA829" s="38">
        <v>12</v>
      </c>
      <c r="AB829" s="38">
        <f t="shared" si="88"/>
        <v>5.0140845070422539</v>
      </c>
      <c r="AC829" s="38">
        <f t="shared" si="89"/>
        <v>8.4507042253521125E-2</v>
      </c>
      <c r="AD829" s="3" t="s">
        <v>282</v>
      </c>
      <c r="AE829" s="18">
        <v>712</v>
      </c>
    </row>
    <row r="830" spans="1:31" x14ac:dyDescent="0.25">
      <c r="A830" s="32" t="s">
        <v>24</v>
      </c>
      <c r="B830" s="32">
        <v>89</v>
      </c>
      <c r="C830" s="32">
        <v>10</v>
      </c>
      <c r="D830" s="32">
        <f t="shared" ref="D830:D862" si="90">G830/B830</f>
        <v>4.5505617977528088</v>
      </c>
      <c r="E830" s="32">
        <f t="shared" ref="E830:E862" si="91">C830/B830</f>
        <v>0.11235955056179775</v>
      </c>
      <c r="G830" s="18">
        <v>405</v>
      </c>
      <c r="I830">
        <f t="shared" ref="I830:I862" si="92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3">N830/K830</f>
        <v>4.5505617977528088</v>
      </c>
      <c r="N830" s="18">
        <v>405</v>
      </c>
      <c r="O830" s="18">
        <f t="shared" ref="O830:O862" si="94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5">W830/R830</f>
        <v>4.5421686746987948</v>
      </c>
      <c r="U830" s="32">
        <f t="shared" ref="U830:U857" si="96">S830/R830</f>
        <v>4.8192771084337352E-2</v>
      </c>
      <c r="V830" s="3" t="s">
        <v>46</v>
      </c>
      <c r="W830" s="18">
        <v>377</v>
      </c>
      <c r="Y830" s="38" t="s">
        <v>81</v>
      </c>
      <c r="Z830" s="38">
        <v>63</v>
      </c>
      <c r="AA830" s="38">
        <v>4</v>
      </c>
      <c r="AB830" s="38">
        <f t="shared" si="88"/>
        <v>5.0634920634920633</v>
      </c>
      <c r="AC830" s="38">
        <f t="shared" si="89"/>
        <v>6.3492063492063489E-2</v>
      </c>
      <c r="AD830" s="3" t="s">
        <v>564</v>
      </c>
      <c r="AE830" s="18">
        <v>319</v>
      </c>
    </row>
    <row r="831" spans="1:31" x14ac:dyDescent="0.25">
      <c r="A831" s="32" t="s">
        <v>5</v>
      </c>
      <c r="B831" s="32">
        <v>23</v>
      </c>
      <c r="C831" s="32">
        <v>1</v>
      </c>
      <c r="D831" s="32">
        <f t="shared" si="90"/>
        <v>4.6086956521739131</v>
      </c>
      <c r="E831" s="32">
        <f t="shared" si="91"/>
        <v>4.3478260869565216E-2</v>
      </c>
      <c r="G831" s="18">
        <v>106</v>
      </c>
      <c r="I831">
        <f t="shared" si="92"/>
        <v>830</v>
      </c>
      <c r="J831" s="18" t="s">
        <v>5</v>
      </c>
      <c r="K831" s="18">
        <v>23</v>
      </c>
      <c r="L831" s="18">
        <v>1</v>
      </c>
      <c r="M831" s="18">
        <f t="shared" si="93"/>
        <v>4.6086956521739131</v>
      </c>
      <c r="N831" s="18">
        <v>106</v>
      </c>
      <c r="O831" s="18">
        <f t="shared" si="94"/>
        <v>4.3478260869565216E-2</v>
      </c>
      <c r="Q831" s="32" t="s">
        <v>428</v>
      </c>
      <c r="R831" s="32">
        <v>21</v>
      </c>
      <c r="S831" s="32">
        <v>0</v>
      </c>
      <c r="T831" s="32">
        <f t="shared" si="95"/>
        <v>4.6190476190476186</v>
      </c>
      <c r="U831" s="32">
        <f t="shared" si="96"/>
        <v>0</v>
      </c>
      <c r="W831">
        <v>97</v>
      </c>
      <c r="Y831" s="38" t="s">
        <v>26</v>
      </c>
      <c r="Z831" s="38">
        <v>60</v>
      </c>
      <c r="AA831" s="38">
        <v>5</v>
      </c>
      <c r="AB831" s="38">
        <f t="shared" si="88"/>
        <v>5.083333333333333</v>
      </c>
      <c r="AC831" s="38">
        <f t="shared" si="89"/>
        <v>8.3333333333333329E-2</v>
      </c>
      <c r="AD831" s="2" t="s">
        <v>370</v>
      </c>
      <c r="AE831" s="18">
        <v>305</v>
      </c>
    </row>
    <row r="832" spans="1:31" x14ac:dyDescent="0.25">
      <c r="A832" s="32" t="s">
        <v>428</v>
      </c>
      <c r="B832" s="32">
        <v>21</v>
      </c>
      <c r="C832" s="32">
        <v>0</v>
      </c>
      <c r="D832" s="32">
        <f t="shared" si="90"/>
        <v>4.6190476190476186</v>
      </c>
      <c r="E832" s="32">
        <f t="shared" si="91"/>
        <v>0</v>
      </c>
      <c r="G832">
        <v>97</v>
      </c>
      <c r="I832">
        <f t="shared" si="92"/>
        <v>831</v>
      </c>
      <c r="J832" t="s">
        <v>428</v>
      </c>
      <c r="K832">
        <v>21</v>
      </c>
      <c r="L832">
        <v>0</v>
      </c>
      <c r="M832">
        <f t="shared" si="93"/>
        <v>4.6190476190476186</v>
      </c>
      <c r="N832">
        <v>97</v>
      </c>
      <c r="O832">
        <f t="shared" si="94"/>
        <v>0</v>
      </c>
      <c r="Q832" s="32" t="s">
        <v>14</v>
      </c>
      <c r="R832" s="32">
        <v>45</v>
      </c>
      <c r="S832" s="32">
        <v>3</v>
      </c>
      <c r="T832" s="32">
        <f t="shared" si="95"/>
        <v>4.7111111111111112</v>
      </c>
      <c r="U832" s="32">
        <f t="shared" si="96"/>
        <v>6.6666666666666666E-2</v>
      </c>
      <c r="W832">
        <v>212</v>
      </c>
      <c r="Y832" s="38" t="s">
        <v>30</v>
      </c>
      <c r="Z832" s="38">
        <v>50</v>
      </c>
      <c r="AA832" s="38">
        <v>3</v>
      </c>
      <c r="AB832" s="38">
        <f t="shared" si="88"/>
        <v>5.0999999999999996</v>
      </c>
      <c r="AC832" s="38">
        <f t="shared" si="89"/>
        <v>0.06</v>
      </c>
      <c r="AD832" s="3" t="s">
        <v>494</v>
      </c>
      <c r="AE832" s="18">
        <v>255</v>
      </c>
    </row>
    <row r="833" spans="1:31" x14ac:dyDescent="0.25">
      <c r="A833" s="32" t="s">
        <v>1</v>
      </c>
      <c r="B833" s="32">
        <v>90</v>
      </c>
      <c r="C833" s="32">
        <v>4</v>
      </c>
      <c r="D833" s="32">
        <f t="shared" si="90"/>
        <v>4.6222222222222218</v>
      </c>
      <c r="E833" s="32">
        <f t="shared" si="91"/>
        <v>4.4444444444444446E-2</v>
      </c>
      <c r="G833" s="18">
        <v>416</v>
      </c>
      <c r="I833">
        <f t="shared" si="92"/>
        <v>832</v>
      </c>
      <c r="J833" s="18" t="s">
        <v>79</v>
      </c>
      <c r="K833" s="18">
        <v>54</v>
      </c>
      <c r="L833" s="18">
        <v>6</v>
      </c>
      <c r="M833" s="18">
        <f t="shared" si="93"/>
        <v>4.6296296296296298</v>
      </c>
      <c r="N833" s="18">
        <v>250</v>
      </c>
      <c r="O833" s="18">
        <f t="shared" si="94"/>
        <v>0.1111111111111111</v>
      </c>
      <c r="Q833" s="32" t="s">
        <v>61</v>
      </c>
      <c r="R833" s="32">
        <v>25</v>
      </c>
      <c r="S833" s="32">
        <v>6</v>
      </c>
      <c r="T833" s="32">
        <f t="shared" si="95"/>
        <v>4.72</v>
      </c>
      <c r="U833" s="32">
        <f t="shared" si="96"/>
        <v>0.24</v>
      </c>
      <c r="V833" s="3" t="s">
        <v>54</v>
      </c>
      <c r="W833" s="18">
        <v>118</v>
      </c>
      <c r="Y833" s="38" t="s">
        <v>49</v>
      </c>
      <c r="Z833" s="38">
        <v>106</v>
      </c>
      <c r="AA833" s="38">
        <v>7</v>
      </c>
      <c r="AB833" s="38">
        <f t="shared" si="88"/>
        <v>5.1415094339622645</v>
      </c>
      <c r="AC833" s="38">
        <f t="shared" si="89"/>
        <v>6.6037735849056603E-2</v>
      </c>
      <c r="AE833" s="18">
        <v>545</v>
      </c>
    </row>
    <row r="834" spans="1:31" x14ac:dyDescent="0.25">
      <c r="A834" s="32" t="s">
        <v>79</v>
      </c>
      <c r="B834" s="32">
        <v>54</v>
      </c>
      <c r="C834" s="32">
        <v>6</v>
      </c>
      <c r="D834" s="32">
        <f t="shared" si="90"/>
        <v>4.6296296296296298</v>
      </c>
      <c r="E834" s="32">
        <f t="shared" si="91"/>
        <v>0.1111111111111111</v>
      </c>
      <c r="G834" s="18">
        <v>250</v>
      </c>
      <c r="I834">
        <f t="shared" si="92"/>
        <v>833</v>
      </c>
      <c r="J834" s="18" t="s">
        <v>1</v>
      </c>
      <c r="K834" s="18">
        <v>92</v>
      </c>
      <c r="L834" s="18">
        <v>4</v>
      </c>
      <c r="M834" s="18">
        <f t="shared" si="93"/>
        <v>4.6739130434782608</v>
      </c>
      <c r="N834" s="18">
        <v>430</v>
      </c>
      <c r="O834" s="18">
        <f t="shared" si="94"/>
        <v>4.3478260869565216E-2</v>
      </c>
      <c r="Q834" s="32" t="s">
        <v>13</v>
      </c>
      <c r="R834" s="32">
        <v>36</v>
      </c>
      <c r="S834" s="32">
        <v>2</v>
      </c>
      <c r="T834" s="32">
        <f t="shared" si="95"/>
        <v>4.7222222222222223</v>
      </c>
      <c r="U834" s="32">
        <f t="shared" si="96"/>
        <v>5.5555555555555552E-2</v>
      </c>
      <c r="V834" s="3" t="s">
        <v>46</v>
      </c>
      <c r="W834" s="18">
        <v>170</v>
      </c>
      <c r="Y834" s="67" t="s">
        <v>31</v>
      </c>
      <c r="Z834" s="67">
        <v>175</v>
      </c>
      <c r="AA834" s="67">
        <v>12</v>
      </c>
      <c r="AB834" s="67">
        <f t="shared" si="88"/>
        <v>5.32</v>
      </c>
      <c r="AC834" s="67">
        <f t="shared" si="89"/>
        <v>6.8571428571428575E-2</v>
      </c>
      <c r="AD834" s="3" t="s">
        <v>566</v>
      </c>
      <c r="AE834" s="18">
        <v>931</v>
      </c>
    </row>
    <row r="835" spans="1:31" x14ac:dyDescent="0.25">
      <c r="A835" s="32" t="s">
        <v>14</v>
      </c>
      <c r="B835" s="32">
        <v>45</v>
      </c>
      <c r="C835" s="32">
        <v>3</v>
      </c>
      <c r="D835" s="32">
        <f t="shared" si="90"/>
        <v>4.7111111111111112</v>
      </c>
      <c r="E835" s="32">
        <f t="shared" si="91"/>
        <v>6.6666666666666666E-2</v>
      </c>
      <c r="G835">
        <v>212</v>
      </c>
      <c r="I835">
        <f t="shared" si="92"/>
        <v>834</v>
      </c>
      <c r="J835" t="s">
        <v>14</v>
      </c>
      <c r="K835">
        <v>45</v>
      </c>
      <c r="L835">
        <v>3</v>
      </c>
      <c r="M835">
        <f t="shared" si="93"/>
        <v>4.7111111111111112</v>
      </c>
      <c r="N835">
        <v>212</v>
      </c>
      <c r="O835">
        <f t="shared" si="94"/>
        <v>6.6666666666666666E-2</v>
      </c>
      <c r="Q835" s="32" t="s">
        <v>12</v>
      </c>
      <c r="R835" s="32">
        <v>20</v>
      </c>
      <c r="S835" s="32">
        <v>0</v>
      </c>
      <c r="T835" s="32">
        <f t="shared" si="95"/>
        <v>4.75</v>
      </c>
      <c r="U835" s="32">
        <f t="shared" si="96"/>
        <v>0</v>
      </c>
      <c r="V835" s="13" t="s">
        <v>489</v>
      </c>
      <c r="W835" s="18">
        <v>95</v>
      </c>
      <c r="Y835" s="67" t="s">
        <v>6</v>
      </c>
      <c r="Z835" s="67">
        <v>45</v>
      </c>
      <c r="AA835" s="67">
        <v>3</v>
      </c>
      <c r="AB835" s="67">
        <f t="shared" si="88"/>
        <v>5.3555555555555552</v>
      </c>
      <c r="AC835" s="67">
        <f t="shared" si="89"/>
        <v>6.6666666666666666E-2</v>
      </c>
      <c r="AD835" s="3" t="s">
        <v>495</v>
      </c>
      <c r="AE835" s="18">
        <v>241</v>
      </c>
    </row>
    <row r="836" spans="1:31" x14ac:dyDescent="0.25">
      <c r="A836" s="32" t="s">
        <v>13</v>
      </c>
      <c r="B836" s="32">
        <v>36</v>
      </c>
      <c r="C836" s="32">
        <v>2</v>
      </c>
      <c r="D836" s="32">
        <f t="shared" si="90"/>
        <v>4.7222222222222223</v>
      </c>
      <c r="E836" s="32">
        <f t="shared" si="91"/>
        <v>5.5555555555555552E-2</v>
      </c>
      <c r="G836" s="18">
        <v>170</v>
      </c>
      <c r="I836">
        <f t="shared" si="92"/>
        <v>835</v>
      </c>
      <c r="J836" s="18" t="s">
        <v>13</v>
      </c>
      <c r="K836" s="18">
        <v>36</v>
      </c>
      <c r="L836" s="18">
        <v>2</v>
      </c>
      <c r="M836" s="18">
        <f t="shared" si="93"/>
        <v>4.7222222222222223</v>
      </c>
      <c r="N836" s="18">
        <v>170</v>
      </c>
      <c r="O836" s="18">
        <f t="shared" si="94"/>
        <v>5.5555555555555552E-2</v>
      </c>
      <c r="Q836" s="38" t="s">
        <v>87</v>
      </c>
      <c r="R836" s="38">
        <v>54</v>
      </c>
      <c r="S836" s="38">
        <v>8</v>
      </c>
      <c r="T836" s="38">
        <f t="shared" si="95"/>
        <v>4.8518518518518521</v>
      </c>
      <c r="U836" s="38">
        <f t="shared" si="96"/>
        <v>0.14814814814814814</v>
      </c>
      <c r="V836" s="3" t="s">
        <v>46</v>
      </c>
      <c r="W836" s="18">
        <v>262</v>
      </c>
      <c r="Y836" s="67" t="s">
        <v>253</v>
      </c>
      <c r="Z836" s="67">
        <v>32</v>
      </c>
      <c r="AA836" s="67">
        <v>1</v>
      </c>
      <c r="AB836" s="67">
        <f t="shared" si="88"/>
        <v>5.4375</v>
      </c>
      <c r="AC836" s="67">
        <f t="shared" si="89"/>
        <v>3.125E-2</v>
      </c>
      <c r="AD836" s="3" t="s">
        <v>567</v>
      </c>
      <c r="AE836" s="18">
        <v>174</v>
      </c>
    </row>
    <row r="837" spans="1:31" x14ac:dyDescent="0.25">
      <c r="A837" s="32" t="s">
        <v>12</v>
      </c>
      <c r="B837" s="32">
        <v>20</v>
      </c>
      <c r="C837" s="32">
        <v>0</v>
      </c>
      <c r="D837" s="32">
        <f t="shared" si="90"/>
        <v>4.75</v>
      </c>
      <c r="E837" s="32">
        <f t="shared" si="91"/>
        <v>0</v>
      </c>
      <c r="G837" s="18">
        <v>95</v>
      </c>
      <c r="I837">
        <f t="shared" si="92"/>
        <v>836</v>
      </c>
      <c r="J837" s="18" t="s">
        <v>12</v>
      </c>
      <c r="K837" s="18">
        <v>20</v>
      </c>
      <c r="L837" s="18">
        <v>0</v>
      </c>
      <c r="M837" s="18">
        <f t="shared" si="93"/>
        <v>4.75</v>
      </c>
      <c r="N837" s="18">
        <v>95</v>
      </c>
      <c r="O837" s="18">
        <f t="shared" si="94"/>
        <v>0</v>
      </c>
      <c r="Q837" s="38" t="s">
        <v>37</v>
      </c>
      <c r="R837" s="38">
        <v>22</v>
      </c>
      <c r="S837" s="38">
        <v>2</v>
      </c>
      <c r="T837" s="38">
        <f t="shared" si="95"/>
        <v>4.9090909090909092</v>
      </c>
      <c r="U837" s="38">
        <f t="shared" si="96"/>
        <v>9.0909090909090912E-2</v>
      </c>
      <c r="V837" s="3" t="s">
        <v>54</v>
      </c>
      <c r="W837" s="18">
        <v>108</v>
      </c>
      <c r="Y837" s="67" t="s">
        <v>33</v>
      </c>
      <c r="Z837" s="67">
        <v>64</v>
      </c>
      <c r="AA837" s="67">
        <v>4</v>
      </c>
      <c r="AB837" s="67">
        <f t="shared" si="88"/>
        <v>5.515625</v>
      </c>
      <c r="AC837" s="67">
        <f t="shared" si="89"/>
        <v>6.25E-2</v>
      </c>
      <c r="AD837" s="3" t="s">
        <v>296</v>
      </c>
      <c r="AE837" s="18">
        <v>353</v>
      </c>
    </row>
    <row r="838" spans="1:31" x14ac:dyDescent="0.25">
      <c r="A838" s="32" t="s">
        <v>87</v>
      </c>
      <c r="B838" s="32">
        <v>80</v>
      </c>
      <c r="C838" s="32">
        <v>12</v>
      </c>
      <c r="D838" s="32">
        <f t="shared" si="90"/>
        <v>4.7750000000000004</v>
      </c>
      <c r="E838" s="32">
        <f t="shared" si="91"/>
        <v>0.15</v>
      </c>
      <c r="G838" s="18">
        <v>382</v>
      </c>
      <c r="I838">
        <f t="shared" si="92"/>
        <v>837</v>
      </c>
      <c r="J838" s="18" t="s">
        <v>87</v>
      </c>
      <c r="K838" s="18">
        <v>84</v>
      </c>
      <c r="L838" s="18">
        <v>12</v>
      </c>
      <c r="M838" s="18">
        <f t="shared" si="93"/>
        <v>4.7619047619047619</v>
      </c>
      <c r="N838" s="18">
        <v>400</v>
      </c>
      <c r="O838" s="18">
        <f t="shared" si="94"/>
        <v>0.14285714285714285</v>
      </c>
      <c r="Q838" s="38" t="s">
        <v>4</v>
      </c>
      <c r="R838" s="38">
        <v>20</v>
      </c>
      <c r="S838" s="38">
        <v>3</v>
      </c>
      <c r="T838" s="38">
        <f t="shared" si="95"/>
        <v>4.95</v>
      </c>
      <c r="U838" s="38">
        <f t="shared" si="96"/>
        <v>0.15</v>
      </c>
      <c r="V838" s="3" t="s">
        <v>487</v>
      </c>
      <c r="W838" s="18">
        <v>99</v>
      </c>
      <c r="Y838" s="67" t="s">
        <v>401</v>
      </c>
      <c r="Z838" s="67">
        <v>59</v>
      </c>
      <c r="AA838" s="67">
        <v>3</v>
      </c>
      <c r="AB838" s="67">
        <f t="shared" si="88"/>
        <v>5.6271186440677967</v>
      </c>
      <c r="AC838" s="67">
        <f t="shared" si="89"/>
        <v>5.0847457627118647E-2</v>
      </c>
      <c r="AD838" s="3" t="s">
        <v>282</v>
      </c>
      <c r="AE838" s="18">
        <v>332</v>
      </c>
    </row>
    <row r="839" spans="1:31" x14ac:dyDescent="0.25">
      <c r="A839" s="18" t="s">
        <v>61</v>
      </c>
      <c r="B839" s="18">
        <v>27</v>
      </c>
      <c r="C839" s="18">
        <v>6</v>
      </c>
      <c r="D839" s="18">
        <f t="shared" si="90"/>
        <v>4.8518518518518521</v>
      </c>
      <c r="E839" s="18">
        <f t="shared" si="91"/>
        <v>0.22222222222222221</v>
      </c>
      <c r="G839" s="18">
        <v>131</v>
      </c>
      <c r="I839">
        <f t="shared" si="92"/>
        <v>838</v>
      </c>
      <c r="J839" s="18" t="s">
        <v>61</v>
      </c>
      <c r="K839" s="18">
        <v>28</v>
      </c>
      <c r="L839" s="18">
        <v>6</v>
      </c>
      <c r="M839" s="18">
        <f t="shared" si="93"/>
        <v>4.8571428571428568</v>
      </c>
      <c r="N839" s="18">
        <v>136</v>
      </c>
      <c r="O839" s="18">
        <f t="shared" si="94"/>
        <v>0.21428571428571427</v>
      </c>
      <c r="Q839" s="38" t="s">
        <v>25</v>
      </c>
      <c r="R839" s="38">
        <v>88</v>
      </c>
      <c r="S839" s="38">
        <v>8</v>
      </c>
      <c r="T839" s="38">
        <f t="shared" si="95"/>
        <v>5.0227272727272725</v>
      </c>
      <c r="U839" s="38">
        <f t="shared" si="96"/>
        <v>9.0909090909090912E-2</v>
      </c>
      <c r="V839" s="3" t="s">
        <v>45</v>
      </c>
      <c r="W839" s="18">
        <v>442</v>
      </c>
    </row>
    <row r="840" spans="1:31" x14ac:dyDescent="0.25">
      <c r="A840" s="18" t="s">
        <v>37</v>
      </c>
      <c r="B840" s="18">
        <v>22</v>
      </c>
      <c r="C840" s="18">
        <v>2</v>
      </c>
      <c r="D840" s="18">
        <f t="shared" si="90"/>
        <v>4.9090909090909092</v>
      </c>
      <c r="E840" s="18">
        <f t="shared" si="91"/>
        <v>9.0909090909090912E-2</v>
      </c>
      <c r="G840" s="18">
        <v>108</v>
      </c>
      <c r="I840">
        <f t="shared" si="92"/>
        <v>839</v>
      </c>
      <c r="J840" s="18" t="s">
        <v>37</v>
      </c>
      <c r="K840" s="18">
        <v>22</v>
      </c>
      <c r="L840" s="18">
        <v>2</v>
      </c>
      <c r="M840" s="18">
        <f t="shared" si="93"/>
        <v>4.9090909090909092</v>
      </c>
      <c r="N840" s="18">
        <v>108</v>
      </c>
      <c r="O840" s="18">
        <f t="shared" si="94"/>
        <v>9.0909090909090912E-2</v>
      </c>
      <c r="Q840" s="38" t="s">
        <v>30</v>
      </c>
      <c r="R840" s="38">
        <v>33</v>
      </c>
      <c r="S840" s="38">
        <v>3</v>
      </c>
      <c r="T840" s="38">
        <f t="shared" si="95"/>
        <v>5.0303030303030303</v>
      </c>
      <c r="U840" s="38">
        <f t="shared" si="96"/>
        <v>9.0909090909090912E-2</v>
      </c>
      <c r="V840" s="3" t="s">
        <v>55</v>
      </c>
      <c r="W840" s="18">
        <v>166</v>
      </c>
    </row>
    <row r="841" spans="1:31" x14ac:dyDescent="0.25">
      <c r="A841" s="18" t="s">
        <v>51</v>
      </c>
      <c r="B841" s="18">
        <v>37</v>
      </c>
      <c r="C841" s="18">
        <v>3</v>
      </c>
      <c r="D841" s="18">
        <f t="shared" si="90"/>
        <v>4.9189189189189193</v>
      </c>
      <c r="E841" s="18">
        <f t="shared" si="91"/>
        <v>8.1081081081081086E-2</v>
      </c>
      <c r="G841" s="18">
        <v>182</v>
      </c>
      <c r="I841">
        <f t="shared" si="92"/>
        <v>840</v>
      </c>
      <c r="J841" s="18" t="s">
        <v>51</v>
      </c>
      <c r="K841" s="18">
        <v>37</v>
      </c>
      <c r="L841" s="18">
        <v>3</v>
      </c>
      <c r="M841" s="18">
        <f t="shared" si="93"/>
        <v>4.9189189189189193</v>
      </c>
      <c r="N841" s="18">
        <v>182</v>
      </c>
      <c r="O841" s="18">
        <f t="shared" si="94"/>
        <v>8.1081081081081086E-2</v>
      </c>
      <c r="Q841" s="38" t="s">
        <v>81</v>
      </c>
      <c r="R841" s="38">
        <v>48</v>
      </c>
      <c r="S841" s="38">
        <v>2</v>
      </c>
      <c r="T841" s="38">
        <f t="shared" si="95"/>
        <v>5.041666666666667</v>
      </c>
      <c r="U841" s="38">
        <f t="shared" si="96"/>
        <v>4.1666666666666664E-2</v>
      </c>
      <c r="V841" s="3" t="s">
        <v>45</v>
      </c>
      <c r="W841" s="18">
        <v>242</v>
      </c>
    </row>
    <row r="842" spans="1:31" x14ac:dyDescent="0.25">
      <c r="A842" s="18" t="s">
        <v>25</v>
      </c>
      <c r="B842" s="18">
        <v>117</v>
      </c>
      <c r="C842" s="18">
        <v>11</v>
      </c>
      <c r="D842" s="18">
        <f t="shared" si="90"/>
        <v>4.9230769230769234</v>
      </c>
      <c r="E842" s="18">
        <f t="shared" si="91"/>
        <v>9.4017094017094016E-2</v>
      </c>
      <c r="G842" s="18">
        <v>576</v>
      </c>
      <c r="I842">
        <f t="shared" si="92"/>
        <v>841</v>
      </c>
      <c r="J842" s="18" t="s">
        <v>4</v>
      </c>
      <c r="K842" s="18">
        <v>20</v>
      </c>
      <c r="L842" s="18">
        <v>3</v>
      </c>
      <c r="M842" s="18">
        <f t="shared" si="93"/>
        <v>4.95</v>
      </c>
      <c r="N842" s="18">
        <v>99</v>
      </c>
      <c r="O842" s="18">
        <f t="shared" si="94"/>
        <v>0.15</v>
      </c>
      <c r="Q842" s="38" t="s">
        <v>105</v>
      </c>
      <c r="R842" s="38">
        <v>20</v>
      </c>
      <c r="S842" s="38">
        <v>0</v>
      </c>
      <c r="T842" s="38">
        <f t="shared" si="95"/>
        <v>5.05</v>
      </c>
      <c r="U842" s="38">
        <f t="shared" si="96"/>
        <v>0</v>
      </c>
      <c r="V842" s="3" t="s">
        <v>45</v>
      </c>
      <c r="W842">
        <v>101</v>
      </c>
    </row>
    <row r="843" spans="1:31" x14ac:dyDescent="0.25">
      <c r="A843" s="18" t="s">
        <v>4</v>
      </c>
      <c r="B843" s="18">
        <v>20</v>
      </c>
      <c r="C843" s="18">
        <v>3</v>
      </c>
      <c r="D843" s="18">
        <f t="shared" si="90"/>
        <v>4.95</v>
      </c>
      <c r="E843" s="18">
        <f t="shared" si="91"/>
        <v>0.15</v>
      </c>
      <c r="G843" s="18">
        <v>99</v>
      </c>
      <c r="I843">
        <f t="shared" si="92"/>
        <v>842</v>
      </c>
      <c r="J843" s="18" t="s">
        <v>25</v>
      </c>
      <c r="K843" s="18">
        <v>123</v>
      </c>
      <c r="L843" s="18">
        <v>11</v>
      </c>
      <c r="M843" s="18">
        <f t="shared" si="93"/>
        <v>4.9674796747967482</v>
      </c>
      <c r="N843" s="18">
        <v>611</v>
      </c>
      <c r="O843" s="18">
        <f t="shared" si="94"/>
        <v>8.943089430894309E-2</v>
      </c>
      <c r="Q843" s="38" t="s">
        <v>99</v>
      </c>
      <c r="R843" s="38">
        <v>20</v>
      </c>
      <c r="S843" s="38">
        <v>2</v>
      </c>
      <c r="T843" s="38">
        <f t="shared" si="95"/>
        <v>5.05</v>
      </c>
      <c r="U843" s="38">
        <f t="shared" si="96"/>
        <v>0.1</v>
      </c>
      <c r="V843" s="3" t="s">
        <v>488</v>
      </c>
      <c r="W843" s="18">
        <v>101</v>
      </c>
    </row>
    <row r="844" spans="1:31" x14ac:dyDescent="0.25">
      <c r="A844" s="18" t="s">
        <v>81</v>
      </c>
      <c r="B844" s="18">
        <v>53</v>
      </c>
      <c r="C844" s="18">
        <v>2</v>
      </c>
      <c r="D844" s="18">
        <f t="shared" si="90"/>
        <v>5</v>
      </c>
      <c r="E844" s="18">
        <f t="shared" si="91"/>
        <v>3.7735849056603772E-2</v>
      </c>
      <c r="G844" s="18">
        <v>265</v>
      </c>
      <c r="I844">
        <f t="shared" si="92"/>
        <v>843</v>
      </c>
      <c r="J844" s="18" t="s">
        <v>81</v>
      </c>
      <c r="K844" s="18">
        <v>53</v>
      </c>
      <c r="L844" s="18">
        <v>2</v>
      </c>
      <c r="M844" s="18">
        <f t="shared" si="93"/>
        <v>5</v>
      </c>
      <c r="N844" s="18">
        <v>265</v>
      </c>
      <c r="O844" s="18">
        <f t="shared" si="94"/>
        <v>3.7735849056603772E-2</v>
      </c>
      <c r="Q844" s="38" t="s">
        <v>51</v>
      </c>
      <c r="R844" s="38">
        <v>33</v>
      </c>
      <c r="S844" s="38">
        <v>2</v>
      </c>
      <c r="T844" s="38">
        <f t="shared" si="95"/>
        <v>5.0606060606060606</v>
      </c>
      <c r="U844" s="38">
        <f t="shared" si="96"/>
        <v>6.0606060606060608E-2</v>
      </c>
      <c r="V844" s="3" t="s">
        <v>54</v>
      </c>
      <c r="W844" s="18">
        <v>167</v>
      </c>
    </row>
    <row r="845" spans="1:31" x14ac:dyDescent="0.25">
      <c r="A845" t="s">
        <v>105</v>
      </c>
      <c r="B845">
        <v>20</v>
      </c>
      <c r="C845">
        <v>0</v>
      </c>
      <c r="D845">
        <f t="shared" si="90"/>
        <v>5.05</v>
      </c>
      <c r="E845">
        <f t="shared" si="91"/>
        <v>0</v>
      </c>
      <c r="G845">
        <v>101</v>
      </c>
      <c r="I845">
        <f t="shared" si="92"/>
        <v>844</v>
      </c>
      <c r="J845" t="s">
        <v>105</v>
      </c>
      <c r="K845">
        <v>20</v>
      </c>
      <c r="L845">
        <v>0</v>
      </c>
      <c r="M845">
        <f t="shared" si="93"/>
        <v>5.05</v>
      </c>
      <c r="N845">
        <v>101</v>
      </c>
      <c r="O845">
        <f t="shared" si="94"/>
        <v>0</v>
      </c>
      <c r="Q845" s="38" t="s">
        <v>79</v>
      </c>
      <c r="R845" s="38">
        <v>30</v>
      </c>
      <c r="S845" s="38">
        <v>1</v>
      </c>
      <c r="T845" s="38">
        <f t="shared" si="95"/>
        <v>5.0666666666666664</v>
      </c>
      <c r="U845" s="38">
        <f t="shared" si="96"/>
        <v>3.3333333333333333E-2</v>
      </c>
      <c r="V845" s="3" t="s">
        <v>69</v>
      </c>
      <c r="W845" s="18">
        <v>152</v>
      </c>
    </row>
    <row r="846" spans="1:31" x14ac:dyDescent="0.25">
      <c r="A846" s="18" t="s">
        <v>99</v>
      </c>
      <c r="B846" s="18">
        <v>20</v>
      </c>
      <c r="C846" s="18">
        <v>2</v>
      </c>
      <c r="D846" s="18">
        <f t="shared" si="90"/>
        <v>5.05</v>
      </c>
      <c r="E846" s="18">
        <f t="shared" si="91"/>
        <v>0.1</v>
      </c>
      <c r="G846" s="18">
        <v>101</v>
      </c>
      <c r="I846">
        <f t="shared" si="92"/>
        <v>845</v>
      </c>
      <c r="J846" s="18" t="s">
        <v>99</v>
      </c>
      <c r="K846" s="18">
        <v>20</v>
      </c>
      <c r="L846" s="18">
        <v>2</v>
      </c>
      <c r="M846" s="18">
        <f t="shared" si="93"/>
        <v>5.05</v>
      </c>
      <c r="N846" s="18">
        <v>101</v>
      </c>
      <c r="O846" s="18">
        <f t="shared" si="94"/>
        <v>0.1</v>
      </c>
      <c r="Q846" s="38" t="s">
        <v>20</v>
      </c>
      <c r="R846" s="38">
        <v>22</v>
      </c>
      <c r="S846" s="38">
        <v>2</v>
      </c>
      <c r="T846" s="38">
        <f t="shared" si="95"/>
        <v>5.1818181818181817</v>
      </c>
      <c r="U846" s="38">
        <f t="shared" si="96"/>
        <v>9.0909090909090912E-2</v>
      </c>
      <c r="V846" s="3" t="s">
        <v>55</v>
      </c>
      <c r="W846" s="18">
        <v>114</v>
      </c>
    </row>
    <row r="847" spans="1:31" x14ac:dyDescent="0.25">
      <c r="A847" s="18" t="s">
        <v>82</v>
      </c>
      <c r="B847" s="18">
        <v>20</v>
      </c>
      <c r="C847" s="18">
        <v>0</v>
      </c>
      <c r="D847" s="18">
        <f t="shared" si="90"/>
        <v>5.15</v>
      </c>
      <c r="E847" s="18">
        <f t="shared" si="91"/>
        <v>0</v>
      </c>
      <c r="G847" s="18">
        <v>103</v>
      </c>
      <c r="I847">
        <f t="shared" si="92"/>
        <v>846</v>
      </c>
      <c r="J847" s="18" t="s">
        <v>82</v>
      </c>
      <c r="K847" s="18">
        <v>20</v>
      </c>
      <c r="L847" s="18">
        <v>0</v>
      </c>
      <c r="M847" s="18">
        <f t="shared" si="93"/>
        <v>5.15</v>
      </c>
      <c r="N847" s="18">
        <v>103</v>
      </c>
      <c r="O847" s="18">
        <f t="shared" si="94"/>
        <v>0</v>
      </c>
      <c r="Q847" s="66" t="s">
        <v>31</v>
      </c>
      <c r="R847" s="66">
        <v>126</v>
      </c>
      <c r="S847" s="66">
        <v>8</v>
      </c>
      <c r="T847" s="66">
        <f t="shared" si="95"/>
        <v>5.3253968253968251</v>
      </c>
      <c r="U847" s="66">
        <f t="shared" si="96"/>
        <v>6.3492063492063489E-2</v>
      </c>
      <c r="W847" s="18">
        <v>671</v>
      </c>
    </row>
    <row r="848" spans="1:31" x14ac:dyDescent="0.25">
      <c r="A848" s="18" t="s">
        <v>20</v>
      </c>
      <c r="B848" s="18">
        <v>22</v>
      </c>
      <c r="C848" s="18">
        <v>2</v>
      </c>
      <c r="D848" s="18">
        <f t="shared" si="90"/>
        <v>5.1818181818181817</v>
      </c>
      <c r="E848" s="18">
        <f t="shared" si="91"/>
        <v>9.0909090909090912E-2</v>
      </c>
      <c r="G848" s="18">
        <v>114</v>
      </c>
      <c r="I848">
        <f t="shared" si="92"/>
        <v>847</v>
      </c>
      <c r="J848" s="18" t="s">
        <v>20</v>
      </c>
      <c r="K848" s="18">
        <v>22</v>
      </c>
      <c r="L848" s="18">
        <v>2</v>
      </c>
      <c r="M848" s="18">
        <f t="shared" si="93"/>
        <v>5.1818181818181817</v>
      </c>
      <c r="N848" s="18">
        <v>114</v>
      </c>
      <c r="O848" s="18">
        <f t="shared" si="94"/>
        <v>9.0909090909090912E-2</v>
      </c>
      <c r="Q848" s="66" t="s">
        <v>19</v>
      </c>
      <c r="R848" s="66">
        <v>23</v>
      </c>
      <c r="S848" s="66">
        <v>1</v>
      </c>
      <c r="T848" s="66">
        <f t="shared" si="95"/>
        <v>5.3478260869565215</v>
      </c>
      <c r="U848" s="66">
        <f t="shared" si="96"/>
        <v>4.3478260869565216E-2</v>
      </c>
      <c r="V848" s="3" t="s">
        <v>381</v>
      </c>
      <c r="W848" s="18">
        <v>123</v>
      </c>
    </row>
    <row r="849" spans="1:23" x14ac:dyDescent="0.25">
      <c r="A849" s="18" t="s">
        <v>19</v>
      </c>
      <c r="B849" s="18">
        <v>26</v>
      </c>
      <c r="C849" s="18">
        <v>2</v>
      </c>
      <c r="D849" s="18">
        <f t="shared" si="90"/>
        <v>5.1923076923076925</v>
      </c>
      <c r="E849" s="18">
        <f t="shared" si="91"/>
        <v>7.6923076923076927E-2</v>
      </c>
      <c r="G849" s="18">
        <v>135</v>
      </c>
      <c r="I849">
        <f t="shared" si="92"/>
        <v>848</v>
      </c>
      <c r="J849" s="18" t="s">
        <v>19</v>
      </c>
      <c r="K849" s="18">
        <v>26</v>
      </c>
      <c r="L849" s="18">
        <v>2</v>
      </c>
      <c r="M849" s="18">
        <f t="shared" si="93"/>
        <v>5.1923076923076925</v>
      </c>
      <c r="N849" s="18">
        <v>135</v>
      </c>
      <c r="O849" s="18">
        <f t="shared" si="94"/>
        <v>7.6923076923076927E-2</v>
      </c>
      <c r="Q849" s="66" t="s">
        <v>6</v>
      </c>
      <c r="R849" s="66">
        <v>45</v>
      </c>
      <c r="S849" s="66">
        <v>3</v>
      </c>
      <c r="T849" s="66">
        <f t="shared" si="95"/>
        <v>5.3555555555555552</v>
      </c>
      <c r="U849" s="66">
        <f t="shared" si="96"/>
        <v>6.6666666666666666E-2</v>
      </c>
      <c r="V849" s="3" t="s">
        <v>381</v>
      </c>
      <c r="W849" s="18">
        <v>241</v>
      </c>
    </row>
    <row r="850" spans="1:23" x14ac:dyDescent="0.25">
      <c r="A850" s="18" t="s">
        <v>30</v>
      </c>
      <c r="B850" s="18">
        <v>40</v>
      </c>
      <c r="C850" s="18">
        <v>3</v>
      </c>
      <c r="D850" s="18">
        <f t="shared" si="90"/>
        <v>5.2</v>
      </c>
      <c r="E850" s="18">
        <f t="shared" si="91"/>
        <v>7.4999999999999997E-2</v>
      </c>
      <c r="G850" s="18">
        <v>208</v>
      </c>
      <c r="I850">
        <f t="shared" si="92"/>
        <v>849</v>
      </c>
      <c r="J850" s="18" t="s">
        <v>26</v>
      </c>
      <c r="K850" s="18">
        <v>50</v>
      </c>
      <c r="L850" s="18">
        <v>4</v>
      </c>
      <c r="M850" s="18">
        <f t="shared" si="93"/>
        <v>5.2</v>
      </c>
      <c r="N850" s="18">
        <v>260</v>
      </c>
      <c r="O850" s="18">
        <f t="shared" si="94"/>
        <v>0.08</v>
      </c>
      <c r="Q850" s="66" t="s">
        <v>253</v>
      </c>
      <c r="R850" s="66">
        <v>28</v>
      </c>
      <c r="S850" s="66">
        <v>1</v>
      </c>
      <c r="T850" s="66">
        <f t="shared" si="95"/>
        <v>5.3571428571428568</v>
      </c>
      <c r="U850" s="66">
        <f t="shared" si="96"/>
        <v>3.5714285714285712E-2</v>
      </c>
      <c r="V850" s="3" t="s">
        <v>381</v>
      </c>
      <c r="W850" s="18">
        <v>150</v>
      </c>
    </row>
    <row r="851" spans="1:23" x14ac:dyDescent="0.25">
      <c r="A851" s="18" t="s">
        <v>26</v>
      </c>
      <c r="B851" s="18">
        <v>50</v>
      </c>
      <c r="C851" s="18">
        <v>4</v>
      </c>
      <c r="D851" s="18">
        <f t="shared" si="90"/>
        <v>5.2</v>
      </c>
      <c r="E851" s="18">
        <f t="shared" si="91"/>
        <v>0.08</v>
      </c>
      <c r="G851" s="18">
        <v>260</v>
      </c>
      <c r="I851">
        <f t="shared" si="92"/>
        <v>850</v>
      </c>
      <c r="J851" s="18" t="s">
        <v>30</v>
      </c>
      <c r="K851" s="18">
        <v>41</v>
      </c>
      <c r="L851" s="18">
        <v>3</v>
      </c>
      <c r="M851" s="18">
        <f t="shared" si="93"/>
        <v>5.2439024390243905</v>
      </c>
      <c r="N851" s="18">
        <v>215</v>
      </c>
      <c r="O851" s="18">
        <f t="shared" si="94"/>
        <v>7.3170731707317069E-2</v>
      </c>
      <c r="Q851" s="66" t="s">
        <v>26</v>
      </c>
      <c r="R851" s="66">
        <v>32</v>
      </c>
      <c r="S851" s="66">
        <v>2</v>
      </c>
      <c r="T851" s="66">
        <f t="shared" si="95"/>
        <v>5.375</v>
      </c>
      <c r="U851" s="66">
        <f t="shared" si="96"/>
        <v>6.25E-2</v>
      </c>
      <c r="V851" s="3" t="s">
        <v>45</v>
      </c>
      <c r="W851" s="18">
        <v>172</v>
      </c>
    </row>
    <row r="852" spans="1:23" x14ac:dyDescent="0.25">
      <c r="A852" s="18" t="s">
        <v>31</v>
      </c>
      <c r="B852" s="18">
        <v>157</v>
      </c>
      <c r="C852" s="18">
        <v>12</v>
      </c>
      <c r="D852" s="18">
        <f t="shared" si="90"/>
        <v>5.2356687898089174</v>
      </c>
      <c r="E852" s="18">
        <f t="shared" si="91"/>
        <v>7.6433121019108277E-2</v>
      </c>
      <c r="G852" s="18">
        <v>822</v>
      </c>
      <c r="I852">
        <f t="shared" si="92"/>
        <v>851</v>
      </c>
      <c r="J852" s="18" t="s">
        <v>17</v>
      </c>
      <c r="K852" s="18">
        <v>20</v>
      </c>
      <c r="L852" s="18">
        <v>2</v>
      </c>
      <c r="M852" s="18">
        <f t="shared" si="93"/>
        <v>5.25</v>
      </c>
      <c r="N852" s="18">
        <v>105</v>
      </c>
      <c r="O852" s="18">
        <f t="shared" si="94"/>
        <v>0.1</v>
      </c>
      <c r="Q852" s="66" t="s">
        <v>56</v>
      </c>
      <c r="R852" s="66">
        <v>21</v>
      </c>
      <c r="S852" s="66">
        <v>0</v>
      </c>
      <c r="T852" s="66">
        <f t="shared" si="95"/>
        <v>5.3809523809523814</v>
      </c>
      <c r="U852" s="66">
        <f t="shared" si="96"/>
        <v>0</v>
      </c>
      <c r="V852" s="3" t="s">
        <v>195</v>
      </c>
      <c r="W852" s="18">
        <v>113</v>
      </c>
    </row>
    <row r="853" spans="1:23" x14ac:dyDescent="0.25">
      <c r="A853" s="18" t="s">
        <v>17</v>
      </c>
      <c r="B853" s="18">
        <v>20</v>
      </c>
      <c r="C853" s="18">
        <v>2</v>
      </c>
      <c r="D853" s="18">
        <f t="shared" si="90"/>
        <v>5.25</v>
      </c>
      <c r="E853" s="18">
        <f t="shared" si="91"/>
        <v>0.1</v>
      </c>
      <c r="G853" s="18">
        <v>105</v>
      </c>
      <c r="I853">
        <f t="shared" si="92"/>
        <v>852</v>
      </c>
      <c r="J853" s="18" t="s">
        <v>404</v>
      </c>
      <c r="K853" s="18">
        <v>20</v>
      </c>
      <c r="L853" s="18">
        <v>2</v>
      </c>
      <c r="M853" s="18">
        <f t="shared" si="93"/>
        <v>5.25</v>
      </c>
      <c r="N853" s="18">
        <v>105</v>
      </c>
      <c r="O853" s="18">
        <f t="shared" si="94"/>
        <v>0.1</v>
      </c>
      <c r="Q853" s="66" t="s">
        <v>90</v>
      </c>
      <c r="R853" s="66">
        <v>27</v>
      </c>
      <c r="S853" s="66">
        <v>3</v>
      </c>
      <c r="T853" s="66">
        <f t="shared" si="95"/>
        <v>5.4074074074074074</v>
      </c>
      <c r="U853" s="66">
        <f t="shared" si="96"/>
        <v>0.1111111111111111</v>
      </c>
      <c r="V853" s="3" t="s">
        <v>381</v>
      </c>
      <c r="W853">
        <v>146</v>
      </c>
    </row>
    <row r="854" spans="1:23" x14ac:dyDescent="0.25">
      <c r="A854" s="18" t="s">
        <v>404</v>
      </c>
      <c r="B854" s="18">
        <v>20</v>
      </c>
      <c r="C854" s="18">
        <v>2</v>
      </c>
      <c r="D854" s="18">
        <f t="shared" si="90"/>
        <v>5.25</v>
      </c>
      <c r="E854" s="18">
        <f t="shared" si="91"/>
        <v>0.1</v>
      </c>
      <c r="G854" s="18">
        <v>105</v>
      </c>
      <c r="I854">
        <f t="shared" si="92"/>
        <v>853</v>
      </c>
      <c r="J854" s="18" t="s">
        <v>31</v>
      </c>
      <c r="K854" s="18">
        <v>161</v>
      </c>
      <c r="L854" s="18">
        <v>12</v>
      </c>
      <c r="M854" s="18">
        <f t="shared" si="93"/>
        <v>5.2546583850931681</v>
      </c>
      <c r="N854" s="18">
        <v>846</v>
      </c>
      <c r="O854" s="18">
        <f t="shared" si="94"/>
        <v>7.4534161490683232E-2</v>
      </c>
      <c r="Q854" s="66" t="s">
        <v>49</v>
      </c>
      <c r="R854" s="66">
        <v>68</v>
      </c>
      <c r="S854" s="66">
        <v>3</v>
      </c>
      <c r="T854" s="66">
        <f t="shared" si="95"/>
        <v>5.5147058823529411</v>
      </c>
      <c r="U854" s="66">
        <f t="shared" si="96"/>
        <v>4.4117647058823532E-2</v>
      </c>
      <c r="V854" s="3" t="s">
        <v>54</v>
      </c>
      <c r="W854" s="18">
        <v>375</v>
      </c>
    </row>
    <row r="855" spans="1:23" x14ac:dyDescent="0.25">
      <c r="A855" s="18" t="s">
        <v>253</v>
      </c>
      <c r="B855" s="18">
        <v>29</v>
      </c>
      <c r="C855" s="18">
        <v>1</v>
      </c>
      <c r="D855" s="18">
        <f t="shared" si="90"/>
        <v>5.3103448275862073</v>
      </c>
      <c r="E855" s="18">
        <f t="shared" si="91"/>
        <v>3.4482758620689655E-2</v>
      </c>
      <c r="G855" s="18">
        <v>154</v>
      </c>
      <c r="I855">
        <f t="shared" si="92"/>
        <v>854</v>
      </c>
      <c r="J855" s="18" t="s">
        <v>49</v>
      </c>
      <c r="K855" s="18">
        <v>95</v>
      </c>
      <c r="L855" s="18">
        <v>7</v>
      </c>
      <c r="M855" s="18">
        <f t="shared" si="93"/>
        <v>5.2631578947368425</v>
      </c>
      <c r="N855" s="18">
        <v>500</v>
      </c>
      <c r="O855" s="18">
        <f t="shared" si="94"/>
        <v>7.3684210526315783E-2</v>
      </c>
      <c r="Q855" s="66" t="s">
        <v>33</v>
      </c>
      <c r="R855" s="66">
        <v>64</v>
      </c>
      <c r="S855" s="66">
        <v>4</v>
      </c>
      <c r="T855" s="66">
        <f t="shared" si="95"/>
        <v>5.515625</v>
      </c>
      <c r="U855" s="66">
        <f t="shared" si="96"/>
        <v>6.25E-2</v>
      </c>
      <c r="V855" s="3" t="s">
        <v>381</v>
      </c>
      <c r="W855" s="18">
        <v>353</v>
      </c>
    </row>
    <row r="856" spans="1:23" x14ac:dyDescent="0.25">
      <c r="A856" s="18" t="s">
        <v>49</v>
      </c>
      <c r="B856" s="18">
        <v>93</v>
      </c>
      <c r="C856" s="18">
        <v>6</v>
      </c>
      <c r="D856" s="18">
        <f t="shared" si="90"/>
        <v>5.32258064516129</v>
      </c>
      <c r="E856" s="18">
        <f t="shared" si="91"/>
        <v>6.4516129032258063E-2</v>
      </c>
      <c r="G856" s="18">
        <v>495</v>
      </c>
      <c r="I856">
        <f t="shared" si="92"/>
        <v>855</v>
      </c>
      <c r="J856" s="18" t="s">
        <v>253</v>
      </c>
      <c r="K856" s="18">
        <v>29</v>
      </c>
      <c r="L856" s="18">
        <v>1</v>
      </c>
      <c r="M856" s="18">
        <f t="shared" si="93"/>
        <v>5.3103448275862073</v>
      </c>
      <c r="N856" s="18">
        <v>154</v>
      </c>
      <c r="O856" s="18">
        <f t="shared" si="94"/>
        <v>3.4482758620689655E-2</v>
      </c>
      <c r="Q856" s="66" t="s">
        <v>28</v>
      </c>
      <c r="R856" s="66">
        <v>20</v>
      </c>
      <c r="S856" s="66">
        <v>0</v>
      </c>
      <c r="T856" s="66">
        <f t="shared" si="95"/>
        <v>5.65</v>
      </c>
      <c r="U856" s="66">
        <f t="shared" si="96"/>
        <v>0</v>
      </c>
      <c r="V856" s="3" t="s">
        <v>486</v>
      </c>
      <c r="W856" s="18">
        <v>113</v>
      </c>
    </row>
    <row r="857" spans="1:23" x14ac:dyDescent="0.25">
      <c r="A857" s="18" t="s">
        <v>6</v>
      </c>
      <c r="B857" s="18">
        <v>45</v>
      </c>
      <c r="C857" s="18">
        <v>3</v>
      </c>
      <c r="D857" s="18">
        <f t="shared" si="90"/>
        <v>5.3555555555555552</v>
      </c>
      <c r="E857" s="18">
        <f t="shared" si="91"/>
        <v>6.6666666666666666E-2</v>
      </c>
      <c r="G857" s="18">
        <v>241</v>
      </c>
      <c r="I857">
        <f t="shared" si="92"/>
        <v>856</v>
      </c>
      <c r="J857" s="18" t="s">
        <v>6</v>
      </c>
      <c r="K857" s="18">
        <v>45</v>
      </c>
      <c r="L857" s="18">
        <v>3</v>
      </c>
      <c r="M857" s="18">
        <f t="shared" si="93"/>
        <v>5.3555555555555552</v>
      </c>
      <c r="N857" s="18">
        <v>241</v>
      </c>
      <c r="O857" s="18">
        <f t="shared" si="94"/>
        <v>6.6666666666666666E-2</v>
      </c>
      <c r="Q857" s="66" t="s">
        <v>401</v>
      </c>
      <c r="R857" s="66">
        <v>45</v>
      </c>
      <c r="S857" s="66">
        <v>1</v>
      </c>
      <c r="T857" s="66">
        <f t="shared" si="95"/>
        <v>5.9777777777777779</v>
      </c>
      <c r="U857" s="66">
        <f t="shared" si="96"/>
        <v>2.2222222222222223E-2</v>
      </c>
      <c r="V857" s="3" t="s">
        <v>381</v>
      </c>
      <c r="W857" s="18">
        <v>269</v>
      </c>
    </row>
    <row r="858" spans="1:23" x14ac:dyDescent="0.25">
      <c r="A858" s="18" t="s">
        <v>56</v>
      </c>
      <c r="B858" s="18">
        <v>21</v>
      </c>
      <c r="C858" s="18">
        <v>0</v>
      </c>
      <c r="D858" s="18">
        <f t="shared" si="90"/>
        <v>5.3809523809523814</v>
      </c>
      <c r="E858" s="18">
        <f t="shared" si="91"/>
        <v>0</v>
      </c>
      <c r="G858" s="18">
        <v>113</v>
      </c>
      <c r="I858">
        <f t="shared" si="92"/>
        <v>857</v>
      </c>
      <c r="J858" s="18" t="s">
        <v>56</v>
      </c>
      <c r="K858" s="18">
        <v>21</v>
      </c>
      <c r="L858" s="18">
        <v>0</v>
      </c>
      <c r="M858" s="18">
        <f t="shared" si="93"/>
        <v>5.3809523809523814</v>
      </c>
      <c r="N858" s="18">
        <v>113</v>
      </c>
      <c r="O858" s="18">
        <f t="shared" si="94"/>
        <v>0</v>
      </c>
    </row>
    <row r="859" spans="1:23" x14ac:dyDescent="0.25">
      <c r="A859" t="s">
        <v>90</v>
      </c>
      <c r="B859">
        <v>27</v>
      </c>
      <c r="C859">
        <v>3</v>
      </c>
      <c r="D859">
        <f t="shared" si="90"/>
        <v>5.4074074074074074</v>
      </c>
      <c r="E859">
        <f t="shared" si="91"/>
        <v>0.1111111111111111</v>
      </c>
      <c r="G859">
        <v>146</v>
      </c>
      <c r="I859">
        <f t="shared" si="92"/>
        <v>858</v>
      </c>
      <c r="J859" t="s">
        <v>90</v>
      </c>
      <c r="K859">
        <v>27</v>
      </c>
      <c r="L859">
        <v>3</v>
      </c>
      <c r="M859">
        <f t="shared" si="93"/>
        <v>5.4074074074074074</v>
      </c>
      <c r="N859">
        <v>146</v>
      </c>
      <c r="O859">
        <f t="shared" si="94"/>
        <v>0.1111111111111111</v>
      </c>
    </row>
    <row r="860" spans="1:23" x14ac:dyDescent="0.25">
      <c r="A860" s="18" t="s">
        <v>33</v>
      </c>
      <c r="B860" s="18">
        <v>64</v>
      </c>
      <c r="C860" s="18">
        <v>4</v>
      </c>
      <c r="D860" s="18">
        <f t="shared" si="90"/>
        <v>5.515625</v>
      </c>
      <c r="E860" s="18">
        <f t="shared" si="91"/>
        <v>6.25E-2</v>
      </c>
      <c r="G860" s="18">
        <v>353</v>
      </c>
      <c r="I860">
        <f t="shared" si="92"/>
        <v>859</v>
      </c>
      <c r="J860" s="18" t="s">
        <v>33</v>
      </c>
      <c r="K860" s="18">
        <v>64</v>
      </c>
      <c r="L860" s="18">
        <v>4</v>
      </c>
      <c r="M860" s="18">
        <f t="shared" si="93"/>
        <v>5.515625</v>
      </c>
      <c r="N860" s="18">
        <v>353</v>
      </c>
      <c r="O860" s="18">
        <f t="shared" si="94"/>
        <v>6.25E-2</v>
      </c>
    </row>
    <row r="861" spans="1:23" x14ac:dyDescent="0.25">
      <c r="A861" s="18" t="s">
        <v>28</v>
      </c>
      <c r="B861" s="18">
        <v>20</v>
      </c>
      <c r="C861" s="18">
        <v>0</v>
      </c>
      <c r="D861" s="18">
        <f t="shared" si="90"/>
        <v>5.65</v>
      </c>
      <c r="E861" s="18">
        <f t="shared" si="91"/>
        <v>0</v>
      </c>
      <c r="G861" s="18">
        <v>113</v>
      </c>
      <c r="I861">
        <f t="shared" si="92"/>
        <v>860</v>
      </c>
      <c r="J861" s="18" t="s">
        <v>28</v>
      </c>
      <c r="K861" s="18">
        <v>20</v>
      </c>
      <c r="L861" s="18">
        <v>0</v>
      </c>
      <c r="M861" s="18">
        <f t="shared" si="93"/>
        <v>5.65</v>
      </c>
      <c r="N861" s="18">
        <v>113</v>
      </c>
      <c r="O861" s="18">
        <f t="shared" si="94"/>
        <v>0</v>
      </c>
    </row>
    <row r="862" spans="1:23" x14ac:dyDescent="0.25">
      <c r="A862" s="18" t="s">
        <v>401</v>
      </c>
      <c r="B862" s="18">
        <v>56</v>
      </c>
      <c r="C862" s="18">
        <v>3</v>
      </c>
      <c r="D862" s="18">
        <f t="shared" si="90"/>
        <v>5.6785714285714288</v>
      </c>
      <c r="E862" s="18">
        <f t="shared" si="91"/>
        <v>5.3571428571428568E-2</v>
      </c>
      <c r="G862" s="18">
        <v>318</v>
      </c>
      <c r="I862">
        <f t="shared" si="92"/>
        <v>861</v>
      </c>
      <c r="J862" s="18" t="s">
        <v>401</v>
      </c>
      <c r="K862" s="18">
        <v>57</v>
      </c>
      <c r="L862" s="18">
        <v>3</v>
      </c>
      <c r="M862" s="18">
        <f t="shared" ref="M862" si="97">N862/K862</f>
        <v>5.6842105263157894</v>
      </c>
      <c r="N862" s="18">
        <v>324</v>
      </c>
      <c r="O862" s="18">
        <f t="shared" si="94"/>
        <v>5.2631578947368418E-2</v>
      </c>
    </row>
    <row r="872" spans="8:8" x14ac:dyDescent="0.25">
      <c r="H872" s="74" t="s">
        <v>59</v>
      </c>
    </row>
    <row r="873" spans="8:8" x14ac:dyDescent="0.25">
      <c r="H873" s="74" t="s">
        <v>44</v>
      </c>
    </row>
    <row r="874" spans="8:8" x14ac:dyDescent="0.25">
      <c r="H874" s="3" t="s">
        <v>45</v>
      </c>
    </row>
    <row r="875" spans="8:8" x14ac:dyDescent="0.25">
      <c r="H875" s="3" t="s">
        <v>45</v>
      </c>
    </row>
    <row r="876" spans="8:8" x14ac:dyDescent="0.25">
      <c r="H876" s="11" t="s">
        <v>578</v>
      </c>
    </row>
    <row r="877" spans="8:8" x14ac:dyDescent="0.25">
      <c r="H877" s="3" t="s">
        <v>46</v>
      </c>
    </row>
    <row r="878" spans="8:8" x14ac:dyDescent="0.25">
      <c r="H878" s="74" t="s">
        <v>44</v>
      </c>
    </row>
    <row r="879" spans="8:8" x14ac:dyDescent="0.25">
      <c r="H879" s="3" t="s">
        <v>46</v>
      </c>
    </row>
    <row r="880" spans="8:8" x14ac:dyDescent="0.25">
      <c r="H880" s="3" t="s">
        <v>54</v>
      </c>
    </row>
    <row r="881" spans="8:8" x14ac:dyDescent="0.25">
      <c r="H881" s="57" t="s">
        <v>583</v>
      </c>
    </row>
    <row r="882" spans="8:8" x14ac:dyDescent="0.25">
      <c r="H882" s="3" t="s">
        <v>45</v>
      </c>
    </row>
    <row r="883" spans="8:8" x14ac:dyDescent="0.25">
      <c r="H883" s="3" t="s">
        <v>45</v>
      </c>
    </row>
    <row r="884" spans="8:8" x14ac:dyDescent="0.25">
      <c r="H884" s="57" t="s">
        <v>575</v>
      </c>
    </row>
    <row r="885" spans="8:8" x14ac:dyDescent="0.25">
      <c r="H885" s="3" t="s">
        <v>54</v>
      </c>
    </row>
    <row r="886" spans="8:8" x14ac:dyDescent="0.25">
      <c r="H886" s="3" t="s">
        <v>54</v>
      </c>
    </row>
    <row r="887" spans="8:8" x14ac:dyDescent="0.25">
      <c r="H887" s="74" t="s">
        <v>47</v>
      </c>
    </row>
    <row r="888" spans="8:8" x14ac:dyDescent="0.25">
      <c r="H888" s="3" t="s">
        <v>54</v>
      </c>
    </row>
    <row r="889" spans="8:8" x14ac:dyDescent="0.25">
      <c r="H889" s="3" t="s">
        <v>45</v>
      </c>
    </row>
    <row r="890" spans="8:8" x14ac:dyDescent="0.25">
      <c r="H890" s="57" t="s">
        <v>582</v>
      </c>
    </row>
    <row r="891" spans="8:8" x14ac:dyDescent="0.25">
      <c r="H891" s="3" t="s">
        <v>69</v>
      </c>
    </row>
    <row r="892" spans="8:8" x14ac:dyDescent="0.25">
      <c r="H892" s="3" t="s">
        <v>195</v>
      </c>
    </row>
    <row r="893" spans="8:8" x14ac:dyDescent="0.25">
      <c r="H893" s="3" t="s">
        <v>494</v>
      </c>
    </row>
    <row r="894" spans="8:8" x14ac:dyDescent="0.25">
      <c r="H894" s="3" t="s">
        <v>55</v>
      </c>
    </row>
    <row r="895" spans="8:8" x14ac:dyDescent="0.25">
      <c r="H895" s="57" t="s">
        <v>584</v>
      </c>
    </row>
    <row r="896" spans="8:8" x14ac:dyDescent="0.25">
      <c r="H896" s="3" t="s">
        <v>55</v>
      </c>
    </row>
    <row r="897" spans="8:8" x14ac:dyDescent="0.25">
      <c r="H897" s="3" t="s">
        <v>55</v>
      </c>
    </row>
    <row r="898" spans="8:8" x14ac:dyDescent="0.25">
      <c r="H898" s="57" t="s">
        <v>581</v>
      </c>
    </row>
    <row r="899" spans="8:8" x14ac:dyDescent="0.25">
      <c r="H899" s="3" t="s">
        <v>494</v>
      </c>
    </row>
    <row r="900" spans="8:8" x14ac:dyDescent="0.25">
      <c r="H900" s="3" t="s">
        <v>495</v>
      </c>
    </row>
    <row r="901" spans="8:8" x14ac:dyDescent="0.25">
      <c r="H901" s="3" t="s">
        <v>195</v>
      </c>
    </row>
    <row r="902" spans="8:8" x14ac:dyDescent="0.25">
      <c r="H902" s="3" t="s">
        <v>195</v>
      </c>
    </row>
    <row r="903" spans="8:8" x14ac:dyDescent="0.25">
      <c r="H903" s="3" t="s">
        <v>55</v>
      </c>
    </row>
    <row r="904" spans="8:8" x14ac:dyDescent="0.25">
      <c r="H904" s="3" t="s">
        <v>55</v>
      </c>
    </row>
    <row r="905" spans="8:8" x14ac:dyDescent="0.25">
      <c r="H905" s="57" t="s">
        <v>580</v>
      </c>
    </row>
    <row r="906" spans="8:8" x14ac:dyDescent="0.25">
      <c r="H906" s="3" t="s">
        <v>495</v>
      </c>
    </row>
    <row r="907" spans="8:8" x14ac:dyDescent="0.25">
      <c r="H907" s="3" t="s">
        <v>495</v>
      </c>
    </row>
    <row r="908" spans="8:8" x14ac:dyDescent="0.25">
      <c r="H908" s="3" t="s">
        <v>69</v>
      </c>
    </row>
    <row r="909" spans="8:8" x14ac:dyDescent="0.25">
      <c r="H909" s="3" t="s">
        <v>69</v>
      </c>
    </row>
    <row r="910" spans="8:8" x14ac:dyDescent="0.25">
      <c r="H910" s="3" t="s">
        <v>69</v>
      </c>
    </row>
    <row r="911" spans="8:8" x14ac:dyDescent="0.25">
      <c r="H911" s="3" t="s">
        <v>195</v>
      </c>
    </row>
    <row r="912" spans="8:8" x14ac:dyDescent="0.25">
      <c r="H912" s="3" t="s">
        <v>296</v>
      </c>
    </row>
    <row r="913" spans="8:8" x14ac:dyDescent="0.25">
      <c r="H913" s="57" t="s">
        <v>577</v>
      </c>
    </row>
    <row r="914" spans="8:8" x14ac:dyDescent="0.25">
      <c r="H914" s="75" t="s">
        <v>576</v>
      </c>
    </row>
    <row r="915" spans="8:8" x14ac:dyDescent="0.25">
      <c r="H915" s="57" t="s">
        <v>579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xmlns:xlrd2="http://schemas.microsoft.com/office/spreadsheetml/2017/richdata2"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xmlns:xlrd2="http://schemas.microsoft.com/office/spreadsheetml/2017/richdata2"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xmlns:xlrd2="http://schemas.microsoft.com/office/spreadsheetml/2017/richdata2"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FD97"/>
  <sheetViews>
    <sheetView zoomScaleNormal="100" workbookViewId="0">
      <selection activeCell="G109" sqref="G108:G109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2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2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2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2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2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2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2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2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2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2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2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2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2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2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2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2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2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2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2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2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2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2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2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2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2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2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2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2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2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2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2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2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2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2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2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2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2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2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2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2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xmlns:xlrd2="http://schemas.microsoft.com/office/spreadsheetml/2017/richdata2"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FD91"/>
  <sheetViews>
    <sheetView tabSelected="1" zoomScale="90" zoomScaleNormal="90" workbookViewId="0">
      <selection activeCell="O2" sqref="O2"/>
    </sheetView>
  </sheetViews>
  <sheetFormatPr defaultRowHeight="15" x14ac:dyDescent="0.25"/>
  <sheetData>
    <row r="1" spans="1:14 16384:16384" x14ac:dyDescent="0.25">
      <c r="A1" s="1">
        <v>46128</v>
      </c>
      <c r="B1" s="1">
        <v>46128</v>
      </c>
      <c r="C1" s="1">
        <v>46128</v>
      </c>
      <c r="D1" s="1">
        <v>46128</v>
      </c>
      <c r="E1" s="1">
        <v>46135</v>
      </c>
      <c r="F1" s="1">
        <v>46135</v>
      </c>
      <c r="G1" s="1">
        <v>46135</v>
      </c>
      <c r="H1" s="1">
        <v>46135</v>
      </c>
      <c r="I1" s="1">
        <v>46136</v>
      </c>
      <c r="J1" s="1">
        <v>46136</v>
      </c>
      <c r="K1" s="1">
        <v>46140</v>
      </c>
      <c r="L1" s="1">
        <v>46140</v>
      </c>
      <c r="M1" s="1">
        <v>46140</v>
      </c>
      <c r="N1" s="1">
        <v>46140</v>
      </c>
      <c r="XFD1" s="1"/>
    </row>
    <row r="2" spans="1:14 16384:16384" x14ac:dyDescent="0.25">
      <c r="A2" t="s">
        <v>586</v>
      </c>
      <c r="B2" t="s">
        <v>586</v>
      </c>
      <c r="C2" t="s">
        <v>49</v>
      </c>
      <c r="D2" t="s">
        <v>553</v>
      </c>
    </row>
    <row r="3" spans="1:14 16384:16384" x14ac:dyDescent="0.25">
      <c r="A3" t="s">
        <v>113</v>
      </c>
      <c r="B3" t="s">
        <v>16</v>
      </c>
      <c r="C3" t="s">
        <v>553</v>
      </c>
      <c r="D3" t="s">
        <v>51</v>
      </c>
    </row>
    <row r="4" spans="1:14 16384:16384" x14ac:dyDescent="0.25">
      <c r="A4" t="s">
        <v>122</v>
      </c>
      <c r="B4" t="s">
        <v>113</v>
      </c>
      <c r="C4" t="s">
        <v>587</v>
      </c>
      <c r="D4" t="s">
        <v>26</v>
      </c>
    </row>
    <row r="5" spans="1:14 16384:16384" x14ac:dyDescent="0.25">
      <c r="A5" t="s">
        <v>139</v>
      </c>
      <c r="B5" t="s">
        <v>591</v>
      </c>
      <c r="C5" t="s">
        <v>104</v>
      </c>
      <c r="D5" t="s">
        <v>110</v>
      </c>
    </row>
    <row r="6" spans="1:14 16384:16384" x14ac:dyDescent="0.25">
      <c r="A6" t="s">
        <v>16</v>
      </c>
      <c r="B6" t="s">
        <v>110</v>
      </c>
      <c r="C6" t="s">
        <v>110</v>
      </c>
      <c r="D6" t="s">
        <v>49</v>
      </c>
    </row>
    <row r="7" spans="1:14 16384:16384" x14ac:dyDescent="0.25">
      <c r="A7" t="s">
        <v>25</v>
      </c>
      <c r="B7" t="s">
        <v>122</v>
      </c>
      <c r="C7" t="s">
        <v>574</v>
      </c>
      <c r="D7" t="s">
        <v>3</v>
      </c>
    </row>
    <row r="8" spans="1:14 16384:16384" x14ac:dyDescent="0.25">
      <c r="A8" t="s">
        <v>110</v>
      </c>
      <c r="B8" t="s">
        <v>139</v>
      </c>
      <c r="C8" t="s">
        <v>3</v>
      </c>
      <c r="D8" t="s">
        <v>587</v>
      </c>
    </row>
    <row r="9" spans="1:14 16384:16384" x14ac:dyDescent="0.25">
      <c r="A9" t="s">
        <v>28</v>
      </c>
      <c r="B9" t="s">
        <v>28</v>
      </c>
      <c r="C9" t="s">
        <v>129</v>
      </c>
      <c r="D9" t="s">
        <v>574</v>
      </c>
    </row>
    <row r="12" spans="1:14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14 16384:16384" x14ac:dyDescent="0.25">
      <c r="A13" s="18" t="s">
        <v>125</v>
      </c>
      <c r="B13" s="18">
        <v>35</v>
      </c>
      <c r="C13" s="18">
        <v>2</v>
      </c>
      <c r="D13" s="18">
        <f t="shared" ref="D13:D72" si="0">E13/B13</f>
        <v>4.1714285714285717</v>
      </c>
      <c r="E13" s="18">
        <v>146</v>
      </c>
      <c r="F13" s="18">
        <f t="shared" ref="F13:F72" si="1">C13/B13</f>
        <v>5.7142857142857141E-2</v>
      </c>
      <c r="G13" s="32">
        <v>2.3664319132398401</v>
      </c>
      <c r="I13" s="18" t="s">
        <v>125</v>
      </c>
      <c r="J13" s="18">
        <v>35</v>
      </c>
      <c r="K13" s="18">
        <v>2</v>
      </c>
      <c r="L13" s="18">
        <f t="shared" ref="L13:L15" si="2">M13/J13</f>
        <v>4.1714285714285717</v>
      </c>
      <c r="M13" s="18">
        <v>146</v>
      </c>
      <c r="N13" s="18">
        <f t="shared" ref="N13:N15" si="3">K13/J13</f>
        <v>5.7142857142857141E-2</v>
      </c>
    </row>
    <row r="14" spans="1:14 16384:16384" x14ac:dyDescent="0.25">
      <c r="A14" s="18" t="s">
        <v>104</v>
      </c>
      <c r="B14" s="18">
        <v>123</v>
      </c>
      <c r="C14" s="18">
        <v>9</v>
      </c>
      <c r="D14" s="18">
        <f t="shared" si="0"/>
        <v>4.2601626016260159</v>
      </c>
      <c r="E14" s="18">
        <v>524</v>
      </c>
      <c r="F14" s="18">
        <f t="shared" si="1"/>
        <v>7.3170731707317069E-2</v>
      </c>
      <c r="G14" s="32">
        <v>2.3273733406281498</v>
      </c>
      <c r="I14" s="18" t="s">
        <v>104</v>
      </c>
      <c r="J14" s="18">
        <v>123</v>
      </c>
      <c r="K14" s="18">
        <v>9</v>
      </c>
      <c r="L14" s="18">
        <f t="shared" si="2"/>
        <v>4.2601626016260159</v>
      </c>
      <c r="M14" s="18">
        <v>524</v>
      </c>
      <c r="N14" s="18">
        <f t="shared" si="3"/>
        <v>7.3170731707317069E-2</v>
      </c>
    </row>
    <row r="15" spans="1:14 16384:16384" x14ac:dyDescent="0.25">
      <c r="A15" s="18" t="s">
        <v>31</v>
      </c>
      <c r="B15" s="18">
        <v>235</v>
      </c>
      <c r="C15" s="18">
        <v>18</v>
      </c>
      <c r="D15" s="18">
        <f t="shared" si="0"/>
        <v>5.1617021276595745</v>
      </c>
      <c r="E15" s="18">
        <v>1213</v>
      </c>
      <c r="F15" s="18">
        <f t="shared" si="1"/>
        <v>7.6595744680851063E-2</v>
      </c>
      <c r="G15" s="32">
        <v>1.87082869338697</v>
      </c>
      <c r="I15" s="18" t="s">
        <v>31</v>
      </c>
      <c r="J15" s="18">
        <v>235</v>
      </c>
      <c r="K15" s="18">
        <v>18</v>
      </c>
      <c r="L15" s="18">
        <f t="shared" si="2"/>
        <v>5.1617021276595745</v>
      </c>
      <c r="M15" s="18">
        <v>1213</v>
      </c>
      <c r="N15" s="18">
        <f t="shared" si="3"/>
        <v>7.6595744680851063E-2</v>
      </c>
    </row>
    <row r="16" spans="1:14 16384:16384" x14ac:dyDescent="0.25">
      <c r="A16" s="18" t="s">
        <v>105</v>
      </c>
      <c r="B16" s="18">
        <v>32</v>
      </c>
      <c r="C16" s="18">
        <v>4</v>
      </c>
      <c r="D16" s="18">
        <f t="shared" si="0"/>
        <v>4.78125</v>
      </c>
      <c r="E16" s="18">
        <v>153</v>
      </c>
      <c r="F16" s="18">
        <f t="shared" si="1"/>
        <v>0.125</v>
      </c>
      <c r="G16" s="32">
        <v>1.8165902124584901</v>
      </c>
      <c r="I16" s="18" t="s">
        <v>105</v>
      </c>
      <c r="J16" s="18">
        <v>32</v>
      </c>
      <c r="K16" s="18">
        <v>4</v>
      </c>
      <c r="L16" s="18">
        <f t="shared" ref="L16:L17" si="4">M16/J16</f>
        <v>4.78125</v>
      </c>
      <c r="M16" s="18">
        <v>153</v>
      </c>
      <c r="N16" s="18">
        <f t="shared" ref="N16:N17" si="5">K16/J16</f>
        <v>0.125</v>
      </c>
    </row>
    <row r="17" spans="1:14" x14ac:dyDescent="0.25">
      <c r="A17" s="18" t="s">
        <v>128</v>
      </c>
      <c r="B17" s="18">
        <v>109</v>
      </c>
      <c r="C17" s="18">
        <v>34</v>
      </c>
      <c r="D17" s="18">
        <f t="shared" si="0"/>
        <v>3.2201834862385321</v>
      </c>
      <c r="E17" s="18">
        <v>351</v>
      </c>
      <c r="F17" s="18">
        <f t="shared" si="1"/>
        <v>0.31192660550458717</v>
      </c>
      <c r="G17" s="32">
        <v>2.03049835952651</v>
      </c>
      <c r="I17" s="18" t="s">
        <v>128</v>
      </c>
      <c r="J17" s="18">
        <v>109</v>
      </c>
      <c r="K17" s="18">
        <v>34</v>
      </c>
      <c r="L17" s="18">
        <f t="shared" si="4"/>
        <v>3.2201834862385321</v>
      </c>
      <c r="M17" s="18">
        <v>351</v>
      </c>
      <c r="N17" s="18">
        <f t="shared" si="5"/>
        <v>0.31192660550458717</v>
      </c>
    </row>
    <row r="18" spans="1:14" x14ac:dyDescent="0.2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s="18" t="s">
        <v>8</v>
      </c>
      <c r="J18" s="18">
        <v>49</v>
      </c>
      <c r="K18" s="18">
        <v>6</v>
      </c>
      <c r="L18" s="18">
        <f t="shared" ref="L18" si="6">M18/J18</f>
        <v>4.4285714285714288</v>
      </c>
      <c r="M18" s="18">
        <v>217</v>
      </c>
      <c r="N18" s="18">
        <f t="shared" ref="N18" si="7">K18/J18</f>
        <v>0.12244897959183673</v>
      </c>
    </row>
    <row r="19" spans="1:14" x14ac:dyDescent="0.25">
      <c r="A19" t="s">
        <v>37</v>
      </c>
      <c r="B19">
        <v>23</v>
      </c>
      <c r="C19">
        <v>2</v>
      </c>
      <c r="D19">
        <f t="shared" si="0"/>
        <v>4.9130434782608692</v>
      </c>
      <c r="E19">
        <v>113</v>
      </c>
      <c r="F19">
        <f t="shared" si="1"/>
        <v>8.6956521739130432E-2</v>
      </c>
      <c r="G19" s="32">
        <v>2.4235565546581199</v>
      </c>
      <c r="I19" t="s">
        <v>14</v>
      </c>
      <c r="J19">
        <v>45</v>
      </c>
      <c r="K19">
        <v>3</v>
      </c>
      <c r="L19">
        <f>M19/J19</f>
        <v>4.7111111111111112</v>
      </c>
      <c r="M19">
        <v>212</v>
      </c>
      <c r="N19">
        <f>K19/J19</f>
        <v>6.6666666666666666E-2</v>
      </c>
    </row>
    <row r="20" spans="1:1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73" t="s">
        <v>90</v>
      </c>
      <c r="J20" s="73">
        <v>30</v>
      </c>
      <c r="K20" s="73">
        <v>3</v>
      </c>
      <c r="L20" s="73">
        <f t="shared" ref="L20" si="8">M20/J20</f>
        <v>5.6</v>
      </c>
      <c r="M20" s="73">
        <v>168</v>
      </c>
      <c r="N20" s="73">
        <f t="shared" ref="N20" si="9">K20/J20</f>
        <v>0.1</v>
      </c>
    </row>
    <row r="21" spans="1:14" x14ac:dyDescent="0.2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18" t="s">
        <v>6</v>
      </c>
      <c r="J21" s="18">
        <v>45</v>
      </c>
      <c r="K21" s="18">
        <v>3</v>
      </c>
      <c r="L21" s="18">
        <f>M21/J21</f>
        <v>5.3555555555555552</v>
      </c>
      <c r="M21" s="18">
        <v>241</v>
      </c>
      <c r="N21" s="18">
        <f>K21/J21</f>
        <v>6.6666666666666666E-2</v>
      </c>
    </row>
    <row r="22" spans="1:1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19</v>
      </c>
      <c r="J22" s="18">
        <v>32</v>
      </c>
      <c r="K22" s="18">
        <v>3</v>
      </c>
      <c r="L22" s="18">
        <f t="shared" ref="L22:L23" si="10">M22/J22</f>
        <v>5.15625</v>
      </c>
      <c r="M22" s="18">
        <v>165</v>
      </c>
      <c r="N22" s="18">
        <f t="shared" ref="N22:N23" si="11">K22/J22</f>
        <v>9.375E-2</v>
      </c>
    </row>
    <row r="23" spans="1:14" x14ac:dyDescent="0.25">
      <c r="A23" s="18" t="s">
        <v>19</v>
      </c>
      <c r="B23" s="18">
        <v>32</v>
      </c>
      <c r="C23" s="18">
        <v>3</v>
      </c>
      <c r="D23" s="18">
        <f t="shared" si="0"/>
        <v>5.15625</v>
      </c>
      <c r="E23" s="18">
        <v>165</v>
      </c>
      <c r="F23" s="18">
        <f t="shared" si="1"/>
        <v>9.375E-2</v>
      </c>
      <c r="G23" s="32">
        <v>2.3299294900428702</v>
      </c>
      <c r="I23" s="18" t="s">
        <v>25</v>
      </c>
      <c r="J23" s="18">
        <v>201</v>
      </c>
      <c r="K23" s="18">
        <v>19</v>
      </c>
      <c r="L23" s="18">
        <f t="shared" si="10"/>
        <v>5.0746268656716422</v>
      </c>
      <c r="M23" s="18">
        <v>1020</v>
      </c>
      <c r="N23" s="18">
        <f t="shared" si="11"/>
        <v>9.4527363184079602E-2</v>
      </c>
    </row>
    <row r="24" spans="1:14" x14ac:dyDescent="0.25">
      <c r="A24" t="s">
        <v>56</v>
      </c>
      <c r="B24">
        <v>24</v>
      </c>
      <c r="C24">
        <v>0</v>
      </c>
      <c r="D24">
        <f t="shared" si="0"/>
        <v>5.125</v>
      </c>
      <c r="E24">
        <v>123</v>
      </c>
      <c r="F24">
        <f t="shared" si="1"/>
        <v>0</v>
      </c>
      <c r="G24" s="32">
        <v>2.0655911179772799</v>
      </c>
      <c r="I24" s="18" t="s">
        <v>34</v>
      </c>
      <c r="J24" s="18">
        <v>30</v>
      </c>
      <c r="K24" s="18">
        <v>2</v>
      </c>
      <c r="L24" s="18">
        <f t="shared" ref="L24:L26" si="12">M24/J24</f>
        <v>5.5333333333333332</v>
      </c>
      <c r="M24" s="18">
        <v>166</v>
      </c>
      <c r="N24" s="18">
        <f t="shared" ref="N24:N26" si="13">K24/J24</f>
        <v>6.6666666666666666E-2</v>
      </c>
    </row>
    <row r="25" spans="1:14" x14ac:dyDescent="0.25">
      <c r="A25" t="s">
        <v>52</v>
      </c>
      <c r="B25">
        <v>27</v>
      </c>
      <c r="C25">
        <v>3</v>
      </c>
      <c r="D25">
        <f t="shared" si="0"/>
        <v>3.6666666666666665</v>
      </c>
      <c r="E25">
        <v>99</v>
      </c>
      <c r="F25">
        <f t="shared" si="1"/>
        <v>0.1111111111111111</v>
      </c>
      <c r="G25" s="32">
        <v>2.1794494717703299</v>
      </c>
      <c r="I25" s="18" t="s">
        <v>147</v>
      </c>
      <c r="J25" s="18">
        <v>123</v>
      </c>
      <c r="K25" s="18">
        <v>25</v>
      </c>
      <c r="L25" s="18">
        <f t="shared" si="12"/>
        <v>3.6991869918699187</v>
      </c>
      <c r="M25" s="18">
        <v>455</v>
      </c>
      <c r="N25" s="18">
        <f t="shared" si="13"/>
        <v>0.2032520325203252</v>
      </c>
    </row>
    <row r="26" spans="1:14" x14ac:dyDescent="0.25">
      <c r="A26" t="s">
        <v>20</v>
      </c>
      <c r="B26">
        <v>27</v>
      </c>
      <c r="C26">
        <v>2</v>
      </c>
      <c r="D26">
        <f t="shared" si="0"/>
        <v>5.3703703703703702</v>
      </c>
      <c r="E26">
        <v>145</v>
      </c>
      <c r="F26">
        <f t="shared" si="1"/>
        <v>7.407407407407407E-2</v>
      </c>
      <c r="G26" s="32">
        <v>2.3159525823376299</v>
      </c>
      <c r="I26" s="18" t="s">
        <v>87</v>
      </c>
      <c r="J26" s="18">
        <v>157</v>
      </c>
      <c r="K26" s="18">
        <v>19</v>
      </c>
      <c r="L26" s="18">
        <f t="shared" si="12"/>
        <v>4.9490445859872612</v>
      </c>
      <c r="M26" s="18">
        <v>777</v>
      </c>
      <c r="N26" s="18">
        <f t="shared" si="13"/>
        <v>0.12101910828025478</v>
      </c>
    </row>
    <row r="27" spans="1:14" x14ac:dyDescent="0.25">
      <c r="A27" s="18" t="s">
        <v>25</v>
      </c>
      <c r="B27" s="18">
        <v>201</v>
      </c>
      <c r="C27" s="18">
        <v>19</v>
      </c>
      <c r="D27" s="18">
        <f t="shared" si="0"/>
        <v>5.0746268656716422</v>
      </c>
      <c r="E27" s="18">
        <v>1020</v>
      </c>
      <c r="F27" s="18">
        <f t="shared" si="1"/>
        <v>9.4527363184079602E-2</v>
      </c>
      <c r="G27" s="32">
        <v>2.1609054109613202</v>
      </c>
      <c r="I27" s="18" t="s">
        <v>50</v>
      </c>
      <c r="J27" s="18">
        <v>30</v>
      </c>
      <c r="K27" s="18">
        <v>1</v>
      </c>
      <c r="L27" s="18">
        <f t="shared" ref="L27:L28" si="14">M27/J27</f>
        <v>4.3</v>
      </c>
      <c r="M27" s="18">
        <v>129</v>
      </c>
      <c r="N27" s="18">
        <f t="shared" ref="N27:N28" si="15">K27/J27</f>
        <v>3.3333333333333333E-2</v>
      </c>
    </row>
    <row r="28" spans="1:14" x14ac:dyDescent="0.2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81</v>
      </c>
      <c r="J28" s="18">
        <v>81</v>
      </c>
      <c r="K28" s="18">
        <v>6</v>
      </c>
      <c r="L28" s="18">
        <f t="shared" si="14"/>
        <v>5.0864197530864201</v>
      </c>
      <c r="M28" s="18">
        <v>412</v>
      </c>
      <c r="N28" s="18">
        <f t="shared" si="15"/>
        <v>7.407407407407407E-2</v>
      </c>
    </row>
    <row r="29" spans="1:14" x14ac:dyDescent="0.25">
      <c r="A29" s="18" t="s">
        <v>147</v>
      </c>
      <c r="B29" s="18">
        <v>123</v>
      </c>
      <c r="C29" s="18">
        <v>25</v>
      </c>
      <c r="D29" s="18">
        <f t="shared" si="0"/>
        <v>3.6991869918699187</v>
      </c>
      <c r="E29" s="18">
        <v>455</v>
      </c>
      <c r="F29" s="18">
        <f t="shared" si="1"/>
        <v>0.2032520325203252</v>
      </c>
      <c r="G29" s="32">
        <v>1.94935886896179</v>
      </c>
      <c r="I29" s="18" t="s">
        <v>36</v>
      </c>
      <c r="J29" s="18">
        <v>30</v>
      </c>
      <c r="K29" s="18">
        <v>0</v>
      </c>
      <c r="L29" s="18">
        <f t="shared" ref="L29" si="16">M29/J29</f>
        <v>4.5333333333333332</v>
      </c>
      <c r="M29" s="18">
        <v>136</v>
      </c>
      <c r="N29" s="18">
        <f t="shared" ref="N29" si="17">K29/J29</f>
        <v>0</v>
      </c>
    </row>
    <row r="30" spans="1:14" x14ac:dyDescent="0.25">
      <c r="A30" s="18" t="s">
        <v>87</v>
      </c>
      <c r="B30" s="18">
        <v>157</v>
      </c>
      <c r="C30" s="18">
        <v>19</v>
      </c>
      <c r="D30" s="18">
        <f t="shared" si="0"/>
        <v>4.9490445859872612</v>
      </c>
      <c r="E30" s="18">
        <v>777</v>
      </c>
      <c r="F30" s="18">
        <f t="shared" si="1"/>
        <v>0.12101910828025478</v>
      </c>
      <c r="G30" s="32">
        <v>1.7888543819998299</v>
      </c>
      <c r="I30" s="18" t="s">
        <v>112</v>
      </c>
      <c r="J30" s="18">
        <v>30</v>
      </c>
      <c r="K30" s="18">
        <v>6</v>
      </c>
      <c r="L30" s="18">
        <f t="shared" ref="L30" si="18">M30/J30</f>
        <v>4.166666666666667</v>
      </c>
      <c r="M30" s="18">
        <v>125</v>
      </c>
      <c r="N30" s="18">
        <f t="shared" ref="N30" si="19">K30/J30</f>
        <v>0.2</v>
      </c>
    </row>
    <row r="31" spans="1:14" x14ac:dyDescent="0.25">
      <c r="A31" s="18" t="s">
        <v>50</v>
      </c>
      <c r="B31" s="18">
        <v>30</v>
      </c>
      <c r="C31" s="18">
        <v>1</v>
      </c>
      <c r="D31" s="18">
        <f t="shared" si="0"/>
        <v>4.3</v>
      </c>
      <c r="E31" s="18">
        <v>129</v>
      </c>
      <c r="F31" s="18">
        <f t="shared" si="1"/>
        <v>3.3333333333333333E-2</v>
      </c>
      <c r="G31" s="32">
        <v>2.2360679774997898</v>
      </c>
      <c r="I31" s="18" t="s">
        <v>27</v>
      </c>
      <c r="J31" s="18">
        <v>36</v>
      </c>
      <c r="K31" s="18">
        <v>3</v>
      </c>
      <c r="L31" s="18">
        <f>M31/J31</f>
        <v>4.4444444444444446</v>
      </c>
      <c r="M31" s="18">
        <v>160</v>
      </c>
      <c r="N31" s="18">
        <f>K31/J31</f>
        <v>8.3333333333333329E-2</v>
      </c>
    </row>
    <row r="32" spans="1:14" x14ac:dyDescent="0.25">
      <c r="A32" s="18" t="s">
        <v>81</v>
      </c>
      <c r="B32" s="18">
        <v>81</v>
      </c>
      <c r="C32" s="18">
        <v>6</v>
      </c>
      <c r="D32" s="18">
        <f t="shared" si="0"/>
        <v>5.0864197530864201</v>
      </c>
      <c r="E32" s="18">
        <v>412</v>
      </c>
      <c r="F32" s="18">
        <f t="shared" si="1"/>
        <v>7.407407407407407E-2</v>
      </c>
      <c r="G32" s="32">
        <v>1.76776695296636</v>
      </c>
      <c r="I32" s="18" t="s">
        <v>117</v>
      </c>
      <c r="J32" s="18">
        <v>32</v>
      </c>
      <c r="K32" s="18">
        <v>6</v>
      </c>
      <c r="L32" s="18">
        <f t="shared" ref="L32:L34" si="20">M32/J32</f>
        <v>4.25</v>
      </c>
      <c r="M32" s="18">
        <v>136</v>
      </c>
      <c r="N32" s="18">
        <f t="shared" ref="N32:N34" si="21">K32/J32</f>
        <v>0.1875</v>
      </c>
    </row>
    <row r="33" spans="1:14" x14ac:dyDescent="0.25">
      <c r="A33" s="18" t="s">
        <v>36</v>
      </c>
      <c r="B33" s="18">
        <v>30</v>
      </c>
      <c r="C33" s="18">
        <v>0</v>
      </c>
      <c r="D33" s="18">
        <f t="shared" si="0"/>
        <v>4.5333333333333332</v>
      </c>
      <c r="E33" s="18">
        <v>136</v>
      </c>
      <c r="F33" s="18">
        <f t="shared" si="1"/>
        <v>0</v>
      </c>
      <c r="G33" s="32">
        <v>2.6076809620810502</v>
      </c>
      <c r="I33" s="18" t="s">
        <v>401</v>
      </c>
      <c r="J33" s="18">
        <v>67</v>
      </c>
      <c r="K33" s="18">
        <v>3</v>
      </c>
      <c r="L33" s="18">
        <f t="shared" si="20"/>
        <v>5.4776119402985071</v>
      </c>
      <c r="M33" s="18">
        <v>367</v>
      </c>
      <c r="N33" s="18">
        <f t="shared" si="21"/>
        <v>4.4776119402985072E-2</v>
      </c>
    </row>
    <row r="34" spans="1:14" x14ac:dyDescent="0.25">
      <c r="A34" s="18" t="s">
        <v>112</v>
      </c>
      <c r="B34" s="18">
        <v>30</v>
      </c>
      <c r="C34" s="18">
        <v>6</v>
      </c>
      <c r="D34" s="18">
        <f t="shared" si="0"/>
        <v>4.166666666666667</v>
      </c>
      <c r="E34" s="18">
        <v>125</v>
      </c>
      <c r="F34" s="18">
        <f t="shared" si="1"/>
        <v>0.2</v>
      </c>
      <c r="G34" s="32">
        <v>2.71006354989037</v>
      </c>
      <c r="I34" s="18" t="s">
        <v>15</v>
      </c>
      <c r="J34" s="18">
        <v>259</v>
      </c>
      <c r="K34" s="18">
        <v>38</v>
      </c>
      <c r="L34" s="18">
        <f t="shared" si="20"/>
        <v>4.6061776061776065</v>
      </c>
      <c r="M34" s="18">
        <v>1193</v>
      </c>
      <c r="N34" s="18">
        <f t="shared" si="21"/>
        <v>0.14671814671814673</v>
      </c>
    </row>
    <row r="35" spans="1:14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13</v>
      </c>
      <c r="J35" s="18">
        <v>36</v>
      </c>
      <c r="K35" s="18">
        <v>2</v>
      </c>
      <c r="L35" s="18">
        <f>M35/J35</f>
        <v>4.7222222222222223</v>
      </c>
      <c r="M35" s="18">
        <v>170</v>
      </c>
      <c r="N35" s="18">
        <f>K35/J35</f>
        <v>5.5555555555555552E-2</v>
      </c>
    </row>
    <row r="36" spans="1:14" x14ac:dyDescent="0.25">
      <c r="A36" s="18" t="s">
        <v>117</v>
      </c>
      <c r="B36" s="18">
        <v>32</v>
      </c>
      <c r="C36" s="18">
        <v>6</v>
      </c>
      <c r="D36" s="18">
        <f t="shared" si="0"/>
        <v>4.25</v>
      </c>
      <c r="E36" s="18">
        <v>136</v>
      </c>
      <c r="F36" s="18">
        <f t="shared" si="1"/>
        <v>0.1875</v>
      </c>
      <c r="G36" s="32">
        <v>2.7284509239574799</v>
      </c>
      <c r="I36" s="18" t="s">
        <v>10</v>
      </c>
      <c r="J36" s="18">
        <v>73</v>
      </c>
      <c r="K36" s="18">
        <v>13</v>
      </c>
      <c r="L36" s="18">
        <f t="shared" ref="L36" si="22">M36/J36</f>
        <v>3.9452054794520546</v>
      </c>
      <c r="M36" s="18">
        <v>288</v>
      </c>
      <c r="N36" s="18">
        <f t="shared" ref="N36" si="23">K36/J36</f>
        <v>0.17808219178082191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63</v>
      </c>
      <c r="J37" s="18">
        <v>30</v>
      </c>
      <c r="K37" s="18">
        <v>5</v>
      </c>
      <c r="L37" s="18">
        <f t="shared" ref="L37" si="24">M37/J37</f>
        <v>4.2333333333333334</v>
      </c>
      <c r="M37" s="18">
        <v>127</v>
      </c>
      <c r="N37" s="18">
        <f t="shared" ref="N37" si="25">K37/J37</f>
        <v>0.16666666666666666</v>
      </c>
    </row>
    <row r="38" spans="1:14" x14ac:dyDescent="0.25">
      <c r="A38" s="18" t="s">
        <v>401</v>
      </c>
      <c r="B38" s="18">
        <v>67</v>
      </c>
      <c r="C38" s="18">
        <v>3</v>
      </c>
      <c r="D38" s="18">
        <f t="shared" si="0"/>
        <v>5.4776119402985071</v>
      </c>
      <c r="E38" s="18">
        <v>367</v>
      </c>
      <c r="F38" s="18">
        <f t="shared" si="1"/>
        <v>4.4776119402985072E-2</v>
      </c>
      <c r="G38" s="32">
        <v>2.1248885888797799</v>
      </c>
      <c r="I38" s="18" t="s">
        <v>4</v>
      </c>
      <c r="J38" s="18">
        <v>30</v>
      </c>
      <c r="K38" s="18">
        <v>4</v>
      </c>
      <c r="L38" s="18">
        <f t="shared" ref="L38:L42" si="26">M38/J38</f>
        <v>4.8</v>
      </c>
      <c r="M38" s="18">
        <v>144</v>
      </c>
      <c r="N38" s="18">
        <f t="shared" ref="N38:N42" si="27">K38/J38</f>
        <v>0.13333333333333333</v>
      </c>
    </row>
    <row r="39" spans="1:14" x14ac:dyDescent="0.25">
      <c r="A39" s="18" t="s">
        <v>15</v>
      </c>
      <c r="B39" s="18">
        <v>259</v>
      </c>
      <c r="C39" s="18">
        <v>38</v>
      </c>
      <c r="D39" s="18">
        <f t="shared" si="0"/>
        <v>4.6061776061776065</v>
      </c>
      <c r="E39" s="18">
        <v>1193</v>
      </c>
      <c r="F39" s="18">
        <f t="shared" si="1"/>
        <v>0.14671814671814673</v>
      </c>
      <c r="G39" s="32">
        <v>2.3694389634605302</v>
      </c>
      <c r="I39" s="18" t="s">
        <v>121</v>
      </c>
      <c r="J39" s="18">
        <v>98</v>
      </c>
      <c r="K39" s="18">
        <v>22</v>
      </c>
      <c r="L39" s="18">
        <f t="shared" si="26"/>
        <v>3.8673469387755102</v>
      </c>
      <c r="M39" s="18">
        <v>379</v>
      </c>
      <c r="N39" s="18">
        <f t="shared" si="27"/>
        <v>0.22448979591836735</v>
      </c>
    </row>
    <row r="40" spans="1:14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232</v>
      </c>
      <c r="J40" s="18">
        <v>139</v>
      </c>
      <c r="K40" s="18">
        <v>27</v>
      </c>
      <c r="L40" s="18">
        <f t="shared" si="26"/>
        <v>3.6906474820143886</v>
      </c>
      <c r="M40" s="18">
        <v>513</v>
      </c>
      <c r="N40" s="18">
        <f t="shared" si="27"/>
        <v>0.19424460431654678</v>
      </c>
    </row>
    <row r="41" spans="1:14" x14ac:dyDescent="0.2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21</v>
      </c>
      <c r="J41" s="18">
        <v>169</v>
      </c>
      <c r="K41" s="18">
        <v>25</v>
      </c>
      <c r="L41" s="18">
        <f t="shared" si="26"/>
        <v>4.3136094674556213</v>
      </c>
      <c r="M41" s="18">
        <v>729</v>
      </c>
      <c r="N41" s="18">
        <f t="shared" si="27"/>
        <v>0.14792899408284024</v>
      </c>
    </row>
    <row r="42" spans="1:14" x14ac:dyDescent="0.25">
      <c r="A42" s="18" t="s">
        <v>63</v>
      </c>
      <c r="B42" s="18">
        <v>30</v>
      </c>
      <c r="C42" s="18">
        <v>5</v>
      </c>
      <c r="D42" s="18">
        <f t="shared" si="0"/>
        <v>4.2333333333333334</v>
      </c>
      <c r="E42" s="18">
        <v>127</v>
      </c>
      <c r="F42" s="18">
        <f t="shared" si="1"/>
        <v>0.16666666666666666</v>
      </c>
      <c r="G42" s="32">
        <v>2.6394443859772201</v>
      </c>
      <c r="I42" s="18" t="s">
        <v>51</v>
      </c>
      <c r="J42" s="18">
        <v>45</v>
      </c>
      <c r="K42" s="18">
        <v>3</v>
      </c>
      <c r="L42" s="18">
        <f t="shared" si="26"/>
        <v>4.9111111111111114</v>
      </c>
      <c r="M42" s="18">
        <v>221</v>
      </c>
      <c r="N42" s="18">
        <f t="shared" si="27"/>
        <v>6.6666666666666666E-2</v>
      </c>
    </row>
    <row r="43" spans="1:14" x14ac:dyDescent="0.25">
      <c r="A43" s="18" t="s">
        <v>4</v>
      </c>
      <c r="B43" s="18">
        <v>30</v>
      </c>
      <c r="C43" s="18">
        <v>4</v>
      </c>
      <c r="D43" s="18">
        <f t="shared" si="0"/>
        <v>4.8</v>
      </c>
      <c r="E43" s="18">
        <v>144</v>
      </c>
      <c r="F43" s="18">
        <f t="shared" si="1"/>
        <v>0.13333333333333333</v>
      </c>
      <c r="G43" s="32">
        <v>2.08832734769027</v>
      </c>
      <c r="I43" s="18" t="s">
        <v>414</v>
      </c>
      <c r="J43" s="18">
        <v>30</v>
      </c>
      <c r="K43" s="18">
        <v>4</v>
      </c>
      <c r="L43" s="18">
        <f t="shared" ref="L43" si="28">M43/J43</f>
        <v>4.6333333333333337</v>
      </c>
      <c r="M43" s="18">
        <v>139</v>
      </c>
      <c r="N43" s="18">
        <f t="shared" ref="N43" si="29">K43/J43</f>
        <v>0.13333333333333333</v>
      </c>
    </row>
    <row r="44" spans="1:14" x14ac:dyDescent="0.25">
      <c r="A44" s="18" t="s">
        <v>121</v>
      </c>
      <c r="B44" s="18">
        <v>98</v>
      </c>
      <c r="C44" s="18">
        <v>22</v>
      </c>
      <c r="D44" s="18">
        <f t="shared" si="0"/>
        <v>3.8673469387755102</v>
      </c>
      <c r="E44" s="18">
        <v>379</v>
      </c>
      <c r="F44" s="18">
        <f t="shared" si="1"/>
        <v>0.22448979591836735</v>
      </c>
      <c r="G44" s="32">
        <v>2.2233267457082899</v>
      </c>
      <c r="I44" s="18" t="s">
        <v>0</v>
      </c>
      <c r="J44" s="18">
        <v>84</v>
      </c>
      <c r="K44" s="18">
        <v>14</v>
      </c>
      <c r="L44" s="18">
        <f>M44/J44</f>
        <v>4.1547619047619051</v>
      </c>
      <c r="M44" s="18">
        <v>349</v>
      </c>
      <c r="N44" s="18">
        <f>K44/J44</f>
        <v>0.16666666666666666</v>
      </c>
    </row>
    <row r="45" spans="1:14" x14ac:dyDescent="0.25">
      <c r="A45" s="18" t="s">
        <v>232</v>
      </c>
      <c r="B45" s="18">
        <v>139</v>
      </c>
      <c r="C45" s="18">
        <v>27</v>
      </c>
      <c r="D45" s="18">
        <f t="shared" si="0"/>
        <v>3.6906474820143886</v>
      </c>
      <c r="E45" s="18">
        <v>513</v>
      </c>
      <c r="F45" s="18">
        <f t="shared" si="1"/>
        <v>0.19424460431654678</v>
      </c>
      <c r="G45" s="32">
        <v>2.2509257354845502</v>
      </c>
      <c r="I45" s="18" t="s">
        <v>1</v>
      </c>
      <c r="J45" s="18">
        <v>113</v>
      </c>
      <c r="K45" s="18">
        <v>6</v>
      </c>
      <c r="L45" s="18">
        <f t="shared" ref="L45:L47" si="30">M45/J45</f>
        <v>4.610619469026549</v>
      </c>
      <c r="M45" s="18">
        <v>521</v>
      </c>
      <c r="N45" s="18">
        <f t="shared" ref="N45:N47" si="31">K45/J45</f>
        <v>5.3097345132743362E-2</v>
      </c>
    </row>
    <row r="46" spans="1:14" x14ac:dyDescent="0.25">
      <c r="A46" s="18" t="s">
        <v>21</v>
      </c>
      <c r="B46" s="18">
        <v>169</v>
      </c>
      <c r="C46" s="18">
        <v>25</v>
      </c>
      <c r="D46" s="18">
        <f t="shared" si="0"/>
        <v>4.3136094674556213</v>
      </c>
      <c r="E46" s="18">
        <v>729</v>
      </c>
      <c r="F46" s="18">
        <f t="shared" si="1"/>
        <v>0.14792899408284024</v>
      </c>
      <c r="G46" s="32">
        <v>2.0655911179772799</v>
      </c>
      <c r="I46" s="18" t="s">
        <v>28</v>
      </c>
      <c r="J46" s="18">
        <v>61</v>
      </c>
      <c r="K46" s="18">
        <v>1</v>
      </c>
      <c r="L46" s="18">
        <f t="shared" si="30"/>
        <v>5.5737704918032787</v>
      </c>
      <c r="M46" s="18">
        <v>340</v>
      </c>
      <c r="N46" s="18">
        <f t="shared" si="31"/>
        <v>1.6393442622950821E-2</v>
      </c>
    </row>
    <row r="47" spans="1:14" x14ac:dyDescent="0.25">
      <c r="A47" s="18" t="s">
        <v>51</v>
      </c>
      <c r="B47" s="18">
        <v>45</v>
      </c>
      <c r="C47" s="18">
        <v>3</v>
      </c>
      <c r="D47" s="18">
        <f t="shared" si="0"/>
        <v>4.9111111111111114</v>
      </c>
      <c r="E47" s="18">
        <v>221</v>
      </c>
      <c r="F47" s="18">
        <f t="shared" si="1"/>
        <v>6.6666666666666666E-2</v>
      </c>
      <c r="G47" s="32">
        <v>2.2967049878400898</v>
      </c>
      <c r="I47" s="18" t="s">
        <v>253</v>
      </c>
      <c r="J47" s="18">
        <v>43</v>
      </c>
      <c r="K47" s="18">
        <v>3</v>
      </c>
      <c r="L47" s="18">
        <f t="shared" si="30"/>
        <v>5.2790697674418601</v>
      </c>
      <c r="M47" s="18">
        <v>227</v>
      </c>
      <c r="N47" s="18">
        <f t="shared" si="31"/>
        <v>6.9767441860465115E-2</v>
      </c>
    </row>
    <row r="48" spans="1:14" x14ac:dyDescent="0.25">
      <c r="A48" s="18" t="s">
        <v>414</v>
      </c>
      <c r="B48" s="18">
        <v>30</v>
      </c>
      <c r="C48" s="18">
        <v>4</v>
      </c>
      <c r="D48" s="18">
        <f t="shared" si="0"/>
        <v>4.6333333333333337</v>
      </c>
      <c r="E48" s="18">
        <v>139</v>
      </c>
      <c r="F48" s="18">
        <f t="shared" si="1"/>
        <v>0.13333333333333333</v>
      </c>
      <c r="G48" s="32">
        <v>2.8702082220799299</v>
      </c>
      <c r="I48" s="18" t="s">
        <v>175</v>
      </c>
      <c r="J48" s="18">
        <v>50</v>
      </c>
      <c r="K48" s="18">
        <v>13</v>
      </c>
      <c r="L48" s="18">
        <f t="shared" ref="L47:L49" si="32">M48/J48</f>
        <v>3.24</v>
      </c>
      <c r="M48" s="18">
        <v>162</v>
      </c>
      <c r="N48" s="18">
        <f t="shared" ref="N47:N48" si="33">K48/J48</f>
        <v>0.26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61</v>
      </c>
      <c r="J49" s="18">
        <v>55</v>
      </c>
      <c r="K49" s="18">
        <v>10</v>
      </c>
      <c r="L49" s="18">
        <f t="shared" si="32"/>
        <v>4.5636363636363635</v>
      </c>
      <c r="M49" s="18">
        <v>251</v>
      </c>
      <c r="N49" s="18">
        <f>K49/J49</f>
        <v>0.18181818181818182</v>
      </c>
    </row>
    <row r="50" spans="1:14" x14ac:dyDescent="0.25">
      <c r="A50" s="18" t="s">
        <v>1</v>
      </c>
      <c r="B50" s="18">
        <v>113</v>
      </c>
      <c r="C50" s="18">
        <v>6</v>
      </c>
      <c r="D50" s="18">
        <f t="shared" si="0"/>
        <v>4.610619469026549</v>
      </c>
      <c r="E50" s="18">
        <v>521</v>
      </c>
      <c r="F50" s="18">
        <f t="shared" si="1"/>
        <v>5.3097345132743362E-2</v>
      </c>
      <c r="G50" s="32">
        <v>2.0412414523193099</v>
      </c>
      <c r="I50" s="18" t="s">
        <v>115</v>
      </c>
      <c r="J50" s="18">
        <v>39</v>
      </c>
      <c r="K50" s="18">
        <v>3</v>
      </c>
      <c r="L50" s="18">
        <f t="shared" ref="L50:L51" si="34">M50/J50</f>
        <v>4.384615384615385</v>
      </c>
      <c r="M50" s="18">
        <v>171</v>
      </c>
      <c r="N50" s="18">
        <f t="shared" ref="N50:N51" si="35">K50/J50</f>
        <v>7.6923076923076927E-2</v>
      </c>
    </row>
    <row r="51" spans="1:14" x14ac:dyDescent="0.25">
      <c r="A51" s="18" t="s">
        <v>28</v>
      </c>
      <c r="B51" s="18">
        <v>61</v>
      </c>
      <c r="C51" s="18">
        <v>1</v>
      </c>
      <c r="D51" s="18">
        <f t="shared" si="0"/>
        <v>5.5737704918032787</v>
      </c>
      <c r="E51" s="18">
        <v>340</v>
      </c>
      <c r="F51" s="18">
        <f t="shared" si="1"/>
        <v>1.6393442622950821E-2</v>
      </c>
      <c r="G51" s="32">
        <v>1.30384048104052</v>
      </c>
      <c r="I51" s="18" t="s">
        <v>24</v>
      </c>
      <c r="J51" s="18">
        <v>101</v>
      </c>
      <c r="K51" s="18">
        <v>12</v>
      </c>
      <c r="L51" s="18">
        <f t="shared" si="34"/>
        <v>4.5247524752475243</v>
      </c>
      <c r="M51" s="18">
        <v>457</v>
      </c>
      <c r="N51" s="18">
        <f t="shared" si="35"/>
        <v>0.11881188118811881</v>
      </c>
    </row>
    <row r="52" spans="1:14" x14ac:dyDescent="0.25">
      <c r="A52" s="18" t="s">
        <v>253</v>
      </c>
      <c r="B52" s="18">
        <v>43</v>
      </c>
      <c r="C52" s="18">
        <v>3</v>
      </c>
      <c r="D52" s="18">
        <f t="shared" si="0"/>
        <v>5.2790697674418601</v>
      </c>
      <c r="E52" s="18">
        <v>227</v>
      </c>
      <c r="F52" s="18">
        <f t="shared" si="1"/>
        <v>6.9767441860465115E-2</v>
      </c>
      <c r="G52" s="32"/>
      <c r="I52" s="18" t="s">
        <v>116</v>
      </c>
      <c r="J52" s="18">
        <v>30</v>
      </c>
      <c r="K52" s="18">
        <v>5</v>
      </c>
      <c r="L52" s="18">
        <f t="shared" ref="L52" si="36">M52/J52</f>
        <v>4.0666666666666664</v>
      </c>
      <c r="M52" s="18">
        <v>122</v>
      </c>
      <c r="N52" s="18">
        <f t="shared" ref="N52" si="37">K52/J52</f>
        <v>0.16666666666666666</v>
      </c>
    </row>
    <row r="53" spans="1:14" x14ac:dyDescent="0.25">
      <c r="A53" s="18" t="s">
        <v>175</v>
      </c>
      <c r="B53" s="18">
        <v>50</v>
      </c>
      <c r="C53" s="18">
        <v>13</v>
      </c>
      <c r="D53" s="18">
        <f t="shared" si="0"/>
        <v>3.24</v>
      </c>
      <c r="E53" s="18">
        <v>162</v>
      </c>
      <c r="F53" s="18">
        <f t="shared" si="1"/>
        <v>0.26</v>
      </c>
      <c r="G53" s="32">
        <v>2</v>
      </c>
      <c r="I53" s="18" t="s">
        <v>58</v>
      </c>
      <c r="J53" s="18">
        <v>30</v>
      </c>
      <c r="K53" s="18">
        <v>6</v>
      </c>
      <c r="L53" s="18">
        <f t="shared" ref="L53:L54" si="38">M53/J53</f>
        <v>3.7</v>
      </c>
      <c r="M53" s="18">
        <v>111</v>
      </c>
      <c r="N53" s="18">
        <f t="shared" ref="N53:N54" si="39">K53/J53</f>
        <v>0.2</v>
      </c>
    </row>
    <row r="54" spans="1:14" x14ac:dyDescent="0.25">
      <c r="A54" s="18" t="s">
        <v>61</v>
      </c>
      <c r="B54" s="18">
        <v>55</v>
      </c>
      <c r="C54" s="18">
        <v>10</v>
      </c>
      <c r="D54" s="18">
        <f t="shared" si="0"/>
        <v>4.5636363636363635</v>
      </c>
      <c r="E54" s="18">
        <v>251</v>
      </c>
      <c r="F54" s="18">
        <f>C54/B54</f>
        <v>0.18181818181818182</v>
      </c>
      <c r="G54" s="32">
        <v>3.2403703492039302</v>
      </c>
      <c r="I54" s="18" t="s">
        <v>30</v>
      </c>
      <c r="J54" s="18">
        <v>60</v>
      </c>
      <c r="K54" s="18">
        <v>4</v>
      </c>
      <c r="L54" s="18">
        <f t="shared" si="38"/>
        <v>5.2</v>
      </c>
      <c r="M54" s="18">
        <v>312</v>
      </c>
      <c r="N54" s="18">
        <f t="shared" si="39"/>
        <v>6.6666666666666666E-2</v>
      </c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29</v>
      </c>
      <c r="J55" s="18">
        <v>127</v>
      </c>
      <c r="K55" s="18">
        <v>18</v>
      </c>
      <c r="L55" s="18">
        <f t="shared" ref="L55" si="40">M55/J55</f>
        <v>4.015748031496063</v>
      </c>
      <c r="M55" s="18">
        <v>510</v>
      </c>
      <c r="N55" s="18">
        <f t="shared" ref="N55" si="41">K55/J55</f>
        <v>0.14173228346456693</v>
      </c>
    </row>
    <row r="56" spans="1:14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148</v>
      </c>
      <c r="J56" s="18">
        <v>42</v>
      </c>
      <c r="K56" s="18">
        <v>8</v>
      </c>
      <c r="L56" s="18">
        <f t="shared" ref="L56" si="42">M56/J56</f>
        <v>3.7380952380952381</v>
      </c>
      <c r="M56" s="18">
        <v>157</v>
      </c>
      <c r="N56" s="18">
        <f t="shared" ref="N56" si="43">K56/J56</f>
        <v>0.19047619047619047</v>
      </c>
    </row>
    <row r="57" spans="1:14" x14ac:dyDescent="0.25">
      <c r="A57" s="18" t="s">
        <v>24</v>
      </c>
      <c r="B57" s="18">
        <v>101</v>
      </c>
      <c r="C57" s="18">
        <v>12</v>
      </c>
      <c r="D57" s="18">
        <f t="shared" si="0"/>
        <v>4.5247524752475243</v>
      </c>
      <c r="E57" s="18">
        <v>457</v>
      </c>
      <c r="F57" s="18">
        <f t="shared" si="1"/>
        <v>0.11881188118811881</v>
      </c>
      <c r="G57" s="32">
        <v>2.26909243703399</v>
      </c>
      <c r="I57" s="18" t="s">
        <v>9</v>
      </c>
      <c r="J57" s="18">
        <v>30</v>
      </c>
      <c r="K57" s="18">
        <v>3</v>
      </c>
      <c r="L57" s="18">
        <f t="shared" ref="L57:L58" si="44">M57/J57</f>
        <v>3.8</v>
      </c>
      <c r="M57" s="18">
        <v>114</v>
      </c>
      <c r="N57" s="18">
        <f t="shared" ref="N57:N58" si="45">K57/J57</f>
        <v>0.1</v>
      </c>
    </row>
    <row r="58" spans="1:14" x14ac:dyDescent="0.25">
      <c r="A58" s="18" t="s">
        <v>116</v>
      </c>
      <c r="B58" s="18">
        <v>30</v>
      </c>
      <c r="C58" s="18">
        <v>5</v>
      </c>
      <c r="D58" s="18">
        <f t="shared" si="0"/>
        <v>4.0666666666666664</v>
      </c>
      <c r="E58" s="18">
        <v>122</v>
      </c>
      <c r="F58" s="18">
        <f t="shared" si="1"/>
        <v>0.16666666666666666</v>
      </c>
      <c r="G58" s="32">
        <v>1.7043362064926899</v>
      </c>
      <c r="I58" s="18" t="s">
        <v>428</v>
      </c>
      <c r="J58" s="18">
        <v>31</v>
      </c>
      <c r="K58" s="18">
        <v>5</v>
      </c>
      <c r="L58" s="18">
        <f t="shared" si="44"/>
        <v>4.096774193548387</v>
      </c>
      <c r="M58" s="18">
        <v>127</v>
      </c>
      <c r="N58" s="18">
        <f t="shared" si="45"/>
        <v>0.16129032258064516</v>
      </c>
    </row>
    <row r="59" spans="1:14" x14ac:dyDescent="0.25">
      <c r="A59" t="s">
        <v>5</v>
      </c>
      <c r="B59">
        <v>25</v>
      </c>
      <c r="C59">
        <v>1</v>
      </c>
      <c r="D59">
        <f t="shared" si="0"/>
        <v>4.76</v>
      </c>
      <c r="E59">
        <v>119</v>
      </c>
      <c r="F59">
        <f t="shared" si="1"/>
        <v>0.04</v>
      </c>
      <c r="G59" s="32">
        <v>1.8898223650461301</v>
      </c>
      <c r="I59" s="18" t="s">
        <v>79</v>
      </c>
      <c r="J59" s="18">
        <v>54</v>
      </c>
      <c r="K59" s="18">
        <v>6</v>
      </c>
      <c r="L59" s="18">
        <f t="shared" ref="L59:L68" si="46">M59/J59</f>
        <v>4.6296296296296298</v>
      </c>
      <c r="M59" s="18">
        <v>250</v>
      </c>
      <c r="N59" s="18">
        <f t="shared" ref="N59:N68" si="47">K59/J59</f>
        <v>0.1111111111111111</v>
      </c>
    </row>
    <row r="60" spans="1:14" x14ac:dyDescent="0.25">
      <c r="A60" s="18" t="s">
        <v>58</v>
      </c>
      <c r="B60" s="18">
        <v>30</v>
      </c>
      <c r="C60" s="18">
        <v>6</v>
      </c>
      <c r="D60" s="18">
        <f t="shared" si="0"/>
        <v>3.7</v>
      </c>
      <c r="E60" s="18">
        <v>111</v>
      </c>
      <c r="F60" s="18">
        <f t="shared" si="1"/>
        <v>0.2</v>
      </c>
      <c r="G60" s="32">
        <v>2.33809038890002</v>
      </c>
      <c r="I60" s="18" t="s">
        <v>123</v>
      </c>
      <c r="J60" s="18">
        <v>39</v>
      </c>
      <c r="K60" s="18">
        <v>6</v>
      </c>
      <c r="L60" s="18">
        <f t="shared" si="46"/>
        <v>4.3076923076923075</v>
      </c>
      <c r="M60" s="18">
        <v>168</v>
      </c>
      <c r="N60" s="18">
        <f t="shared" si="47"/>
        <v>0.15384615384615385</v>
      </c>
    </row>
    <row r="61" spans="1:14" x14ac:dyDescent="0.25">
      <c r="A61" s="18" t="s">
        <v>30</v>
      </c>
      <c r="B61" s="18">
        <v>60</v>
      </c>
      <c r="C61" s="18">
        <v>4</v>
      </c>
      <c r="D61" s="18">
        <f t="shared" si="0"/>
        <v>5.2</v>
      </c>
      <c r="E61" s="18">
        <v>312</v>
      </c>
      <c r="F61" s="18">
        <f t="shared" si="1"/>
        <v>6.6666666666666666E-2</v>
      </c>
      <c r="G61" s="32">
        <v>2.5226248955475601</v>
      </c>
      <c r="I61" s="18" t="s">
        <v>22</v>
      </c>
      <c r="J61" s="18">
        <v>184</v>
      </c>
      <c r="K61" s="18">
        <v>30</v>
      </c>
      <c r="L61" s="18">
        <f t="shared" si="46"/>
        <v>4.1141304347826084</v>
      </c>
      <c r="M61" s="18">
        <v>757</v>
      </c>
      <c r="N61" s="18">
        <f t="shared" si="47"/>
        <v>0.16304347826086957</v>
      </c>
    </row>
    <row r="62" spans="1:14" x14ac:dyDescent="0.25">
      <c r="A62" s="18" t="s">
        <v>29</v>
      </c>
      <c r="B62" s="18">
        <v>127</v>
      </c>
      <c r="C62" s="18">
        <v>18</v>
      </c>
      <c r="D62" s="18">
        <f t="shared" si="0"/>
        <v>4.015748031496063</v>
      </c>
      <c r="E62" s="18">
        <v>510</v>
      </c>
      <c r="F62" s="18">
        <f t="shared" si="1"/>
        <v>0.14173228346456693</v>
      </c>
      <c r="G62" s="32">
        <v>2.0875571218153701</v>
      </c>
      <c r="I62" s="18" t="s">
        <v>33</v>
      </c>
      <c r="J62" s="18">
        <v>66</v>
      </c>
      <c r="K62" s="18">
        <v>4</v>
      </c>
      <c r="L62" s="18">
        <f t="shared" si="46"/>
        <v>5.5303030303030303</v>
      </c>
      <c r="M62" s="18">
        <v>365</v>
      </c>
      <c r="N62" s="18">
        <f t="shared" si="47"/>
        <v>6.0606060606060608E-2</v>
      </c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129</v>
      </c>
      <c r="J63" s="18">
        <v>44</v>
      </c>
      <c r="K63" s="18">
        <v>7</v>
      </c>
      <c r="L63" s="18">
        <f t="shared" si="46"/>
        <v>4.6363636363636367</v>
      </c>
      <c r="M63" s="18">
        <v>204</v>
      </c>
      <c r="N63" s="18">
        <f t="shared" si="47"/>
        <v>0.15909090909090909</v>
      </c>
    </row>
    <row r="64" spans="1:14" x14ac:dyDescent="0.25">
      <c r="A64" s="18" t="s">
        <v>9</v>
      </c>
      <c r="B64" s="18">
        <v>30</v>
      </c>
      <c r="C64" s="18">
        <v>3</v>
      </c>
      <c r="D64" s="18">
        <f t="shared" si="0"/>
        <v>3.8</v>
      </c>
      <c r="E64" s="18">
        <v>114</v>
      </c>
      <c r="F64" s="18">
        <f t="shared" si="1"/>
        <v>0.1</v>
      </c>
      <c r="G64" s="32">
        <v>2.42097317438899</v>
      </c>
      <c r="I64" s="18" t="s">
        <v>35</v>
      </c>
      <c r="J64" s="18">
        <v>173</v>
      </c>
      <c r="K64" s="18">
        <v>43</v>
      </c>
      <c r="L64" s="18">
        <f t="shared" si="46"/>
        <v>3.554913294797688</v>
      </c>
      <c r="M64" s="18">
        <v>615</v>
      </c>
      <c r="N64" s="18">
        <f t="shared" si="47"/>
        <v>0.24855491329479767</v>
      </c>
    </row>
    <row r="65" spans="1:14" x14ac:dyDescent="0.25">
      <c r="A65" t="s">
        <v>139</v>
      </c>
      <c r="B65">
        <v>28</v>
      </c>
      <c r="C65">
        <v>4</v>
      </c>
      <c r="D65">
        <f t="shared" si="0"/>
        <v>4.0357142857142856</v>
      </c>
      <c r="E65">
        <v>113</v>
      </c>
      <c r="F65">
        <f t="shared" si="1"/>
        <v>0.14285714285714285</v>
      </c>
      <c r="G65" s="32">
        <v>1.9944979263017399</v>
      </c>
      <c r="I65" s="18" t="s">
        <v>26</v>
      </c>
      <c r="J65" s="18">
        <v>96</v>
      </c>
      <c r="K65" s="18">
        <v>6</v>
      </c>
      <c r="L65" s="18">
        <f t="shared" si="46"/>
        <v>5.197916666666667</v>
      </c>
      <c r="M65" s="18">
        <v>499</v>
      </c>
      <c r="N65" s="18">
        <f t="shared" si="47"/>
        <v>6.25E-2</v>
      </c>
    </row>
    <row r="66" spans="1:14" x14ac:dyDescent="0.25">
      <c r="A66" s="18" t="s">
        <v>428</v>
      </c>
      <c r="B66" s="18">
        <v>31</v>
      </c>
      <c r="C66" s="18">
        <v>5</v>
      </c>
      <c r="D66" s="18">
        <f t="shared" si="0"/>
        <v>4.096774193548387</v>
      </c>
      <c r="E66" s="18">
        <v>127</v>
      </c>
      <c r="F66" s="18">
        <f t="shared" si="1"/>
        <v>0.16129032258064516</v>
      </c>
      <c r="G66" s="32">
        <v>1.9414506867882999</v>
      </c>
      <c r="I66" s="18" t="s">
        <v>122</v>
      </c>
      <c r="J66" s="18">
        <v>135</v>
      </c>
      <c r="K66" s="18">
        <v>17</v>
      </c>
      <c r="L66" s="18">
        <f t="shared" si="46"/>
        <v>3.9925925925925925</v>
      </c>
      <c r="M66" s="18">
        <v>539</v>
      </c>
      <c r="N66" s="18">
        <f t="shared" si="47"/>
        <v>0.12592592592592591</v>
      </c>
    </row>
    <row r="67" spans="1:14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  <c r="I67" s="18" t="s">
        <v>49</v>
      </c>
      <c r="J67" s="18">
        <v>133</v>
      </c>
      <c r="K67" s="18">
        <v>8</v>
      </c>
      <c r="L67" s="18">
        <f t="shared" si="46"/>
        <v>5.0977443609022552</v>
      </c>
      <c r="M67" s="18">
        <v>678</v>
      </c>
      <c r="N67" s="18">
        <f t="shared" si="47"/>
        <v>6.0150375939849621E-2</v>
      </c>
    </row>
    <row r="68" spans="1:14" x14ac:dyDescent="0.25">
      <c r="A68" t="s">
        <v>17</v>
      </c>
      <c r="B68">
        <v>28</v>
      </c>
      <c r="C68">
        <v>2</v>
      </c>
      <c r="D68">
        <f t="shared" si="0"/>
        <v>4.9285714285714288</v>
      </c>
      <c r="E68">
        <v>138</v>
      </c>
      <c r="F68">
        <f t="shared" si="1"/>
        <v>7.1428571428571425E-2</v>
      </c>
      <c r="G68" s="32">
        <v>2.4832774042918899</v>
      </c>
      <c r="I68" s="18" t="s">
        <v>3</v>
      </c>
      <c r="J68" s="18">
        <v>48</v>
      </c>
      <c r="K68" s="18">
        <v>7</v>
      </c>
      <c r="L68" s="18">
        <f t="shared" si="46"/>
        <v>4.229166666666667</v>
      </c>
      <c r="M68" s="18">
        <v>203</v>
      </c>
      <c r="N68" s="18">
        <f t="shared" si="47"/>
        <v>0.14583333333333334</v>
      </c>
    </row>
    <row r="69" spans="1:14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124</v>
      </c>
      <c r="J69" s="18">
        <v>31</v>
      </c>
      <c r="K69" s="18">
        <v>1</v>
      </c>
      <c r="L69" s="18">
        <f>M69/J69</f>
        <v>4.935483870967742</v>
      </c>
      <c r="M69" s="18">
        <v>153</v>
      </c>
      <c r="N69" s="18">
        <f>K69/J69</f>
        <v>3.2258064516129031E-2</v>
      </c>
    </row>
    <row r="70" spans="1:14" x14ac:dyDescent="0.25">
      <c r="A70" s="18" t="s">
        <v>123</v>
      </c>
      <c r="B70" s="18">
        <v>39</v>
      </c>
      <c r="C70" s="18">
        <v>6</v>
      </c>
      <c r="D70" s="18">
        <f t="shared" si="0"/>
        <v>4.3076923076923075</v>
      </c>
      <c r="E70" s="18">
        <v>168</v>
      </c>
      <c r="F70" s="18">
        <f t="shared" si="1"/>
        <v>0.15384615384615385</v>
      </c>
      <c r="G70" s="32">
        <v>2</v>
      </c>
    </row>
    <row r="71" spans="1:14" x14ac:dyDescent="0.25">
      <c r="A71" t="s">
        <v>12</v>
      </c>
      <c r="B71">
        <v>24</v>
      </c>
      <c r="C71">
        <v>1</v>
      </c>
      <c r="D71">
        <f t="shared" si="0"/>
        <v>4.708333333333333</v>
      </c>
      <c r="E71">
        <v>113</v>
      </c>
      <c r="F71">
        <f t="shared" si="1"/>
        <v>4.1666666666666664E-2</v>
      </c>
      <c r="G71" s="32">
        <v>2.44584195260913</v>
      </c>
    </row>
    <row r="72" spans="1:14" x14ac:dyDescent="0.25">
      <c r="A72" t="s">
        <v>404</v>
      </c>
      <c r="B72">
        <v>28</v>
      </c>
      <c r="C72">
        <v>3</v>
      </c>
      <c r="D72">
        <f t="shared" si="0"/>
        <v>4.9285714285714288</v>
      </c>
      <c r="E72">
        <v>138</v>
      </c>
      <c r="F72">
        <f t="shared" si="1"/>
        <v>0.10714285714285714</v>
      </c>
      <c r="G72" s="32">
        <v>2.3094010767584998</v>
      </c>
    </row>
    <row r="73" spans="1:14" x14ac:dyDescent="0.25">
      <c r="A73" s="18" t="s">
        <v>22</v>
      </c>
      <c r="B73" s="18">
        <v>184</v>
      </c>
      <c r="C73" s="18">
        <v>30</v>
      </c>
      <c r="D73" s="18">
        <f>E73/B73</f>
        <v>4.1141304347826084</v>
      </c>
      <c r="E73" s="18">
        <v>757</v>
      </c>
      <c r="F73" s="18">
        <f>C73/B73</f>
        <v>0.16304347826086957</v>
      </c>
      <c r="G73" s="32">
        <v>2.2045689482796602</v>
      </c>
    </row>
    <row r="74" spans="1:14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</row>
    <row r="75" spans="1:14" x14ac:dyDescent="0.25">
      <c r="A75" t="s">
        <v>110</v>
      </c>
      <c r="B75">
        <v>27</v>
      </c>
      <c r="C75">
        <v>1</v>
      </c>
      <c r="D75">
        <f>E75/B75</f>
        <v>5.3703703703703702</v>
      </c>
      <c r="E75">
        <v>145</v>
      </c>
      <c r="F75">
        <f>C75/B75</f>
        <v>3.7037037037037035E-2</v>
      </c>
      <c r="G75" s="32">
        <v>1.9407902170679501</v>
      </c>
    </row>
    <row r="76" spans="1:14" x14ac:dyDescent="0.25">
      <c r="A76" t="s">
        <v>82</v>
      </c>
      <c r="B76">
        <v>20</v>
      </c>
      <c r="C76">
        <v>0</v>
      </c>
      <c r="D76">
        <f t="shared" ref="D76:D91" si="48">E76/B76</f>
        <v>5.15</v>
      </c>
      <c r="E76">
        <v>103</v>
      </c>
      <c r="F76">
        <f>C76/B76</f>
        <v>0</v>
      </c>
      <c r="G76" s="32">
        <v>2</v>
      </c>
    </row>
    <row r="77" spans="1:14" x14ac:dyDescent="0.25">
      <c r="A77" s="18" t="s">
        <v>33</v>
      </c>
      <c r="B77" s="18">
        <v>66</v>
      </c>
      <c r="C77" s="18">
        <v>4</v>
      </c>
      <c r="D77" s="18">
        <f t="shared" si="48"/>
        <v>5.5303030303030303</v>
      </c>
      <c r="E77" s="18">
        <v>365</v>
      </c>
      <c r="F77" s="18">
        <f t="shared" ref="F77:F91" si="49">C77/B77</f>
        <v>6.0606060606060608E-2</v>
      </c>
      <c r="G77" s="32">
        <v>2.14993539954627</v>
      </c>
    </row>
    <row r="78" spans="1:14" x14ac:dyDescent="0.25">
      <c r="A78" t="s">
        <v>99</v>
      </c>
      <c r="B78">
        <v>20</v>
      </c>
      <c r="C78">
        <v>2</v>
      </c>
      <c r="D78">
        <f t="shared" si="48"/>
        <v>5.05</v>
      </c>
      <c r="E78">
        <v>101</v>
      </c>
      <c r="F78">
        <f t="shared" si="49"/>
        <v>0.1</v>
      </c>
      <c r="G78" s="32">
        <v>2.6687491868330699</v>
      </c>
    </row>
    <row r="79" spans="1:14" x14ac:dyDescent="0.25">
      <c r="A79" t="s">
        <v>7</v>
      </c>
      <c r="B79">
        <v>20</v>
      </c>
      <c r="C79">
        <v>4</v>
      </c>
      <c r="D79">
        <f t="shared" si="48"/>
        <v>4.0999999999999996</v>
      </c>
      <c r="E79">
        <v>82</v>
      </c>
      <c r="F79">
        <f t="shared" si="49"/>
        <v>0.2</v>
      </c>
      <c r="G79" s="32">
        <v>2.7888667551135802</v>
      </c>
    </row>
    <row r="80" spans="1:14" x14ac:dyDescent="0.25">
      <c r="A80" s="41" t="s">
        <v>138</v>
      </c>
      <c r="B80" s="41">
        <v>5</v>
      </c>
      <c r="C80" s="41">
        <v>1</v>
      </c>
      <c r="D80" s="41">
        <f t="shared" si="48"/>
        <v>4</v>
      </c>
      <c r="E80" s="41">
        <v>20</v>
      </c>
      <c r="F80" s="41">
        <f t="shared" si="49"/>
        <v>0.2</v>
      </c>
      <c r="G80" s="32">
        <v>2.2173557826083399</v>
      </c>
    </row>
    <row r="81" spans="1:7" x14ac:dyDescent="0.25">
      <c r="A81" s="41" t="s">
        <v>137</v>
      </c>
      <c r="B81" s="41">
        <v>11</v>
      </c>
      <c r="C81" s="41">
        <v>1</v>
      </c>
      <c r="D81" s="41">
        <f t="shared" si="48"/>
        <v>4.1818181818181817</v>
      </c>
      <c r="E81" s="41">
        <v>46</v>
      </c>
      <c r="F81" s="41">
        <f t="shared" si="49"/>
        <v>9.0909090909090912E-2</v>
      </c>
      <c r="G81" s="32">
        <v>1.8618986725025199</v>
      </c>
    </row>
    <row r="82" spans="1:7" x14ac:dyDescent="0.25">
      <c r="A82" s="18" t="s">
        <v>129</v>
      </c>
      <c r="B82" s="18">
        <v>44</v>
      </c>
      <c r="C82" s="18">
        <v>7</v>
      </c>
      <c r="D82" s="18">
        <f t="shared" si="48"/>
        <v>4.6363636363636367</v>
      </c>
      <c r="E82" s="18">
        <v>204</v>
      </c>
      <c r="F82" s="18">
        <f t="shared" si="49"/>
        <v>0.15909090909090909</v>
      </c>
      <c r="G82" s="32">
        <v>2.1315096371664199</v>
      </c>
    </row>
    <row r="83" spans="1:7" x14ac:dyDescent="0.25">
      <c r="A83" t="s">
        <v>113</v>
      </c>
      <c r="B83">
        <v>27</v>
      </c>
      <c r="C83">
        <v>0</v>
      </c>
      <c r="D83">
        <f t="shared" si="48"/>
        <v>4.2592592592592595</v>
      </c>
      <c r="E83">
        <v>115</v>
      </c>
      <c r="F83">
        <f t="shared" si="49"/>
        <v>0</v>
      </c>
      <c r="G83" s="32">
        <v>2.4899799195977401</v>
      </c>
    </row>
    <row r="84" spans="1:7" x14ac:dyDescent="0.25">
      <c r="A84" s="18" t="s">
        <v>35</v>
      </c>
      <c r="B84" s="18">
        <v>173</v>
      </c>
      <c r="C84" s="18">
        <v>43</v>
      </c>
      <c r="D84" s="18">
        <f t="shared" si="48"/>
        <v>3.554913294797688</v>
      </c>
      <c r="E84" s="18">
        <v>615</v>
      </c>
      <c r="F84" s="18">
        <f t="shared" si="49"/>
        <v>0.24855491329479767</v>
      </c>
      <c r="G84" s="32">
        <v>2.6214406763289899</v>
      </c>
    </row>
    <row r="85" spans="1:7" x14ac:dyDescent="0.25">
      <c r="A85" s="18" t="s">
        <v>26</v>
      </c>
      <c r="B85" s="18">
        <v>96</v>
      </c>
      <c r="C85" s="18">
        <v>6</v>
      </c>
      <c r="D85" s="18">
        <f t="shared" si="48"/>
        <v>5.197916666666667</v>
      </c>
      <c r="E85" s="18">
        <v>499</v>
      </c>
      <c r="F85" s="18">
        <f t="shared" si="49"/>
        <v>6.25E-2</v>
      </c>
      <c r="G85" s="32">
        <v>2.4494897427831699</v>
      </c>
    </row>
    <row r="86" spans="1:7" x14ac:dyDescent="0.25">
      <c r="A86" s="18" t="s">
        <v>122</v>
      </c>
      <c r="B86" s="18">
        <v>135</v>
      </c>
      <c r="C86" s="18">
        <v>17</v>
      </c>
      <c r="D86" s="18">
        <f t="shared" si="48"/>
        <v>3.9925925925925925</v>
      </c>
      <c r="E86" s="18">
        <v>539</v>
      </c>
      <c r="F86" s="18">
        <f t="shared" si="49"/>
        <v>0.12592592592592591</v>
      </c>
      <c r="G86" s="32">
        <v>1.6329931618554501</v>
      </c>
    </row>
    <row r="87" spans="1:7" x14ac:dyDescent="0.25">
      <c r="A87" s="18" t="s">
        <v>49</v>
      </c>
      <c r="B87" s="18">
        <v>133</v>
      </c>
      <c r="C87" s="18">
        <v>8</v>
      </c>
      <c r="D87" s="18">
        <f t="shared" si="48"/>
        <v>5.0977443609022552</v>
      </c>
      <c r="E87" s="18">
        <v>678</v>
      </c>
      <c r="F87" s="18">
        <f t="shared" si="49"/>
        <v>6.0150375939849621E-2</v>
      </c>
      <c r="G87" s="32">
        <v>2.79455252402308</v>
      </c>
    </row>
    <row r="88" spans="1:7" x14ac:dyDescent="0.25">
      <c r="A88" s="18" t="s">
        <v>3</v>
      </c>
      <c r="B88" s="18">
        <v>48</v>
      </c>
      <c r="C88" s="18">
        <v>7</v>
      </c>
      <c r="D88" s="18">
        <f t="shared" si="48"/>
        <v>4.229166666666667</v>
      </c>
      <c r="E88" s="18">
        <v>203</v>
      </c>
      <c r="F88" s="18">
        <f t="shared" si="49"/>
        <v>0.14583333333333334</v>
      </c>
      <c r="G88" s="32">
        <v>2.3731557327466102</v>
      </c>
    </row>
    <row r="89" spans="1:7" x14ac:dyDescent="0.25">
      <c r="A89" t="s">
        <v>230</v>
      </c>
      <c r="B89">
        <v>26</v>
      </c>
      <c r="C89">
        <v>4</v>
      </c>
      <c r="D89">
        <f t="shared" si="48"/>
        <v>4.8076923076923075</v>
      </c>
      <c r="E89">
        <v>125</v>
      </c>
      <c r="F89">
        <f t="shared" si="49"/>
        <v>0.15384615384615385</v>
      </c>
      <c r="G89" s="32">
        <v>2.7748873851023199</v>
      </c>
    </row>
    <row r="90" spans="1:7" x14ac:dyDescent="0.25">
      <c r="A90" t="s">
        <v>2</v>
      </c>
      <c r="B90">
        <v>28</v>
      </c>
      <c r="C90">
        <v>5</v>
      </c>
      <c r="D90">
        <f t="shared" si="48"/>
        <v>4.1428571428571432</v>
      </c>
      <c r="E90">
        <v>116</v>
      </c>
      <c r="F90">
        <f t="shared" si="49"/>
        <v>0.17857142857142858</v>
      </c>
      <c r="G90" s="32">
        <v>2.5876449587894599</v>
      </c>
    </row>
    <row r="91" spans="1:7" x14ac:dyDescent="0.25">
      <c r="A91" s="18" t="s">
        <v>124</v>
      </c>
      <c r="B91" s="18">
        <v>31</v>
      </c>
      <c r="C91" s="18">
        <v>1</v>
      </c>
      <c r="D91" s="18">
        <f t="shared" si="48"/>
        <v>4.935483870967742</v>
      </c>
      <c r="E91" s="18">
        <v>153</v>
      </c>
      <c r="F91" s="18">
        <f t="shared" si="49"/>
        <v>3.2258064516129031E-2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1048576"/>
  <sheetViews>
    <sheetView zoomScale="70" zoomScaleNormal="70" workbookViewId="0">
      <selection activeCell="L31" sqref="L31"/>
    </sheetView>
  </sheetViews>
  <sheetFormatPr defaultRowHeight="15" x14ac:dyDescent="0.25"/>
  <cols>
    <col min="1" max="1" width="22.140625" bestFit="1" customWidth="1"/>
    <col min="2" max="2" width="7.42578125" bestFit="1" customWidth="1"/>
    <col min="3" max="3" width="8.7109375" bestFit="1" customWidth="1"/>
    <col min="4" max="5" width="13" bestFit="1" customWidth="1"/>
    <col min="6" max="6" width="43.85546875" bestFit="1" customWidth="1"/>
    <col min="9" max="9" width="22.140625" bestFit="1" customWidth="1"/>
    <col min="10" max="10" width="7.42578125" customWidth="1"/>
    <col min="11" max="11" width="8.7109375" bestFit="1" customWidth="1"/>
    <col min="12" max="13" width="13" bestFit="1" customWidth="1"/>
    <col min="14" max="14" width="69.57031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2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2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2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2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2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2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2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2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2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2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2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2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2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2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2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2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2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2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2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2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2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2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2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2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2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2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2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2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2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2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2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2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2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2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2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2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2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2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2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2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2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2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2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2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2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2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2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2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2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2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2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2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2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2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2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2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2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2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2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2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2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2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2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2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2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2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25">
      <c r="F1048576" s="3"/>
    </row>
  </sheetData>
  <sortState xmlns:xlrd2="http://schemas.microsoft.com/office/spreadsheetml/2017/richdata2"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58"/>
  <sheetViews>
    <sheetView zoomScale="90" zoomScaleNormal="90" workbookViewId="0">
      <selection activeCell="N10" sqref="N10"/>
    </sheetView>
  </sheetViews>
  <sheetFormatPr defaultRowHeight="15" x14ac:dyDescent="0.25"/>
  <cols>
    <col min="1" max="1" width="17.7109375" bestFit="1" customWidth="1"/>
    <col min="2" max="2" width="7.140625" bestFit="1" customWidth="1"/>
    <col min="3" max="3" width="8.7109375" bestFit="1" customWidth="1"/>
    <col min="4" max="4" width="12" bestFit="1" customWidth="1"/>
    <col min="5" max="5" width="11.85546875" customWidth="1"/>
    <col min="8" max="8" width="20.28515625" bestFit="1" customWidth="1"/>
    <col min="9" max="9" width="7.140625" bestFit="1" customWidth="1"/>
    <col min="10" max="10" width="8.7109375" bestFit="1" customWidth="1"/>
    <col min="11" max="12" width="13.28515625" bestFit="1" customWidth="1"/>
    <col min="13" max="13" width="73.7109375" bestFit="1" customWidth="1"/>
  </cols>
  <sheetData>
    <row r="1" spans="1:1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</row>
    <row r="2" spans="1:14" x14ac:dyDescent="0.25">
      <c r="A2" s="60" t="s">
        <v>175</v>
      </c>
      <c r="B2" s="60">
        <v>48</v>
      </c>
      <c r="C2" s="60">
        <v>13</v>
      </c>
      <c r="D2" s="60">
        <f t="shared" ref="D2:D33" si="0">F2/B2</f>
        <v>3.2083333333333335</v>
      </c>
      <c r="E2" s="60">
        <f t="shared" ref="E2:E33" si="1">C2/B2</f>
        <v>0.27083333333333331</v>
      </c>
      <c r="F2" s="18">
        <v>154</v>
      </c>
      <c r="H2" s="60" t="s">
        <v>128</v>
      </c>
      <c r="I2" s="60">
        <v>109</v>
      </c>
      <c r="J2" s="60">
        <v>34</v>
      </c>
      <c r="K2" s="60">
        <f t="shared" ref="K2:K33" si="2">N2/I2</f>
        <v>3.2201834862385321</v>
      </c>
      <c r="L2" s="60">
        <f t="shared" ref="L2:L33" si="3">J2/I2</f>
        <v>0.31192660550458717</v>
      </c>
      <c r="M2" s="74" t="s">
        <v>594</v>
      </c>
      <c r="N2" s="18">
        <v>351</v>
      </c>
    </row>
    <row r="3" spans="1:14" x14ac:dyDescent="0.25">
      <c r="A3" s="60" t="s">
        <v>128</v>
      </c>
      <c r="B3" s="60">
        <v>106</v>
      </c>
      <c r="C3" s="60">
        <v>32</v>
      </c>
      <c r="D3" s="60">
        <f t="shared" si="0"/>
        <v>3.2169811320754715</v>
      </c>
      <c r="E3" s="60">
        <f t="shared" si="1"/>
        <v>0.30188679245283018</v>
      </c>
      <c r="F3" s="18">
        <v>341</v>
      </c>
      <c r="H3" s="60" t="s">
        <v>175</v>
      </c>
      <c r="I3" s="60">
        <v>50</v>
      </c>
      <c r="J3" s="60">
        <v>13</v>
      </c>
      <c r="K3" s="60">
        <f t="shared" si="2"/>
        <v>3.24</v>
      </c>
      <c r="L3" s="60">
        <f t="shared" si="3"/>
        <v>0.26</v>
      </c>
      <c r="M3" s="3" t="s">
        <v>46</v>
      </c>
      <c r="N3" s="18">
        <v>162</v>
      </c>
    </row>
    <row r="4" spans="1:14" x14ac:dyDescent="0.25">
      <c r="A4" s="59" t="s">
        <v>35</v>
      </c>
      <c r="B4" s="59">
        <v>163</v>
      </c>
      <c r="C4" s="59">
        <v>42</v>
      </c>
      <c r="D4" s="59">
        <f t="shared" si="0"/>
        <v>3.5582822085889569</v>
      </c>
      <c r="E4" s="59">
        <f t="shared" si="1"/>
        <v>0.25766871165644173</v>
      </c>
      <c r="F4" s="18">
        <v>580</v>
      </c>
      <c r="H4" s="59" t="s">
        <v>35</v>
      </c>
      <c r="I4" s="59">
        <v>173</v>
      </c>
      <c r="J4" s="59">
        <v>43</v>
      </c>
      <c r="K4" s="59">
        <f t="shared" si="2"/>
        <v>3.554913294797688</v>
      </c>
      <c r="L4" s="59">
        <f t="shared" si="3"/>
        <v>0.24855491329479767</v>
      </c>
      <c r="M4" s="14" t="s">
        <v>598</v>
      </c>
      <c r="N4" s="18">
        <v>615</v>
      </c>
    </row>
    <row r="5" spans="1:14" x14ac:dyDescent="0.25">
      <c r="A5" s="59" t="s">
        <v>147</v>
      </c>
      <c r="B5" s="59">
        <v>123</v>
      </c>
      <c r="C5" s="59">
        <v>25</v>
      </c>
      <c r="D5" s="59">
        <f t="shared" si="0"/>
        <v>3.6991869918699187</v>
      </c>
      <c r="E5" s="59">
        <f t="shared" si="1"/>
        <v>0.2032520325203252</v>
      </c>
      <c r="F5" s="18">
        <v>455</v>
      </c>
      <c r="H5" s="59" t="s">
        <v>232</v>
      </c>
      <c r="I5" s="59">
        <v>139</v>
      </c>
      <c r="J5" s="59">
        <v>27</v>
      </c>
      <c r="K5" s="59">
        <f t="shared" si="2"/>
        <v>3.6906474820143886</v>
      </c>
      <c r="L5" s="59">
        <f t="shared" si="3"/>
        <v>0.19424460431654678</v>
      </c>
      <c r="M5" s="74" t="s">
        <v>47</v>
      </c>
      <c r="N5" s="18">
        <v>513</v>
      </c>
    </row>
    <row r="6" spans="1:14" x14ac:dyDescent="0.25">
      <c r="A6" s="59" t="s">
        <v>148</v>
      </c>
      <c r="B6" s="59">
        <v>42</v>
      </c>
      <c r="C6" s="59">
        <v>8</v>
      </c>
      <c r="D6" s="59">
        <f t="shared" si="0"/>
        <v>3.7380952380952381</v>
      </c>
      <c r="E6" s="59">
        <f t="shared" si="1"/>
        <v>0.19047619047619047</v>
      </c>
      <c r="F6" s="18">
        <v>157</v>
      </c>
      <c r="H6" s="59" t="s">
        <v>147</v>
      </c>
      <c r="I6" s="59">
        <v>123</v>
      </c>
      <c r="J6" s="59">
        <v>25</v>
      </c>
      <c r="K6" s="59">
        <f t="shared" si="2"/>
        <v>3.6991869918699187</v>
      </c>
      <c r="L6" s="59">
        <f t="shared" si="3"/>
        <v>0.2032520325203252</v>
      </c>
      <c r="M6" s="3" t="s">
        <v>46</v>
      </c>
      <c r="N6" s="18">
        <v>455</v>
      </c>
    </row>
    <row r="7" spans="1:14" x14ac:dyDescent="0.25">
      <c r="A7" s="59" t="s">
        <v>232</v>
      </c>
      <c r="B7" s="59">
        <v>112</v>
      </c>
      <c r="C7" s="59">
        <v>20</v>
      </c>
      <c r="D7" s="59">
        <f t="shared" si="0"/>
        <v>3.8928571428571428</v>
      </c>
      <c r="E7" s="59">
        <f t="shared" si="1"/>
        <v>0.17857142857142858</v>
      </c>
      <c r="F7" s="18">
        <v>436</v>
      </c>
      <c r="H7" s="59" t="s">
        <v>58</v>
      </c>
      <c r="I7" s="59">
        <v>30</v>
      </c>
      <c r="J7" s="59">
        <v>6</v>
      </c>
      <c r="K7" s="59">
        <f t="shared" si="2"/>
        <v>3.7</v>
      </c>
      <c r="L7" s="59">
        <f t="shared" si="3"/>
        <v>0.2</v>
      </c>
      <c r="M7" s="76" t="s">
        <v>596</v>
      </c>
      <c r="N7" s="18">
        <v>111</v>
      </c>
    </row>
    <row r="8" spans="1:14" x14ac:dyDescent="0.25">
      <c r="A8" s="59" t="s">
        <v>121</v>
      </c>
      <c r="B8" s="59">
        <v>94</v>
      </c>
      <c r="C8" s="59">
        <v>21</v>
      </c>
      <c r="D8" s="59">
        <f t="shared" si="0"/>
        <v>3.8936170212765959</v>
      </c>
      <c r="E8" s="59">
        <f t="shared" si="1"/>
        <v>0.22340425531914893</v>
      </c>
      <c r="F8" s="18">
        <v>366</v>
      </c>
      <c r="H8" s="59" t="s">
        <v>148</v>
      </c>
      <c r="I8" s="59">
        <v>42</v>
      </c>
      <c r="J8" s="59">
        <v>8</v>
      </c>
      <c r="K8" s="59">
        <f t="shared" si="2"/>
        <v>3.7380952380952381</v>
      </c>
      <c r="L8" s="59">
        <f t="shared" si="3"/>
        <v>0.19047619047619047</v>
      </c>
      <c r="M8" s="3" t="s">
        <v>45</v>
      </c>
      <c r="N8" s="18">
        <v>157</v>
      </c>
    </row>
    <row r="9" spans="1:14" x14ac:dyDescent="0.25">
      <c r="A9" s="59" t="s">
        <v>10</v>
      </c>
      <c r="B9" s="59">
        <v>67</v>
      </c>
      <c r="C9" s="59">
        <v>13</v>
      </c>
      <c r="D9" s="59">
        <f t="shared" si="0"/>
        <v>3.8955223880597014</v>
      </c>
      <c r="E9" s="59">
        <f t="shared" si="1"/>
        <v>0.19402985074626866</v>
      </c>
      <c r="F9" s="18">
        <v>261</v>
      </c>
      <c r="H9" s="59" t="s">
        <v>9</v>
      </c>
      <c r="I9" s="59">
        <v>30</v>
      </c>
      <c r="J9" s="59">
        <v>3</v>
      </c>
      <c r="K9" s="59">
        <f t="shared" si="2"/>
        <v>3.8</v>
      </c>
      <c r="L9" s="59">
        <f t="shared" si="3"/>
        <v>0.1</v>
      </c>
      <c r="M9" s="77" t="s">
        <v>603</v>
      </c>
      <c r="N9" s="18">
        <v>114</v>
      </c>
    </row>
    <row r="10" spans="1:14" x14ac:dyDescent="0.25">
      <c r="A10" s="59" t="s">
        <v>29</v>
      </c>
      <c r="B10" s="59">
        <v>115</v>
      </c>
      <c r="C10" s="59">
        <v>16</v>
      </c>
      <c r="D10" s="59">
        <f t="shared" si="0"/>
        <v>3.9043478260869566</v>
      </c>
      <c r="E10" s="59">
        <f t="shared" si="1"/>
        <v>0.1391304347826087</v>
      </c>
      <c r="F10" s="18">
        <v>449</v>
      </c>
      <c r="H10" s="59" t="s">
        <v>121</v>
      </c>
      <c r="I10" s="59">
        <v>98</v>
      </c>
      <c r="J10" s="59">
        <v>22</v>
      </c>
      <c r="K10" s="59">
        <f t="shared" si="2"/>
        <v>3.8673469387755102</v>
      </c>
      <c r="L10" s="59">
        <f t="shared" si="3"/>
        <v>0.22448979591836735</v>
      </c>
      <c r="M10" s="3" t="s">
        <v>45</v>
      </c>
      <c r="N10" s="18">
        <v>379</v>
      </c>
    </row>
    <row r="11" spans="1:14" x14ac:dyDescent="0.25">
      <c r="A11" s="41" t="s">
        <v>125</v>
      </c>
      <c r="B11" s="41">
        <v>31</v>
      </c>
      <c r="C11" s="41">
        <v>2</v>
      </c>
      <c r="D11" s="41">
        <f t="shared" si="0"/>
        <v>4</v>
      </c>
      <c r="E11" s="41">
        <f t="shared" si="1"/>
        <v>6.4516129032258063E-2</v>
      </c>
      <c r="F11" s="18">
        <v>124</v>
      </c>
      <c r="H11" s="59" t="s">
        <v>10</v>
      </c>
      <c r="I11" s="59">
        <v>73</v>
      </c>
      <c r="J11" s="59">
        <v>13</v>
      </c>
      <c r="K11" s="59">
        <f t="shared" si="2"/>
        <v>3.9452054794520546</v>
      </c>
      <c r="L11" s="59">
        <f t="shared" si="3"/>
        <v>0.17808219178082191</v>
      </c>
      <c r="M11" s="3" t="s">
        <v>45</v>
      </c>
      <c r="N11" s="18">
        <v>288</v>
      </c>
    </row>
    <row r="12" spans="1:14" x14ac:dyDescent="0.25">
      <c r="A12" s="41" t="s">
        <v>22</v>
      </c>
      <c r="B12" s="41">
        <v>182</v>
      </c>
      <c r="C12" s="41">
        <v>30</v>
      </c>
      <c r="D12" s="41">
        <f t="shared" si="0"/>
        <v>4.104395604395604</v>
      </c>
      <c r="E12" s="41">
        <f t="shared" si="1"/>
        <v>0.16483516483516483</v>
      </c>
      <c r="F12" s="18">
        <v>747</v>
      </c>
      <c r="H12" s="59" t="s">
        <v>122</v>
      </c>
      <c r="I12" s="59">
        <v>133</v>
      </c>
      <c r="J12" s="59">
        <v>17</v>
      </c>
      <c r="K12" s="59">
        <f t="shared" si="2"/>
        <v>3.9849624060150375</v>
      </c>
      <c r="L12" s="59">
        <f t="shared" si="3"/>
        <v>0.12781954887218044</v>
      </c>
      <c r="M12" s="74" t="s">
        <v>44</v>
      </c>
      <c r="N12" s="18">
        <v>530</v>
      </c>
    </row>
    <row r="13" spans="1:14" x14ac:dyDescent="0.25">
      <c r="A13" s="41" t="s">
        <v>122</v>
      </c>
      <c r="B13" s="41">
        <v>116</v>
      </c>
      <c r="C13" s="41">
        <v>14</v>
      </c>
      <c r="D13" s="41">
        <f t="shared" si="0"/>
        <v>4.1120689655172411</v>
      </c>
      <c r="E13" s="41">
        <f t="shared" si="1"/>
        <v>0.1206896551724138</v>
      </c>
      <c r="F13" s="18">
        <v>477</v>
      </c>
      <c r="H13" s="41" t="s">
        <v>29</v>
      </c>
      <c r="I13" s="41">
        <v>127</v>
      </c>
      <c r="J13" s="41">
        <v>18</v>
      </c>
      <c r="K13" s="41">
        <f t="shared" si="2"/>
        <v>4.015748031496063</v>
      </c>
      <c r="L13" s="41">
        <f t="shared" si="3"/>
        <v>0.14173228346456693</v>
      </c>
      <c r="M13" s="3" t="s">
        <v>54</v>
      </c>
      <c r="N13" s="18">
        <v>510</v>
      </c>
    </row>
    <row r="14" spans="1:14" x14ac:dyDescent="0.25">
      <c r="A14" s="41" t="s">
        <v>3</v>
      </c>
      <c r="B14" s="41">
        <v>46</v>
      </c>
      <c r="C14" s="41">
        <v>7</v>
      </c>
      <c r="D14" s="41">
        <f t="shared" si="0"/>
        <v>4.1304347826086953</v>
      </c>
      <c r="E14" s="41">
        <f t="shared" si="1"/>
        <v>0.15217391304347827</v>
      </c>
      <c r="F14" s="18">
        <v>190</v>
      </c>
      <c r="H14" s="41" t="s">
        <v>116</v>
      </c>
      <c r="I14" s="41">
        <v>30</v>
      </c>
      <c r="J14" s="41">
        <v>5</v>
      </c>
      <c r="K14" s="41">
        <f t="shared" si="2"/>
        <v>4.0666666666666664</v>
      </c>
      <c r="L14" s="41">
        <f t="shared" si="3"/>
        <v>0.16666666666666666</v>
      </c>
      <c r="M14" s="78" t="s">
        <v>602</v>
      </c>
      <c r="N14" s="18">
        <v>122</v>
      </c>
    </row>
    <row r="15" spans="1:14" x14ac:dyDescent="0.25">
      <c r="A15" s="41" t="s">
        <v>0</v>
      </c>
      <c r="B15" s="41">
        <v>84</v>
      </c>
      <c r="C15" s="41">
        <v>14</v>
      </c>
      <c r="D15" s="41">
        <f t="shared" si="0"/>
        <v>4.1547619047619051</v>
      </c>
      <c r="E15" s="41">
        <f t="shared" si="1"/>
        <v>0.16666666666666666</v>
      </c>
      <c r="F15" s="18">
        <v>349</v>
      </c>
      <c r="H15" s="41" t="s">
        <v>428</v>
      </c>
      <c r="I15" s="41">
        <v>31</v>
      </c>
      <c r="J15" s="41">
        <v>5</v>
      </c>
      <c r="K15" s="41">
        <f t="shared" si="2"/>
        <v>4.096774193548387</v>
      </c>
      <c r="L15" s="41">
        <f t="shared" si="3"/>
        <v>0.16129032258064516</v>
      </c>
      <c r="M15" s="78" t="s">
        <v>601</v>
      </c>
      <c r="N15" s="18">
        <v>127</v>
      </c>
    </row>
    <row r="16" spans="1:14" x14ac:dyDescent="0.25">
      <c r="A16" s="41" t="s">
        <v>112</v>
      </c>
      <c r="B16" s="41">
        <v>30</v>
      </c>
      <c r="C16" s="41">
        <v>6</v>
      </c>
      <c r="D16" s="41">
        <f t="shared" si="0"/>
        <v>4.166666666666667</v>
      </c>
      <c r="E16" s="41">
        <f t="shared" si="1"/>
        <v>0.2</v>
      </c>
      <c r="F16" s="18">
        <v>125</v>
      </c>
      <c r="H16" s="41" t="s">
        <v>22</v>
      </c>
      <c r="I16" s="41">
        <v>184</v>
      </c>
      <c r="J16" s="41">
        <v>30</v>
      </c>
      <c r="K16" s="41">
        <f t="shared" si="2"/>
        <v>4.1141304347826084</v>
      </c>
      <c r="L16" s="41">
        <f t="shared" si="3"/>
        <v>0.16304347826086957</v>
      </c>
      <c r="M16" s="3" t="s">
        <v>55</v>
      </c>
      <c r="N16" s="18">
        <v>757</v>
      </c>
    </row>
    <row r="17" spans="1:14" x14ac:dyDescent="0.25">
      <c r="A17" s="41" t="s">
        <v>104</v>
      </c>
      <c r="B17" s="41">
        <v>107</v>
      </c>
      <c r="C17" s="41">
        <v>8</v>
      </c>
      <c r="D17" s="41">
        <f t="shared" si="0"/>
        <v>4.2056074766355138</v>
      </c>
      <c r="E17" s="41">
        <f t="shared" si="1"/>
        <v>7.476635514018691E-2</v>
      </c>
      <c r="F17" s="18">
        <v>450</v>
      </c>
      <c r="H17" s="41" t="s">
        <v>3</v>
      </c>
      <c r="I17" s="41">
        <v>46</v>
      </c>
      <c r="J17" s="41">
        <v>7</v>
      </c>
      <c r="K17" s="41">
        <f t="shared" si="2"/>
        <v>4.1304347826086953</v>
      </c>
      <c r="L17" s="41">
        <f t="shared" si="3"/>
        <v>0.15217391304347827</v>
      </c>
      <c r="M17" s="3" t="s">
        <v>54</v>
      </c>
      <c r="N17" s="18">
        <v>190</v>
      </c>
    </row>
    <row r="18" spans="1:14" x14ac:dyDescent="0.25">
      <c r="A18" s="41" t="s">
        <v>21</v>
      </c>
      <c r="B18" s="41">
        <v>160</v>
      </c>
      <c r="C18" s="41">
        <v>24</v>
      </c>
      <c r="D18" s="41">
        <f t="shared" si="0"/>
        <v>4.2937500000000002</v>
      </c>
      <c r="E18" s="41">
        <f t="shared" si="1"/>
        <v>0.15</v>
      </c>
      <c r="F18" s="18">
        <v>687</v>
      </c>
      <c r="H18" s="41" t="s">
        <v>0</v>
      </c>
      <c r="I18" s="41">
        <v>84</v>
      </c>
      <c r="J18" s="41">
        <v>14</v>
      </c>
      <c r="K18" s="41">
        <f t="shared" si="2"/>
        <v>4.1547619047619051</v>
      </c>
      <c r="L18" s="41">
        <f t="shared" si="3"/>
        <v>0.16666666666666666</v>
      </c>
      <c r="M18" s="3" t="s">
        <v>54</v>
      </c>
      <c r="N18" s="18">
        <v>349</v>
      </c>
    </row>
    <row r="19" spans="1:14" x14ac:dyDescent="0.25">
      <c r="A19" s="41" t="s">
        <v>50</v>
      </c>
      <c r="B19" s="41">
        <v>30</v>
      </c>
      <c r="C19" s="41">
        <v>1</v>
      </c>
      <c r="D19" s="41">
        <f t="shared" si="0"/>
        <v>4.3</v>
      </c>
      <c r="E19" s="41">
        <f t="shared" si="1"/>
        <v>3.3333333333333333E-2</v>
      </c>
      <c r="F19" s="18">
        <v>129</v>
      </c>
      <c r="H19" s="41" t="s">
        <v>112</v>
      </c>
      <c r="I19" s="41">
        <v>30</v>
      </c>
      <c r="J19" s="41">
        <v>6</v>
      </c>
      <c r="K19" s="41">
        <f t="shared" si="2"/>
        <v>4.166666666666667</v>
      </c>
      <c r="L19" s="41">
        <f t="shared" si="3"/>
        <v>0.2</v>
      </c>
      <c r="M19" s="3" t="s">
        <v>54</v>
      </c>
      <c r="N19" s="18">
        <v>125</v>
      </c>
    </row>
    <row r="20" spans="1:14" x14ac:dyDescent="0.25">
      <c r="A20" s="41" t="s">
        <v>115</v>
      </c>
      <c r="B20" s="41">
        <v>39</v>
      </c>
      <c r="C20" s="41">
        <v>3</v>
      </c>
      <c r="D20" s="41">
        <f t="shared" si="0"/>
        <v>4.384615384615385</v>
      </c>
      <c r="E20" s="41">
        <f t="shared" si="1"/>
        <v>7.6923076923076927E-2</v>
      </c>
      <c r="F20" s="18">
        <v>171</v>
      </c>
      <c r="H20" s="41" t="s">
        <v>125</v>
      </c>
      <c r="I20" s="41">
        <v>35</v>
      </c>
      <c r="J20" s="41">
        <v>2</v>
      </c>
      <c r="K20" s="41">
        <f t="shared" si="2"/>
        <v>4.1714285714285717</v>
      </c>
      <c r="L20" s="41">
        <f t="shared" si="3"/>
        <v>5.7142857142857141E-2</v>
      </c>
      <c r="M20" s="3" t="s">
        <v>495</v>
      </c>
      <c r="N20" s="18">
        <v>146</v>
      </c>
    </row>
    <row r="21" spans="1:14" x14ac:dyDescent="0.25">
      <c r="A21" s="32" t="s">
        <v>27</v>
      </c>
      <c r="B21" s="32">
        <v>36</v>
      </c>
      <c r="C21" s="32">
        <v>3</v>
      </c>
      <c r="D21" s="32">
        <f t="shared" si="0"/>
        <v>4.4444444444444446</v>
      </c>
      <c r="E21" s="32">
        <f t="shared" si="1"/>
        <v>8.3333333333333329E-2</v>
      </c>
      <c r="F21" s="18">
        <v>160</v>
      </c>
      <c r="H21" s="41" t="s">
        <v>63</v>
      </c>
      <c r="I21" s="41">
        <v>30</v>
      </c>
      <c r="J21" s="41">
        <v>5</v>
      </c>
      <c r="K21" s="41">
        <f t="shared" si="2"/>
        <v>4.2333333333333334</v>
      </c>
      <c r="L21" s="41">
        <f t="shared" si="3"/>
        <v>0.16666666666666666</v>
      </c>
      <c r="M21" s="78" t="s">
        <v>604</v>
      </c>
      <c r="N21" s="18">
        <v>127</v>
      </c>
    </row>
    <row r="22" spans="1:14" x14ac:dyDescent="0.25">
      <c r="A22" s="32" t="s">
        <v>123</v>
      </c>
      <c r="B22" s="32">
        <v>35</v>
      </c>
      <c r="C22" s="32">
        <v>6</v>
      </c>
      <c r="D22" s="32">
        <f t="shared" si="0"/>
        <v>4.4571428571428573</v>
      </c>
      <c r="E22" s="32">
        <f t="shared" si="1"/>
        <v>0.17142857142857143</v>
      </c>
      <c r="F22" s="18">
        <v>156</v>
      </c>
      <c r="H22" s="41" t="s">
        <v>117</v>
      </c>
      <c r="I22" s="41">
        <v>32</v>
      </c>
      <c r="J22" s="41">
        <v>6</v>
      </c>
      <c r="K22" s="41">
        <f t="shared" si="2"/>
        <v>4.25</v>
      </c>
      <c r="L22" s="41">
        <f t="shared" si="3"/>
        <v>0.1875</v>
      </c>
      <c r="M22" s="78" t="s">
        <v>600</v>
      </c>
      <c r="N22" s="18">
        <v>136</v>
      </c>
    </row>
    <row r="23" spans="1:14" x14ac:dyDescent="0.25">
      <c r="A23" s="32" t="s">
        <v>8</v>
      </c>
      <c r="B23" s="32">
        <v>46</v>
      </c>
      <c r="C23" s="32">
        <v>5</v>
      </c>
      <c r="D23" s="32">
        <f t="shared" si="0"/>
        <v>4.4782608695652177</v>
      </c>
      <c r="E23" s="32">
        <f t="shared" si="1"/>
        <v>0.10869565217391304</v>
      </c>
      <c r="F23" s="18">
        <v>206</v>
      </c>
      <c r="H23" s="41" t="s">
        <v>104</v>
      </c>
      <c r="I23" s="41">
        <v>122</v>
      </c>
      <c r="J23" s="41">
        <v>9</v>
      </c>
      <c r="K23" s="41">
        <f t="shared" si="2"/>
        <v>4.2622950819672134</v>
      </c>
      <c r="L23" s="41">
        <f t="shared" si="3"/>
        <v>7.3770491803278687E-2</v>
      </c>
      <c r="M23" s="3" t="s">
        <v>555</v>
      </c>
      <c r="N23" s="18">
        <v>520</v>
      </c>
    </row>
    <row r="24" spans="1:14" x14ac:dyDescent="0.25">
      <c r="A24" s="32" t="s">
        <v>24</v>
      </c>
      <c r="B24" s="32">
        <v>101</v>
      </c>
      <c r="C24" s="32">
        <v>12</v>
      </c>
      <c r="D24" s="32">
        <f t="shared" si="0"/>
        <v>4.5247524752475243</v>
      </c>
      <c r="E24" s="32">
        <f t="shared" si="1"/>
        <v>0.11881188118811881</v>
      </c>
      <c r="F24" s="18">
        <v>457</v>
      </c>
      <c r="H24" s="41" t="s">
        <v>50</v>
      </c>
      <c r="I24" s="41">
        <v>30</v>
      </c>
      <c r="J24" s="41">
        <v>1</v>
      </c>
      <c r="K24" s="41">
        <f t="shared" si="2"/>
        <v>4.3</v>
      </c>
      <c r="L24" s="41">
        <f t="shared" si="3"/>
        <v>3.3333333333333333E-2</v>
      </c>
      <c r="M24" s="3" t="s">
        <v>494</v>
      </c>
      <c r="N24" s="18">
        <v>129</v>
      </c>
    </row>
    <row r="25" spans="1:14" x14ac:dyDescent="0.25">
      <c r="A25" s="32" t="s">
        <v>36</v>
      </c>
      <c r="B25" s="32">
        <v>30</v>
      </c>
      <c r="C25" s="32">
        <v>0</v>
      </c>
      <c r="D25" s="32">
        <f t="shared" si="0"/>
        <v>4.5333333333333332</v>
      </c>
      <c r="E25" s="32">
        <f t="shared" si="1"/>
        <v>0</v>
      </c>
      <c r="F25" s="18">
        <v>136</v>
      </c>
      <c r="H25" s="41" t="s">
        <v>123</v>
      </c>
      <c r="I25" s="41">
        <v>39</v>
      </c>
      <c r="J25" s="41">
        <v>6</v>
      </c>
      <c r="K25" s="41">
        <f t="shared" si="2"/>
        <v>4.3076923076923075</v>
      </c>
      <c r="L25" s="41">
        <f t="shared" si="3"/>
        <v>0.15384615384615385</v>
      </c>
      <c r="M25" s="3" t="s">
        <v>54</v>
      </c>
      <c r="N25" s="18">
        <v>168</v>
      </c>
    </row>
    <row r="26" spans="1:14" x14ac:dyDescent="0.25">
      <c r="A26" s="32" t="s">
        <v>129</v>
      </c>
      <c r="B26" s="32">
        <v>42</v>
      </c>
      <c r="C26" s="32">
        <v>7</v>
      </c>
      <c r="D26" s="32">
        <f t="shared" si="0"/>
        <v>4.5714285714285712</v>
      </c>
      <c r="E26" s="32">
        <f t="shared" si="1"/>
        <v>0.16666666666666666</v>
      </c>
      <c r="F26" s="18">
        <v>192</v>
      </c>
      <c r="H26" s="41" t="s">
        <v>21</v>
      </c>
      <c r="I26" s="41">
        <v>169</v>
      </c>
      <c r="J26" s="41">
        <v>25</v>
      </c>
      <c r="K26" s="41">
        <f t="shared" si="2"/>
        <v>4.3136094674556213</v>
      </c>
      <c r="L26" s="41">
        <f t="shared" si="3"/>
        <v>0.14792899408284024</v>
      </c>
      <c r="M26" s="3" t="s">
        <v>296</v>
      </c>
      <c r="N26" s="18">
        <v>729</v>
      </c>
    </row>
    <row r="27" spans="1:14" x14ac:dyDescent="0.25">
      <c r="A27" s="32" t="s">
        <v>15</v>
      </c>
      <c r="B27" s="32">
        <v>242</v>
      </c>
      <c r="C27" s="32">
        <v>36</v>
      </c>
      <c r="D27" s="32">
        <f t="shared" si="0"/>
        <v>4.5909090909090908</v>
      </c>
      <c r="E27" s="32">
        <f t="shared" si="1"/>
        <v>0.1487603305785124</v>
      </c>
      <c r="F27" s="18">
        <v>1111</v>
      </c>
      <c r="H27" s="41" t="s">
        <v>115</v>
      </c>
      <c r="I27" s="41">
        <v>39</v>
      </c>
      <c r="J27" s="41">
        <v>3</v>
      </c>
      <c r="K27" s="41">
        <f t="shared" si="2"/>
        <v>4.384615384615385</v>
      </c>
      <c r="L27" s="41">
        <f t="shared" si="3"/>
        <v>7.6923076923076927E-2</v>
      </c>
      <c r="M27" s="3" t="s">
        <v>282</v>
      </c>
      <c r="N27" s="18">
        <v>171</v>
      </c>
    </row>
    <row r="28" spans="1:14" x14ac:dyDescent="0.25">
      <c r="A28" s="32" t="s">
        <v>1</v>
      </c>
      <c r="B28" s="32">
        <v>103</v>
      </c>
      <c r="C28" s="32">
        <v>6</v>
      </c>
      <c r="D28" s="32">
        <f t="shared" si="0"/>
        <v>4.6116504854368934</v>
      </c>
      <c r="E28" s="32">
        <f t="shared" si="1"/>
        <v>5.8252427184466021E-2</v>
      </c>
      <c r="F28" s="18">
        <v>475</v>
      </c>
      <c r="H28" s="32" t="s">
        <v>8</v>
      </c>
      <c r="I28" s="32">
        <v>49</v>
      </c>
      <c r="J28" s="32">
        <v>6</v>
      </c>
      <c r="K28" s="32">
        <f t="shared" si="2"/>
        <v>4.4285714285714288</v>
      </c>
      <c r="L28" s="32">
        <f t="shared" si="3"/>
        <v>0.12244897959183673</v>
      </c>
      <c r="M28" s="3" t="s">
        <v>494</v>
      </c>
      <c r="N28" s="18">
        <v>217</v>
      </c>
    </row>
    <row r="29" spans="1:14" x14ac:dyDescent="0.25">
      <c r="A29" s="32" t="s">
        <v>79</v>
      </c>
      <c r="B29" s="32">
        <v>54</v>
      </c>
      <c r="C29" s="32">
        <v>6</v>
      </c>
      <c r="D29" s="32">
        <f t="shared" si="0"/>
        <v>4.6296296296296298</v>
      </c>
      <c r="E29" s="32">
        <f t="shared" si="1"/>
        <v>0.1111111111111111</v>
      </c>
      <c r="F29" s="18">
        <v>250</v>
      </c>
      <c r="H29" s="32" t="s">
        <v>27</v>
      </c>
      <c r="I29" s="32">
        <v>36</v>
      </c>
      <c r="J29" s="32">
        <v>3</v>
      </c>
      <c r="K29" s="32">
        <f t="shared" si="2"/>
        <v>4.4444444444444446</v>
      </c>
      <c r="L29" s="32">
        <f t="shared" si="3"/>
        <v>8.3333333333333329E-2</v>
      </c>
      <c r="M29" s="3" t="s">
        <v>296</v>
      </c>
      <c r="N29" s="18">
        <v>160</v>
      </c>
    </row>
    <row r="30" spans="1:14" x14ac:dyDescent="0.25">
      <c r="A30" s="32" t="s">
        <v>105</v>
      </c>
      <c r="B30" s="32">
        <v>30</v>
      </c>
      <c r="C30" s="32">
        <v>4</v>
      </c>
      <c r="D30" s="32">
        <f t="shared" si="0"/>
        <v>4.6333333333333337</v>
      </c>
      <c r="E30" s="32">
        <f t="shared" si="1"/>
        <v>0.13333333333333333</v>
      </c>
      <c r="F30" s="18">
        <v>139</v>
      </c>
      <c r="H30" s="32" t="s">
        <v>24</v>
      </c>
      <c r="I30" s="32">
        <v>101</v>
      </c>
      <c r="J30" s="32">
        <v>12</v>
      </c>
      <c r="K30" s="32">
        <f t="shared" si="2"/>
        <v>4.5247524752475243</v>
      </c>
      <c r="L30" s="32">
        <f t="shared" si="3"/>
        <v>0.11881188118811881</v>
      </c>
      <c r="M30" s="3" t="s">
        <v>555</v>
      </c>
      <c r="N30" s="18">
        <v>457</v>
      </c>
    </row>
    <row r="31" spans="1:14" x14ac:dyDescent="0.25">
      <c r="A31" s="38" t="s">
        <v>14</v>
      </c>
      <c r="B31" s="38">
        <v>45</v>
      </c>
      <c r="C31" s="38">
        <v>3</v>
      </c>
      <c r="D31" s="38">
        <f t="shared" si="0"/>
        <v>4.7111111111111112</v>
      </c>
      <c r="E31" s="38">
        <f t="shared" si="1"/>
        <v>6.6666666666666666E-2</v>
      </c>
      <c r="F31">
        <v>212</v>
      </c>
      <c r="H31" s="32" t="s">
        <v>36</v>
      </c>
      <c r="I31" s="32">
        <v>30</v>
      </c>
      <c r="J31" s="32">
        <v>0</v>
      </c>
      <c r="K31" s="32">
        <f t="shared" si="2"/>
        <v>4.5333333333333332</v>
      </c>
      <c r="L31" s="32">
        <f t="shared" si="3"/>
        <v>0</v>
      </c>
      <c r="M31" s="3" t="s">
        <v>555</v>
      </c>
      <c r="N31" s="18">
        <v>136</v>
      </c>
    </row>
    <row r="32" spans="1:14" x14ac:dyDescent="0.25">
      <c r="A32" s="38" t="s">
        <v>13</v>
      </c>
      <c r="B32" s="38">
        <v>36</v>
      </c>
      <c r="C32" s="38">
        <v>2</v>
      </c>
      <c r="D32" s="38">
        <f t="shared" si="0"/>
        <v>4.7222222222222223</v>
      </c>
      <c r="E32" s="38">
        <f t="shared" si="1"/>
        <v>5.5555555555555552E-2</v>
      </c>
      <c r="F32" s="18">
        <v>170</v>
      </c>
      <c r="H32" s="32" t="s">
        <v>129</v>
      </c>
      <c r="I32" s="32">
        <v>43</v>
      </c>
      <c r="J32" s="32">
        <v>7</v>
      </c>
      <c r="K32" s="32">
        <f t="shared" si="2"/>
        <v>4.558139534883721</v>
      </c>
      <c r="L32" s="32">
        <f t="shared" si="3"/>
        <v>0.16279069767441862</v>
      </c>
      <c r="M32" s="3" t="s">
        <v>555</v>
      </c>
      <c r="N32" s="18">
        <v>196</v>
      </c>
    </row>
    <row r="33" spans="1:14" x14ac:dyDescent="0.25">
      <c r="A33" s="38" t="s">
        <v>4</v>
      </c>
      <c r="B33" s="38">
        <v>30</v>
      </c>
      <c r="C33" s="38">
        <v>4</v>
      </c>
      <c r="D33" s="38">
        <f t="shared" si="0"/>
        <v>4.8</v>
      </c>
      <c r="E33" s="38">
        <f t="shared" si="1"/>
        <v>0.13333333333333333</v>
      </c>
      <c r="F33" s="18">
        <v>144</v>
      </c>
      <c r="H33" s="32" t="s">
        <v>15</v>
      </c>
      <c r="I33" s="32">
        <v>257</v>
      </c>
      <c r="J33" s="32">
        <v>38</v>
      </c>
      <c r="K33" s="32">
        <f t="shared" si="2"/>
        <v>4.6031128404669257</v>
      </c>
      <c r="L33" s="32">
        <f t="shared" si="3"/>
        <v>0.14785992217898833</v>
      </c>
      <c r="M33" s="3" t="s">
        <v>555</v>
      </c>
      <c r="N33" s="18">
        <v>1183</v>
      </c>
    </row>
    <row r="34" spans="1:14" x14ac:dyDescent="0.25">
      <c r="A34" s="38" t="s">
        <v>87</v>
      </c>
      <c r="B34" s="38">
        <v>128</v>
      </c>
      <c r="C34" s="38">
        <v>16</v>
      </c>
      <c r="D34" s="38">
        <f t="shared" ref="D34:D50" si="4">F34/B34</f>
        <v>4.8125</v>
      </c>
      <c r="E34" s="38">
        <f t="shared" ref="E34:E50" si="5">C34/B34</f>
        <v>0.125</v>
      </c>
      <c r="F34" s="18">
        <v>616</v>
      </c>
      <c r="H34" s="32" t="s">
        <v>1</v>
      </c>
      <c r="I34" s="32">
        <v>113</v>
      </c>
      <c r="J34" s="32">
        <v>6</v>
      </c>
      <c r="K34" s="32">
        <f t="shared" ref="K34:K58" si="6">N34/I34</f>
        <v>4.610619469026549</v>
      </c>
      <c r="L34" s="32">
        <f t="shared" ref="L34:L58" si="7">J34/I34</f>
        <v>5.3097345132743362E-2</v>
      </c>
      <c r="M34" s="3" t="s">
        <v>555</v>
      </c>
      <c r="N34" s="18">
        <v>521</v>
      </c>
    </row>
    <row r="35" spans="1:14" x14ac:dyDescent="0.25">
      <c r="A35" s="38" t="s">
        <v>61</v>
      </c>
      <c r="B35" s="38">
        <v>46</v>
      </c>
      <c r="C35" s="38">
        <v>8</v>
      </c>
      <c r="D35" s="38">
        <f t="shared" si="4"/>
        <v>4.8260869565217392</v>
      </c>
      <c r="E35" s="38">
        <f t="shared" si="5"/>
        <v>0.17391304347826086</v>
      </c>
      <c r="F35" s="18">
        <v>222</v>
      </c>
      <c r="H35" s="32" t="s">
        <v>79</v>
      </c>
      <c r="I35" s="32">
        <v>54</v>
      </c>
      <c r="J35" s="32">
        <v>6</v>
      </c>
      <c r="K35" s="32">
        <f t="shared" si="6"/>
        <v>4.6296296296296298</v>
      </c>
      <c r="L35" s="32">
        <f t="shared" si="7"/>
        <v>0.1111111111111111</v>
      </c>
      <c r="M35" s="3" t="s">
        <v>555</v>
      </c>
      <c r="N35" s="18">
        <v>250</v>
      </c>
    </row>
    <row r="36" spans="1:14" x14ac:dyDescent="0.25">
      <c r="A36" s="38" t="s">
        <v>51</v>
      </c>
      <c r="B36" s="38">
        <v>42</v>
      </c>
      <c r="C36" s="38">
        <v>3</v>
      </c>
      <c r="D36" s="38">
        <f t="shared" si="4"/>
        <v>4.833333333333333</v>
      </c>
      <c r="E36" s="38">
        <f t="shared" si="5"/>
        <v>7.1428571428571425E-2</v>
      </c>
      <c r="F36" s="18">
        <v>203</v>
      </c>
      <c r="H36" s="32" t="s">
        <v>414</v>
      </c>
      <c r="I36" s="32">
        <v>30</v>
      </c>
      <c r="J36" s="32">
        <v>4</v>
      </c>
      <c r="K36" s="32">
        <f t="shared" si="6"/>
        <v>4.6333333333333337</v>
      </c>
      <c r="L36" s="32">
        <f t="shared" si="7"/>
        <v>0.13333333333333333</v>
      </c>
      <c r="M36" s="75" t="s">
        <v>595</v>
      </c>
      <c r="N36" s="18">
        <v>139</v>
      </c>
    </row>
    <row r="37" spans="1:14" x14ac:dyDescent="0.25">
      <c r="A37" s="38" t="s">
        <v>25</v>
      </c>
      <c r="B37" s="38">
        <v>172</v>
      </c>
      <c r="C37" s="38">
        <v>17</v>
      </c>
      <c r="D37" s="38">
        <f t="shared" si="4"/>
        <v>5.0348837209302326</v>
      </c>
      <c r="E37" s="38">
        <f t="shared" si="5"/>
        <v>9.8837209302325577E-2</v>
      </c>
      <c r="F37" s="18">
        <v>866</v>
      </c>
      <c r="H37" s="32" t="s">
        <v>61</v>
      </c>
      <c r="I37" s="32">
        <v>53</v>
      </c>
      <c r="J37" s="32">
        <v>9</v>
      </c>
      <c r="K37" s="32">
        <f t="shared" si="6"/>
        <v>4.6792452830188678</v>
      </c>
      <c r="L37" s="32">
        <f t="shared" si="7"/>
        <v>0.16981132075471697</v>
      </c>
      <c r="M37" s="3" t="s">
        <v>45</v>
      </c>
      <c r="N37" s="18">
        <v>248</v>
      </c>
    </row>
    <row r="38" spans="1:14" x14ac:dyDescent="0.25">
      <c r="A38" s="38" t="s">
        <v>30</v>
      </c>
      <c r="B38" s="38">
        <v>55</v>
      </c>
      <c r="C38" s="38">
        <v>4</v>
      </c>
      <c r="D38" s="38">
        <f t="shared" si="4"/>
        <v>5.0363636363636362</v>
      </c>
      <c r="E38" s="38">
        <f t="shared" si="5"/>
        <v>7.2727272727272724E-2</v>
      </c>
      <c r="F38" s="18">
        <v>277</v>
      </c>
      <c r="H38" s="38" t="s">
        <v>14</v>
      </c>
      <c r="I38" s="38">
        <v>45</v>
      </c>
      <c r="J38" s="38">
        <v>3</v>
      </c>
      <c r="K38" s="38">
        <f t="shared" si="6"/>
        <v>4.7111111111111112</v>
      </c>
      <c r="L38" s="38">
        <f t="shared" si="7"/>
        <v>6.6666666666666666E-2</v>
      </c>
      <c r="M38" s="3" t="s">
        <v>282</v>
      </c>
      <c r="N38">
        <v>212</v>
      </c>
    </row>
    <row r="39" spans="1:14" x14ac:dyDescent="0.25">
      <c r="A39" s="38" t="s">
        <v>49</v>
      </c>
      <c r="B39" s="38">
        <v>122</v>
      </c>
      <c r="C39" s="38">
        <v>7</v>
      </c>
      <c r="D39" s="38">
        <f t="shared" si="4"/>
        <v>5.1475409836065573</v>
      </c>
      <c r="E39" s="38">
        <f t="shared" si="5"/>
        <v>5.737704918032787E-2</v>
      </c>
      <c r="F39" s="18">
        <v>628</v>
      </c>
      <c r="H39" s="38" t="s">
        <v>13</v>
      </c>
      <c r="I39" s="38">
        <v>36</v>
      </c>
      <c r="J39" s="38">
        <v>2</v>
      </c>
      <c r="K39" s="38">
        <f t="shared" si="6"/>
        <v>4.7222222222222223</v>
      </c>
      <c r="L39" s="38">
        <f t="shared" si="7"/>
        <v>5.5555555555555552E-2</v>
      </c>
      <c r="M39" s="3" t="s">
        <v>282</v>
      </c>
      <c r="N39" s="18">
        <v>170</v>
      </c>
    </row>
    <row r="40" spans="1:14" x14ac:dyDescent="0.25">
      <c r="A40" s="38" t="s">
        <v>19</v>
      </c>
      <c r="B40" s="38">
        <v>30</v>
      </c>
      <c r="C40" s="38">
        <v>3</v>
      </c>
      <c r="D40" s="38">
        <f t="shared" si="4"/>
        <v>5.166666666666667</v>
      </c>
      <c r="E40" s="38">
        <f t="shared" si="5"/>
        <v>0.1</v>
      </c>
      <c r="F40" s="18">
        <v>155</v>
      </c>
      <c r="H40" s="38" t="s">
        <v>105</v>
      </c>
      <c r="I40" s="38">
        <v>32</v>
      </c>
      <c r="J40" s="38">
        <v>4</v>
      </c>
      <c r="K40" s="38">
        <f t="shared" si="6"/>
        <v>4.78125</v>
      </c>
      <c r="L40" s="38">
        <f t="shared" si="7"/>
        <v>0.125</v>
      </c>
      <c r="M40" s="3" t="s">
        <v>597</v>
      </c>
      <c r="N40" s="18">
        <v>153</v>
      </c>
    </row>
    <row r="41" spans="1:14" x14ac:dyDescent="0.25">
      <c r="A41" s="38" t="s">
        <v>81</v>
      </c>
      <c r="B41" s="38">
        <v>74</v>
      </c>
      <c r="C41" s="38">
        <v>5</v>
      </c>
      <c r="D41" s="38">
        <f t="shared" si="4"/>
        <v>5.1891891891891895</v>
      </c>
      <c r="E41" s="38">
        <f t="shared" si="5"/>
        <v>6.7567567567567571E-2</v>
      </c>
      <c r="F41" s="18">
        <v>384</v>
      </c>
      <c r="H41" s="38" t="s">
        <v>4</v>
      </c>
      <c r="I41" s="38">
        <v>30</v>
      </c>
      <c r="J41" s="38">
        <v>4</v>
      </c>
      <c r="K41" s="38">
        <f t="shared" si="6"/>
        <v>4.8</v>
      </c>
      <c r="L41" s="38">
        <f t="shared" si="7"/>
        <v>0.13333333333333333</v>
      </c>
      <c r="M41" s="3" t="s">
        <v>296</v>
      </c>
      <c r="N41" s="18">
        <v>144</v>
      </c>
    </row>
    <row r="42" spans="1:14" x14ac:dyDescent="0.25">
      <c r="A42" s="67" t="s">
        <v>26</v>
      </c>
      <c r="B42" s="67">
        <v>78</v>
      </c>
      <c r="C42" s="67">
        <v>5</v>
      </c>
      <c r="D42" s="67">
        <f t="shared" si="4"/>
        <v>5.2307692307692308</v>
      </c>
      <c r="E42" s="67">
        <f t="shared" si="5"/>
        <v>6.4102564102564097E-2</v>
      </c>
      <c r="F42" s="18">
        <v>408</v>
      </c>
      <c r="H42" s="38" t="s">
        <v>124</v>
      </c>
      <c r="I42" s="38">
        <v>31</v>
      </c>
      <c r="J42" s="38">
        <v>1</v>
      </c>
      <c r="K42" s="38">
        <f t="shared" si="6"/>
        <v>4.935483870967742</v>
      </c>
      <c r="L42" s="38">
        <f t="shared" si="7"/>
        <v>3.2258064516129031E-2</v>
      </c>
      <c r="M42" s="57" t="s">
        <v>599</v>
      </c>
      <c r="N42" s="18">
        <v>153</v>
      </c>
    </row>
    <row r="43" spans="1:14" x14ac:dyDescent="0.25">
      <c r="A43" s="67" t="s">
        <v>31</v>
      </c>
      <c r="B43" s="67">
        <v>205</v>
      </c>
      <c r="C43" s="67">
        <v>13</v>
      </c>
      <c r="D43" s="67">
        <f t="shared" si="4"/>
        <v>5.2780487804878051</v>
      </c>
      <c r="E43" s="67">
        <f t="shared" si="5"/>
        <v>6.3414634146341464E-2</v>
      </c>
      <c r="F43" s="18">
        <v>1082</v>
      </c>
      <c r="H43" s="38" t="s">
        <v>51</v>
      </c>
      <c r="I43" s="38">
        <v>44</v>
      </c>
      <c r="J43" s="38">
        <v>3</v>
      </c>
      <c r="K43" s="38">
        <f t="shared" si="6"/>
        <v>4.9772727272727275</v>
      </c>
      <c r="L43" s="38">
        <f t="shared" si="7"/>
        <v>6.8181818181818177E-2</v>
      </c>
      <c r="M43" s="3" t="s">
        <v>282</v>
      </c>
      <c r="N43" s="18">
        <v>219</v>
      </c>
    </row>
    <row r="44" spans="1:14" x14ac:dyDescent="0.25">
      <c r="A44" s="67" t="s">
        <v>6</v>
      </c>
      <c r="B44" s="67">
        <v>45</v>
      </c>
      <c r="C44" s="67">
        <v>3</v>
      </c>
      <c r="D44" s="67">
        <f t="shared" si="4"/>
        <v>5.3555555555555552</v>
      </c>
      <c r="E44" s="67">
        <f t="shared" si="5"/>
        <v>6.6666666666666666E-2</v>
      </c>
      <c r="F44" s="18">
        <v>241</v>
      </c>
      <c r="H44" s="38" t="s">
        <v>87</v>
      </c>
      <c r="I44" s="38">
        <v>155</v>
      </c>
      <c r="J44" s="38">
        <v>17</v>
      </c>
      <c r="K44" s="38">
        <f t="shared" si="6"/>
        <v>5</v>
      </c>
      <c r="L44" s="38">
        <f t="shared" si="7"/>
        <v>0.10967741935483871</v>
      </c>
      <c r="M44" s="3" t="s">
        <v>597</v>
      </c>
      <c r="N44" s="18">
        <v>775</v>
      </c>
    </row>
    <row r="45" spans="1:14" x14ac:dyDescent="0.25">
      <c r="A45" s="67" t="s">
        <v>253</v>
      </c>
      <c r="B45" s="67">
        <v>36</v>
      </c>
      <c r="C45" s="67">
        <v>1</v>
      </c>
      <c r="D45" s="67">
        <f t="shared" si="4"/>
        <v>5.3611111111111107</v>
      </c>
      <c r="E45" s="67">
        <f t="shared" si="5"/>
        <v>2.7777777777777776E-2</v>
      </c>
      <c r="F45" s="18">
        <v>193</v>
      </c>
      <c r="H45" s="38" t="s">
        <v>25</v>
      </c>
      <c r="I45" s="38">
        <v>199</v>
      </c>
      <c r="J45" s="38">
        <v>19</v>
      </c>
      <c r="K45" s="38">
        <f t="shared" si="6"/>
        <v>5.075376884422111</v>
      </c>
      <c r="L45" s="38">
        <f t="shared" si="7"/>
        <v>9.5477386934673364E-2</v>
      </c>
      <c r="M45" s="3" t="s">
        <v>296</v>
      </c>
      <c r="N45" s="18">
        <v>1010</v>
      </c>
    </row>
    <row r="46" spans="1:14" x14ac:dyDescent="0.25">
      <c r="A46" s="67" t="s">
        <v>401</v>
      </c>
      <c r="B46" s="67">
        <v>63</v>
      </c>
      <c r="C46" s="67">
        <v>3</v>
      </c>
      <c r="D46" s="67">
        <f t="shared" si="4"/>
        <v>5.4761904761904763</v>
      </c>
      <c r="E46" s="67">
        <f t="shared" si="5"/>
        <v>4.7619047619047616E-2</v>
      </c>
      <c r="F46" s="18">
        <v>345</v>
      </c>
      <c r="H46" s="38" t="s">
        <v>81</v>
      </c>
      <c r="I46" s="38">
        <v>81</v>
      </c>
      <c r="J46" s="38">
        <v>6</v>
      </c>
      <c r="K46" s="38">
        <f t="shared" si="6"/>
        <v>5.0864197530864201</v>
      </c>
      <c r="L46" s="38">
        <f t="shared" si="7"/>
        <v>7.407407407407407E-2</v>
      </c>
      <c r="M46" s="3" t="s">
        <v>494</v>
      </c>
      <c r="N46" s="18">
        <v>412</v>
      </c>
    </row>
    <row r="47" spans="1:14" x14ac:dyDescent="0.25">
      <c r="A47" s="67" t="s">
        <v>33</v>
      </c>
      <c r="B47" s="67">
        <v>64</v>
      </c>
      <c r="C47" s="67">
        <v>4</v>
      </c>
      <c r="D47" s="67">
        <f t="shared" si="4"/>
        <v>5.515625</v>
      </c>
      <c r="E47" s="67">
        <f t="shared" si="5"/>
        <v>6.25E-2</v>
      </c>
      <c r="F47" s="18">
        <v>353</v>
      </c>
      <c r="H47" s="38" t="s">
        <v>49</v>
      </c>
      <c r="I47" s="38">
        <v>131</v>
      </c>
      <c r="J47" s="38">
        <v>7</v>
      </c>
      <c r="K47" s="38">
        <f t="shared" si="6"/>
        <v>5.1297709923664119</v>
      </c>
      <c r="L47" s="38">
        <f t="shared" si="7"/>
        <v>5.3435114503816793E-2</v>
      </c>
      <c r="M47" s="3" t="s">
        <v>296</v>
      </c>
      <c r="N47" s="18">
        <v>672</v>
      </c>
    </row>
    <row r="48" spans="1:14" x14ac:dyDescent="0.25">
      <c r="A48" s="67" t="s">
        <v>34</v>
      </c>
      <c r="B48" s="67">
        <v>30</v>
      </c>
      <c r="C48" s="67">
        <v>2</v>
      </c>
      <c r="D48" s="67">
        <f t="shared" si="4"/>
        <v>5.5333333333333332</v>
      </c>
      <c r="E48" s="67">
        <f t="shared" si="5"/>
        <v>6.6666666666666666E-2</v>
      </c>
      <c r="F48" s="18">
        <v>166</v>
      </c>
      <c r="H48" s="38" t="s">
        <v>19</v>
      </c>
      <c r="I48" s="38">
        <v>32</v>
      </c>
      <c r="J48" s="38">
        <v>3</v>
      </c>
      <c r="K48" s="38">
        <f t="shared" si="6"/>
        <v>5.15625</v>
      </c>
      <c r="L48" s="38">
        <f t="shared" si="7"/>
        <v>9.375E-2</v>
      </c>
      <c r="M48" s="3" t="s">
        <v>296</v>
      </c>
      <c r="N48" s="18">
        <v>165</v>
      </c>
    </row>
    <row r="49" spans="1:14" x14ac:dyDescent="0.25">
      <c r="A49" s="67" t="s">
        <v>90</v>
      </c>
      <c r="B49" s="67">
        <v>30</v>
      </c>
      <c r="C49" s="67">
        <v>3</v>
      </c>
      <c r="D49" s="67">
        <f t="shared" si="4"/>
        <v>5.6</v>
      </c>
      <c r="E49" s="67">
        <f t="shared" si="5"/>
        <v>0.1</v>
      </c>
      <c r="F49" s="73">
        <v>168</v>
      </c>
      <c r="H49" s="38" t="s">
        <v>31</v>
      </c>
      <c r="I49" s="38">
        <v>235</v>
      </c>
      <c r="J49" s="38">
        <v>18</v>
      </c>
      <c r="K49" s="38">
        <f t="shared" si="6"/>
        <v>5.1617021276595745</v>
      </c>
      <c r="L49" s="38">
        <f t="shared" si="7"/>
        <v>7.6595744680851063E-2</v>
      </c>
      <c r="M49" s="3" t="s">
        <v>555</v>
      </c>
      <c r="N49" s="18">
        <v>1213</v>
      </c>
    </row>
    <row r="50" spans="1:14" x14ac:dyDescent="0.25">
      <c r="A50" s="67" t="s">
        <v>28</v>
      </c>
      <c r="B50" s="67">
        <v>30</v>
      </c>
      <c r="C50" s="67">
        <v>0</v>
      </c>
      <c r="D50" s="67">
        <f t="shared" si="4"/>
        <v>5.833333333333333</v>
      </c>
      <c r="E50" s="67">
        <f t="shared" si="5"/>
        <v>0</v>
      </c>
      <c r="F50" s="18">
        <v>175</v>
      </c>
      <c r="H50" s="38" t="s">
        <v>253</v>
      </c>
      <c r="I50" s="38">
        <v>41</v>
      </c>
      <c r="J50" s="38">
        <v>3</v>
      </c>
      <c r="K50" s="38">
        <f t="shared" si="6"/>
        <v>5.1951219512195124</v>
      </c>
      <c r="L50" s="38">
        <f t="shared" si="7"/>
        <v>7.3170731707317069E-2</v>
      </c>
      <c r="M50" s="3" t="s">
        <v>494</v>
      </c>
      <c r="N50" s="18">
        <v>213</v>
      </c>
    </row>
    <row r="51" spans="1:14" x14ac:dyDescent="0.25">
      <c r="H51" s="67" t="s">
        <v>30</v>
      </c>
      <c r="I51" s="67">
        <v>60</v>
      </c>
      <c r="J51" s="67">
        <v>4</v>
      </c>
      <c r="K51" s="67">
        <f t="shared" si="6"/>
        <v>5.2</v>
      </c>
      <c r="L51" s="67">
        <f t="shared" si="7"/>
        <v>6.6666666666666666E-2</v>
      </c>
      <c r="M51" s="3" t="s">
        <v>567</v>
      </c>
      <c r="N51" s="18">
        <v>312</v>
      </c>
    </row>
    <row r="52" spans="1:14" x14ac:dyDescent="0.25">
      <c r="H52" s="67" t="s">
        <v>26</v>
      </c>
      <c r="I52" s="67">
        <v>95</v>
      </c>
      <c r="J52" s="67">
        <v>6</v>
      </c>
      <c r="K52" s="67">
        <f t="shared" si="6"/>
        <v>5.2210526315789476</v>
      </c>
      <c r="L52" s="67">
        <f t="shared" si="7"/>
        <v>6.3157894736842107E-2</v>
      </c>
      <c r="M52" s="3" t="s">
        <v>597</v>
      </c>
      <c r="N52" s="18">
        <v>496</v>
      </c>
    </row>
    <row r="53" spans="1:14" x14ac:dyDescent="0.25">
      <c r="H53" s="67" t="s">
        <v>6</v>
      </c>
      <c r="I53" s="67">
        <v>45</v>
      </c>
      <c r="J53" s="67">
        <v>3</v>
      </c>
      <c r="K53" s="67">
        <f t="shared" si="6"/>
        <v>5.3555555555555552</v>
      </c>
      <c r="L53" s="67">
        <f t="shared" si="7"/>
        <v>6.6666666666666666E-2</v>
      </c>
      <c r="M53" s="3" t="s">
        <v>495</v>
      </c>
      <c r="N53" s="18">
        <v>241</v>
      </c>
    </row>
    <row r="54" spans="1:14" x14ac:dyDescent="0.25">
      <c r="H54" s="67" t="s">
        <v>401</v>
      </c>
      <c r="I54" s="67">
        <v>67</v>
      </c>
      <c r="J54" s="67">
        <v>3</v>
      </c>
      <c r="K54" s="67">
        <f t="shared" si="6"/>
        <v>5.4776119402985071</v>
      </c>
      <c r="L54" s="67">
        <f t="shared" si="7"/>
        <v>4.4776119402985072E-2</v>
      </c>
      <c r="M54" s="3" t="s">
        <v>296</v>
      </c>
      <c r="N54" s="18">
        <v>367</v>
      </c>
    </row>
    <row r="55" spans="1:14" x14ac:dyDescent="0.25">
      <c r="H55" s="67" t="s">
        <v>28</v>
      </c>
      <c r="I55" s="67">
        <v>59</v>
      </c>
      <c r="J55" s="67">
        <v>1</v>
      </c>
      <c r="K55" s="67">
        <f t="shared" si="6"/>
        <v>5.4915254237288131</v>
      </c>
      <c r="L55" s="67">
        <f t="shared" si="7"/>
        <v>1.6949152542372881E-2</v>
      </c>
      <c r="M55" s="3" t="s">
        <v>494</v>
      </c>
      <c r="N55" s="18">
        <v>324</v>
      </c>
    </row>
    <row r="56" spans="1:14" x14ac:dyDescent="0.25">
      <c r="H56" s="67" t="s">
        <v>33</v>
      </c>
      <c r="I56" s="67">
        <v>66</v>
      </c>
      <c r="J56" s="67">
        <v>4</v>
      </c>
      <c r="K56" s="67">
        <f t="shared" si="6"/>
        <v>5.5303030303030303</v>
      </c>
      <c r="L56" s="67">
        <f t="shared" si="7"/>
        <v>6.0606060606060608E-2</v>
      </c>
      <c r="M56" s="3" t="s">
        <v>495</v>
      </c>
      <c r="N56" s="18">
        <v>365</v>
      </c>
    </row>
    <row r="57" spans="1:14" x14ac:dyDescent="0.25">
      <c r="H57" s="67" t="s">
        <v>34</v>
      </c>
      <c r="I57" s="67">
        <v>30</v>
      </c>
      <c r="J57" s="67">
        <v>2</v>
      </c>
      <c r="K57" s="67">
        <f t="shared" si="6"/>
        <v>5.5333333333333332</v>
      </c>
      <c r="L57" s="67">
        <f t="shared" si="7"/>
        <v>6.6666666666666666E-2</v>
      </c>
      <c r="M57" s="3" t="s">
        <v>495</v>
      </c>
      <c r="N57" s="18">
        <v>166</v>
      </c>
    </row>
    <row r="58" spans="1:14" x14ac:dyDescent="0.25">
      <c r="H58" s="67" t="s">
        <v>90</v>
      </c>
      <c r="I58" s="67">
        <v>30</v>
      </c>
      <c r="J58" s="67">
        <v>3</v>
      </c>
      <c r="K58" s="67">
        <f t="shared" si="6"/>
        <v>5.6</v>
      </c>
      <c r="L58" s="67">
        <f t="shared" si="7"/>
        <v>0.1</v>
      </c>
      <c r="M58" s="3" t="s">
        <v>495</v>
      </c>
      <c r="N58" s="73">
        <v>168</v>
      </c>
    </row>
  </sheetData>
  <sortState xmlns:xlrd2="http://schemas.microsoft.com/office/spreadsheetml/2017/richdata2" ref="H2:N58">
    <sortCondition ref="K2:K5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Z101"/>
  <sheetViews>
    <sheetView workbookViewId="0">
      <selection activeCell="AB26" sqref="AB26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L2" s="36">
        <v>6</v>
      </c>
      <c r="M2" s="36" t="s">
        <v>125</v>
      </c>
      <c r="N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L3" s="36">
        <v>2</v>
      </c>
      <c r="M3" s="36" t="s">
        <v>35</v>
      </c>
      <c r="N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L4" s="36">
        <v>8</v>
      </c>
      <c r="M4" s="36" t="s">
        <v>58</v>
      </c>
      <c r="N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L5" s="36">
        <v>7</v>
      </c>
      <c r="M5" s="36" t="s">
        <v>22</v>
      </c>
      <c r="N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L6" s="32">
        <v>4</v>
      </c>
      <c r="M6" s="32" t="s">
        <v>121</v>
      </c>
      <c r="N6" s="32" t="s">
        <v>499</v>
      </c>
      <c r="R6" s="36">
        <v>7</v>
      </c>
      <c r="S6" s="36" t="s">
        <v>22</v>
      </c>
      <c r="T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L7" s="32">
        <v>1</v>
      </c>
      <c r="M7" s="32" t="s">
        <v>128</v>
      </c>
      <c r="N7" s="32" t="s">
        <v>496</v>
      </c>
      <c r="R7" s="36">
        <v>8</v>
      </c>
      <c r="S7" s="36" t="s">
        <v>58</v>
      </c>
      <c r="T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L8" s="32">
        <v>5</v>
      </c>
      <c r="M8" s="32" t="s">
        <v>232</v>
      </c>
      <c r="N8" s="32" t="s">
        <v>500</v>
      </c>
      <c r="R8" s="36">
        <v>2</v>
      </c>
      <c r="S8" s="36" t="s">
        <v>35</v>
      </c>
      <c r="T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L9" s="32">
        <v>3</v>
      </c>
      <c r="M9" s="32" t="s">
        <v>147</v>
      </c>
      <c r="N9" s="32" t="s">
        <v>498</v>
      </c>
      <c r="R9" s="36">
        <v>12</v>
      </c>
      <c r="S9" s="36" t="s">
        <v>15</v>
      </c>
      <c r="T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L10" s="36">
        <v>13</v>
      </c>
      <c r="M10" s="36" t="s">
        <v>24</v>
      </c>
      <c r="N10" s="36" t="s">
        <v>508</v>
      </c>
      <c r="R10" s="32">
        <v>16</v>
      </c>
      <c r="S10" s="32" t="s">
        <v>25</v>
      </c>
      <c r="T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L11" s="36">
        <v>10</v>
      </c>
      <c r="M11" s="36" t="s">
        <v>122</v>
      </c>
      <c r="N11" s="36" t="s">
        <v>505</v>
      </c>
      <c r="R11" s="32">
        <v>13</v>
      </c>
      <c r="S11" s="32" t="s">
        <v>24</v>
      </c>
      <c r="T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L12" s="36">
        <v>12</v>
      </c>
      <c r="M12" s="36" t="s">
        <v>15</v>
      </c>
      <c r="N12" s="36" t="s">
        <v>507</v>
      </c>
      <c r="R12" s="32">
        <v>6</v>
      </c>
      <c r="S12" s="32" t="s">
        <v>125</v>
      </c>
      <c r="T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L13" s="36">
        <v>16</v>
      </c>
      <c r="M13" s="36" t="s">
        <v>25</v>
      </c>
      <c r="N13" s="36" t="s">
        <v>511</v>
      </c>
      <c r="R13" s="32">
        <v>10</v>
      </c>
      <c r="S13" s="32" t="s">
        <v>122</v>
      </c>
      <c r="T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L14" s="32">
        <v>14</v>
      </c>
      <c r="M14" s="32" t="s">
        <v>78</v>
      </c>
      <c r="N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L15" s="32">
        <v>11</v>
      </c>
      <c r="M15" s="32" t="s">
        <v>21</v>
      </c>
      <c r="N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L16" s="32">
        <v>9</v>
      </c>
      <c r="M16" s="32" t="s">
        <v>104</v>
      </c>
      <c r="N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L17" s="32">
        <v>15</v>
      </c>
      <c r="M17" s="32" t="s">
        <v>87</v>
      </c>
      <c r="N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2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2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2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2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2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2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2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2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2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2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2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2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2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2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2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2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2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2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2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2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2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2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2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25">
      <c r="A42">
        <f t="shared" si="2"/>
        <v>41</v>
      </c>
      <c r="B42" t="s">
        <v>12</v>
      </c>
    </row>
    <row r="43" spans="1:17" x14ac:dyDescent="0.25">
      <c r="A43">
        <f t="shared" si="2"/>
        <v>42</v>
      </c>
      <c r="B43" t="s">
        <v>87</v>
      </c>
      <c r="C43" t="s">
        <v>510</v>
      </c>
    </row>
    <row r="44" spans="1:17" x14ac:dyDescent="0.25">
      <c r="A44">
        <f t="shared" si="2"/>
        <v>43</v>
      </c>
      <c r="B44" t="s">
        <v>61</v>
      </c>
    </row>
    <row r="45" spans="1:17" x14ac:dyDescent="0.25">
      <c r="A45">
        <f t="shared" si="2"/>
        <v>44</v>
      </c>
      <c r="B45" t="s">
        <v>37</v>
      </c>
    </row>
    <row r="46" spans="1:17" x14ac:dyDescent="0.25">
      <c r="A46">
        <f t="shared" si="2"/>
        <v>45</v>
      </c>
      <c r="B46" t="s">
        <v>51</v>
      </c>
    </row>
    <row r="47" spans="1:17" x14ac:dyDescent="0.25">
      <c r="A47">
        <f t="shared" si="2"/>
        <v>46</v>
      </c>
      <c r="B47" t="s">
        <v>4</v>
      </c>
    </row>
    <row r="48" spans="1:17" x14ac:dyDescent="0.25">
      <c r="A48">
        <f t="shared" si="2"/>
        <v>47</v>
      </c>
      <c r="B48" t="s">
        <v>25</v>
      </c>
      <c r="C48" t="s">
        <v>511</v>
      </c>
    </row>
    <row r="49" spans="1:3" x14ac:dyDescent="0.25">
      <c r="A49">
        <f t="shared" si="2"/>
        <v>48</v>
      </c>
      <c r="B49" t="s">
        <v>81</v>
      </c>
      <c r="C49" t="s">
        <v>512</v>
      </c>
    </row>
    <row r="50" spans="1:3" x14ac:dyDescent="0.25">
      <c r="A50">
        <f t="shared" si="2"/>
        <v>49</v>
      </c>
      <c r="B50" t="s">
        <v>105</v>
      </c>
      <c r="C50" t="s">
        <v>33</v>
      </c>
    </row>
    <row r="51" spans="1:3" x14ac:dyDescent="0.25">
      <c r="A51">
        <f t="shared" si="2"/>
        <v>50</v>
      </c>
      <c r="B51" t="s">
        <v>99</v>
      </c>
    </row>
    <row r="52" spans="1:3" x14ac:dyDescent="0.25">
      <c r="A52">
        <f t="shared" si="2"/>
        <v>51</v>
      </c>
      <c r="B52" t="s">
        <v>82</v>
      </c>
    </row>
    <row r="53" spans="1:3" x14ac:dyDescent="0.25">
      <c r="A53">
        <f t="shared" si="2"/>
        <v>52</v>
      </c>
      <c r="B53" t="s">
        <v>20</v>
      </c>
    </row>
    <row r="54" spans="1:3" x14ac:dyDescent="0.25">
      <c r="A54">
        <f t="shared" si="2"/>
        <v>53</v>
      </c>
      <c r="B54" t="s">
        <v>19</v>
      </c>
    </row>
    <row r="55" spans="1:3" x14ac:dyDescent="0.25">
      <c r="A55">
        <f t="shared" si="2"/>
        <v>54</v>
      </c>
      <c r="B55" t="s">
        <v>26</v>
      </c>
      <c r="C55" t="s">
        <v>513</v>
      </c>
    </row>
    <row r="56" spans="1:3" x14ac:dyDescent="0.25">
      <c r="A56">
        <f t="shared" si="2"/>
        <v>55</v>
      </c>
      <c r="B56" t="s">
        <v>514</v>
      </c>
      <c r="C56" t="s">
        <v>110</v>
      </c>
    </row>
    <row r="57" spans="1:3" x14ac:dyDescent="0.25">
      <c r="A57">
        <f t="shared" si="2"/>
        <v>56</v>
      </c>
      <c r="B57" t="s">
        <v>30</v>
      </c>
      <c r="C57" t="s">
        <v>515</v>
      </c>
    </row>
    <row r="58" spans="1:3" x14ac:dyDescent="0.25">
      <c r="A58">
        <f t="shared" si="2"/>
        <v>57</v>
      </c>
      <c r="B58" t="s">
        <v>17</v>
      </c>
    </row>
    <row r="59" spans="1:3" x14ac:dyDescent="0.25">
      <c r="A59">
        <f t="shared" si="2"/>
        <v>58</v>
      </c>
      <c r="B59" t="s">
        <v>404</v>
      </c>
    </row>
    <row r="60" spans="1:3" x14ac:dyDescent="0.25">
      <c r="A60">
        <f t="shared" si="2"/>
        <v>59</v>
      </c>
      <c r="B60" t="s">
        <v>31</v>
      </c>
      <c r="C60" t="s">
        <v>516</v>
      </c>
    </row>
    <row r="61" spans="1:3" x14ac:dyDescent="0.25">
      <c r="A61">
        <f t="shared" si="2"/>
        <v>60</v>
      </c>
      <c r="B61" t="s">
        <v>49</v>
      </c>
      <c r="C61" t="s">
        <v>517</v>
      </c>
    </row>
    <row r="62" spans="1:3" x14ac:dyDescent="0.25">
      <c r="A62">
        <f t="shared" si="2"/>
        <v>61</v>
      </c>
      <c r="B62" t="s">
        <v>230</v>
      </c>
      <c r="C62" t="s">
        <v>518</v>
      </c>
    </row>
    <row r="63" spans="1:3" x14ac:dyDescent="0.25">
      <c r="A63">
        <f t="shared" si="2"/>
        <v>62</v>
      </c>
      <c r="B63" t="s">
        <v>253</v>
      </c>
    </row>
    <row r="64" spans="1:3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5.0</vt:lpstr>
      <vt:lpstr>WE25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Simon Cui</cp:lastModifiedBy>
  <dcterms:created xsi:type="dcterms:W3CDTF">2023-04-24T17:39:22Z</dcterms:created>
  <dcterms:modified xsi:type="dcterms:W3CDTF">2026-04-20T16:33:41Z</dcterms:modified>
</cp:coreProperties>
</file>