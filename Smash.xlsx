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ui\Desktop\elosite\elo\"/>
    </mc:Choice>
  </mc:AlternateContent>
  <bookViews>
    <workbookView xWindow="38280" yWindow="5280" windowWidth="29040" windowHeight="15720" firstSheet="2" activeTab="13"/>
  </bookViews>
  <sheets>
    <sheet name="Sheet1" sheetId="1" state="hidden" r:id="rId1"/>
    <sheet name="Sheet2" sheetId="2" state="hidden" r:id="rId2"/>
    <sheet name="Sheet3" sheetId="3" r:id="rId3"/>
    <sheet name="Sheet4" sheetId="4" r:id="rId4"/>
    <sheet name="Prep 2.0" sheetId="6" state="hidden" r:id="rId5"/>
    <sheet name="2.0" sheetId="5" state="hidden" r:id="rId6"/>
    <sheet name="Prep 3.0" sheetId="7" state="hidden" r:id="rId7"/>
    <sheet name="3.0" sheetId="8" state="hidden" r:id="rId8"/>
    <sheet name="Prep 4.0" sheetId="10" state="hidden" r:id="rId9"/>
    <sheet name="Prep 5.0" sheetId="13" state="hidden" r:id="rId10"/>
    <sheet name="4.0" sheetId="11" state="hidden" r:id="rId11"/>
    <sheet name="5.0" sheetId="14" r:id="rId12"/>
    <sheet name="WE25" sheetId="12" r:id="rId13"/>
    <sheet name="Prep 6.0" sheetId="15" r:id="rId14"/>
    <sheet name="6.0" sheetId="16" r:id="rId15"/>
  </sheets>
  <definedNames>
    <definedName name="_xlnm._FilterDatabase" localSheetId="13" hidden="1">Sheet3!$Q$392:$Y$400</definedName>
    <definedName name="_xlnm._FilterDatabase" localSheetId="0" hidden="1">Sheet1!$A$15:$E$71</definedName>
    <definedName name="_xlnm._FilterDatabase" localSheetId="1" hidden="1">Sheet4!$M$31:$Q$65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5" l="1"/>
  <c r="L15" i="15"/>
  <c r="N19" i="15"/>
  <c r="L19" i="15"/>
  <c r="N46" i="15"/>
  <c r="L46" i="15"/>
  <c r="N37" i="15"/>
  <c r="L37" i="15"/>
  <c r="N39" i="15"/>
  <c r="L39" i="15"/>
  <c r="N63" i="15"/>
  <c r="L63" i="15"/>
  <c r="N67" i="15"/>
  <c r="L67" i="15"/>
  <c r="N41" i="15"/>
  <c r="L41" i="15"/>
  <c r="L43" i="15"/>
  <c r="N43" i="15"/>
  <c r="L50" i="15"/>
  <c r="N50" i="15"/>
  <c r="N71" i="15"/>
  <c r="L71" i="15"/>
  <c r="N59" i="15"/>
  <c r="L59" i="15"/>
  <c r="N72" i="15"/>
  <c r="L72" i="15"/>
  <c r="N49" i="15"/>
  <c r="L49" i="15"/>
  <c r="N13" i="15"/>
  <c r="L13" i="15"/>
  <c r="N35" i="15"/>
  <c r="L35" i="15"/>
  <c r="N64" i="15"/>
  <c r="L64" i="15"/>
  <c r="N55" i="15"/>
  <c r="L55" i="15"/>
  <c r="N14" i="15"/>
  <c r="L14" i="15"/>
  <c r="N18" i="15"/>
  <c r="L18" i="15"/>
  <c r="N47" i="15"/>
  <c r="L47" i="15"/>
  <c r="N66" i="15"/>
  <c r="L66" i="15"/>
  <c r="N65" i="15"/>
  <c r="L65" i="15"/>
  <c r="N42" i="15"/>
  <c r="L42" i="15"/>
  <c r="N73" i="15"/>
  <c r="L73" i="15"/>
  <c r="N74" i="15"/>
  <c r="L74" i="15"/>
  <c r="N40" i="15"/>
  <c r="L40" i="15"/>
  <c r="N32" i="15" l="1"/>
  <c r="L32" i="15"/>
  <c r="N57" i="15"/>
  <c r="L57" i="15"/>
  <c r="N58" i="15"/>
  <c r="L58" i="15"/>
  <c r="N24" i="15"/>
  <c r="L24" i="15"/>
  <c r="N61" i="15"/>
  <c r="L61" i="15"/>
  <c r="N69" i="15"/>
  <c r="L69" i="15"/>
  <c r="N56" i="15"/>
  <c r="L56" i="15"/>
  <c r="N29" i="15"/>
  <c r="L29" i="15"/>
  <c r="N75" i="15"/>
  <c r="L75" i="15"/>
  <c r="N34" i="15"/>
  <c r="L34" i="15"/>
  <c r="N68" i="15"/>
  <c r="L68" i="15"/>
  <c r="N62" i="15" l="1"/>
  <c r="L62" i="15"/>
  <c r="N33" i="15" l="1"/>
  <c r="L33" i="15"/>
  <c r="N38" i="15"/>
  <c r="L38" i="15"/>
  <c r="N70" i="15"/>
  <c r="L70" i="15"/>
  <c r="N54" i="15" l="1"/>
  <c r="L54" i="15"/>
  <c r="N16" i="15" l="1"/>
  <c r="L16" i="15"/>
  <c r="N28" i="15"/>
  <c r="L28" i="15"/>
  <c r="N51" i="15" l="1"/>
  <c r="L51" i="15"/>
  <c r="N76" i="15"/>
  <c r="L76" i="15"/>
  <c r="N45" i="15"/>
  <c r="L45" i="15"/>
  <c r="N27" i="15"/>
  <c r="L27" i="15"/>
  <c r="N36" i="15" l="1"/>
  <c r="L36" i="15"/>
  <c r="S48" i="16"/>
  <c r="R48" i="16"/>
  <c r="S9" i="16"/>
  <c r="R9" i="16"/>
  <c r="S23" i="16"/>
  <c r="R23" i="16"/>
  <c r="S41" i="16"/>
  <c r="R41" i="16"/>
  <c r="S13" i="16"/>
  <c r="R13" i="16"/>
  <c r="S50" i="16"/>
  <c r="R50" i="16"/>
  <c r="S4" i="16"/>
  <c r="R4" i="16"/>
  <c r="S20" i="16"/>
  <c r="R20" i="16"/>
  <c r="S30" i="16"/>
  <c r="R30" i="16"/>
  <c r="S55" i="16"/>
  <c r="R55" i="16"/>
  <c r="S15" i="16"/>
  <c r="R15" i="16"/>
  <c r="S25" i="16"/>
  <c r="R25" i="16"/>
  <c r="S34" i="16"/>
  <c r="R34" i="16"/>
  <c r="S5" i="16"/>
  <c r="R5" i="16"/>
  <c r="S14" i="16"/>
  <c r="R14" i="16"/>
  <c r="S47" i="16"/>
  <c r="R47" i="16"/>
  <c r="S10" i="16"/>
  <c r="R10" i="16"/>
  <c r="S31" i="16"/>
  <c r="R31" i="16"/>
  <c r="S29" i="16"/>
  <c r="R29" i="16"/>
  <c r="S22" i="16"/>
  <c r="R22" i="16"/>
  <c r="S3" i="16"/>
  <c r="R3" i="16"/>
  <c r="S56" i="16"/>
  <c r="R56" i="16"/>
  <c r="S46" i="16"/>
  <c r="R46" i="16"/>
  <c r="S36" i="16"/>
  <c r="R36" i="16"/>
  <c r="S16" i="16"/>
  <c r="R16" i="16"/>
  <c r="S39" i="16"/>
  <c r="R39" i="16"/>
  <c r="S37" i="16"/>
  <c r="R37" i="16"/>
  <c r="S21" i="16"/>
  <c r="R21" i="16"/>
  <c r="S7" i="16"/>
  <c r="R7" i="16"/>
  <c r="S8" i="16"/>
  <c r="R8" i="16"/>
  <c r="S40" i="16"/>
  <c r="R40" i="16"/>
  <c r="S12" i="16"/>
  <c r="R12" i="16"/>
  <c r="S38" i="16"/>
  <c r="R38" i="16"/>
  <c r="S33" i="16"/>
  <c r="R33" i="16"/>
  <c r="S54" i="16"/>
  <c r="R54" i="16"/>
  <c r="S24" i="16"/>
  <c r="R24" i="16"/>
  <c r="S32" i="16"/>
  <c r="R32" i="16"/>
  <c r="S6" i="16"/>
  <c r="R6" i="16"/>
  <c r="S19" i="16"/>
  <c r="R19" i="16"/>
  <c r="S49" i="16"/>
  <c r="R49" i="16"/>
  <c r="S17" i="16"/>
  <c r="R17" i="16"/>
  <c r="S44" i="16"/>
  <c r="R44" i="16"/>
  <c r="S11" i="16"/>
  <c r="R11" i="16"/>
  <c r="S51" i="16"/>
  <c r="R51" i="16"/>
  <c r="S42" i="16"/>
  <c r="R42" i="16"/>
  <c r="S45" i="16"/>
  <c r="R45" i="16"/>
  <c r="S53" i="16"/>
  <c r="R53" i="16"/>
  <c r="S52" i="16"/>
  <c r="R52" i="16"/>
  <c r="S35" i="16"/>
  <c r="R35" i="16"/>
  <c r="S28" i="16"/>
  <c r="R28" i="16"/>
  <c r="S2" i="16"/>
  <c r="R2" i="16"/>
  <c r="S26" i="16"/>
  <c r="R26" i="16"/>
  <c r="S43" i="16"/>
  <c r="R43" i="16"/>
  <c r="S18" i="16"/>
  <c r="R18" i="16"/>
  <c r="S27" i="16"/>
  <c r="R27" i="16"/>
  <c r="N77" i="15"/>
  <c r="L77" i="15"/>
  <c r="N44" i="15"/>
  <c r="L44" i="15"/>
  <c r="N25" i="15" l="1"/>
  <c r="L25" i="15"/>
  <c r="N53" i="15"/>
  <c r="L53" i="15"/>
  <c r="N26" i="15" l="1"/>
  <c r="L26" i="15"/>
  <c r="N52" i="15"/>
  <c r="L52" i="15"/>
  <c r="N17" i="15"/>
  <c r="L17" i="15"/>
  <c r="N30" i="15"/>
  <c r="L30" i="15"/>
  <c r="L19" i="16" l="1"/>
  <c r="K19" i="16"/>
  <c r="L38" i="16"/>
  <c r="K38" i="16"/>
  <c r="L10" i="16"/>
  <c r="K10" i="16"/>
  <c r="L43" i="16"/>
  <c r="K43" i="16"/>
  <c r="L4" i="16"/>
  <c r="K4" i="16"/>
  <c r="L17" i="16"/>
  <c r="K17" i="16"/>
  <c r="L27" i="16"/>
  <c r="K27" i="16"/>
  <c r="L48" i="16"/>
  <c r="K48" i="16"/>
  <c r="L13" i="16"/>
  <c r="K13" i="16"/>
  <c r="L21" i="16"/>
  <c r="K21" i="16"/>
  <c r="L30" i="16"/>
  <c r="K30" i="16"/>
  <c r="L5" i="16"/>
  <c r="K5" i="16"/>
  <c r="L12" i="16"/>
  <c r="K12" i="16"/>
  <c r="L41" i="16"/>
  <c r="K41" i="16"/>
  <c r="L25" i="16"/>
  <c r="K25" i="16"/>
  <c r="L24" i="16"/>
  <c r="K24" i="16"/>
  <c r="L23" i="16"/>
  <c r="K23" i="16"/>
  <c r="L3" i="16"/>
  <c r="K3" i="16"/>
  <c r="L49" i="16"/>
  <c r="K49" i="16"/>
  <c r="L40" i="16"/>
  <c r="K40" i="16"/>
  <c r="L31" i="16"/>
  <c r="K31" i="16"/>
  <c r="L14" i="16"/>
  <c r="K14" i="16"/>
  <c r="L33" i="16"/>
  <c r="K33" i="16"/>
  <c r="L18" i="16"/>
  <c r="K18" i="16"/>
  <c r="L7" i="16"/>
  <c r="K7" i="16"/>
  <c r="L8" i="16"/>
  <c r="K8" i="16"/>
  <c r="L11" i="16"/>
  <c r="K11" i="16"/>
  <c r="L34" i="16"/>
  <c r="K34" i="16"/>
  <c r="L29" i="16"/>
  <c r="K29" i="16"/>
  <c r="L46" i="16"/>
  <c r="K46" i="16"/>
  <c r="L28" i="16"/>
  <c r="K28" i="16"/>
  <c r="L6" i="16"/>
  <c r="K6" i="16"/>
  <c r="L42" i="16"/>
  <c r="K42" i="16"/>
  <c r="L15" i="16"/>
  <c r="K15" i="16"/>
  <c r="L35" i="16"/>
  <c r="K35" i="16"/>
  <c r="L9" i="16"/>
  <c r="K9" i="16"/>
  <c r="L47" i="16"/>
  <c r="K47" i="16"/>
  <c r="L36" i="16"/>
  <c r="K36" i="16"/>
  <c r="L39" i="16"/>
  <c r="K39" i="16"/>
  <c r="L45" i="16"/>
  <c r="K45" i="16"/>
  <c r="L44" i="16"/>
  <c r="K44" i="16"/>
  <c r="L32" i="16"/>
  <c r="K32" i="16"/>
  <c r="L22" i="16"/>
  <c r="K22" i="16"/>
  <c r="L2" i="16"/>
  <c r="K2" i="16"/>
  <c r="L26" i="16"/>
  <c r="K26" i="16"/>
  <c r="L37" i="16"/>
  <c r="K37" i="16"/>
  <c r="L16" i="16"/>
  <c r="K16" i="16"/>
  <c r="L20" i="16"/>
  <c r="K20" i="16"/>
  <c r="N60" i="15"/>
  <c r="L60" i="15"/>
  <c r="N31" i="15"/>
  <c r="L31" i="15"/>
  <c r="N21" i="15"/>
  <c r="L21" i="15"/>
  <c r="F15" i="16" l="1"/>
  <c r="D15" i="16"/>
  <c r="F33" i="16"/>
  <c r="D33" i="16"/>
  <c r="F11" i="16"/>
  <c r="D11" i="16"/>
  <c r="F37" i="16"/>
  <c r="D37" i="16"/>
  <c r="F4" i="16"/>
  <c r="D4" i="16"/>
  <c r="F22" i="16"/>
  <c r="D22" i="16"/>
  <c r="F41" i="16"/>
  <c r="D41" i="16"/>
  <c r="F12" i="16"/>
  <c r="D12" i="16"/>
  <c r="F20" i="16"/>
  <c r="D20" i="16"/>
  <c r="F25" i="16"/>
  <c r="D25" i="16"/>
  <c r="F5" i="16"/>
  <c r="D5" i="16"/>
  <c r="F10" i="16"/>
  <c r="D10" i="16"/>
  <c r="F36" i="16"/>
  <c r="D36" i="16"/>
  <c r="F21" i="16"/>
  <c r="D21" i="16"/>
  <c r="F17" i="16"/>
  <c r="D17" i="16"/>
  <c r="F3" i="16"/>
  <c r="D3" i="16"/>
  <c r="F42" i="16"/>
  <c r="D42" i="16"/>
  <c r="F35" i="16"/>
  <c r="D35" i="16"/>
  <c r="F26" i="16"/>
  <c r="D26" i="16"/>
  <c r="F13" i="16"/>
  <c r="D13" i="16"/>
  <c r="F28" i="16"/>
  <c r="D28" i="16"/>
  <c r="F16" i="16"/>
  <c r="D16" i="16"/>
  <c r="F8" i="16"/>
  <c r="D8" i="16"/>
  <c r="F7" i="16"/>
  <c r="D7" i="16"/>
  <c r="F9" i="16"/>
  <c r="D9" i="16"/>
  <c r="F24" i="16"/>
  <c r="D24" i="16"/>
  <c r="F39" i="16"/>
  <c r="D39" i="16"/>
  <c r="F34" i="16"/>
  <c r="D34" i="16"/>
  <c r="F31" i="16"/>
  <c r="D31" i="16"/>
  <c r="F6" i="16"/>
  <c r="D6" i="16"/>
  <c r="F40" i="16"/>
  <c r="D40" i="16"/>
  <c r="F29" i="16"/>
  <c r="D29" i="16"/>
  <c r="F32" i="16"/>
  <c r="D32" i="16"/>
  <c r="F38" i="16"/>
  <c r="D38" i="16"/>
  <c r="F27" i="16"/>
  <c r="D27" i="16"/>
  <c r="F19" i="16"/>
  <c r="D19" i="16"/>
  <c r="F2" i="16"/>
  <c r="D2" i="16"/>
  <c r="F23" i="16"/>
  <c r="D23" i="16"/>
  <c r="F30" i="16"/>
  <c r="D30" i="16"/>
  <c r="F14" i="16"/>
  <c r="D14" i="16"/>
  <c r="F18" i="16"/>
  <c r="D18" i="16"/>
  <c r="N48" i="15" l="1"/>
  <c r="L48" i="15"/>
  <c r="N23" i="15"/>
  <c r="L23" i="15"/>
  <c r="F91" i="15" l="1"/>
  <c r="D91" i="15"/>
  <c r="F90" i="15"/>
  <c r="D90" i="15"/>
  <c r="F89" i="15"/>
  <c r="D89" i="15"/>
  <c r="F88" i="15"/>
  <c r="D88" i="15"/>
  <c r="F87" i="15"/>
  <c r="D87" i="15"/>
  <c r="F86" i="15"/>
  <c r="D86" i="15"/>
  <c r="F85" i="15"/>
  <c r="D85" i="15"/>
  <c r="F84" i="15"/>
  <c r="D84" i="15"/>
  <c r="F83" i="15"/>
  <c r="D83" i="15"/>
  <c r="F82" i="15"/>
  <c r="D82" i="15"/>
  <c r="F81" i="15"/>
  <c r="D81" i="15"/>
  <c r="F80" i="15"/>
  <c r="D80" i="15"/>
  <c r="F79" i="15"/>
  <c r="D79" i="15"/>
  <c r="F78" i="15"/>
  <c r="D78" i="15"/>
  <c r="F77" i="15"/>
  <c r="D77" i="15"/>
  <c r="F76" i="15"/>
  <c r="D76" i="15"/>
  <c r="F75" i="15"/>
  <c r="D75" i="15"/>
  <c r="F74" i="15"/>
  <c r="D74" i="15"/>
  <c r="F73" i="15"/>
  <c r="D73" i="15"/>
  <c r="F72" i="15"/>
  <c r="D72" i="15"/>
  <c r="F71" i="15"/>
  <c r="D71" i="15"/>
  <c r="F70" i="15"/>
  <c r="D70" i="15"/>
  <c r="F69" i="15"/>
  <c r="D69" i="15"/>
  <c r="F68" i="15"/>
  <c r="D68" i="15"/>
  <c r="F67" i="15"/>
  <c r="D67" i="15"/>
  <c r="F66" i="15"/>
  <c r="D66" i="15"/>
  <c r="F65" i="15"/>
  <c r="D65" i="15"/>
  <c r="F64" i="15"/>
  <c r="D64" i="15"/>
  <c r="F63" i="15"/>
  <c r="D63" i="15"/>
  <c r="F62" i="15"/>
  <c r="D62" i="15"/>
  <c r="F61" i="15"/>
  <c r="D61" i="15"/>
  <c r="F60" i="15"/>
  <c r="D60" i="15"/>
  <c r="F59" i="15"/>
  <c r="D59" i="15"/>
  <c r="F58" i="15"/>
  <c r="D58" i="15"/>
  <c r="F57" i="15"/>
  <c r="D57" i="15"/>
  <c r="F56" i="15"/>
  <c r="D56" i="15"/>
  <c r="F55" i="15"/>
  <c r="D55" i="15"/>
  <c r="F54" i="15"/>
  <c r="D54" i="15"/>
  <c r="F53" i="15"/>
  <c r="D53" i="15"/>
  <c r="F52" i="15"/>
  <c r="D52" i="15"/>
  <c r="F51" i="15"/>
  <c r="D51" i="15"/>
  <c r="F50" i="15"/>
  <c r="D50" i="15"/>
  <c r="F49" i="15"/>
  <c r="D49" i="15"/>
  <c r="F48" i="15"/>
  <c r="D48" i="15"/>
  <c r="F47" i="15"/>
  <c r="D47" i="15"/>
  <c r="F46" i="15"/>
  <c r="D46" i="15"/>
  <c r="F45" i="15"/>
  <c r="D45" i="15"/>
  <c r="F44" i="15"/>
  <c r="D44" i="15"/>
  <c r="F43" i="15"/>
  <c r="D43" i="15"/>
  <c r="F42" i="15"/>
  <c r="D42" i="15"/>
  <c r="F41" i="15"/>
  <c r="D41" i="15"/>
  <c r="F40" i="15"/>
  <c r="D40" i="15"/>
  <c r="F39" i="15"/>
  <c r="D39" i="15"/>
  <c r="F38" i="15"/>
  <c r="D38" i="15"/>
  <c r="F37" i="15"/>
  <c r="D37" i="15"/>
  <c r="F36" i="15"/>
  <c r="D36" i="15"/>
  <c r="F35" i="15"/>
  <c r="D35" i="15"/>
  <c r="F34" i="15"/>
  <c r="D34" i="15"/>
  <c r="F33" i="15"/>
  <c r="D33" i="15"/>
  <c r="F32" i="15"/>
  <c r="D32" i="15"/>
  <c r="F31" i="15"/>
  <c r="D31" i="15"/>
  <c r="F30" i="15"/>
  <c r="D30" i="15"/>
  <c r="F29" i="15"/>
  <c r="D29" i="15"/>
  <c r="F28" i="15"/>
  <c r="D28" i="15"/>
  <c r="F27" i="15"/>
  <c r="D27" i="15"/>
  <c r="F26" i="15"/>
  <c r="D26" i="15"/>
  <c r="F25" i="15"/>
  <c r="D25" i="15"/>
  <c r="F24" i="15"/>
  <c r="D24" i="15"/>
  <c r="F23" i="15"/>
  <c r="D23" i="15"/>
  <c r="N22" i="15"/>
  <c r="L22" i="15"/>
  <c r="F22" i="15"/>
  <c r="D22" i="15"/>
  <c r="F21" i="15"/>
  <c r="D21" i="15"/>
  <c r="N20" i="15"/>
  <c r="L20" i="15"/>
  <c r="F20" i="15"/>
  <c r="D20" i="15"/>
  <c r="F19" i="15"/>
  <c r="D19" i="15"/>
  <c r="F18" i="15"/>
  <c r="D18" i="15"/>
  <c r="F17" i="15"/>
  <c r="D17" i="15"/>
  <c r="F16" i="15"/>
  <c r="D16" i="15"/>
  <c r="F15" i="15"/>
  <c r="D15" i="15"/>
  <c r="F14" i="15"/>
  <c r="D14" i="15"/>
  <c r="F13" i="15"/>
  <c r="D13" i="15"/>
  <c r="N52" i="13"/>
  <c r="L52" i="13"/>
  <c r="N47" i="13"/>
  <c r="L47" i="13"/>
  <c r="N51" i="13"/>
  <c r="L51" i="13"/>
  <c r="N29" i="13"/>
  <c r="L29" i="13"/>
  <c r="N80" i="13"/>
  <c r="L80" i="13"/>
  <c r="N38" i="13"/>
  <c r="L38" i="13"/>
  <c r="N81" i="13"/>
  <c r="L81" i="13"/>
  <c r="N60" i="13"/>
  <c r="L60" i="13"/>
  <c r="N25" i="13"/>
  <c r="L25" i="13"/>
  <c r="N26" i="13"/>
  <c r="L26" i="13"/>
  <c r="N50" i="13"/>
  <c r="L50" i="13"/>
  <c r="N24" i="13"/>
  <c r="L24" i="13"/>
  <c r="N30" i="13"/>
  <c r="L30" i="13"/>
  <c r="N45" i="13"/>
  <c r="L45" i="13"/>
  <c r="N15" i="13"/>
  <c r="L15" i="13"/>
  <c r="N27" i="13"/>
  <c r="L27" i="13"/>
  <c r="N44" i="13"/>
  <c r="L44" i="13"/>
  <c r="N43" i="13"/>
  <c r="L43" i="13"/>
  <c r="N69" i="13"/>
  <c r="L69" i="13"/>
  <c r="N53" i="13"/>
  <c r="L53" i="13"/>
  <c r="N77" i="13"/>
  <c r="L77" i="13"/>
  <c r="N14" i="13"/>
  <c r="L14" i="13"/>
  <c r="N78" i="13"/>
  <c r="L78" i="13"/>
  <c r="N17" i="13"/>
  <c r="L17" i="13"/>
  <c r="N19" i="13"/>
  <c r="L19" i="13"/>
  <c r="N36" i="13"/>
  <c r="L36" i="13"/>
  <c r="N75" i="13"/>
  <c r="L75" i="13"/>
  <c r="N67" i="13"/>
  <c r="L67" i="13"/>
  <c r="N23" i="13"/>
  <c r="L23" i="13"/>
  <c r="N79" i="13"/>
  <c r="L79" i="13"/>
  <c r="N68" i="13"/>
  <c r="L68" i="13"/>
  <c r="N32" i="13"/>
  <c r="L32" i="13"/>
  <c r="N37" i="13"/>
  <c r="L37" i="13"/>
  <c r="N76" i="13"/>
  <c r="L76" i="13"/>
  <c r="N83" i="13"/>
  <c r="L83" i="13"/>
  <c r="N72" i="13"/>
  <c r="L72" i="13"/>
  <c r="N74" i="13"/>
  <c r="L74" i="13"/>
  <c r="N49" i="13"/>
  <c r="L49" i="13"/>
  <c r="N59" i="13"/>
  <c r="L59" i="13"/>
  <c r="N63" i="13"/>
  <c r="L63" i="13"/>
  <c r="N57" i="13" l="1"/>
  <c r="L57" i="13"/>
  <c r="N71" i="13"/>
  <c r="L71" i="13"/>
  <c r="N65" i="13"/>
  <c r="L65" i="13"/>
  <c r="N46" i="13"/>
  <c r="L46" i="13"/>
  <c r="N82" i="13"/>
  <c r="L82" i="13"/>
  <c r="AB800" i="4"/>
  <c r="AC800" i="4"/>
  <c r="AB801" i="4"/>
  <c r="AC801" i="4"/>
  <c r="AB802" i="4"/>
  <c r="AC802" i="4"/>
  <c r="AB803" i="4"/>
  <c r="AC803" i="4"/>
  <c r="AB804" i="4"/>
  <c r="AC804" i="4"/>
  <c r="AB805" i="4"/>
  <c r="AC805" i="4"/>
  <c r="AB806" i="4"/>
  <c r="AC806" i="4"/>
  <c r="AB807" i="4"/>
  <c r="AC807" i="4"/>
  <c r="AB808" i="4"/>
  <c r="AC808" i="4"/>
  <c r="AB809" i="4"/>
  <c r="AC809" i="4"/>
  <c r="AB810" i="4"/>
  <c r="AC810" i="4"/>
  <c r="AB811" i="4"/>
  <c r="AC811" i="4"/>
  <c r="AB812" i="4"/>
  <c r="AC812" i="4"/>
  <c r="AB813" i="4"/>
  <c r="AC813" i="4"/>
  <c r="AB814" i="4"/>
  <c r="AC814" i="4"/>
  <c r="AB815" i="4"/>
  <c r="AC815" i="4"/>
  <c r="AB816" i="4"/>
  <c r="AC816" i="4"/>
  <c r="AB817" i="4"/>
  <c r="AC817" i="4"/>
  <c r="AB818" i="4"/>
  <c r="AC818" i="4"/>
  <c r="AB819" i="4"/>
  <c r="AC819" i="4"/>
  <c r="AB820" i="4"/>
  <c r="AC820" i="4"/>
  <c r="AB821" i="4"/>
  <c r="AC821" i="4"/>
  <c r="AB822" i="4"/>
  <c r="AC822" i="4"/>
  <c r="AB823" i="4"/>
  <c r="AC823" i="4"/>
  <c r="AB824" i="4"/>
  <c r="AC824" i="4"/>
  <c r="AB825" i="4"/>
  <c r="AC825" i="4"/>
  <c r="AB826" i="4"/>
  <c r="AC826" i="4"/>
  <c r="AB827" i="4"/>
  <c r="AC827" i="4"/>
  <c r="AB828" i="4"/>
  <c r="AC828" i="4"/>
  <c r="AB829" i="4"/>
  <c r="AC829" i="4"/>
  <c r="AB830" i="4"/>
  <c r="AC830" i="4"/>
  <c r="AB831" i="4"/>
  <c r="AC831" i="4"/>
  <c r="AB832" i="4"/>
  <c r="AC832" i="4"/>
  <c r="AB833" i="4"/>
  <c r="AC833" i="4"/>
  <c r="AB834" i="4"/>
  <c r="AC834" i="4"/>
  <c r="AB835" i="4"/>
  <c r="AC835" i="4"/>
  <c r="AB836" i="4"/>
  <c r="AC836" i="4"/>
  <c r="AB837" i="4"/>
  <c r="AC837" i="4"/>
  <c r="AB838" i="4"/>
  <c r="AC838" i="4"/>
  <c r="L42" i="14"/>
  <c r="K42" i="14"/>
  <c r="L17" i="14"/>
  <c r="K17" i="14"/>
  <c r="L47" i="14"/>
  <c r="K47" i="14"/>
  <c r="L12" i="14"/>
  <c r="K12" i="14"/>
  <c r="L52" i="14"/>
  <c r="K52" i="14"/>
  <c r="L4" i="14"/>
  <c r="K4" i="14"/>
  <c r="L32" i="14"/>
  <c r="K32" i="14"/>
  <c r="L56" i="14"/>
  <c r="K56" i="14"/>
  <c r="L16" i="14"/>
  <c r="K16" i="14"/>
  <c r="L25" i="14"/>
  <c r="K25" i="14"/>
  <c r="L35" i="14"/>
  <c r="K35" i="14"/>
  <c r="L15" i="14"/>
  <c r="K15" i="14"/>
  <c r="L9" i="14"/>
  <c r="K9" i="14"/>
  <c r="L8" i="14"/>
  <c r="K8" i="14"/>
  <c r="L13" i="14"/>
  <c r="K13" i="14"/>
  <c r="L51" i="14"/>
  <c r="K51" i="14"/>
  <c r="L7" i="14"/>
  <c r="K7" i="14"/>
  <c r="L14" i="14"/>
  <c r="K14" i="14"/>
  <c r="L30" i="14"/>
  <c r="K30" i="14"/>
  <c r="L27" i="14"/>
  <c r="K27" i="14"/>
  <c r="L37" i="14"/>
  <c r="K37" i="14"/>
  <c r="L3" i="14"/>
  <c r="K3" i="14"/>
  <c r="L50" i="14"/>
  <c r="K50" i="14"/>
  <c r="L55" i="14"/>
  <c r="K55" i="14"/>
  <c r="L34" i="14"/>
  <c r="K34" i="14"/>
  <c r="L18" i="14"/>
  <c r="K18" i="14"/>
  <c r="L36" i="14"/>
  <c r="K36" i="14"/>
  <c r="L43" i="14"/>
  <c r="K43" i="14"/>
  <c r="L26" i="14"/>
  <c r="K26" i="14"/>
  <c r="L5" i="14"/>
  <c r="K5" i="14"/>
  <c r="L10" i="14"/>
  <c r="K10" i="14"/>
  <c r="L41" i="14"/>
  <c r="K41" i="14"/>
  <c r="L21" i="14"/>
  <c r="K21" i="14"/>
  <c r="L11" i="14"/>
  <c r="K11" i="14"/>
  <c r="L39" i="14"/>
  <c r="K39" i="14"/>
  <c r="L33" i="14"/>
  <c r="K33" i="14"/>
  <c r="L54" i="14"/>
  <c r="K54" i="14"/>
  <c r="L22" i="14"/>
  <c r="K22" i="14"/>
  <c r="L29" i="14"/>
  <c r="K29" i="14"/>
  <c r="L19" i="14"/>
  <c r="K19" i="14"/>
  <c r="L31" i="14"/>
  <c r="K31" i="14"/>
  <c r="L46" i="14"/>
  <c r="K46" i="14"/>
  <c r="L24" i="14"/>
  <c r="K24" i="14"/>
  <c r="L44" i="14"/>
  <c r="K44" i="14"/>
  <c r="L6" i="14"/>
  <c r="K6" i="14"/>
  <c r="L57" i="14"/>
  <c r="K57" i="14"/>
  <c r="L45" i="14"/>
  <c r="K45" i="14"/>
  <c r="L48" i="14"/>
  <c r="K48" i="14"/>
  <c r="L53" i="14"/>
  <c r="K53" i="14"/>
  <c r="L58" i="14"/>
  <c r="K58" i="14"/>
  <c r="L38" i="14"/>
  <c r="K38" i="14"/>
  <c r="L28" i="14"/>
  <c r="K28" i="14"/>
  <c r="L2" i="14"/>
  <c r="K2" i="14"/>
  <c r="L40" i="14"/>
  <c r="K40" i="14"/>
  <c r="L49" i="14"/>
  <c r="K49" i="14"/>
  <c r="L23" i="14"/>
  <c r="K23" i="14"/>
  <c r="L20" i="14"/>
  <c r="K20" i="14"/>
  <c r="N64" i="13"/>
  <c r="L64" i="13"/>
  <c r="N73" i="13"/>
  <c r="L73" i="13"/>
  <c r="N62" i="13" l="1"/>
  <c r="L62" i="13"/>
  <c r="L70" i="13"/>
  <c r="N70" i="13"/>
  <c r="N41" i="13"/>
  <c r="L41" i="13"/>
  <c r="N58" i="13"/>
  <c r="L58" i="13"/>
  <c r="L61" i="13"/>
  <c r="N61" i="13"/>
  <c r="L66" i="13"/>
  <c r="N66" i="13"/>
  <c r="L84" i="13"/>
  <c r="N84" i="13"/>
  <c r="N56" i="13"/>
  <c r="L56" i="13"/>
  <c r="N40" i="13"/>
  <c r="L40" i="13"/>
  <c r="N13" i="13"/>
  <c r="L13" i="13"/>
  <c r="N18" i="13" l="1"/>
  <c r="L18" i="13"/>
  <c r="N16" i="13"/>
  <c r="L16" i="13"/>
  <c r="E14" i="14" l="1"/>
  <c r="D14" i="14"/>
  <c r="E39" i="14"/>
  <c r="D39" i="14"/>
  <c r="E13" i="14"/>
  <c r="D13" i="14"/>
  <c r="E42" i="14"/>
  <c r="D42" i="14"/>
  <c r="E4" i="14"/>
  <c r="D4" i="14"/>
  <c r="E26" i="14"/>
  <c r="D26" i="14"/>
  <c r="E47" i="14"/>
  <c r="D47" i="14"/>
  <c r="E12" i="14"/>
  <c r="D12" i="14"/>
  <c r="E22" i="14"/>
  <c r="D22" i="14"/>
  <c r="E29" i="14"/>
  <c r="D29" i="14"/>
  <c r="E6" i="14"/>
  <c r="D6" i="14"/>
  <c r="E10" i="14"/>
  <c r="D10" i="14"/>
  <c r="E38" i="14"/>
  <c r="D38" i="14"/>
  <c r="E24" i="14"/>
  <c r="D24" i="14"/>
  <c r="E20" i="14"/>
  <c r="D20" i="14"/>
  <c r="E35" i="14"/>
  <c r="D35" i="14"/>
  <c r="E2" i="14"/>
  <c r="D2" i="14"/>
  <c r="E45" i="14"/>
  <c r="D45" i="14"/>
  <c r="E50" i="14"/>
  <c r="D50" i="14"/>
  <c r="E28" i="14"/>
  <c r="D28" i="14"/>
  <c r="E15" i="14"/>
  <c r="D15" i="14"/>
  <c r="E36" i="14"/>
  <c r="D36" i="14"/>
  <c r="E18" i="14"/>
  <c r="D18" i="14"/>
  <c r="E7" i="14"/>
  <c r="D7" i="14"/>
  <c r="E8" i="14"/>
  <c r="D8" i="14"/>
  <c r="E33" i="14"/>
  <c r="D33" i="14"/>
  <c r="E9" i="14"/>
  <c r="D9" i="14"/>
  <c r="E32" i="14"/>
  <c r="D32" i="14"/>
  <c r="E27" i="14"/>
  <c r="D27" i="14"/>
  <c r="E46" i="14"/>
  <c r="D46" i="14"/>
  <c r="E21" i="14"/>
  <c r="D21" i="14"/>
  <c r="E16" i="14"/>
  <c r="D16" i="14"/>
  <c r="E25" i="14"/>
  <c r="D25" i="14"/>
  <c r="E41" i="14"/>
  <c r="D41" i="14"/>
  <c r="E19" i="14"/>
  <c r="D19" i="14"/>
  <c r="E34" i="14"/>
  <c r="D34" i="14"/>
  <c r="E5" i="14"/>
  <c r="D5" i="14"/>
  <c r="E48" i="14"/>
  <c r="D48" i="14"/>
  <c r="E37" i="14"/>
  <c r="D37" i="14"/>
  <c r="E40" i="14"/>
  <c r="D40" i="14"/>
  <c r="E44" i="14"/>
  <c r="D44" i="14"/>
  <c r="E49" i="14"/>
  <c r="D49" i="14"/>
  <c r="E31" i="14"/>
  <c r="D31" i="14"/>
  <c r="E23" i="14"/>
  <c r="D23" i="14"/>
  <c r="E3" i="14"/>
  <c r="D3" i="14"/>
  <c r="E30" i="14"/>
  <c r="D30" i="14"/>
  <c r="E43" i="14"/>
  <c r="D43" i="14"/>
  <c r="E17" i="14"/>
  <c r="D17" i="14"/>
  <c r="E11" i="14"/>
  <c r="D11" i="14"/>
  <c r="N42" i="13"/>
  <c r="L42" i="13"/>
  <c r="N34" i="13"/>
  <c r="L34" i="13"/>
  <c r="N33" i="13"/>
  <c r="L33" i="13"/>
  <c r="N55" i="13" l="1"/>
  <c r="L55" i="13"/>
  <c r="N31" i="13" l="1"/>
  <c r="L31" i="13"/>
  <c r="N28" i="13" l="1"/>
  <c r="L28" i="13"/>
  <c r="F30" i="13" l="1"/>
  <c r="D30" i="13"/>
  <c r="N21" i="13" l="1"/>
  <c r="L21" i="13"/>
  <c r="F91" i="13"/>
  <c r="D91" i="13"/>
  <c r="F90" i="13"/>
  <c r="D90" i="13"/>
  <c r="F89" i="13"/>
  <c r="D89" i="13"/>
  <c r="F88" i="13"/>
  <c r="D88" i="13"/>
  <c r="F87" i="13"/>
  <c r="D87" i="13"/>
  <c r="F86" i="13"/>
  <c r="D86" i="13"/>
  <c r="F85" i="13"/>
  <c r="D85" i="13"/>
  <c r="F84" i="13"/>
  <c r="D84" i="13"/>
  <c r="F83" i="13"/>
  <c r="D83" i="13"/>
  <c r="F82" i="13"/>
  <c r="D82" i="13"/>
  <c r="F81" i="13"/>
  <c r="D81" i="13"/>
  <c r="F80" i="13"/>
  <c r="D80" i="13"/>
  <c r="F79" i="13"/>
  <c r="D79" i="13"/>
  <c r="F78" i="13"/>
  <c r="D78" i="13"/>
  <c r="F77" i="13"/>
  <c r="D77" i="13"/>
  <c r="F76" i="13"/>
  <c r="D76" i="13"/>
  <c r="F75" i="13"/>
  <c r="D75" i="13"/>
  <c r="F74" i="13"/>
  <c r="D74" i="13"/>
  <c r="F73" i="13"/>
  <c r="D73" i="13"/>
  <c r="F72" i="13"/>
  <c r="D72" i="13"/>
  <c r="F71" i="13"/>
  <c r="D71" i="13"/>
  <c r="F70" i="13"/>
  <c r="D70" i="13"/>
  <c r="F69" i="13"/>
  <c r="D69" i="13"/>
  <c r="F68" i="13"/>
  <c r="D68" i="13"/>
  <c r="F67" i="13"/>
  <c r="D67" i="13"/>
  <c r="F66" i="13"/>
  <c r="D66" i="13"/>
  <c r="F65" i="13"/>
  <c r="D65" i="13"/>
  <c r="F64" i="13"/>
  <c r="D64" i="13"/>
  <c r="F63" i="13"/>
  <c r="D63" i="13"/>
  <c r="F62" i="13"/>
  <c r="D62" i="13"/>
  <c r="F61" i="13"/>
  <c r="D61" i="13"/>
  <c r="F60" i="13"/>
  <c r="D60" i="13"/>
  <c r="F59" i="13"/>
  <c r="D59" i="13"/>
  <c r="F58" i="13"/>
  <c r="D58" i="13"/>
  <c r="F57" i="13"/>
  <c r="D57" i="13"/>
  <c r="F56" i="13"/>
  <c r="D56" i="13"/>
  <c r="F55" i="13"/>
  <c r="D55" i="13"/>
  <c r="N54" i="13"/>
  <c r="L54" i="13"/>
  <c r="F54" i="13"/>
  <c r="D54" i="13"/>
  <c r="F53" i="13"/>
  <c r="D53" i="13"/>
  <c r="F52" i="13"/>
  <c r="D52" i="13"/>
  <c r="F51" i="13"/>
  <c r="D51" i="13"/>
  <c r="F50" i="13"/>
  <c r="D50" i="13"/>
  <c r="F49" i="13"/>
  <c r="D49" i="13"/>
  <c r="N48" i="13"/>
  <c r="L48" i="13"/>
  <c r="F48" i="13"/>
  <c r="D48" i="13"/>
  <c r="F47" i="13"/>
  <c r="D47" i="13"/>
  <c r="F46" i="13"/>
  <c r="D46" i="13"/>
  <c r="F45" i="13"/>
  <c r="D45" i="13"/>
  <c r="F44" i="13"/>
  <c r="D44" i="13"/>
  <c r="F43" i="13"/>
  <c r="D43" i="13"/>
  <c r="F42" i="13"/>
  <c r="D42" i="13"/>
  <c r="F41" i="13"/>
  <c r="D41" i="13"/>
  <c r="F40" i="13"/>
  <c r="D40" i="13"/>
  <c r="N39" i="13"/>
  <c r="L39" i="13"/>
  <c r="F39" i="13"/>
  <c r="D39" i="13"/>
  <c r="F38" i="13"/>
  <c r="D38" i="13"/>
  <c r="F37" i="13"/>
  <c r="D37" i="13"/>
  <c r="F36" i="13"/>
  <c r="D36" i="13"/>
  <c r="N35" i="13"/>
  <c r="L35" i="13"/>
  <c r="F35" i="13"/>
  <c r="D35" i="13"/>
  <c r="F34" i="13"/>
  <c r="D34" i="13"/>
  <c r="F33" i="13"/>
  <c r="D33" i="13"/>
  <c r="F32" i="13"/>
  <c r="D32" i="13"/>
  <c r="F31" i="13"/>
  <c r="D31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N22" i="13"/>
  <c r="L22" i="13"/>
  <c r="F22" i="13"/>
  <c r="D22" i="13"/>
  <c r="F21" i="13"/>
  <c r="D21" i="13"/>
  <c r="N20" i="13"/>
  <c r="L20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M26" i="11" l="1"/>
  <c r="M70" i="11"/>
  <c r="L70" i="11"/>
  <c r="M18" i="11"/>
  <c r="L18" i="11"/>
  <c r="M42" i="11"/>
  <c r="L42" i="11"/>
  <c r="M21" i="11"/>
  <c r="L21" i="11"/>
  <c r="M59" i="11"/>
  <c r="L59" i="11"/>
  <c r="M25" i="11"/>
  <c r="L25" i="11"/>
  <c r="M57" i="11"/>
  <c r="L57" i="11"/>
  <c r="M4" i="11"/>
  <c r="L4" i="11"/>
  <c r="M28" i="11"/>
  <c r="L28" i="11"/>
  <c r="M32" i="11"/>
  <c r="L32" i="11"/>
  <c r="M16" i="11"/>
  <c r="L16" i="11"/>
  <c r="M55" i="11"/>
  <c r="L55" i="11"/>
  <c r="M61" i="11"/>
  <c r="L61" i="11"/>
  <c r="M60" i="11"/>
  <c r="L60" i="11"/>
  <c r="M71" i="11"/>
  <c r="L71" i="11"/>
  <c r="M17" i="11"/>
  <c r="L17" i="11"/>
  <c r="M64" i="11"/>
  <c r="L64" i="11"/>
  <c r="M46" i="11"/>
  <c r="L46" i="11"/>
  <c r="M38" i="11"/>
  <c r="L38" i="11"/>
  <c r="M41" i="11"/>
  <c r="L41" i="11"/>
  <c r="M63" i="11"/>
  <c r="L63" i="11"/>
  <c r="M40" i="11"/>
  <c r="L40" i="11"/>
  <c r="M15" i="11"/>
  <c r="L15" i="11"/>
  <c r="M19" i="11"/>
  <c r="L19" i="11"/>
  <c r="M7" i="11"/>
  <c r="L7" i="11"/>
  <c r="M10" i="11"/>
  <c r="L10" i="11"/>
  <c r="M58" i="11"/>
  <c r="L58" i="11"/>
  <c r="M8" i="11"/>
  <c r="L8" i="11"/>
  <c r="M39" i="11"/>
  <c r="L39" i="11"/>
  <c r="M13" i="11"/>
  <c r="L13" i="11"/>
  <c r="M36" i="11"/>
  <c r="L36" i="11"/>
  <c r="M30" i="11"/>
  <c r="L30" i="11"/>
  <c r="M43" i="11"/>
  <c r="L43" i="11"/>
  <c r="M2" i="11"/>
  <c r="L2" i="11"/>
  <c r="M69" i="11"/>
  <c r="L69" i="11"/>
  <c r="M73" i="11"/>
  <c r="L73" i="11"/>
  <c r="M37" i="11"/>
  <c r="L37" i="11"/>
  <c r="M20" i="11"/>
  <c r="L20" i="11"/>
  <c r="M47" i="11"/>
  <c r="L47" i="11"/>
  <c r="M51" i="11"/>
  <c r="L51" i="11"/>
  <c r="M29" i="11"/>
  <c r="L29" i="11"/>
  <c r="M12" i="11"/>
  <c r="L12" i="11"/>
  <c r="M11" i="11"/>
  <c r="L11" i="11"/>
  <c r="M52" i="11"/>
  <c r="L52" i="11"/>
  <c r="M23" i="11"/>
  <c r="L23" i="11"/>
  <c r="M9" i="11"/>
  <c r="L9" i="11"/>
  <c r="M45" i="11"/>
  <c r="L45" i="11"/>
  <c r="M35" i="11"/>
  <c r="L35" i="11"/>
  <c r="M72" i="11"/>
  <c r="L72" i="11"/>
  <c r="M27" i="11"/>
  <c r="L27" i="11"/>
  <c r="M31" i="11"/>
  <c r="L31" i="11"/>
  <c r="M22" i="11"/>
  <c r="L22" i="11"/>
  <c r="M34" i="11"/>
  <c r="L34" i="11"/>
  <c r="M56" i="11"/>
  <c r="L56" i="11"/>
  <c r="M24" i="11"/>
  <c r="L24" i="11"/>
  <c r="M48" i="11"/>
  <c r="L48" i="11"/>
  <c r="M6" i="11"/>
  <c r="L6" i="11"/>
  <c r="M74" i="11"/>
  <c r="L74" i="11"/>
  <c r="M53" i="11"/>
  <c r="L53" i="11"/>
  <c r="M62" i="11"/>
  <c r="L62" i="11"/>
  <c r="M5" i="11"/>
  <c r="L5" i="11"/>
  <c r="M54" i="11"/>
  <c r="L54" i="11"/>
  <c r="M65" i="11"/>
  <c r="L65" i="11"/>
  <c r="M67" i="11"/>
  <c r="L67" i="11"/>
  <c r="M68" i="11"/>
  <c r="L68" i="11"/>
  <c r="M44" i="11"/>
  <c r="L44" i="11"/>
  <c r="M50" i="11"/>
  <c r="L50" i="11"/>
  <c r="M33" i="11"/>
  <c r="L33" i="11"/>
  <c r="M3" i="11"/>
  <c r="L3" i="11"/>
  <c r="M49" i="11"/>
  <c r="L49" i="11"/>
  <c r="M66" i="11"/>
  <c r="L66" i="11"/>
  <c r="L26" i="11"/>
  <c r="M14" i="11"/>
  <c r="L14" i="11"/>
  <c r="N28" i="10"/>
  <c r="L28" i="10"/>
  <c r="N51" i="10"/>
  <c r="L51" i="10"/>
  <c r="N55" i="10"/>
  <c r="L55" i="10"/>
  <c r="N53" i="10"/>
  <c r="L53" i="10"/>
  <c r="N60" i="10"/>
  <c r="L60" i="10"/>
  <c r="N44" i="10"/>
  <c r="L44" i="10"/>
  <c r="N85" i="10"/>
  <c r="L85" i="10"/>
  <c r="N79" i="10"/>
  <c r="L79" i="10"/>
  <c r="N81" i="10"/>
  <c r="L81" i="10"/>
  <c r="F54" i="10"/>
  <c r="N83" i="10"/>
  <c r="L83" i="10"/>
  <c r="N32" i="10"/>
  <c r="L32" i="10"/>
  <c r="N14" i="10"/>
  <c r="L14" i="10"/>
  <c r="N59" i="10"/>
  <c r="L59" i="10"/>
  <c r="N45" i="10"/>
  <c r="L45" i="10"/>
  <c r="T798" i="4"/>
  <c r="U798" i="4"/>
  <c r="T799" i="4"/>
  <c r="U799" i="4"/>
  <c r="T800" i="4"/>
  <c r="U800" i="4"/>
  <c r="T801" i="4"/>
  <c r="U801" i="4"/>
  <c r="T802" i="4"/>
  <c r="U802" i="4"/>
  <c r="T803" i="4"/>
  <c r="U803" i="4"/>
  <c r="T804" i="4"/>
  <c r="U804" i="4"/>
  <c r="T805" i="4"/>
  <c r="U805" i="4"/>
  <c r="T806" i="4"/>
  <c r="U806" i="4"/>
  <c r="T807" i="4"/>
  <c r="U807" i="4"/>
  <c r="T808" i="4"/>
  <c r="U808" i="4"/>
  <c r="T809" i="4"/>
  <c r="U809" i="4"/>
  <c r="T810" i="4"/>
  <c r="U810" i="4"/>
  <c r="T811" i="4"/>
  <c r="U811" i="4"/>
  <c r="T812" i="4"/>
  <c r="U812" i="4"/>
  <c r="T813" i="4"/>
  <c r="U813" i="4"/>
  <c r="T814" i="4"/>
  <c r="U814" i="4"/>
  <c r="T815" i="4"/>
  <c r="U815" i="4"/>
  <c r="T816" i="4"/>
  <c r="U816" i="4"/>
  <c r="T817" i="4"/>
  <c r="U817" i="4"/>
  <c r="T818" i="4"/>
  <c r="U818" i="4"/>
  <c r="T819" i="4"/>
  <c r="U819" i="4"/>
  <c r="T820" i="4"/>
  <c r="U820" i="4"/>
  <c r="T821" i="4"/>
  <c r="U821" i="4"/>
  <c r="T822" i="4"/>
  <c r="U822" i="4"/>
  <c r="T823" i="4"/>
  <c r="U823" i="4"/>
  <c r="T824" i="4"/>
  <c r="U824" i="4"/>
  <c r="T825" i="4"/>
  <c r="U825" i="4"/>
  <c r="T826" i="4"/>
  <c r="U826" i="4"/>
  <c r="T827" i="4"/>
  <c r="U827" i="4"/>
  <c r="T828" i="4"/>
  <c r="U828" i="4"/>
  <c r="T829" i="4"/>
  <c r="U829" i="4"/>
  <c r="T830" i="4"/>
  <c r="U830" i="4"/>
  <c r="T831" i="4"/>
  <c r="U831" i="4"/>
  <c r="T832" i="4"/>
  <c r="U832" i="4"/>
  <c r="T833" i="4"/>
  <c r="U833" i="4"/>
  <c r="T834" i="4"/>
  <c r="U834" i="4"/>
  <c r="T835" i="4"/>
  <c r="U835" i="4"/>
  <c r="T836" i="4"/>
  <c r="U836" i="4"/>
  <c r="T837" i="4"/>
  <c r="U837" i="4"/>
  <c r="T838" i="4"/>
  <c r="U838" i="4"/>
  <c r="T839" i="4"/>
  <c r="U839" i="4"/>
  <c r="T840" i="4"/>
  <c r="U840" i="4"/>
  <c r="T841" i="4"/>
  <c r="U841" i="4"/>
  <c r="T842" i="4"/>
  <c r="U842" i="4"/>
  <c r="T843" i="4"/>
  <c r="U843" i="4"/>
  <c r="T844" i="4"/>
  <c r="U844" i="4"/>
  <c r="T845" i="4"/>
  <c r="U845" i="4"/>
  <c r="T846" i="4"/>
  <c r="U846" i="4"/>
  <c r="T847" i="4"/>
  <c r="U847" i="4"/>
  <c r="T848" i="4"/>
  <c r="U848" i="4"/>
  <c r="T849" i="4"/>
  <c r="U849" i="4"/>
  <c r="T850" i="4"/>
  <c r="U850" i="4"/>
  <c r="T851" i="4"/>
  <c r="U851" i="4"/>
  <c r="T852" i="4"/>
  <c r="U852" i="4"/>
  <c r="T853" i="4"/>
  <c r="U853" i="4"/>
  <c r="T854" i="4"/>
  <c r="U854" i="4"/>
  <c r="T855" i="4"/>
  <c r="U855" i="4"/>
  <c r="T856" i="4"/>
  <c r="U856" i="4"/>
  <c r="T857" i="4"/>
  <c r="U857" i="4"/>
  <c r="D798" i="4"/>
  <c r="E798" i="4"/>
  <c r="I798" i="4"/>
  <c r="M798" i="4"/>
  <c r="O798" i="4"/>
  <c r="D799" i="4"/>
  <c r="E799" i="4"/>
  <c r="I799" i="4"/>
  <c r="M799" i="4"/>
  <c r="O799" i="4"/>
  <c r="D800" i="4"/>
  <c r="E800" i="4"/>
  <c r="I800" i="4"/>
  <c r="M800" i="4"/>
  <c r="O800" i="4"/>
  <c r="D801" i="4"/>
  <c r="E801" i="4"/>
  <c r="I801" i="4"/>
  <c r="M801" i="4"/>
  <c r="O801" i="4"/>
  <c r="D802" i="4"/>
  <c r="E802" i="4"/>
  <c r="I802" i="4"/>
  <c r="M802" i="4"/>
  <c r="O802" i="4"/>
  <c r="D803" i="4"/>
  <c r="E803" i="4"/>
  <c r="I803" i="4"/>
  <c r="M803" i="4"/>
  <c r="O803" i="4"/>
  <c r="D804" i="4"/>
  <c r="E804" i="4"/>
  <c r="I804" i="4"/>
  <c r="M804" i="4"/>
  <c r="O804" i="4"/>
  <c r="D805" i="4"/>
  <c r="E805" i="4"/>
  <c r="I805" i="4"/>
  <c r="M805" i="4"/>
  <c r="O805" i="4"/>
  <c r="D806" i="4"/>
  <c r="E806" i="4"/>
  <c r="I806" i="4"/>
  <c r="M806" i="4"/>
  <c r="O806" i="4"/>
  <c r="D807" i="4"/>
  <c r="E807" i="4"/>
  <c r="I807" i="4"/>
  <c r="M807" i="4"/>
  <c r="O807" i="4"/>
  <c r="D808" i="4"/>
  <c r="E808" i="4"/>
  <c r="I808" i="4"/>
  <c r="M808" i="4"/>
  <c r="O808" i="4"/>
  <c r="D809" i="4"/>
  <c r="E809" i="4"/>
  <c r="I809" i="4"/>
  <c r="M809" i="4"/>
  <c r="O809" i="4"/>
  <c r="D810" i="4"/>
  <c r="E810" i="4"/>
  <c r="I810" i="4"/>
  <c r="M810" i="4"/>
  <c r="O810" i="4"/>
  <c r="D811" i="4"/>
  <c r="E811" i="4"/>
  <c r="I811" i="4"/>
  <c r="M811" i="4"/>
  <c r="O811" i="4"/>
  <c r="D812" i="4"/>
  <c r="E812" i="4"/>
  <c r="I812" i="4"/>
  <c r="M812" i="4"/>
  <c r="O812" i="4"/>
  <c r="D813" i="4"/>
  <c r="E813" i="4"/>
  <c r="I813" i="4"/>
  <c r="M813" i="4"/>
  <c r="O813" i="4"/>
  <c r="D814" i="4"/>
  <c r="E814" i="4"/>
  <c r="I814" i="4"/>
  <c r="M814" i="4"/>
  <c r="O814" i="4"/>
  <c r="D815" i="4"/>
  <c r="E815" i="4"/>
  <c r="I815" i="4"/>
  <c r="M815" i="4"/>
  <c r="O815" i="4"/>
  <c r="D816" i="4"/>
  <c r="E816" i="4"/>
  <c r="I816" i="4"/>
  <c r="M816" i="4"/>
  <c r="O816" i="4"/>
  <c r="D817" i="4"/>
  <c r="E817" i="4"/>
  <c r="I817" i="4"/>
  <c r="M817" i="4"/>
  <c r="O817" i="4"/>
  <c r="D818" i="4"/>
  <c r="E818" i="4"/>
  <c r="I818" i="4"/>
  <c r="M818" i="4"/>
  <c r="O818" i="4"/>
  <c r="D819" i="4"/>
  <c r="E819" i="4"/>
  <c r="I819" i="4"/>
  <c r="M819" i="4"/>
  <c r="O819" i="4"/>
  <c r="D820" i="4"/>
  <c r="E820" i="4"/>
  <c r="I820" i="4"/>
  <c r="M820" i="4"/>
  <c r="O820" i="4"/>
  <c r="D821" i="4"/>
  <c r="E821" i="4"/>
  <c r="I821" i="4"/>
  <c r="M821" i="4"/>
  <c r="O821" i="4"/>
  <c r="D822" i="4"/>
  <c r="E822" i="4"/>
  <c r="I822" i="4"/>
  <c r="M822" i="4"/>
  <c r="O822" i="4"/>
  <c r="D823" i="4"/>
  <c r="E823" i="4"/>
  <c r="I823" i="4"/>
  <c r="M823" i="4"/>
  <c r="O823" i="4"/>
  <c r="D824" i="4"/>
  <c r="E824" i="4"/>
  <c r="I824" i="4"/>
  <c r="M824" i="4"/>
  <c r="O824" i="4"/>
  <c r="D825" i="4"/>
  <c r="E825" i="4"/>
  <c r="I825" i="4"/>
  <c r="M825" i="4"/>
  <c r="O825" i="4"/>
  <c r="D826" i="4"/>
  <c r="E826" i="4"/>
  <c r="I826" i="4"/>
  <c r="M826" i="4"/>
  <c r="O826" i="4"/>
  <c r="D827" i="4"/>
  <c r="E827" i="4"/>
  <c r="I827" i="4"/>
  <c r="M827" i="4"/>
  <c r="O827" i="4"/>
  <c r="D828" i="4"/>
  <c r="E828" i="4"/>
  <c r="I828" i="4"/>
  <c r="M828" i="4"/>
  <c r="O828" i="4"/>
  <c r="D829" i="4"/>
  <c r="E829" i="4"/>
  <c r="I829" i="4"/>
  <c r="M829" i="4"/>
  <c r="O829" i="4"/>
  <c r="D830" i="4"/>
  <c r="E830" i="4"/>
  <c r="I830" i="4"/>
  <c r="M830" i="4"/>
  <c r="O830" i="4"/>
  <c r="D831" i="4"/>
  <c r="E831" i="4"/>
  <c r="I831" i="4"/>
  <c r="M831" i="4"/>
  <c r="O831" i="4"/>
  <c r="D832" i="4"/>
  <c r="E832" i="4"/>
  <c r="I832" i="4"/>
  <c r="M832" i="4"/>
  <c r="O832" i="4"/>
  <c r="D833" i="4"/>
  <c r="E833" i="4"/>
  <c r="I833" i="4"/>
  <c r="M833" i="4"/>
  <c r="O833" i="4"/>
  <c r="D834" i="4"/>
  <c r="E834" i="4"/>
  <c r="I834" i="4"/>
  <c r="M834" i="4"/>
  <c r="O834" i="4"/>
  <c r="D835" i="4"/>
  <c r="E835" i="4"/>
  <c r="I835" i="4"/>
  <c r="M835" i="4"/>
  <c r="O835" i="4"/>
  <c r="D836" i="4"/>
  <c r="E836" i="4"/>
  <c r="I836" i="4"/>
  <c r="M836" i="4"/>
  <c r="O836" i="4"/>
  <c r="D837" i="4"/>
  <c r="E837" i="4"/>
  <c r="I837" i="4"/>
  <c r="M837" i="4"/>
  <c r="O837" i="4"/>
  <c r="D838" i="4"/>
  <c r="E838" i="4"/>
  <c r="I838" i="4"/>
  <c r="M838" i="4"/>
  <c r="O838" i="4"/>
  <c r="D839" i="4"/>
  <c r="E839" i="4"/>
  <c r="I839" i="4"/>
  <c r="M839" i="4"/>
  <c r="O839" i="4"/>
  <c r="D840" i="4"/>
  <c r="E840" i="4"/>
  <c r="I840" i="4"/>
  <c r="M840" i="4"/>
  <c r="O840" i="4"/>
  <c r="D841" i="4"/>
  <c r="E841" i="4"/>
  <c r="I841" i="4"/>
  <c r="M841" i="4"/>
  <c r="O841" i="4"/>
  <c r="D842" i="4"/>
  <c r="E842" i="4"/>
  <c r="I842" i="4"/>
  <c r="M842" i="4"/>
  <c r="O842" i="4"/>
  <c r="D843" i="4"/>
  <c r="E843" i="4"/>
  <c r="I843" i="4"/>
  <c r="M843" i="4"/>
  <c r="O843" i="4"/>
  <c r="D844" i="4"/>
  <c r="E844" i="4"/>
  <c r="I844" i="4"/>
  <c r="M844" i="4"/>
  <c r="O844" i="4"/>
  <c r="D845" i="4"/>
  <c r="E845" i="4"/>
  <c r="I845" i="4"/>
  <c r="M845" i="4"/>
  <c r="O845" i="4"/>
  <c r="D846" i="4"/>
  <c r="E846" i="4"/>
  <c r="I846" i="4"/>
  <c r="M846" i="4"/>
  <c r="O846" i="4"/>
  <c r="D847" i="4"/>
  <c r="E847" i="4"/>
  <c r="I847" i="4"/>
  <c r="M847" i="4"/>
  <c r="O847" i="4"/>
  <c r="D848" i="4"/>
  <c r="E848" i="4"/>
  <c r="I848" i="4"/>
  <c r="M848" i="4"/>
  <c r="O848" i="4"/>
  <c r="D849" i="4"/>
  <c r="E849" i="4"/>
  <c r="I849" i="4"/>
  <c r="M849" i="4"/>
  <c r="O849" i="4"/>
  <c r="D850" i="4"/>
  <c r="E850" i="4"/>
  <c r="I850" i="4"/>
  <c r="M850" i="4"/>
  <c r="O850" i="4"/>
  <c r="D851" i="4"/>
  <c r="E851" i="4"/>
  <c r="I851" i="4"/>
  <c r="M851" i="4"/>
  <c r="O851" i="4"/>
  <c r="D852" i="4"/>
  <c r="E852" i="4"/>
  <c r="I852" i="4"/>
  <c r="M852" i="4"/>
  <c r="O852" i="4"/>
  <c r="D853" i="4"/>
  <c r="E853" i="4"/>
  <c r="I853" i="4"/>
  <c r="M853" i="4"/>
  <c r="O853" i="4"/>
  <c r="D854" i="4"/>
  <c r="E854" i="4"/>
  <c r="I854" i="4"/>
  <c r="M854" i="4"/>
  <c r="O854" i="4"/>
  <c r="D855" i="4"/>
  <c r="E855" i="4"/>
  <c r="I855" i="4"/>
  <c r="M855" i="4"/>
  <c r="O855" i="4"/>
  <c r="D856" i="4"/>
  <c r="E856" i="4"/>
  <c r="I856" i="4"/>
  <c r="M856" i="4"/>
  <c r="O856" i="4"/>
  <c r="D857" i="4"/>
  <c r="E857" i="4"/>
  <c r="I857" i="4"/>
  <c r="M857" i="4"/>
  <c r="O857" i="4"/>
  <c r="D858" i="4"/>
  <c r="E858" i="4"/>
  <c r="I858" i="4"/>
  <c r="M858" i="4"/>
  <c r="O858" i="4"/>
  <c r="D859" i="4"/>
  <c r="E859" i="4"/>
  <c r="I859" i="4"/>
  <c r="M859" i="4"/>
  <c r="O859" i="4"/>
  <c r="D860" i="4"/>
  <c r="E860" i="4"/>
  <c r="I860" i="4"/>
  <c r="M860" i="4"/>
  <c r="O860" i="4"/>
  <c r="D861" i="4"/>
  <c r="E861" i="4"/>
  <c r="I861" i="4"/>
  <c r="M861" i="4"/>
  <c r="O861" i="4"/>
  <c r="D862" i="4"/>
  <c r="E862" i="4"/>
  <c r="I862" i="4"/>
  <c r="M862" i="4"/>
  <c r="O862" i="4"/>
  <c r="N15" i="10"/>
  <c r="L15" i="10"/>
  <c r="N30" i="10"/>
  <c r="L30" i="10"/>
  <c r="N80" i="10"/>
  <c r="L80" i="10"/>
  <c r="N63" i="10"/>
  <c r="L63" i="10"/>
  <c r="N49" i="10"/>
  <c r="L49" i="10"/>
  <c r="N29" i="10"/>
  <c r="L29" i="10"/>
  <c r="N27" i="10"/>
  <c r="L27" i="10"/>
  <c r="N17" i="10"/>
  <c r="L17" i="10"/>
  <c r="N61" i="10"/>
  <c r="L61" i="10"/>
  <c r="N52" i="10"/>
  <c r="L52" i="10"/>
  <c r="N70" i="10"/>
  <c r="L70" i="10"/>
  <c r="N38" i="10"/>
  <c r="L38" i="10"/>
  <c r="N47" i="10"/>
  <c r="L47" i="10"/>
  <c r="N78" i="10"/>
  <c r="L78" i="10"/>
  <c r="N24" i="10"/>
  <c r="L24" i="10"/>
  <c r="N82" i="10" l="1"/>
  <c r="L82" i="10"/>
  <c r="N37" i="10"/>
  <c r="L37" i="10"/>
  <c r="N67" i="10"/>
  <c r="L67" i="10"/>
  <c r="N36" i="10"/>
  <c r="L36" i="10"/>
  <c r="N58" i="10"/>
  <c r="L58" i="10"/>
  <c r="N43" i="10"/>
  <c r="L43" i="10"/>
  <c r="N13" i="10"/>
  <c r="L13" i="10"/>
  <c r="N72" i="10" l="1"/>
  <c r="L72" i="10"/>
  <c r="N16" i="10"/>
  <c r="L16" i="10"/>
  <c r="N23" i="10"/>
  <c r="L23" i="10"/>
  <c r="N33" i="10"/>
  <c r="L33" i="10"/>
  <c r="L26" i="10"/>
  <c r="N26" i="10"/>
  <c r="N77" i="10"/>
  <c r="L77" i="10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E17" i="12"/>
  <c r="A17" i="12"/>
  <c r="E16" i="12"/>
  <c r="A16" i="12"/>
  <c r="E15" i="12"/>
  <c r="A15" i="12"/>
  <c r="E14" i="12"/>
  <c r="A14" i="12"/>
  <c r="E13" i="12"/>
  <c r="A13" i="12"/>
  <c r="E12" i="12"/>
  <c r="A12" i="12"/>
  <c r="E11" i="12"/>
  <c r="A11" i="12"/>
  <c r="E10" i="12"/>
  <c r="A10" i="12"/>
  <c r="E9" i="12"/>
  <c r="A9" i="12"/>
  <c r="E8" i="12"/>
  <c r="A8" i="12"/>
  <c r="E7" i="12"/>
  <c r="A7" i="12"/>
  <c r="E6" i="12"/>
  <c r="A6" i="12"/>
  <c r="E5" i="12"/>
  <c r="A5" i="12"/>
  <c r="E4" i="12"/>
  <c r="A4" i="12"/>
  <c r="E3" i="12"/>
  <c r="A3" i="12"/>
  <c r="E2" i="12"/>
  <c r="A2" i="12"/>
  <c r="L54" i="10" l="1"/>
  <c r="N54" i="10"/>
  <c r="N66" i="10"/>
  <c r="L66" i="10"/>
  <c r="N57" i="10"/>
  <c r="L57" i="10"/>
  <c r="N48" i="10"/>
  <c r="L48" i="10"/>
  <c r="N46" i="10"/>
  <c r="L46" i="10"/>
  <c r="T743" i="4" l="1"/>
  <c r="U743" i="4"/>
  <c r="AB743" i="4"/>
  <c r="AC743" i="4"/>
  <c r="AJ743" i="4"/>
  <c r="AK743" i="4"/>
  <c r="T744" i="4"/>
  <c r="U744" i="4"/>
  <c r="AB744" i="4"/>
  <c r="AC744" i="4"/>
  <c r="AJ744" i="4"/>
  <c r="AK744" i="4"/>
  <c r="T745" i="4"/>
  <c r="U745" i="4"/>
  <c r="AB745" i="4"/>
  <c r="AC745" i="4"/>
  <c r="AJ745" i="4"/>
  <c r="AK745" i="4"/>
  <c r="T746" i="4"/>
  <c r="U746" i="4"/>
  <c r="AB746" i="4"/>
  <c r="AC746" i="4"/>
  <c r="AJ746" i="4"/>
  <c r="AK746" i="4"/>
  <c r="T747" i="4"/>
  <c r="U747" i="4"/>
  <c r="AB747" i="4"/>
  <c r="AC747" i="4"/>
  <c r="AJ747" i="4"/>
  <c r="AK747" i="4"/>
  <c r="T748" i="4"/>
  <c r="U748" i="4"/>
  <c r="AB748" i="4"/>
  <c r="AC748" i="4"/>
  <c r="AJ748" i="4"/>
  <c r="AK748" i="4"/>
  <c r="T749" i="4"/>
  <c r="U749" i="4"/>
  <c r="AB749" i="4"/>
  <c r="AC749" i="4"/>
  <c r="AJ749" i="4"/>
  <c r="AK749" i="4"/>
  <c r="T750" i="4"/>
  <c r="U750" i="4"/>
  <c r="AB750" i="4"/>
  <c r="AC750" i="4"/>
  <c r="AJ750" i="4"/>
  <c r="AK750" i="4"/>
  <c r="T751" i="4"/>
  <c r="U751" i="4"/>
  <c r="AB751" i="4"/>
  <c r="AC751" i="4"/>
  <c r="AJ751" i="4"/>
  <c r="AK751" i="4"/>
  <c r="T752" i="4"/>
  <c r="U752" i="4"/>
  <c r="AB752" i="4"/>
  <c r="AC752" i="4"/>
  <c r="AJ752" i="4"/>
  <c r="AK752" i="4"/>
  <c r="T753" i="4"/>
  <c r="U753" i="4"/>
  <c r="AB753" i="4"/>
  <c r="AC753" i="4"/>
  <c r="AJ753" i="4"/>
  <c r="AK753" i="4"/>
  <c r="T754" i="4"/>
  <c r="U754" i="4"/>
  <c r="AB754" i="4"/>
  <c r="AC754" i="4"/>
  <c r="AJ754" i="4"/>
  <c r="AK754" i="4"/>
  <c r="T755" i="4"/>
  <c r="U755" i="4"/>
  <c r="AB755" i="4"/>
  <c r="AC755" i="4"/>
  <c r="AJ755" i="4"/>
  <c r="AK755" i="4"/>
  <c r="T756" i="4"/>
  <c r="U756" i="4"/>
  <c r="AB756" i="4"/>
  <c r="AC756" i="4"/>
  <c r="AJ756" i="4"/>
  <c r="AK756" i="4"/>
  <c r="T757" i="4"/>
  <c r="U757" i="4"/>
  <c r="AB757" i="4"/>
  <c r="AC757" i="4"/>
  <c r="AJ757" i="4"/>
  <c r="AK757" i="4"/>
  <c r="T758" i="4"/>
  <c r="U758" i="4"/>
  <c r="AB758" i="4"/>
  <c r="AC758" i="4"/>
  <c r="AJ758" i="4"/>
  <c r="AK758" i="4"/>
  <c r="T759" i="4"/>
  <c r="U759" i="4"/>
  <c r="AB759" i="4"/>
  <c r="AC759" i="4"/>
  <c r="AJ759" i="4"/>
  <c r="AK759" i="4"/>
  <c r="T760" i="4"/>
  <c r="U760" i="4"/>
  <c r="AB760" i="4"/>
  <c r="AC760" i="4"/>
  <c r="AJ760" i="4"/>
  <c r="AK760" i="4"/>
  <c r="T761" i="4"/>
  <c r="U761" i="4"/>
  <c r="AB761" i="4"/>
  <c r="AC761" i="4"/>
  <c r="AJ761" i="4"/>
  <c r="AK761" i="4"/>
  <c r="T762" i="4"/>
  <c r="U762" i="4"/>
  <c r="AB762" i="4"/>
  <c r="AC762" i="4"/>
  <c r="AJ762" i="4"/>
  <c r="AK762" i="4"/>
  <c r="T763" i="4"/>
  <c r="U763" i="4"/>
  <c r="AB763" i="4"/>
  <c r="AC763" i="4"/>
  <c r="AJ763" i="4"/>
  <c r="AK763" i="4"/>
  <c r="T764" i="4"/>
  <c r="U764" i="4"/>
  <c r="AB764" i="4"/>
  <c r="AC764" i="4"/>
  <c r="AJ764" i="4"/>
  <c r="AK764" i="4"/>
  <c r="T765" i="4"/>
  <c r="U765" i="4"/>
  <c r="AB765" i="4"/>
  <c r="AC765" i="4"/>
  <c r="AJ765" i="4"/>
  <c r="AK765" i="4"/>
  <c r="T766" i="4"/>
  <c r="U766" i="4"/>
  <c r="AB766" i="4"/>
  <c r="AC766" i="4"/>
  <c r="AJ766" i="4"/>
  <c r="AK766" i="4"/>
  <c r="T767" i="4"/>
  <c r="U767" i="4"/>
  <c r="AB767" i="4"/>
  <c r="AC767" i="4"/>
  <c r="AJ767" i="4"/>
  <c r="AK767" i="4"/>
  <c r="T768" i="4"/>
  <c r="U768" i="4"/>
  <c r="AB768" i="4"/>
  <c r="AC768" i="4"/>
  <c r="AJ768" i="4"/>
  <c r="AK768" i="4"/>
  <c r="T769" i="4"/>
  <c r="U769" i="4"/>
  <c r="AB769" i="4"/>
  <c r="AC769" i="4"/>
  <c r="AJ769" i="4"/>
  <c r="AK769" i="4"/>
  <c r="T770" i="4"/>
  <c r="U770" i="4"/>
  <c r="AB770" i="4"/>
  <c r="AC770" i="4"/>
  <c r="AJ770" i="4"/>
  <c r="AK770" i="4"/>
  <c r="T771" i="4"/>
  <c r="U771" i="4"/>
  <c r="AB771" i="4"/>
  <c r="AC771" i="4"/>
  <c r="AJ771" i="4"/>
  <c r="AK771" i="4"/>
  <c r="T772" i="4"/>
  <c r="U772" i="4"/>
  <c r="AB772" i="4"/>
  <c r="AC772" i="4"/>
  <c r="AJ772" i="4"/>
  <c r="AK772" i="4"/>
  <c r="T773" i="4"/>
  <c r="U773" i="4"/>
  <c r="AB773" i="4"/>
  <c r="AC773" i="4"/>
  <c r="AJ773" i="4"/>
  <c r="AK773" i="4"/>
  <c r="T774" i="4"/>
  <c r="U774" i="4"/>
  <c r="AB774" i="4"/>
  <c r="AC774" i="4"/>
  <c r="AJ774" i="4"/>
  <c r="AK774" i="4"/>
  <c r="T775" i="4"/>
  <c r="U775" i="4"/>
  <c r="AB775" i="4"/>
  <c r="AC775" i="4"/>
  <c r="AJ775" i="4"/>
  <c r="AK775" i="4"/>
  <c r="T776" i="4"/>
  <c r="U776" i="4"/>
  <c r="AB776" i="4"/>
  <c r="AC776" i="4"/>
  <c r="AJ776" i="4"/>
  <c r="AK776" i="4"/>
  <c r="T777" i="4"/>
  <c r="U777" i="4"/>
  <c r="AB777" i="4"/>
  <c r="AC777" i="4"/>
  <c r="AJ777" i="4"/>
  <c r="AK777" i="4"/>
  <c r="T778" i="4"/>
  <c r="U778" i="4"/>
  <c r="AB778" i="4"/>
  <c r="AC778" i="4"/>
  <c r="AJ778" i="4"/>
  <c r="AK778" i="4"/>
  <c r="T779" i="4"/>
  <c r="U779" i="4"/>
  <c r="AB779" i="4"/>
  <c r="AC779" i="4"/>
  <c r="AJ779" i="4"/>
  <c r="AK779" i="4"/>
  <c r="T780" i="4"/>
  <c r="U780" i="4"/>
  <c r="AB780" i="4"/>
  <c r="AC780" i="4"/>
  <c r="AJ780" i="4"/>
  <c r="AK780" i="4"/>
  <c r="T781" i="4"/>
  <c r="U781" i="4"/>
  <c r="AB781" i="4"/>
  <c r="AC781" i="4"/>
  <c r="AJ781" i="4"/>
  <c r="AK781" i="4"/>
  <c r="T782" i="4"/>
  <c r="U782" i="4"/>
  <c r="AB782" i="4"/>
  <c r="AC782" i="4"/>
  <c r="AJ782" i="4"/>
  <c r="AK782" i="4"/>
  <c r="T783" i="4"/>
  <c r="U783" i="4"/>
  <c r="AB783" i="4"/>
  <c r="AC783" i="4"/>
  <c r="AJ783" i="4"/>
  <c r="AK783" i="4"/>
  <c r="T784" i="4"/>
  <c r="U784" i="4"/>
  <c r="AB784" i="4"/>
  <c r="AC784" i="4"/>
  <c r="AJ784" i="4"/>
  <c r="AK784" i="4"/>
  <c r="T785" i="4"/>
  <c r="U785" i="4"/>
  <c r="AB785" i="4"/>
  <c r="AC785" i="4"/>
  <c r="AJ785" i="4"/>
  <c r="AK785" i="4"/>
  <c r="T786" i="4"/>
  <c r="U786" i="4"/>
  <c r="AB786" i="4"/>
  <c r="AC786" i="4"/>
  <c r="AJ786" i="4"/>
  <c r="AK786" i="4"/>
  <c r="T787" i="4"/>
  <c r="U787" i="4"/>
  <c r="AB787" i="4"/>
  <c r="AC787" i="4"/>
  <c r="AJ787" i="4"/>
  <c r="AK787" i="4"/>
  <c r="T788" i="4"/>
  <c r="U788" i="4"/>
  <c r="AB788" i="4"/>
  <c r="AC788" i="4"/>
  <c r="AJ788" i="4"/>
  <c r="AK788" i="4"/>
  <c r="T789" i="4"/>
  <c r="U789" i="4"/>
  <c r="AB789" i="4"/>
  <c r="AC789" i="4"/>
  <c r="AJ789" i="4"/>
  <c r="AK789" i="4"/>
  <c r="T790" i="4"/>
  <c r="U790" i="4"/>
  <c r="AB790" i="4"/>
  <c r="AC790" i="4"/>
  <c r="AJ790" i="4"/>
  <c r="AK790" i="4"/>
  <c r="AB791" i="4"/>
  <c r="AC791" i="4"/>
  <c r="AJ791" i="4"/>
  <c r="AK791" i="4"/>
  <c r="AB792" i="4"/>
  <c r="AC792" i="4"/>
  <c r="AJ792" i="4"/>
  <c r="AK792" i="4"/>
  <c r="AB793" i="4"/>
  <c r="AC793" i="4"/>
  <c r="AJ793" i="4"/>
  <c r="AK793" i="4"/>
  <c r="AB794" i="4"/>
  <c r="AC794" i="4"/>
  <c r="AJ794" i="4"/>
  <c r="AK794" i="4"/>
  <c r="AB795" i="4"/>
  <c r="AC795" i="4"/>
  <c r="AJ795" i="4"/>
  <c r="AK795" i="4"/>
  <c r="AJ796" i="4"/>
  <c r="AK796" i="4"/>
  <c r="AJ797" i="4"/>
  <c r="AK797" i="4"/>
  <c r="E16" i="11"/>
  <c r="D16" i="11"/>
  <c r="E15" i="11"/>
  <c r="D15" i="11"/>
  <c r="E59" i="11"/>
  <c r="D59" i="11"/>
  <c r="E22" i="11"/>
  <c r="D22" i="11"/>
  <c r="E62" i="11"/>
  <c r="D62" i="11"/>
  <c r="E4" i="11"/>
  <c r="D4" i="11"/>
  <c r="E30" i="11"/>
  <c r="D30" i="11"/>
  <c r="E14" i="11"/>
  <c r="D14" i="11"/>
  <c r="E48" i="11"/>
  <c r="D48" i="11"/>
  <c r="E50" i="11"/>
  <c r="D50" i="11"/>
  <c r="E63" i="11"/>
  <c r="D63" i="11"/>
  <c r="E20" i="11"/>
  <c r="D20" i="11"/>
  <c r="E55" i="11"/>
  <c r="D55" i="11"/>
  <c r="E41" i="11"/>
  <c r="D41" i="11"/>
  <c r="E36" i="11"/>
  <c r="D36" i="11"/>
  <c r="E35" i="11"/>
  <c r="D35" i="11"/>
  <c r="E54" i="11"/>
  <c r="D54" i="11"/>
  <c r="E37" i="11"/>
  <c r="D37" i="11"/>
  <c r="E26" i="11"/>
  <c r="D26" i="11"/>
  <c r="E18" i="11"/>
  <c r="D18" i="11"/>
  <c r="E7" i="11"/>
  <c r="D7" i="11"/>
  <c r="E8" i="11"/>
  <c r="D8" i="11"/>
  <c r="E53" i="11"/>
  <c r="D53" i="11"/>
  <c r="E17" i="11"/>
  <c r="D17" i="11"/>
  <c r="E13" i="11"/>
  <c r="D13" i="11"/>
  <c r="E33" i="11"/>
  <c r="D33" i="11"/>
  <c r="E27" i="11"/>
  <c r="D27" i="11"/>
  <c r="E39" i="11"/>
  <c r="D39" i="11"/>
  <c r="E3" i="11"/>
  <c r="D3" i="11"/>
  <c r="E56" i="11"/>
  <c r="D56" i="11"/>
  <c r="E64" i="11"/>
  <c r="D64" i="11"/>
  <c r="E34" i="11"/>
  <c r="D34" i="11"/>
  <c r="E19" i="11"/>
  <c r="D19" i="11"/>
  <c r="E49" i="11"/>
  <c r="D49" i="11"/>
  <c r="E28" i="11"/>
  <c r="D28" i="11"/>
  <c r="E10" i="11"/>
  <c r="D10" i="11"/>
  <c r="E11" i="11"/>
  <c r="D11" i="11"/>
  <c r="E44" i="11"/>
  <c r="D44" i="11"/>
  <c r="E23" i="11"/>
  <c r="D23" i="11"/>
  <c r="E9" i="11"/>
  <c r="D9" i="11"/>
  <c r="E40" i="11"/>
  <c r="D40" i="11"/>
  <c r="E32" i="11"/>
  <c r="D32" i="11"/>
  <c r="E65" i="11"/>
  <c r="D65" i="11"/>
  <c r="E29" i="11"/>
  <c r="D29" i="11"/>
  <c r="E21" i="11"/>
  <c r="D21" i="11"/>
  <c r="E45" i="11"/>
  <c r="D45" i="11"/>
  <c r="E25" i="11"/>
  <c r="D25" i="11"/>
  <c r="E42" i="11"/>
  <c r="D42" i="11"/>
  <c r="E5" i="11"/>
  <c r="D5" i="11"/>
  <c r="E46" i="11"/>
  <c r="D46" i="11"/>
  <c r="E51" i="11"/>
  <c r="D51" i="11"/>
  <c r="E6" i="11"/>
  <c r="D6" i="11"/>
  <c r="E57" i="11"/>
  <c r="D57" i="11"/>
  <c r="E60" i="11"/>
  <c r="D60" i="11"/>
  <c r="E58" i="11"/>
  <c r="D58" i="11"/>
  <c r="E61" i="11"/>
  <c r="D61" i="11"/>
  <c r="E38" i="11"/>
  <c r="D38" i="11"/>
  <c r="E43" i="11"/>
  <c r="D43" i="11"/>
  <c r="E31" i="11"/>
  <c r="D31" i="11"/>
  <c r="E2" i="11"/>
  <c r="D2" i="11"/>
  <c r="E47" i="11"/>
  <c r="D47" i="11"/>
  <c r="E52" i="11"/>
  <c r="D52" i="11"/>
  <c r="E24" i="11"/>
  <c r="D24" i="11"/>
  <c r="E12" i="11"/>
  <c r="D12" i="11"/>
  <c r="N69" i="10"/>
  <c r="L69" i="10"/>
  <c r="N62" i="10"/>
  <c r="L62" i="10"/>
  <c r="N65" i="10"/>
  <c r="L65" i="10"/>
  <c r="N73" i="10"/>
  <c r="L73" i="10"/>
  <c r="N40" i="10"/>
  <c r="L40" i="10"/>
  <c r="N75" i="10"/>
  <c r="L75" i="10"/>
  <c r="N68" i="10"/>
  <c r="L68" i="10"/>
  <c r="N42" i="10"/>
  <c r="L42" i="10"/>
  <c r="N25" i="10"/>
  <c r="L25" i="10"/>
  <c r="N50" i="10"/>
  <c r="L50" i="10"/>
  <c r="N34" i="10"/>
  <c r="L34" i="10"/>
  <c r="N74" i="10"/>
  <c r="L74" i="10"/>
  <c r="N35" i="10"/>
  <c r="L35" i="10"/>
  <c r="N41" i="10"/>
  <c r="L41" i="10"/>
  <c r="N71" i="10"/>
  <c r="L71" i="10"/>
  <c r="D743" i="4"/>
  <c r="E743" i="4"/>
  <c r="L743" i="4"/>
  <c r="M743" i="4"/>
  <c r="D744" i="4"/>
  <c r="E744" i="4"/>
  <c r="L744" i="4"/>
  <c r="M744" i="4"/>
  <c r="D745" i="4"/>
  <c r="E745" i="4"/>
  <c r="L745" i="4"/>
  <c r="M745" i="4"/>
  <c r="D746" i="4"/>
  <c r="E746" i="4"/>
  <c r="L746" i="4"/>
  <c r="M746" i="4"/>
  <c r="D747" i="4"/>
  <c r="E747" i="4"/>
  <c r="L747" i="4"/>
  <c r="M747" i="4"/>
  <c r="D748" i="4"/>
  <c r="E748" i="4"/>
  <c r="L748" i="4"/>
  <c r="M748" i="4"/>
  <c r="D749" i="4"/>
  <c r="E749" i="4"/>
  <c r="L749" i="4"/>
  <c r="M749" i="4"/>
  <c r="D750" i="4"/>
  <c r="E750" i="4"/>
  <c r="L750" i="4"/>
  <c r="M750" i="4"/>
  <c r="D751" i="4"/>
  <c r="E751" i="4"/>
  <c r="L751" i="4"/>
  <c r="M751" i="4"/>
  <c r="D752" i="4"/>
  <c r="E752" i="4"/>
  <c r="L752" i="4"/>
  <c r="M752" i="4"/>
  <c r="D753" i="4"/>
  <c r="E753" i="4"/>
  <c r="L753" i="4"/>
  <c r="M753" i="4"/>
  <c r="D754" i="4"/>
  <c r="E754" i="4"/>
  <c r="L754" i="4"/>
  <c r="M754" i="4"/>
  <c r="D755" i="4"/>
  <c r="E755" i="4"/>
  <c r="L755" i="4"/>
  <c r="M755" i="4"/>
  <c r="D756" i="4"/>
  <c r="E756" i="4"/>
  <c r="L756" i="4"/>
  <c r="M756" i="4"/>
  <c r="D757" i="4"/>
  <c r="E757" i="4"/>
  <c r="L757" i="4"/>
  <c r="M757" i="4"/>
  <c r="D758" i="4"/>
  <c r="E758" i="4"/>
  <c r="L758" i="4"/>
  <c r="M758" i="4"/>
  <c r="D759" i="4"/>
  <c r="E759" i="4"/>
  <c r="L759" i="4"/>
  <c r="M759" i="4"/>
  <c r="D760" i="4"/>
  <c r="E760" i="4"/>
  <c r="L760" i="4"/>
  <c r="M760" i="4"/>
  <c r="D761" i="4"/>
  <c r="E761" i="4"/>
  <c r="L761" i="4"/>
  <c r="M761" i="4"/>
  <c r="D762" i="4"/>
  <c r="E762" i="4"/>
  <c r="L762" i="4"/>
  <c r="M762" i="4"/>
  <c r="D763" i="4"/>
  <c r="E763" i="4"/>
  <c r="L763" i="4"/>
  <c r="M763" i="4"/>
  <c r="D764" i="4"/>
  <c r="E764" i="4"/>
  <c r="L764" i="4"/>
  <c r="M764" i="4"/>
  <c r="D765" i="4"/>
  <c r="E765" i="4"/>
  <c r="L765" i="4"/>
  <c r="M765" i="4"/>
  <c r="D766" i="4"/>
  <c r="E766" i="4"/>
  <c r="L766" i="4"/>
  <c r="M766" i="4"/>
  <c r="D767" i="4"/>
  <c r="E767" i="4"/>
  <c r="L767" i="4"/>
  <c r="M767" i="4"/>
  <c r="D768" i="4"/>
  <c r="E768" i="4"/>
  <c r="L768" i="4"/>
  <c r="M768" i="4"/>
  <c r="D769" i="4"/>
  <c r="E769" i="4"/>
  <c r="L769" i="4"/>
  <c r="M769" i="4"/>
  <c r="D770" i="4"/>
  <c r="E770" i="4"/>
  <c r="L770" i="4"/>
  <c r="M770" i="4"/>
  <c r="D771" i="4"/>
  <c r="E771" i="4"/>
  <c r="L771" i="4"/>
  <c r="M771" i="4"/>
  <c r="D772" i="4"/>
  <c r="E772" i="4"/>
  <c r="L772" i="4"/>
  <c r="M772" i="4"/>
  <c r="D773" i="4"/>
  <c r="E773" i="4"/>
  <c r="L773" i="4"/>
  <c r="M773" i="4"/>
  <c r="D774" i="4"/>
  <c r="E774" i="4"/>
  <c r="L774" i="4"/>
  <c r="M774" i="4"/>
  <c r="D775" i="4"/>
  <c r="E775" i="4"/>
  <c r="L775" i="4"/>
  <c r="M775" i="4"/>
  <c r="D776" i="4"/>
  <c r="E776" i="4"/>
  <c r="L776" i="4"/>
  <c r="M776" i="4"/>
  <c r="D777" i="4"/>
  <c r="E777" i="4"/>
  <c r="L777" i="4"/>
  <c r="M777" i="4"/>
  <c r="D778" i="4"/>
  <c r="E778" i="4"/>
  <c r="L778" i="4"/>
  <c r="M778" i="4"/>
  <c r="D779" i="4"/>
  <c r="E779" i="4"/>
  <c r="L779" i="4"/>
  <c r="M779" i="4"/>
  <c r="D780" i="4"/>
  <c r="E780" i="4"/>
  <c r="L780" i="4"/>
  <c r="M780" i="4"/>
  <c r="D781" i="4"/>
  <c r="E781" i="4"/>
  <c r="L781" i="4"/>
  <c r="M781" i="4"/>
  <c r="D782" i="4"/>
  <c r="E782" i="4"/>
  <c r="L782" i="4"/>
  <c r="M782" i="4"/>
  <c r="D783" i="4"/>
  <c r="E783" i="4"/>
  <c r="L783" i="4"/>
  <c r="M783" i="4"/>
  <c r="D784" i="4"/>
  <c r="E784" i="4"/>
  <c r="L784" i="4"/>
  <c r="M784" i="4"/>
  <c r="L785" i="4"/>
  <c r="M785" i="4"/>
  <c r="L786" i="4"/>
  <c r="M786" i="4"/>
  <c r="L787" i="4"/>
  <c r="M787" i="4"/>
  <c r="L788" i="4"/>
  <c r="M788" i="4"/>
  <c r="N56" i="10"/>
  <c r="L56" i="10"/>
  <c r="N31" i="10"/>
  <c r="L31" i="10"/>
  <c r="N18" i="10"/>
  <c r="L18" i="10"/>
  <c r="N39" i="10"/>
  <c r="L39" i="10"/>
  <c r="AJ700" i="4"/>
  <c r="AK700" i="4"/>
  <c r="AR700" i="4"/>
  <c r="AS700" i="4"/>
  <c r="AJ701" i="4"/>
  <c r="AK701" i="4"/>
  <c r="AR701" i="4"/>
  <c r="AS701" i="4"/>
  <c r="AJ702" i="4"/>
  <c r="AK702" i="4"/>
  <c r="AR702" i="4"/>
  <c r="AS702" i="4"/>
  <c r="AJ703" i="4"/>
  <c r="AK703" i="4"/>
  <c r="AR703" i="4"/>
  <c r="AS703" i="4"/>
  <c r="AJ704" i="4"/>
  <c r="AK704" i="4"/>
  <c r="AR704" i="4"/>
  <c r="AS704" i="4"/>
  <c r="AJ705" i="4"/>
  <c r="AK705" i="4"/>
  <c r="AR705" i="4"/>
  <c r="AS705" i="4"/>
  <c r="AJ706" i="4"/>
  <c r="AK706" i="4"/>
  <c r="AR706" i="4"/>
  <c r="AS706" i="4"/>
  <c r="AJ707" i="4"/>
  <c r="AK707" i="4"/>
  <c r="AR707" i="4"/>
  <c r="AS707" i="4"/>
  <c r="AJ708" i="4"/>
  <c r="AK708" i="4"/>
  <c r="AR708" i="4"/>
  <c r="AS708" i="4"/>
  <c r="AJ709" i="4"/>
  <c r="AK709" i="4"/>
  <c r="AR709" i="4"/>
  <c r="AS709" i="4"/>
  <c r="AJ710" i="4"/>
  <c r="AK710" i="4"/>
  <c r="AR710" i="4"/>
  <c r="AS710" i="4"/>
  <c r="AJ711" i="4"/>
  <c r="AK711" i="4"/>
  <c r="AR711" i="4"/>
  <c r="AS711" i="4"/>
  <c r="AJ712" i="4"/>
  <c r="AK712" i="4"/>
  <c r="AR712" i="4"/>
  <c r="AS712" i="4"/>
  <c r="AJ713" i="4"/>
  <c r="AK713" i="4"/>
  <c r="AR713" i="4"/>
  <c r="AS713" i="4"/>
  <c r="AJ714" i="4"/>
  <c r="AK714" i="4"/>
  <c r="AR714" i="4"/>
  <c r="AS714" i="4"/>
  <c r="AJ715" i="4"/>
  <c r="AK715" i="4"/>
  <c r="AR715" i="4"/>
  <c r="AS715" i="4"/>
  <c r="AJ716" i="4"/>
  <c r="AK716" i="4"/>
  <c r="AR716" i="4"/>
  <c r="AS716" i="4"/>
  <c r="AJ717" i="4"/>
  <c r="AK717" i="4"/>
  <c r="AR717" i="4"/>
  <c r="AS717" i="4"/>
  <c r="AJ718" i="4"/>
  <c r="AK718" i="4"/>
  <c r="AR718" i="4"/>
  <c r="AS718" i="4"/>
  <c r="AJ719" i="4"/>
  <c r="AK719" i="4"/>
  <c r="AR719" i="4"/>
  <c r="AS719" i="4"/>
  <c r="AJ720" i="4"/>
  <c r="AK720" i="4"/>
  <c r="AR720" i="4"/>
  <c r="AS720" i="4"/>
  <c r="AJ721" i="4"/>
  <c r="AK721" i="4"/>
  <c r="AR721" i="4"/>
  <c r="AS721" i="4"/>
  <c r="AJ722" i="4"/>
  <c r="AK722" i="4"/>
  <c r="AR722" i="4"/>
  <c r="AS722" i="4"/>
  <c r="AJ723" i="4"/>
  <c r="AK723" i="4"/>
  <c r="AR723" i="4"/>
  <c r="AS723" i="4"/>
  <c r="AJ724" i="4"/>
  <c r="AK724" i="4"/>
  <c r="AR724" i="4"/>
  <c r="AS724" i="4"/>
  <c r="AJ725" i="4"/>
  <c r="AK725" i="4"/>
  <c r="AR725" i="4"/>
  <c r="AS725" i="4"/>
  <c r="AJ726" i="4"/>
  <c r="AK726" i="4"/>
  <c r="AR726" i="4"/>
  <c r="AS726" i="4"/>
  <c r="AJ727" i="4"/>
  <c r="AK727" i="4"/>
  <c r="AR727" i="4"/>
  <c r="AS727" i="4"/>
  <c r="AJ728" i="4"/>
  <c r="AK728" i="4"/>
  <c r="AR728" i="4"/>
  <c r="AS728" i="4"/>
  <c r="AJ729" i="4"/>
  <c r="AK729" i="4"/>
  <c r="AR729" i="4"/>
  <c r="AS729" i="4"/>
  <c r="AJ730" i="4"/>
  <c r="AK730" i="4"/>
  <c r="AR730" i="4"/>
  <c r="AS730" i="4"/>
  <c r="AJ731" i="4"/>
  <c r="AK731" i="4"/>
  <c r="AR731" i="4"/>
  <c r="AS731" i="4"/>
  <c r="AJ732" i="4"/>
  <c r="AK732" i="4"/>
  <c r="AR732" i="4"/>
  <c r="AS732" i="4"/>
  <c r="AJ733" i="4"/>
  <c r="AK733" i="4"/>
  <c r="AR733" i="4"/>
  <c r="AS733" i="4"/>
  <c r="AJ734" i="4"/>
  <c r="AK734" i="4"/>
  <c r="AR734" i="4"/>
  <c r="AS734" i="4"/>
  <c r="AJ735" i="4"/>
  <c r="AK735" i="4"/>
  <c r="AR735" i="4"/>
  <c r="AS735" i="4"/>
  <c r="AJ736" i="4"/>
  <c r="AK736" i="4"/>
  <c r="AR736" i="4"/>
  <c r="AS736" i="4"/>
  <c r="AJ737" i="4"/>
  <c r="AK737" i="4"/>
  <c r="AR737" i="4"/>
  <c r="AS737" i="4"/>
  <c r="AJ738" i="4"/>
  <c r="AK738" i="4"/>
  <c r="AR738" i="4"/>
  <c r="AS738" i="4"/>
  <c r="AR739" i="4"/>
  <c r="AS739" i="4"/>
  <c r="AR740" i="4"/>
  <c r="AS740" i="4"/>
  <c r="N22" i="10"/>
  <c r="L22" i="10"/>
  <c r="N19" i="10"/>
  <c r="L19" i="10"/>
  <c r="N21" i="10"/>
  <c r="L21" i="10"/>
  <c r="N20" i="10"/>
  <c r="L20" i="10"/>
  <c r="N64" i="10"/>
  <c r="L64" i="10"/>
  <c r="N76" i="10"/>
  <c r="L76" i="10"/>
  <c r="N84" i="10"/>
  <c r="L84" i="10"/>
  <c r="T700" i="4"/>
  <c r="U700" i="4"/>
  <c r="AB700" i="4"/>
  <c r="AC700" i="4"/>
  <c r="T701" i="4"/>
  <c r="U701" i="4"/>
  <c r="AB701" i="4"/>
  <c r="AC701" i="4"/>
  <c r="T702" i="4"/>
  <c r="U702" i="4"/>
  <c r="AB702" i="4"/>
  <c r="AC702" i="4"/>
  <c r="T703" i="4"/>
  <c r="U703" i="4"/>
  <c r="AB703" i="4"/>
  <c r="AC703" i="4"/>
  <c r="T704" i="4"/>
  <c r="U704" i="4"/>
  <c r="AB704" i="4"/>
  <c r="AC704" i="4"/>
  <c r="T705" i="4"/>
  <c r="U705" i="4"/>
  <c r="AB705" i="4"/>
  <c r="AC705" i="4"/>
  <c r="T706" i="4"/>
  <c r="U706" i="4"/>
  <c r="AB706" i="4"/>
  <c r="AC706" i="4"/>
  <c r="T707" i="4"/>
  <c r="U707" i="4"/>
  <c r="AB707" i="4"/>
  <c r="AC707" i="4"/>
  <c r="T708" i="4"/>
  <c r="U708" i="4"/>
  <c r="AB708" i="4"/>
  <c r="AC708" i="4"/>
  <c r="T709" i="4"/>
  <c r="U709" i="4"/>
  <c r="AB709" i="4"/>
  <c r="AC709" i="4"/>
  <c r="T710" i="4"/>
  <c r="U710" i="4"/>
  <c r="AB710" i="4"/>
  <c r="AC710" i="4"/>
  <c r="T711" i="4"/>
  <c r="U711" i="4"/>
  <c r="AB711" i="4"/>
  <c r="AC711" i="4"/>
  <c r="T712" i="4"/>
  <c r="U712" i="4"/>
  <c r="AB712" i="4"/>
  <c r="AC712" i="4"/>
  <c r="T713" i="4"/>
  <c r="U713" i="4"/>
  <c r="AB713" i="4"/>
  <c r="AC713" i="4"/>
  <c r="T714" i="4"/>
  <c r="U714" i="4"/>
  <c r="AB714" i="4"/>
  <c r="AC714" i="4"/>
  <c r="T715" i="4"/>
  <c r="U715" i="4"/>
  <c r="AB715" i="4"/>
  <c r="AC715" i="4"/>
  <c r="T716" i="4"/>
  <c r="U716" i="4"/>
  <c r="AB716" i="4"/>
  <c r="AC716" i="4"/>
  <c r="T717" i="4"/>
  <c r="U717" i="4"/>
  <c r="AB717" i="4"/>
  <c r="AC717" i="4"/>
  <c r="T718" i="4"/>
  <c r="U718" i="4"/>
  <c r="AB718" i="4"/>
  <c r="AC718" i="4"/>
  <c r="T719" i="4"/>
  <c r="U719" i="4"/>
  <c r="AB719" i="4"/>
  <c r="AC719" i="4"/>
  <c r="T720" i="4"/>
  <c r="U720" i="4"/>
  <c r="AB720" i="4"/>
  <c r="AC720" i="4"/>
  <c r="T721" i="4"/>
  <c r="U721" i="4"/>
  <c r="AB721" i="4"/>
  <c r="AC721" i="4"/>
  <c r="T722" i="4"/>
  <c r="U722" i="4"/>
  <c r="AB722" i="4"/>
  <c r="AC722" i="4"/>
  <c r="T723" i="4"/>
  <c r="U723" i="4"/>
  <c r="AB723" i="4"/>
  <c r="AC723" i="4"/>
  <c r="T724" i="4"/>
  <c r="U724" i="4"/>
  <c r="AB724" i="4"/>
  <c r="AC724" i="4"/>
  <c r="T725" i="4"/>
  <c r="U725" i="4"/>
  <c r="AB725" i="4"/>
  <c r="AC725" i="4"/>
  <c r="T726" i="4"/>
  <c r="U726" i="4"/>
  <c r="AB726" i="4"/>
  <c r="AC726" i="4"/>
  <c r="T727" i="4"/>
  <c r="U727" i="4"/>
  <c r="AB727" i="4"/>
  <c r="AC727" i="4"/>
  <c r="T728" i="4"/>
  <c r="U728" i="4"/>
  <c r="AB728" i="4"/>
  <c r="AC728" i="4"/>
  <c r="T729" i="4"/>
  <c r="U729" i="4"/>
  <c r="AB729" i="4"/>
  <c r="AC729" i="4"/>
  <c r="T730" i="4"/>
  <c r="U730" i="4"/>
  <c r="AB730" i="4"/>
  <c r="AC730" i="4"/>
  <c r="T731" i="4"/>
  <c r="U731" i="4"/>
  <c r="AB731" i="4"/>
  <c r="AC731" i="4"/>
  <c r="T732" i="4"/>
  <c r="U732" i="4"/>
  <c r="AB732" i="4"/>
  <c r="AC732" i="4"/>
  <c r="T733" i="4"/>
  <c r="U733" i="4"/>
  <c r="AB733" i="4"/>
  <c r="AC733" i="4"/>
  <c r="T734" i="4"/>
  <c r="U734" i="4"/>
  <c r="AB734" i="4"/>
  <c r="AC734" i="4"/>
  <c r="T735" i="4"/>
  <c r="U735" i="4"/>
  <c r="AB735" i="4"/>
  <c r="AC735" i="4"/>
  <c r="T736" i="4"/>
  <c r="U736" i="4"/>
  <c r="AB736" i="4"/>
  <c r="AC736" i="4"/>
  <c r="T737" i="4"/>
  <c r="U737" i="4"/>
  <c r="AB737" i="4"/>
  <c r="AC737" i="4"/>
  <c r="D700" i="4"/>
  <c r="E700" i="4"/>
  <c r="L700" i="4"/>
  <c r="M700" i="4"/>
  <c r="D701" i="4"/>
  <c r="E701" i="4"/>
  <c r="L701" i="4"/>
  <c r="M701" i="4"/>
  <c r="D702" i="4"/>
  <c r="E702" i="4"/>
  <c r="L702" i="4"/>
  <c r="M702" i="4"/>
  <c r="D703" i="4"/>
  <c r="E703" i="4"/>
  <c r="L703" i="4"/>
  <c r="M703" i="4"/>
  <c r="D704" i="4"/>
  <c r="E704" i="4"/>
  <c r="L704" i="4"/>
  <c r="M704" i="4"/>
  <c r="D705" i="4"/>
  <c r="E705" i="4"/>
  <c r="L705" i="4"/>
  <c r="M705" i="4"/>
  <c r="D706" i="4"/>
  <c r="E706" i="4"/>
  <c r="L706" i="4"/>
  <c r="M706" i="4"/>
  <c r="D707" i="4"/>
  <c r="E707" i="4"/>
  <c r="L707" i="4"/>
  <c r="M707" i="4"/>
  <c r="D708" i="4"/>
  <c r="E708" i="4"/>
  <c r="L708" i="4"/>
  <c r="M708" i="4"/>
  <c r="D709" i="4"/>
  <c r="E709" i="4"/>
  <c r="L709" i="4"/>
  <c r="M709" i="4"/>
  <c r="D710" i="4"/>
  <c r="E710" i="4"/>
  <c r="L710" i="4"/>
  <c r="M710" i="4"/>
  <c r="D711" i="4"/>
  <c r="E711" i="4"/>
  <c r="L711" i="4"/>
  <c r="M711" i="4"/>
  <c r="D712" i="4"/>
  <c r="E712" i="4"/>
  <c r="L712" i="4"/>
  <c r="M712" i="4"/>
  <c r="D713" i="4"/>
  <c r="E713" i="4"/>
  <c r="L713" i="4"/>
  <c r="M713" i="4"/>
  <c r="D714" i="4"/>
  <c r="E714" i="4"/>
  <c r="L714" i="4"/>
  <c r="M714" i="4"/>
  <c r="D715" i="4"/>
  <c r="E715" i="4"/>
  <c r="L715" i="4"/>
  <c r="M715" i="4"/>
  <c r="D716" i="4"/>
  <c r="E716" i="4"/>
  <c r="L716" i="4"/>
  <c r="M716" i="4"/>
  <c r="D717" i="4"/>
  <c r="E717" i="4"/>
  <c r="L717" i="4"/>
  <c r="M717" i="4"/>
  <c r="D718" i="4"/>
  <c r="E718" i="4"/>
  <c r="L718" i="4"/>
  <c r="M718" i="4"/>
  <c r="D719" i="4"/>
  <c r="E719" i="4"/>
  <c r="L719" i="4"/>
  <c r="M719" i="4"/>
  <c r="D720" i="4"/>
  <c r="E720" i="4"/>
  <c r="L720" i="4"/>
  <c r="M720" i="4"/>
  <c r="D721" i="4"/>
  <c r="E721" i="4"/>
  <c r="L721" i="4"/>
  <c r="M721" i="4"/>
  <c r="D722" i="4"/>
  <c r="E722" i="4"/>
  <c r="L722" i="4"/>
  <c r="M722" i="4"/>
  <c r="D723" i="4"/>
  <c r="E723" i="4"/>
  <c r="L723" i="4"/>
  <c r="M723" i="4"/>
  <c r="D724" i="4"/>
  <c r="E724" i="4"/>
  <c r="L724" i="4"/>
  <c r="M724" i="4"/>
  <c r="D725" i="4"/>
  <c r="E725" i="4"/>
  <c r="L725" i="4"/>
  <c r="M725" i="4"/>
  <c r="D726" i="4"/>
  <c r="E726" i="4"/>
  <c r="L726" i="4"/>
  <c r="M726" i="4"/>
  <c r="D727" i="4"/>
  <c r="E727" i="4"/>
  <c r="L727" i="4"/>
  <c r="M727" i="4"/>
  <c r="D728" i="4"/>
  <c r="E728" i="4"/>
  <c r="L728" i="4"/>
  <c r="M728" i="4"/>
  <c r="D729" i="4"/>
  <c r="E729" i="4"/>
  <c r="L729" i="4"/>
  <c r="M729" i="4"/>
  <c r="D730" i="4"/>
  <c r="E730" i="4"/>
  <c r="L730" i="4"/>
  <c r="M730" i="4"/>
  <c r="D731" i="4"/>
  <c r="E731" i="4"/>
  <c r="L731" i="4"/>
  <c r="M731" i="4"/>
  <c r="D732" i="4"/>
  <c r="E732" i="4"/>
  <c r="L732" i="4"/>
  <c r="M732" i="4"/>
  <c r="D733" i="4"/>
  <c r="E733" i="4"/>
  <c r="L733" i="4"/>
  <c r="M733" i="4"/>
  <c r="D734" i="4"/>
  <c r="E734" i="4"/>
  <c r="L734" i="4"/>
  <c r="M734" i="4"/>
  <c r="D735" i="4"/>
  <c r="E735" i="4"/>
  <c r="L735" i="4"/>
  <c r="M735" i="4"/>
  <c r="L736" i="4"/>
  <c r="M736" i="4"/>
  <c r="V627" i="4"/>
  <c r="W627" i="4"/>
  <c r="AE627" i="4"/>
  <c r="AF627" i="4"/>
  <c r="V628" i="4"/>
  <c r="W628" i="4"/>
  <c r="AE628" i="4"/>
  <c r="AF628" i="4"/>
  <c r="V629" i="4"/>
  <c r="W629" i="4"/>
  <c r="AE629" i="4"/>
  <c r="AF629" i="4"/>
  <c r="V630" i="4"/>
  <c r="W630" i="4"/>
  <c r="AE630" i="4"/>
  <c r="AF630" i="4"/>
  <c r="V631" i="4"/>
  <c r="W631" i="4"/>
  <c r="AE631" i="4"/>
  <c r="AF631" i="4"/>
  <c r="V632" i="4"/>
  <c r="W632" i="4"/>
  <c r="AE632" i="4"/>
  <c r="AF632" i="4"/>
  <c r="V633" i="4"/>
  <c r="W633" i="4"/>
  <c r="AE633" i="4"/>
  <c r="AF633" i="4"/>
  <c r="V634" i="4"/>
  <c r="W634" i="4"/>
  <c r="AE634" i="4"/>
  <c r="AF634" i="4"/>
  <c r="V635" i="4"/>
  <c r="W635" i="4"/>
  <c r="AE635" i="4"/>
  <c r="AF635" i="4"/>
  <c r="V636" i="4"/>
  <c r="W636" i="4"/>
  <c r="AE636" i="4"/>
  <c r="AF636" i="4"/>
  <c r="V637" i="4"/>
  <c r="W637" i="4"/>
  <c r="AE637" i="4"/>
  <c r="AF637" i="4"/>
  <c r="V638" i="4"/>
  <c r="W638" i="4"/>
  <c r="AE638" i="4"/>
  <c r="AF638" i="4"/>
  <c r="V639" i="4"/>
  <c r="W639" i="4"/>
  <c r="AE639" i="4"/>
  <c r="AF639" i="4"/>
  <c r="V640" i="4"/>
  <c r="W640" i="4"/>
  <c r="AE640" i="4"/>
  <c r="AF640" i="4"/>
  <c r="V641" i="4"/>
  <c r="W641" i="4"/>
  <c r="AE641" i="4"/>
  <c r="AF641" i="4"/>
  <c r="V642" i="4"/>
  <c r="W642" i="4"/>
  <c r="AE642" i="4"/>
  <c r="AF642" i="4"/>
  <c r="V643" i="4"/>
  <c r="W643" i="4"/>
  <c r="AE643" i="4"/>
  <c r="AF643" i="4"/>
  <c r="V644" i="4"/>
  <c r="W644" i="4"/>
  <c r="AE644" i="4"/>
  <c r="AF644" i="4"/>
  <c r="V645" i="4"/>
  <c r="W645" i="4"/>
  <c r="AE645" i="4"/>
  <c r="AF645" i="4"/>
  <c r="V646" i="4"/>
  <c r="W646" i="4"/>
  <c r="AE646" i="4"/>
  <c r="AF646" i="4"/>
  <c r="V647" i="4"/>
  <c r="W647" i="4"/>
  <c r="AE647" i="4"/>
  <c r="AF647" i="4"/>
  <c r="V648" i="4"/>
  <c r="W648" i="4"/>
  <c r="AE648" i="4"/>
  <c r="AF648" i="4"/>
  <c r="V649" i="4"/>
  <c r="W649" i="4"/>
  <c r="AE649" i="4"/>
  <c r="AF649" i="4"/>
  <c r="V650" i="4"/>
  <c r="W650" i="4"/>
  <c r="AE650" i="4"/>
  <c r="AF650" i="4"/>
  <c r="V651" i="4"/>
  <c r="W651" i="4"/>
  <c r="AE651" i="4"/>
  <c r="AF651" i="4"/>
  <c r="V652" i="4"/>
  <c r="W652" i="4"/>
  <c r="AE652" i="4"/>
  <c r="AF652" i="4"/>
  <c r="V653" i="4"/>
  <c r="W653" i="4"/>
  <c r="AE653" i="4"/>
  <c r="AF653" i="4"/>
  <c r="V654" i="4"/>
  <c r="W654" i="4"/>
  <c r="AE654" i="4"/>
  <c r="AF654" i="4"/>
  <c r="V655" i="4"/>
  <c r="W655" i="4"/>
  <c r="AE655" i="4"/>
  <c r="AF655" i="4"/>
  <c r="V656" i="4"/>
  <c r="W656" i="4"/>
  <c r="AE656" i="4"/>
  <c r="AF656" i="4"/>
  <c r="V657" i="4"/>
  <c r="W657" i="4"/>
  <c r="AE657" i="4"/>
  <c r="AF657" i="4"/>
  <c r="V658" i="4"/>
  <c r="W658" i="4"/>
  <c r="AE658" i="4"/>
  <c r="AF658" i="4"/>
  <c r="V659" i="4"/>
  <c r="W659" i="4"/>
  <c r="AE659" i="4"/>
  <c r="AF659" i="4"/>
  <c r="AE660" i="4"/>
  <c r="AF660" i="4"/>
  <c r="AE661" i="4"/>
  <c r="AF661" i="4"/>
  <c r="AD16" i="8"/>
  <c r="AD53" i="8"/>
  <c r="AD62" i="8"/>
  <c r="AD2" i="8"/>
  <c r="AD31" i="8"/>
  <c r="AD44" i="8"/>
  <c r="AD41" i="8"/>
  <c r="AD63" i="8"/>
  <c r="AD59" i="8"/>
  <c r="AD56" i="8"/>
  <c r="AD51" i="8"/>
  <c r="AD6" i="8"/>
  <c r="AD71" i="8"/>
  <c r="AD54" i="8"/>
  <c r="AD61" i="8"/>
  <c r="AD11" i="8"/>
  <c r="AD38" i="8"/>
  <c r="AD37" i="8"/>
  <c r="AD45" i="8"/>
  <c r="AD29" i="8"/>
  <c r="AD9" i="8"/>
  <c r="AD33" i="8"/>
  <c r="AD55" i="8"/>
  <c r="AD73" i="8"/>
  <c r="AD30" i="8"/>
  <c r="AD34" i="8"/>
  <c r="AD14" i="8"/>
  <c r="AD22" i="8"/>
  <c r="AD72" i="8"/>
  <c r="AD8" i="8"/>
  <c r="AD7" i="8"/>
  <c r="AD23" i="8"/>
  <c r="AD52" i="8"/>
  <c r="AD48" i="8"/>
  <c r="AD10" i="8"/>
  <c r="AD36" i="8"/>
  <c r="AD67" i="8"/>
  <c r="AD57" i="8"/>
  <c r="AD28" i="8"/>
  <c r="AD32" i="8"/>
  <c r="AD18" i="8"/>
  <c r="AD39" i="8"/>
  <c r="AD12" i="8"/>
  <c r="AD47" i="8"/>
  <c r="AD24" i="8"/>
  <c r="AD4" i="8"/>
  <c r="AD15" i="8"/>
  <c r="AD21" i="8"/>
  <c r="AD35" i="8"/>
  <c r="AD49" i="8"/>
  <c r="AD58" i="8"/>
  <c r="AD68" i="8"/>
  <c r="AD17" i="8"/>
  <c r="AD50" i="8"/>
  <c r="AD46" i="8"/>
  <c r="AD13" i="8"/>
  <c r="AD69" i="8"/>
  <c r="AD64" i="8"/>
  <c r="AD66" i="8"/>
  <c r="AD60" i="8"/>
  <c r="AD25" i="8"/>
  <c r="AD27" i="8"/>
  <c r="AD26" i="8"/>
  <c r="AD3" i="8"/>
  <c r="AD43" i="8"/>
  <c r="AD5" i="8"/>
  <c r="AD65" i="8"/>
  <c r="AD42" i="8"/>
  <c r="AD40" i="8"/>
  <c r="AD19" i="8"/>
  <c r="AD70" i="8"/>
  <c r="AD20" i="8"/>
  <c r="AB16" i="8"/>
  <c r="AB53" i="8"/>
  <c r="AB62" i="8"/>
  <c r="AB2" i="8"/>
  <c r="AB31" i="8"/>
  <c r="AB44" i="8"/>
  <c r="AB41" i="8"/>
  <c r="AB63" i="8"/>
  <c r="AB59" i="8"/>
  <c r="AB56" i="8"/>
  <c r="AB51" i="8"/>
  <c r="AB6" i="8"/>
  <c r="AB71" i="8"/>
  <c r="AB54" i="8"/>
  <c r="AB61" i="8"/>
  <c r="AB11" i="8"/>
  <c r="AB38" i="8"/>
  <c r="AB37" i="8"/>
  <c r="AB45" i="8"/>
  <c r="AB29" i="8"/>
  <c r="AB9" i="8"/>
  <c r="AB33" i="8"/>
  <c r="AB55" i="8"/>
  <c r="AB73" i="8"/>
  <c r="AB30" i="8"/>
  <c r="AB34" i="8"/>
  <c r="AB14" i="8"/>
  <c r="AB22" i="8"/>
  <c r="AB72" i="8"/>
  <c r="AB8" i="8"/>
  <c r="AB7" i="8"/>
  <c r="AB23" i="8"/>
  <c r="AB52" i="8"/>
  <c r="AB48" i="8"/>
  <c r="AB10" i="8"/>
  <c r="AB36" i="8"/>
  <c r="AB67" i="8"/>
  <c r="AB57" i="8"/>
  <c r="AB28" i="8"/>
  <c r="AB32" i="8"/>
  <c r="AB18" i="8"/>
  <c r="AB39" i="8"/>
  <c r="AB12" i="8"/>
  <c r="AB47" i="8"/>
  <c r="AB24" i="8"/>
  <c r="AB4" i="8"/>
  <c r="AB15" i="8"/>
  <c r="AB21" i="8"/>
  <c r="AB35" i="8"/>
  <c r="AB49" i="8"/>
  <c r="AB58" i="8"/>
  <c r="AB68" i="8"/>
  <c r="AB17" i="8"/>
  <c r="AB50" i="8"/>
  <c r="AB46" i="8"/>
  <c r="AB13" i="8"/>
  <c r="AB69" i="8"/>
  <c r="AB64" i="8"/>
  <c r="AB66" i="8"/>
  <c r="AB60" i="8"/>
  <c r="AB25" i="8"/>
  <c r="AB27" i="8"/>
  <c r="AB26" i="8"/>
  <c r="AB3" i="8"/>
  <c r="AB43" i="8"/>
  <c r="AB5" i="8"/>
  <c r="AB65" i="8"/>
  <c r="AB42" i="8"/>
  <c r="AB40" i="8"/>
  <c r="AB19" i="8"/>
  <c r="AB70" i="8"/>
  <c r="AB20" i="8"/>
  <c r="AN63" i="8"/>
  <c r="AN66" i="8"/>
  <c r="AN72" i="8"/>
  <c r="AN64" i="8"/>
  <c r="AN73" i="8"/>
  <c r="AN71" i="8"/>
  <c r="AN51" i="8"/>
  <c r="AN50" i="8"/>
  <c r="AN62" i="8"/>
  <c r="AN70" i="8"/>
  <c r="AN56" i="8"/>
  <c r="AN59" i="8"/>
  <c r="AN58" i="8"/>
  <c r="AN53" i="8"/>
  <c r="AN36" i="8"/>
  <c r="AN38" i="8"/>
  <c r="AN69" i="8"/>
  <c r="AN68" i="8"/>
  <c r="AN65" i="8"/>
  <c r="AN52" i="8"/>
  <c r="AN46" i="8"/>
  <c r="AN17" i="8"/>
  <c r="AN49" i="8"/>
  <c r="AN61" i="8"/>
  <c r="AN54" i="8"/>
  <c r="AN20" i="8"/>
  <c r="AN34" i="8"/>
  <c r="AN47" i="8"/>
  <c r="AN40" i="8"/>
  <c r="AN44" i="8"/>
  <c r="AN39" i="8"/>
  <c r="AN18" i="8"/>
  <c r="AN48" i="8"/>
  <c r="AN60" i="8"/>
  <c r="AN42" i="8"/>
  <c r="AN45" i="8"/>
  <c r="AN23" i="8"/>
  <c r="AN37" i="8"/>
  <c r="AN28" i="8"/>
  <c r="AN35" i="8"/>
  <c r="AN41" i="8"/>
  <c r="AN25" i="8"/>
  <c r="AN32" i="8"/>
  <c r="AN24" i="8"/>
  <c r="AN29" i="8"/>
  <c r="AN11" i="8"/>
  <c r="AN16" i="8"/>
  <c r="AN5" i="8"/>
  <c r="AN12" i="8"/>
  <c r="AN7" i="8"/>
  <c r="AN9" i="8"/>
  <c r="AN14" i="8"/>
  <c r="AN27" i="8"/>
  <c r="AN13" i="8"/>
  <c r="AN4" i="8"/>
  <c r="AN31" i="8"/>
  <c r="AN26" i="8"/>
  <c r="AN67" i="8"/>
  <c r="AN55" i="8"/>
  <c r="AN22" i="8"/>
  <c r="AN30" i="8"/>
  <c r="AN43" i="8"/>
  <c r="AN57" i="8"/>
  <c r="AN33" i="8"/>
  <c r="AN6" i="8"/>
  <c r="AN15" i="8"/>
  <c r="AN21" i="8"/>
  <c r="AN19" i="8"/>
  <c r="AN3" i="8"/>
  <c r="AN10" i="8"/>
  <c r="AN8" i="8"/>
  <c r="AN2" i="8"/>
  <c r="AF73" i="8"/>
  <c r="AE73" i="8"/>
  <c r="AF72" i="8"/>
  <c r="AE72" i="8"/>
  <c r="AF71" i="8"/>
  <c r="AE71" i="8"/>
  <c r="AF70" i="8"/>
  <c r="AE70" i="8"/>
  <c r="AF69" i="8"/>
  <c r="AE69" i="8"/>
  <c r="AF68" i="8"/>
  <c r="AE68" i="8"/>
  <c r="AF67" i="8"/>
  <c r="AE67" i="8"/>
  <c r="AF66" i="8"/>
  <c r="AE66" i="8"/>
  <c r="AF65" i="8"/>
  <c r="AE65" i="8"/>
  <c r="AF64" i="8"/>
  <c r="AE64" i="8"/>
  <c r="AF63" i="8"/>
  <c r="AE63" i="8"/>
  <c r="AF62" i="8"/>
  <c r="AE62" i="8"/>
  <c r="AF61" i="8"/>
  <c r="AE61" i="8"/>
  <c r="AF60" i="8"/>
  <c r="AE60" i="8"/>
  <c r="AF59" i="8"/>
  <c r="AE59" i="8"/>
  <c r="AF58" i="8"/>
  <c r="AE58" i="8"/>
  <c r="AF57" i="8"/>
  <c r="AE57" i="8"/>
  <c r="AF56" i="8"/>
  <c r="AE56" i="8"/>
  <c r="AF55" i="8"/>
  <c r="AE55" i="8"/>
  <c r="AF54" i="8"/>
  <c r="AE54" i="8"/>
  <c r="AF53" i="8"/>
  <c r="AE53" i="8"/>
  <c r="AF52" i="8"/>
  <c r="AE52" i="8"/>
  <c r="AF51" i="8"/>
  <c r="AE51" i="8"/>
  <c r="AF50" i="8"/>
  <c r="AE50" i="8"/>
  <c r="AF49" i="8"/>
  <c r="AE49" i="8"/>
  <c r="AF48" i="8"/>
  <c r="AE48" i="8"/>
  <c r="AF47" i="8"/>
  <c r="AE47" i="8"/>
  <c r="AF46" i="8"/>
  <c r="AE46" i="8"/>
  <c r="AF45" i="8"/>
  <c r="AE45" i="8"/>
  <c r="AF44" i="8"/>
  <c r="AE44" i="8"/>
  <c r="AF43" i="8"/>
  <c r="AE43" i="8"/>
  <c r="AF42" i="8"/>
  <c r="AE42" i="8"/>
  <c r="AF41" i="8"/>
  <c r="AE41" i="8"/>
  <c r="AF40" i="8"/>
  <c r="AE40" i="8"/>
  <c r="AF39" i="8"/>
  <c r="AE39" i="8"/>
  <c r="AF38" i="8"/>
  <c r="AE38" i="8"/>
  <c r="AF37" i="8"/>
  <c r="AE37" i="8"/>
  <c r="AF36" i="8"/>
  <c r="AE36" i="8"/>
  <c r="AF35" i="8"/>
  <c r="AE35" i="8"/>
  <c r="AF34" i="8"/>
  <c r="AE34" i="8"/>
  <c r="AF33" i="8"/>
  <c r="AE33" i="8"/>
  <c r="AF32" i="8"/>
  <c r="AE32" i="8"/>
  <c r="AF31" i="8"/>
  <c r="AE31" i="8"/>
  <c r="AF30" i="8"/>
  <c r="AE30" i="8"/>
  <c r="AF29" i="8"/>
  <c r="AE29" i="8"/>
  <c r="AF28" i="8"/>
  <c r="AE28" i="8"/>
  <c r="AF27" i="8"/>
  <c r="AE27" i="8"/>
  <c r="AF26" i="8"/>
  <c r="AE26" i="8"/>
  <c r="AF25" i="8"/>
  <c r="AE25" i="8"/>
  <c r="AF24" i="8"/>
  <c r="AE24" i="8"/>
  <c r="AF23" i="8"/>
  <c r="AE23" i="8"/>
  <c r="AF22" i="8"/>
  <c r="AE22" i="8"/>
  <c r="AF21" i="8"/>
  <c r="AE21" i="8"/>
  <c r="AF20" i="8"/>
  <c r="AE20" i="8"/>
  <c r="AF19" i="8"/>
  <c r="AE19" i="8"/>
  <c r="AF18" i="8"/>
  <c r="AE18" i="8"/>
  <c r="AF17" i="8"/>
  <c r="AE17" i="8"/>
  <c r="AF16" i="8"/>
  <c r="AE16" i="8"/>
  <c r="AF15" i="8"/>
  <c r="AE15" i="8"/>
  <c r="AF14" i="8"/>
  <c r="AE14" i="8"/>
  <c r="AF13" i="8"/>
  <c r="AE13" i="8"/>
  <c r="AF12" i="8"/>
  <c r="AE12" i="8"/>
  <c r="AF11" i="8"/>
  <c r="AE11" i="8"/>
  <c r="AF10" i="8"/>
  <c r="AE10" i="8"/>
  <c r="AF9" i="8"/>
  <c r="AE9" i="8"/>
  <c r="AF8" i="8"/>
  <c r="AE8" i="8"/>
  <c r="AF7" i="8"/>
  <c r="AE7" i="8"/>
  <c r="AF6" i="8"/>
  <c r="AE6" i="8"/>
  <c r="AF5" i="8"/>
  <c r="AE5" i="8"/>
  <c r="AF4" i="8"/>
  <c r="AE4" i="8"/>
  <c r="AF3" i="8"/>
  <c r="AE3" i="8"/>
  <c r="AF2" i="8"/>
  <c r="AE2" i="8"/>
  <c r="X68" i="8"/>
  <c r="X7" i="8"/>
  <c r="X41" i="8"/>
  <c r="X47" i="8"/>
  <c r="X58" i="8"/>
  <c r="X28" i="8"/>
  <c r="X13" i="8"/>
  <c r="X6" i="8"/>
  <c r="X19" i="8"/>
  <c r="X23" i="8"/>
  <c r="X65" i="8"/>
  <c r="X34" i="8"/>
  <c r="X42" i="8"/>
  <c r="X77" i="8"/>
  <c r="X75" i="8"/>
  <c r="X60" i="8"/>
  <c r="X18" i="8"/>
  <c r="X22" i="8"/>
  <c r="X72" i="8"/>
  <c r="X56" i="8"/>
  <c r="X70" i="8"/>
  <c r="X55" i="8"/>
  <c r="X64" i="8"/>
  <c r="X59" i="8"/>
  <c r="X54" i="8"/>
  <c r="X36" i="8"/>
  <c r="X8" i="8"/>
  <c r="X9" i="8"/>
  <c r="X21" i="8"/>
  <c r="X32" i="8"/>
  <c r="X48" i="8"/>
  <c r="X27" i="8"/>
  <c r="X45" i="8"/>
  <c r="X44" i="8"/>
  <c r="X33" i="8"/>
  <c r="X37" i="8"/>
  <c r="X12" i="8"/>
  <c r="X53" i="8"/>
  <c r="X17" i="8"/>
  <c r="X62" i="8"/>
  <c r="X5" i="8"/>
  <c r="X43" i="8"/>
  <c r="X57" i="8"/>
  <c r="X39" i="8"/>
  <c r="X26" i="8"/>
  <c r="X4" i="8"/>
  <c r="X76" i="8"/>
  <c r="X15" i="8"/>
  <c r="X24" i="8"/>
  <c r="X49" i="8"/>
  <c r="X14" i="8"/>
  <c r="X74" i="8"/>
  <c r="X3" i="8"/>
  <c r="X16" i="8"/>
  <c r="X11" i="8"/>
  <c r="X25" i="8"/>
  <c r="X31" i="8"/>
  <c r="X40" i="8"/>
  <c r="X38" i="8"/>
  <c r="X61" i="8"/>
  <c r="X30" i="8"/>
  <c r="X52" i="8"/>
  <c r="X51" i="8"/>
  <c r="X73" i="8"/>
  <c r="X10" i="8"/>
  <c r="X67" i="8"/>
  <c r="X71" i="8"/>
  <c r="X66" i="8"/>
  <c r="X78" i="8"/>
  <c r="X35" i="8"/>
  <c r="X46" i="8"/>
  <c r="X20" i="8"/>
  <c r="X2" i="8"/>
  <c r="X69" i="8"/>
  <c r="X63" i="8"/>
  <c r="X29" i="8"/>
  <c r="X50" i="8"/>
  <c r="F97" i="10"/>
  <c r="D97" i="10"/>
  <c r="F96" i="10"/>
  <c r="D96" i="10"/>
  <c r="F91" i="10"/>
  <c r="D91" i="10"/>
  <c r="F90" i="10"/>
  <c r="D90" i="10"/>
  <c r="F89" i="10"/>
  <c r="D89" i="10"/>
  <c r="F88" i="10"/>
  <c r="D88" i="10"/>
  <c r="F87" i="10"/>
  <c r="D87" i="10"/>
  <c r="F86" i="10"/>
  <c r="D86" i="10"/>
  <c r="F85" i="10"/>
  <c r="D85" i="10"/>
  <c r="F84" i="10"/>
  <c r="D84" i="10"/>
  <c r="F83" i="10"/>
  <c r="D83" i="10"/>
  <c r="F82" i="10"/>
  <c r="D82" i="10"/>
  <c r="F81" i="10"/>
  <c r="D81" i="10"/>
  <c r="F80" i="10"/>
  <c r="D80" i="10"/>
  <c r="F79" i="10"/>
  <c r="D79" i="10"/>
  <c r="F78" i="10"/>
  <c r="D78" i="10"/>
  <c r="F77" i="10"/>
  <c r="D77" i="10"/>
  <c r="F76" i="10"/>
  <c r="D76" i="10"/>
  <c r="F75" i="10"/>
  <c r="D75" i="10"/>
  <c r="F74" i="10"/>
  <c r="D74" i="10"/>
  <c r="F73" i="10"/>
  <c r="D73" i="10"/>
  <c r="F72" i="10"/>
  <c r="D72" i="10"/>
  <c r="F71" i="10"/>
  <c r="D71" i="10"/>
  <c r="F70" i="10"/>
  <c r="D70" i="10"/>
  <c r="F69" i="10"/>
  <c r="D69" i="10"/>
  <c r="F68" i="10"/>
  <c r="D68" i="10"/>
  <c r="F67" i="10"/>
  <c r="D67" i="10"/>
  <c r="F66" i="10"/>
  <c r="D66" i="10"/>
  <c r="F65" i="10"/>
  <c r="D65" i="10"/>
  <c r="F64" i="10"/>
  <c r="D64" i="10"/>
  <c r="F63" i="10"/>
  <c r="D63" i="10"/>
  <c r="F62" i="10"/>
  <c r="D62" i="10"/>
  <c r="F61" i="10"/>
  <c r="D61" i="10"/>
  <c r="F60" i="10"/>
  <c r="D60" i="10"/>
  <c r="F59" i="10"/>
  <c r="D59" i="10"/>
  <c r="F58" i="10"/>
  <c r="D58" i="10"/>
  <c r="F57" i="10"/>
  <c r="D57" i="10"/>
  <c r="F56" i="10"/>
  <c r="D56" i="10"/>
  <c r="F55" i="10"/>
  <c r="D55" i="10"/>
  <c r="D54" i="10"/>
  <c r="F53" i="10"/>
  <c r="D53" i="10"/>
  <c r="F52" i="10"/>
  <c r="D52" i="10"/>
  <c r="F51" i="10"/>
  <c r="D51" i="10"/>
  <c r="F50" i="10"/>
  <c r="D50" i="10"/>
  <c r="F49" i="10"/>
  <c r="D49" i="10"/>
  <c r="F48" i="10"/>
  <c r="D48" i="10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F39" i="10"/>
  <c r="D39" i="10"/>
  <c r="F38" i="10"/>
  <c r="D38" i="10"/>
  <c r="F37" i="10"/>
  <c r="D37" i="10"/>
  <c r="F36" i="10"/>
  <c r="D36" i="10"/>
  <c r="F35" i="10"/>
  <c r="D35" i="10"/>
  <c r="F34" i="10"/>
  <c r="D34" i="10"/>
  <c r="F33" i="10"/>
  <c r="D33" i="10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D627" i="4"/>
  <c r="E627" i="4"/>
  <c r="M627" i="4"/>
  <c r="N627" i="4"/>
  <c r="D628" i="4"/>
  <c r="E628" i="4"/>
  <c r="M628" i="4"/>
  <c r="N628" i="4"/>
  <c r="D629" i="4"/>
  <c r="E629" i="4"/>
  <c r="M629" i="4"/>
  <c r="N629" i="4"/>
  <c r="D630" i="4"/>
  <c r="E630" i="4"/>
  <c r="M630" i="4"/>
  <c r="N630" i="4"/>
  <c r="D631" i="4"/>
  <c r="E631" i="4"/>
  <c r="M631" i="4"/>
  <c r="N631" i="4"/>
  <c r="D632" i="4"/>
  <c r="E632" i="4"/>
  <c r="M632" i="4"/>
  <c r="N632" i="4"/>
  <c r="D633" i="4"/>
  <c r="E633" i="4"/>
  <c r="M633" i="4"/>
  <c r="N633" i="4"/>
  <c r="D634" i="4"/>
  <c r="E634" i="4"/>
  <c r="M634" i="4"/>
  <c r="N634" i="4"/>
  <c r="D635" i="4"/>
  <c r="E635" i="4"/>
  <c r="M635" i="4"/>
  <c r="N635" i="4"/>
  <c r="D636" i="4"/>
  <c r="E636" i="4"/>
  <c r="M636" i="4"/>
  <c r="N636" i="4"/>
  <c r="D637" i="4"/>
  <c r="E637" i="4"/>
  <c r="M637" i="4"/>
  <c r="N637" i="4"/>
  <c r="D638" i="4"/>
  <c r="E638" i="4"/>
  <c r="M638" i="4"/>
  <c r="N638" i="4"/>
  <c r="D639" i="4"/>
  <c r="E639" i="4"/>
  <c r="M639" i="4"/>
  <c r="N639" i="4"/>
  <c r="D640" i="4"/>
  <c r="E640" i="4"/>
  <c r="M640" i="4"/>
  <c r="N640" i="4"/>
  <c r="D641" i="4"/>
  <c r="E641" i="4"/>
  <c r="M641" i="4"/>
  <c r="N641" i="4"/>
  <c r="D642" i="4"/>
  <c r="E642" i="4"/>
  <c r="M642" i="4"/>
  <c r="N642" i="4"/>
  <c r="D643" i="4"/>
  <c r="E643" i="4"/>
  <c r="M643" i="4"/>
  <c r="N643" i="4"/>
  <c r="D644" i="4"/>
  <c r="E644" i="4"/>
  <c r="M644" i="4"/>
  <c r="N644" i="4"/>
  <c r="D645" i="4"/>
  <c r="E645" i="4"/>
  <c r="M645" i="4"/>
  <c r="N645" i="4"/>
  <c r="D646" i="4"/>
  <c r="E646" i="4"/>
  <c r="M646" i="4"/>
  <c r="N646" i="4"/>
  <c r="D647" i="4"/>
  <c r="E647" i="4"/>
  <c r="M647" i="4"/>
  <c r="N647" i="4"/>
  <c r="D648" i="4"/>
  <c r="E648" i="4"/>
  <c r="M648" i="4"/>
  <c r="N648" i="4"/>
  <c r="D649" i="4"/>
  <c r="E649" i="4"/>
  <c r="M649" i="4"/>
  <c r="N649" i="4"/>
  <c r="D650" i="4"/>
  <c r="E650" i="4"/>
  <c r="M650" i="4"/>
  <c r="N650" i="4"/>
  <c r="D651" i="4"/>
  <c r="E651" i="4"/>
  <c r="M651" i="4"/>
  <c r="N651" i="4"/>
  <c r="D652" i="4"/>
  <c r="E652" i="4"/>
  <c r="M652" i="4"/>
  <c r="N652" i="4"/>
  <c r="D653" i="4"/>
  <c r="E653" i="4"/>
  <c r="M653" i="4"/>
  <c r="N653" i="4"/>
  <c r="D654" i="4"/>
  <c r="E654" i="4"/>
  <c r="M654" i="4"/>
  <c r="N654" i="4"/>
  <c r="D655" i="4"/>
  <c r="E655" i="4"/>
  <c r="M655" i="4"/>
  <c r="N655" i="4"/>
  <c r="D656" i="4"/>
  <c r="E656" i="4"/>
  <c r="M656" i="4"/>
  <c r="N656" i="4"/>
  <c r="D657" i="4"/>
  <c r="E657" i="4"/>
  <c r="M657" i="4"/>
  <c r="N657" i="4"/>
  <c r="D658" i="4"/>
  <c r="E658" i="4"/>
  <c r="M658" i="4"/>
  <c r="N658" i="4"/>
  <c r="D659" i="4"/>
  <c r="E659" i="4"/>
  <c r="M659" i="4"/>
  <c r="N659" i="4"/>
  <c r="D660" i="4"/>
  <c r="E660" i="4"/>
  <c r="M660" i="4"/>
  <c r="N660" i="4"/>
  <c r="D661" i="4"/>
  <c r="E661" i="4"/>
  <c r="M661" i="4"/>
  <c r="N661" i="4"/>
  <c r="D662" i="4"/>
  <c r="E662" i="4"/>
  <c r="M662" i="4"/>
  <c r="N662" i="4"/>
  <c r="D663" i="4"/>
  <c r="E663" i="4"/>
  <c r="M663" i="4"/>
  <c r="N663" i="4"/>
  <c r="D664" i="4"/>
  <c r="E664" i="4"/>
  <c r="M664" i="4"/>
  <c r="N664" i="4"/>
  <c r="D665" i="4"/>
  <c r="E665" i="4"/>
  <c r="M665" i="4"/>
  <c r="N665" i="4"/>
  <c r="D666" i="4"/>
  <c r="E666" i="4"/>
  <c r="M666" i="4"/>
  <c r="N666" i="4"/>
  <c r="D667" i="4"/>
  <c r="E667" i="4"/>
  <c r="M667" i="4"/>
  <c r="N667" i="4"/>
  <c r="D668" i="4"/>
  <c r="E668" i="4"/>
  <c r="M668" i="4"/>
  <c r="N668" i="4"/>
  <c r="D669" i="4"/>
  <c r="E669" i="4"/>
  <c r="M669" i="4"/>
  <c r="N669" i="4"/>
  <c r="D670" i="4"/>
  <c r="E670" i="4"/>
  <c r="M670" i="4"/>
  <c r="N670" i="4"/>
  <c r="D671" i="4"/>
  <c r="E671" i="4"/>
  <c r="M671" i="4"/>
  <c r="N671" i="4"/>
  <c r="D672" i="4"/>
  <c r="E672" i="4"/>
  <c r="M672" i="4"/>
  <c r="N672" i="4"/>
  <c r="D673" i="4"/>
  <c r="E673" i="4"/>
  <c r="M673" i="4"/>
  <c r="N673" i="4"/>
  <c r="D674" i="4"/>
  <c r="E674" i="4"/>
  <c r="M674" i="4"/>
  <c r="N674" i="4"/>
  <c r="D675" i="4"/>
  <c r="E675" i="4"/>
  <c r="M675" i="4"/>
  <c r="N675" i="4"/>
  <c r="D676" i="4"/>
  <c r="E676" i="4"/>
  <c r="M676" i="4"/>
  <c r="N676" i="4"/>
  <c r="D677" i="4"/>
  <c r="E677" i="4"/>
  <c r="M677" i="4"/>
  <c r="N677" i="4"/>
  <c r="D678" i="4"/>
  <c r="E678" i="4"/>
  <c r="M678" i="4"/>
  <c r="N678" i="4"/>
  <c r="D679" i="4"/>
  <c r="E679" i="4"/>
  <c r="M679" i="4"/>
  <c r="N679" i="4"/>
  <c r="D680" i="4"/>
  <c r="E680" i="4"/>
  <c r="M680" i="4"/>
  <c r="N680" i="4"/>
  <c r="D681" i="4"/>
  <c r="E681" i="4"/>
  <c r="M681" i="4"/>
  <c r="N681" i="4"/>
  <c r="D682" i="4"/>
  <c r="E682" i="4"/>
  <c r="M682" i="4"/>
  <c r="N682" i="4"/>
  <c r="D683" i="4"/>
  <c r="E683" i="4"/>
  <c r="M683" i="4"/>
  <c r="N683" i="4"/>
  <c r="D684" i="4"/>
  <c r="E684" i="4"/>
  <c r="M684" i="4"/>
  <c r="N684" i="4"/>
  <c r="D685" i="4"/>
  <c r="E685" i="4"/>
  <c r="M685" i="4"/>
  <c r="N685" i="4"/>
  <c r="D686" i="4"/>
  <c r="E686" i="4"/>
  <c r="M686" i="4"/>
  <c r="N686" i="4"/>
  <c r="D687" i="4"/>
  <c r="E687" i="4"/>
  <c r="M687" i="4"/>
  <c r="N687" i="4"/>
  <c r="D688" i="4"/>
  <c r="E688" i="4"/>
  <c r="M688" i="4"/>
  <c r="N688" i="4"/>
  <c r="D689" i="4"/>
  <c r="E689" i="4"/>
  <c r="M689" i="4"/>
  <c r="N689" i="4"/>
  <c r="D690" i="4"/>
  <c r="E690" i="4"/>
  <c r="M690" i="4"/>
  <c r="N690" i="4"/>
  <c r="D691" i="4"/>
  <c r="E691" i="4"/>
  <c r="M691" i="4"/>
  <c r="N691" i="4"/>
  <c r="M692" i="4"/>
  <c r="N692" i="4"/>
  <c r="M693" i="4"/>
  <c r="N693" i="4"/>
  <c r="M694" i="4"/>
  <c r="N694" i="4"/>
  <c r="N70" i="8"/>
  <c r="M70" i="8"/>
  <c r="N19" i="8"/>
  <c r="M19" i="8"/>
  <c r="N40" i="8"/>
  <c r="M40" i="8"/>
  <c r="N42" i="8"/>
  <c r="M42" i="8"/>
  <c r="N65" i="8"/>
  <c r="M65" i="8"/>
  <c r="N5" i="8"/>
  <c r="M5" i="8"/>
  <c r="N43" i="8"/>
  <c r="M43" i="8"/>
  <c r="N3" i="8"/>
  <c r="M3" i="8"/>
  <c r="N26" i="8"/>
  <c r="M26" i="8"/>
  <c r="N27" i="8"/>
  <c r="M27" i="8"/>
  <c r="N25" i="8"/>
  <c r="M25" i="8"/>
  <c r="N60" i="8"/>
  <c r="M60" i="8"/>
  <c r="N66" i="8"/>
  <c r="M66" i="8"/>
  <c r="N64" i="8"/>
  <c r="M64" i="8"/>
  <c r="N69" i="8"/>
  <c r="M69" i="8"/>
  <c r="N13" i="8"/>
  <c r="M13" i="8"/>
  <c r="N46" i="8"/>
  <c r="M46" i="8"/>
  <c r="N50" i="8"/>
  <c r="M50" i="8"/>
  <c r="N17" i="8"/>
  <c r="M17" i="8"/>
  <c r="N58" i="8"/>
  <c r="M58" i="8"/>
  <c r="N68" i="8"/>
  <c r="M68" i="8"/>
  <c r="N49" i="8"/>
  <c r="M49" i="8"/>
  <c r="N35" i="8"/>
  <c r="M35" i="8"/>
  <c r="N21" i="8"/>
  <c r="M21" i="8"/>
  <c r="N15" i="8"/>
  <c r="M15" i="8"/>
  <c r="N4" i="8"/>
  <c r="M4" i="8"/>
  <c r="N24" i="8"/>
  <c r="M24" i="8"/>
  <c r="N47" i="8"/>
  <c r="M47" i="8"/>
  <c r="N12" i="8"/>
  <c r="M12" i="8"/>
  <c r="N39" i="8"/>
  <c r="M39" i="8"/>
  <c r="N18" i="8"/>
  <c r="M18" i="8"/>
  <c r="N32" i="8"/>
  <c r="M32" i="8"/>
  <c r="N28" i="8"/>
  <c r="M28" i="8"/>
  <c r="N57" i="8"/>
  <c r="M57" i="8"/>
  <c r="N67" i="8"/>
  <c r="M67" i="8"/>
  <c r="N36" i="8"/>
  <c r="M36" i="8"/>
  <c r="N10" i="8"/>
  <c r="M10" i="8"/>
  <c r="N48" i="8"/>
  <c r="M48" i="8"/>
  <c r="N52" i="8"/>
  <c r="M52" i="8"/>
  <c r="N23" i="8"/>
  <c r="M23" i="8"/>
  <c r="N7" i="8"/>
  <c r="M7" i="8"/>
  <c r="N8" i="8"/>
  <c r="M8" i="8"/>
  <c r="N72" i="8"/>
  <c r="M72" i="8"/>
  <c r="N22" i="8"/>
  <c r="M22" i="8"/>
  <c r="N14" i="8"/>
  <c r="M14" i="8"/>
  <c r="N34" i="8"/>
  <c r="M34" i="8"/>
  <c r="N30" i="8"/>
  <c r="M30" i="8"/>
  <c r="N73" i="8"/>
  <c r="M73" i="8"/>
  <c r="N55" i="8"/>
  <c r="M55" i="8"/>
  <c r="N33" i="8"/>
  <c r="M33" i="8"/>
  <c r="N9" i="8"/>
  <c r="M9" i="8"/>
  <c r="N29" i="8"/>
  <c r="M29" i="8"/>
  <c r="N45" i="8"/>
  <c r="M45" i="8"/>
  <c r="N37" i="8"/>
  <c r="M37" i="8"/>
  <c r="N38" i="8"/>
  <c r="M38" i="8"/>
  <c r="N11" i="8"/>
  <c r="M11" i="8"/>
  <c r="N61" i="8"/>
  <c r="M61" i="8"/>
  <c r="N54" i="8"/>
  <c r="M54" i="8"/>
  <c r="N71" i="8"/>
  <c r="M71" i="8"/>
  <c r="N6" i="8"/>
  <c r="M6" i="8"/>
  <c r="N51" i="8"/>
  <c r="M51" i="8"/>
  <c r="N56" i="8"/>
  <c r="M56" i="8"/>
  <c r="N59" i="8"/>
  <c r="M59" i="8"/>
  <c r="N63" i="8"/>
  <c r="M63" i="8"/>
  <c r="N41" i="8"/>
  <c r="M41" i="8"/>
  <c r="N44" i="8"/>
  <c r="M44" i="8"/>
  <c r="N31" i="8"/>
  <c r="M31" i="8"/>
  <c r="N2" i="8"/>
  <c r="M2" i="8"/>
  <c r="N62" i="8"/>
  <c r="M62" i="8"/>
  <c r="N53" i="8"/>
  <c r="M53" i="8"/>
  <c r="N16" i="8"/>
  <c r="M16" i="8"/>
  <c r="N20" i="8"/>
  <c r="M20" i="8"/>
  <c r="O15" i="7"/>
  <c r="M15" i="7"/>
  <c r="O77" i="7"/>
  <c r="M77" i="7"/>
  <c r="O29" i="7"/>
  <c r="M29" i="7"/>
  <c r="O49" i="7"/>
  <c r="M49" i="7"/>
  <c r="O45" i="7"/>
  <c r="M45" i="7"/>
  <c r="O69" i="7"/>
  <c r="M69" i="7"/>
  <c r="O79" i="7"/>
  <c r="M79" i="7"/>
  <c r="O52" i="7"/>
  <c r="M52" i="7"/>
  <c r="O68" i="7"/>
  <c r="M68" i="7"/>
  <c r="O17" i="7"/>
  <c r="M17" i="7"/>
  <c r="O55" i="7"/>
  <c r="M55" i="7"/>
  <c r="O58" i="7"/>
  <c r="M58" i="7"/>
  <c r="O80" i="7"/>
  <c r="M80" i="7"/>
  <c r="O39" i="7"/>
  <c r="M39" i="7"/>
  <c r="O84" i="7"/>
  <c r="M84" i="7"/>
  <c r="O74" i="7"/>
  <c r="M74" i="7"/>
  <c r="O22" i="7"/>
  <c r="M22" i="7"/>
  <c r="M38" i="7"/>
  <c r="O38" i="7"/>
  <c r="AG560" i="4"/>
  <c r="AH560" i="4"/>
  <c r="AG561" i="4"/>
  <c r="AH561" i="4"/>
  <c r="AG562" i="4"/>
  <c r="AH562" i="4"/>
  <c r="AG563" i="4"/>
  <c r="AH563" i="4"/>
  <c r="AG564" i="4"/>
  <c r="AH564" i="4"/>
  <c r="AG565" i="4"/>
  <c r="AH565" i="4"/>
  <c r="AG566" i="4"/>
  <c r="AH566" i="4"/>
  <c r="AG567" i="4"/>
  <c r="AH567" i="4"/>
  <c r="AG568" i="4"/>
  <c r="AH568" i="4"/>
  <c r="AG569" i="4"/>
  <c r="AH569" i="4"/>
  <c r="AG570" i="4"/>
  <c r="AH570" i="4"/>
  <c r="AG571" i="4"/>
  <c r="AH571" i="4"/>
  <c r="AG572" i="4"/>
  <c r="AH572" i="4"/>
  <c r="AG573" i="4"/>
  <c r="AH573" i="4"/>
  <c r="AG574" i="4"/>
  <c r="AH574" i="4"/>
  <c r="AG575" i="4"/>
  <c r="AH575" i="4"/>
  <c r="AG576" i="4"/>
  <c r="AH576" i="4"/>
  <c r="AG577" i="4"/>
  <c r="AH577" i="4"/>
  <c r="AG578" i="4"/>
  <c r="AH578" i="4"/>
  <c r="AG579" i="4"/>
  <c r="AH579" i="4"/>
  <c r="AG580" i="4"/>
  <c r="AH580" i="4"/>
  <c r="AG581" i="4"/>
  <c r="AH581" i="4"/>
  <c r="AG582" i="4"/>
  <c r="AH582" i="4"/>
  <c r="AG583" i="4"/>
  <c r="AH583" i="4"/>
  <c r="AG584" i="4"/>
  <c r="AH584" i="4"/>
  <c r="AG585" i="4"/>
  <c r="AH585" i="4"/>
  <c r="AG586" i="4"/>
  <c r="AH586" i="4"/>
  <c r="AG587" i="4"/>
  <c r="AH587" i="4"/>
  <c r="AG588" i="4"/>
  <c r="AH588" i="4"/>
  <c r="AG589" i="4"/>
  <c r="AH589" i="4"/>
  <c r="AG590" i="4"/>
  <c r="AH590" i="4"/>
  <c r="AG591" i="4"/>
  <c r="AH591" i="4"/>
  <c r="AG592" i="4"/>
  <c r="AH592" i="4"/>
  <c r="AG593" i="4"/>
  <c r="AH593" i="4"/>
  <c r="AG594" i="4"/>
  <c r="AH594" i="4"/>
  <c r="AG595" i="4"/>
  <c r="AH595" i="4"/>
  <c r="AG596" i="4"/>
  <c r="AH596" i="4"/>
  <c r="AG597" i="4"/>
  <c r="AH597" i="4"/>
  <c r="AG598" i="4"/>
  <c r="AH598" i="4"/>
  <c r="AG599" i="4"/>
  <c r="AH599" i="4"/>
  <c r="AG600" i="4"/>
  <c r="AH600" i="4"/>
  <c r="AG601" i="4"/>
  <c r="AH601" i="4"/>
  <c r="AG602" i="4"/>
  <c r="AH602" i="4"/>
  <c r="AG603" i="4"/>
  <c r="AH603" i="4"/>
  <c r="AG604" i="4"/>
  <c r="AH604" i="4"/>
  <c r="AG605" i="4"/>
  <c r="AH605" i="4"/>
  <c r="AG606" i="4"/>
  <c r="AH606" i="4"/>
  <c r="AG607" i="4"/>
  <c r="AH607" i="4"/>
  <c r="AG608" i="4"/>
  <c r="AH608" i="4"/>
  <c r="AG609" i="4"/>
  <c r="AH609" i="4"/>
  <c r="AG610" i="4"/>
  <c r="AH610" i="4"/>
  <c r="AG611" i="4"/>
  <c r="AH611" i="4"/>
  <c r="AG612" i="4"/>
  <c r="AH612" i="4"/>
  <c r="AG613" i="4"/>
  <c r="AH613" i="4"/>
  <c r="AG614" i="4"/>
  <c r="AH614" i="4"/>
  <c r="AG615" i="4"/>
  <c r="AH615" i="4"/>
  <c r="AG616" i="4"/>
  <c r="AH616" i="4"/>
  <c r="AG617" i="4"/>
  <c r="AH617" i="4"/>
  <c r="AG618" i="4"/>
  <c r="AH618" i="4"/>
  <c r="AG619" i="4"/>
  <c r="AH619" i="4"/>
  <c r="AG620" i="4"/>
  <c r="AH620" i="4"/>
  <c r="AG621" i="4"/>
  <c r="AH621" i="4"/>
  <c r="AG622" i="4"/>
  <c r="AH622" i="4"/>
  <c r="AG623" i="4"/>
  <c r="AH623" i="4"/>
  <c r="E19" i="8"/>
  <c r="D19" i="8"/>
  <c r="E40" i="8"/>
  <c r="D40" i="8"/>
  <c r="E42" i="8"/>
  <c r="D42" i="8"/>
  <c r="E64" i="8"/>
  <c r="D64" i="8"/>
  <c r="E4" i="8"/>
  <c r="D4" i="8"/>
  <c r="E43" i="8"/>
  <c r="D43" i="8"/>
  <c r="E3" i="8"/>
  <c r="D3" i="8"/>
  <c r="E25" i="8"/>
  <c r="D25" i="8"/>
  <c r="E26" i="8"/>
  <c r="D26" i="8"/>
  <c r="E27" i="8"/>
  <c r="D27" i="8"/>
  <c r="E58" i="8"/>
  <c r="D58" i="8"/>
  <c r="E65" i="8"/>
  <c r="D65" i="8"/>
  <c r="E63" i="8"/>
  <c r="D63" i="8"/>
  <c r="E68" i="8"/>
  <c r="D68" i="8"/>
  <c r="E13" i="8"/>
  <c r="D13" i="8"/>
  <c r="E34" i="8"/>
  <c r="D34" i="8"/>
  <c r="E49" i="8"/>
  <c r="D49" i="8"/>
  <c r="E17" i="8"/>
  <c r="D17" i="8"/>
  <c r="E57" i="8"/>
  <c r="D57" i="8"/>
  <c r="E67" i="8"/>
  <c r="D67" i="8"/>
  <c r="E48" i="8"/>
  <c r="D48" i="8"/>
  <c r="E37" i="8"/>
  <c r="D37" i="8"/>
  <c r="E21" i="8"/>
  <c r="D21" i="8"/>
  <c r="E15" i="8"/>
  <c r="D15" i="8"/>
  <c r="E5" i="8"/>
  <c r="D5" i="8"/>
  <c r="E22" i="8"/>
  <c r="D22" i="8"/>
  <c r="E46" i="8"/>
  <c r="D46" i="8"/>
  <c r="E12" i="8"/>
  <c r="D12" i="8"/>
  <c r="E18" i="8"/>
  <c r="D18" i="8"/>
  <c r="E32" i="8"/>
  <c r="D32" i="8"/>
  <c r="E31" i="8"/>
  <c r="D31" i="8"/>
  <c r="E56" i="8"/>
  <c r="D56" i="8"/>
  <c r="E66" i="8"/>
  <c r="D66" i="8"/>
  <c r="E36" i="8"/>
  <c r="D36" i="8"/>
  <c r="E11" i="8"/>
  <c r="D11" i="8"/>
  <c r="E47" i="8"/>
  <c r="D47" i="8"/>
  <c r="E52" i="8"/>
  <c r="D52" i="8"/>
  <c r="E24" i="8"/>
  <c r="D24" i="8"/>
  <c r="E7" i="8"/>
  <c r="D7" i="8"/>
  <c r="E8" i="8"/>
  <c r="D8" i="8"/>
  <c r="E70" i="8"/>
  <c r="D70" i="8"/>
  <c r="E23" i="8"/>
  <c r="D23" i="8"/>
  <c r="E14" i="8"/>
  <c r="D14" i="8"/>
  <c r="E35" i="8"/>
  <c r="D35" i="8"/>
  <c r="E29" i="8"/>
  <c r="D29" i="8"/>
  <c r="E71" i="8"/>
  <c r="D71" i="8"/>
  <c r="E54" i="8"/>
  <c r="D54" i="8"/>
  <c r="E33" i="8"/>
  <c r="D33" i="8"/>
  <c r="E10" i="8"/>
  <c r="D10" i="8"/>
  <c r="E28" i="8"/>
  <c r="D28" i="8"/>
  <c r="E45" i="8"/>
  <c r="D45" i="8"/>
  <c r="E38" i="8"/>
  <c r="D38" i="8"/>
  <c r="E39" i="8"/>
  <c r="D39" i="8"/>
  <c r="E9" i="8"/>
  <c r="D9" i="8"/>
  <c r="E60" i="8"/>
  <c r="D60" i="8"/>
  <c r="E53" i="8"/>
  <c r="D53" i="8"/>
  <c r="E69" i="8"/>
  <c r="D69" i="8"/>
  <c r="E6" i="8"/>
  <c r="D6" i="8"/>
  <c r="E51" i="8"/>
  <c r="D51" i="8"/>
  <c r="E55" i="8"/>
  <c r="D55" i="8"/>
  <c r="E59" i="8"/>
  <c r="D59" i="8"/>
  <c r="E62" i="8"/>
  <c r="D62" i="8"/>
  <c r="E41" i="8"/>
  <c r="D41" i="8"/>
  <c r="E44" i="8"/>
  <c r="D44" i="8"/>
  <c r="E30" i="8"/>
  <c r="D30" i="8"/>
  <c r="E2" i="8"/>
  <c r="D2" i="8"/>
  <c r="E61" i="8"/>
  <c r="D61" i="8"/>
  <c r="E50" i="8"/>
  <c r="D50" i="8"/>
  <c r="E16" i="8"/>
  <c r="D16" i="8"/>
  <c r="E20" i="8"/>
  <c r="D20" i="8"/>
  <c r="O36" i="7"/>
  <c r="M36" i="7"/>
  <c r="O59" i="7"/>
  <c r="M59" i="7"/>
  <c r="O48" i="7"/>
  <c r="M48" i="7"/>
  <c r="O13" i="7"/>
  <c r="M13" i="7"/>
  <c r="O63" i="7"/>
  <c r="M63" i="7"/>
  <c r="O32" i="7"/>
  <c r="M32" i="7"/>
  <c r="O34" i="7"/>
  <c r="M34" i="7"/>
  <c r="O21" i="7"/>
  <c r="M21" i="7"/>
  <c r="O72" i="7"/>
  <c r="M72" i="7"/>
  <c r="O78" i="7"/>
  <c r="M78" i="7"/>
  <c r="O23" i="7"/>
  <c r="M23" i="7"/>
  <c r="O73" i="7"/>
  <c r="M73" i="7"/>
  <c r="O14" i="7"/>
  <c r="M14" i="7"/>
  <c r="O62" i="7"/>
  <c r="M62" i="7"/>
  <c r="O43" i="7"/>
  <c r="M43" i="7"/>
  <c r="O56" i="7"/>
  <c r="M56" i="7"/>
  <c r="O64" i="7"/>
  <c r="M64" i="7"/>
  <c r="O54" i="7"/>
  <c r="M54" i="7"/>
  <c r="N560" i="4"/>
  <c r="O560" i="4"/>
  <c r="W560" i="4"/>
  <c r="X560" i="4"/>
  <c r="N561" i="4"/>
  <c r="O561" i="4"/>
  <c r="W561" i="4"/>
  <c r="X561" i="4"/>
  <c r="N562" i="4"/>
  <c r="O562" i="4"/>
  <c r="W562" i="4"/>
  <c r="X562" i="4"/>
  <c r="N563" i="4"/>
  <c r="O563" i="4"/>
  <c r="W563" i="4"/>
  <c r="X563" i="4"/>
  <c r="N564" i="4"/>
  <c r="O564" i="4"/>
  <c r="W564" i="4"/>
  <c r="X564" i="4"/>
  <c r="N565" i="4"/>
  <c r="O565" i="4"/>
  <c r="W565" i="4"/>
  <c r="X565" i="4"/>
  <c r="N566" i="4"/>
  <c r="O566" i="4"/>
  <c r="W566" i="4"/>
  <c r="X566" i="4"/>
  <c r="N567" i="4"/>
  <c r="O567" i="4"/>
  <c r="W567" i="4"/>
  <c r="X567" i="4"/>
  <c r="N568" i="4"/>
  <c r="O568" i="4"/>
  <c r="W568" i="4"/>
  <c r="X568" i="4"/>
  <c r="N569" i="4"/>
  <c r="O569" i="4"/>
  <c r="W569" i="4"/>
  <c r="X569" i="4"/>
  <c r="N570" i="4"/>
  <c r="O570" i="4"/>
  <c r="W570" i="4"/>
  <c r="X570" i="4"/>
  <c r="N571" i="4"/>
  <c r="O571" i="4"/>
  <c r="W571" i="4"/>
  <c r="X571" i="4"/>
  <c r="N572" i="4"/>
  <c r="O572" i="4"/>
  <c r="W572" i="4"/>
  <c r="X572" i="4"/>
  <c r="N573" i="4"/>
  <c r="O573" i="4"/>
  <c r="W573" i="4"/>
  <c r="X573" i="4"/>
  <c r="N574" i="4"/>
  <c r="O574" i="4"/>
  <c r="W574" i="4"/>
  <c r="X574" i="4"/>
  <c r="N575" i="4"/>
  <c r="O575" i="4"/>
  <c r="W575" i="4"/>
  <c r="X575" i="4"/>
  <c r="N576" i="4"/>
  <c r="O576" i="4"/>
  <c r="W576" i="4"/>
  <c r="X576" i="4"/>
  <c r="N577" i="4"/>
  <c r="O577" i="4"/>
  <c r="W577" i="4"/>
  <c r="X577" i="4"/>
  <c r="N578" i="4"/>
  <c r="O578" i="4"/>
  <c r="W578" i="4"/>
  <c r="X578" i="4"/>
  <c r="N579" i="4"/>
  <c r="O579" i="4"/>
  <c r="W579" i="4"/>
  <c r="X579" i="4"/>
  <c r="N580" i="4"/>
  <c r="O580" i="4"/>
  <c r="W580" i="4"/>
  <c r="X580" i="4"/>
  <c r="N581" i="4"/>
  <c r="O581" i="4"/>
  <c r="W581" i="4"/>
  <c r="X581" i="4"/>
  <c r="N582" i="4"/>
  <c r="O582" i="4"/>
  <c r="W582" i="4"/>
  <c r="X582" i="4"/>
  <c r="N583" i="4"/>
  <c r="O583" i="4"/>
  <c r="W583" i="4"/>
  <c r="X583" i="4"/>
  <c r="N584" i="4"/>
  <c r="O584" i="4"/>
  <c r="W584" i="4"/>
  <c r="X584" i="4"/>
  <c r="N585" i="4"/>
  <c r="O585" i="4"/>
  <c r="W585" i="4"/>
  <c r="X585" i="4"/>
  <c r="N586" i="4"/>
  <c r="O586" i="4"/>
  <c r="W586" i="4"/>
  <c r="X586" i="4"/>
  <c r="N587" i="4"/>
  <c r="O587" i="4"/>
  <c r="W587" i="4"/>
  <c r="X587" i="4"/>
  <c r="N588" i="4"/>
  <c r="O588" i="4"/>
  <c r="W588" i="4"/>
  <c r="X588" i="4"/>
  <c r="N589" i="4"/>
  <c r="O589" i="4"/>
  <c r="W589" i="4"/>
  <c r="X589" i="4"/>
  <c r="N590" i="4"/>
  <c r="O590" i="4"/>
  <c r="W590" i="4"/>
  <c r="X590" i="4"/>
  <c r="N591" i="4"/>
  <c r="O591" i="4"/>
  <c r="W591" i="4"/>
  <c r="X591" i="4"/>
  <c r="N592" i="4"/>
  <c r="O592" i="4"/>
  <c r="W592" i="4"/>
  <c r="X592" i="4"/>
  <c r="N593" i="4"/>
  <c r="O593" i="4"/>
  <c r="W593" i="4"/>
  <c r="X593" i="4"/>
  <c r="N594" i="4"/>
  <c r="O594" i="4"/>
  <c r="W594" i="4"/>
  <c r="X594" i="4"/>
  <c r="N595" i="4"/>
  <c r="O595" i="4"/>
  <c r="W595" i="4"/>
  <c r="X595" i="4"/>
  <c r="N596" i="4"/>
  <c r="O596" i="4"/>
  <c r="W596" i="4"/>
  <c r="X596" i="4"/>
  <c r="N597" i="4"/>
  <c r="O597" i="4"/>
  <c r="W597" i="4"/>
  <c r="X597" i="4"/>
  <c r="N598" i="4"/>
  <c r="O598" i="4"/>
  <c r="W598" i="4"/>
  <c r="X598" i="4"/>
  <c r="N599" i="4"/>
  <c r="O599" i="4"/>
  <c r="W599" i="4"/>
  <c r="X599" i="4"/>
  <c r="N600" i="4"/>
  <c r="O600" i="4"/>
  <c r="W600" i="4"/>
  <c r="X600" i="4"/>
  <c r="N601" i="4"/>
  <c r="O601" i="4"/>
  <c r="W601" i="4"/>
  <c r="X601" i="4"/>
  <c r="N602" i="4"/>
  <c r="O602" i="4"/>
  <c r="W602" i="4"/>
  <c r="X602" i="4"/>
  <c r="N603" i="4"/>
  <c r="O603" i="4"/>
  <c r="W603" i="4"/>
  <c r="X603" i="4"/>
  <c r="N604" i="4"/>
  <c r="O604" i="4"/>
  <c r="W604" i="4"/>
  <c r="X604" i="4"/>
  <c r="N605" i="4"/>
  <c r="O605" i="4"/>
  <c r="W605" i="4"/>
  <c r="X605" i="4"/>
  <c r="N606" i="4"/>
  <c r="O606" i="4"/>
  <c r="W606" i="4"/>
  <c r="X606" i="4"/>
  <c r="N607" i="4"/>
  <c r="O607" i="4"/>
  <c r="W607" i="4"/>
  <c r="X607" i="4"/>
  <c r="N608" i="4"/>
  <c r="O608" i="4"/>
  <c r="W608" i="4"/>
  <c r="X608" i="4"/>
  <c r="N609" i="4"/>
  <c r="O609" i="4"/>
  <c r="W609" i="4"/>
  <c r="X609" i="4"/>
  <c r="N610" i="4"/>
  <c r="O610" i="4"/>
  <c r="W610" i="4"/>
  <c r="X610" i="4"/>
  <c r="N611" i="4"/>
  <c r="O611" i="4"/>
  <c r="W611" i="4"/>
  <c r="X611" i="4"/>
  <c r="N612" i="4"/>
  <c r="O612" i="4"/>
  <c r="W612" i="4"/>
  <c r="X612" i="4"/>
  <c r="N613" i="4"/>
  <c r="O613" i="4"/>
  <c r="W613" i="4"/>
  <c r="X613" i="4"/>
  <c r="N614" i="4"/>
  <c r="O614" i="4"/>
  <c r="W614" i="4"/>
  <c r="X614" i="4"/>
  <c r="N615" i="4"/>
  <c r="O615" i="4"/>
  <c r="W615" i="4"/>
  <c r="X615" i="4"/>
  <c r="W616" i="4"/>
  <c r="X616" i="4"/>
  <c r="W617" i="4"/>
  <c r="X617" i="4"/>
  <c r="W618" i="4"/>
  <c r="X618" i="4"/>
  <c r="W619" i="4"/>
  <c r="X619" i="4"/>
  <c r="W620" i="4"/>
  <c r="X620" i="4"/>
  <c r="W621" i="4"/>
  <c r="X621" i="4"/>
  <c r="W622" i="4"/>
  <c r="X622" i="4"/>
  <c r="O20" i="7"/>
  <c r="M20" i="7"/>
  <c r="O70" i="7"/>
  <c r="M70" i="7"/>
  <c r="O66" i="7"/>
  <c r="M66" i="7"/>
  <c r="O53" i="7"/>
  <c r="M53" i="7"/>
  <c r="O57" i="7"/>
  <c r="M57" i="7"/>
  <c r="O83" i="7"/>
  <c r="M83" i="7"/>
  <c r="M50" i="7"/>
  <c r="O50" i="7"/>
  <c r="M51" i="7"/>
  <c r="O51" i="7"/>
  <c r="M60" i="7"/>
  <c r="O60" i="7"/>
  <c r="M61" i="7"/>
  <c r="O61" i="7"/>
  <c r="M65" i="7"/>
  <c r="O65" i="7"/>
  <c r="M67" i="7"/>
  <c r="O67" i="7"/>
  <c r="M71" i="7"/>
  <c r="O71" i="7"/>
  <c r="M75" i="7"/>
  <c r="O75" i="7"/>
  <c r="M76" i="7"/>
  <c r="O76" i="7"/>
  <c r="M81" i="7"/>
  <c r="O81" i="7"/>
  <c r="M82" i="7"/>
  <c r="O82" i="7"/>
  <c r="O47" i="7"/>
  <c r="M47" i="7"/>
  <c r="O18" i="7"/>
  <c r="M18" i="7"/>
  <c r="O16" i="7"/>
  <c r="M16" i="7"/>
  <c r="O19" i="7"/>
  <c r="M19" i="7"/>
  <c r="O24" i="7"/>
  <c r="M24" i="7"/>
  <c r="O42" i="7"/>
  <c r="M42" i="7"/>
  <c r="O40" i="7"/>
  <c r="M40" i="7"/>
  <c r="O27" i="7"/>
  <c r="M27" i="7"/>
  <c r="O41" i="7"/>
  <c r="M41" i="7"/>
  <c r="O28" i="7"/>
  <c r="M28" i="7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O44" i="7"/>
  <c r="M44" i="7"/>
  <c r="O26" i="7"/>
  <c r="M26" i="7"/>
  <c r="O35" i="7"/>
  <c r="M35" i="7"/>
  <c r="O37" i="7"/>
  <c r="M37" i="7"/>
  <c r="AV507" i="4"/>
  <c r="AW507" i="4"/>
  <c r="BE507" i="4"/>
  <c r="BF507" i="4"/>
  <c r="AV508" i="4"/>
  <c r="AW508" i="4"/>
  <c r="BE508" i="4"/>
  <c r="BF508" i="4"/>
  <c r="AV509" i="4"/>
  <c r="AW509" i="4"/>
  <c r="BE509" i="4"/>
  <c r="BF509" i="4"/>
  <c r="AV510" i="4"/>
  <c r="AW510" i="4"/>
  <c r="BE510" i="4"/>
  <c r="BF510" i="4"/>
  <c r="AV511" i="4"/>
  <c r="AW511" i="4"/>
  <c r="BE511" i="4"/>
  <c r="BF511" i="4"/>
  <c r="AV512" i="4"/>
  <c r="AW512" i="4"/>
  <c r="BE512" i="4"/>
  <c r="BF512" i="4"/>
  <c r="AV513" i="4"/>
  <c r="AW513" i="4"/>
  <c r="BE513" i="4"/>
  <c r="BF513" i="4"/>
  <c r="AV514" i="4"/>
  <c r="AW514" i="4"/>
  <c r="BE514" i="4"/>
  <c r="BF514" i="4"/>
  <c r="AV515" i="4"/>
  <c r="AW515" i="4"/>
  <c r="BE515" i="4"/>
  <c r="BF515" i="4"/>
  <c r="AV516" i="4"/>
  <c r="AW516" i="4"/>
  <c r="BE516" i="4"/>
  <c r="BF516" i="4"/>
  <c r="AV517" i="4"/>
  <c r="AW517" i="4"/>
  <c r="BE517" i="4"/>
  <c r="BF517" i="4"/>
  <c r="AV518" i="4"/>
  <c r="AW518" i="4"/>
  <c r="BE518" i="4"/>
  <c r="BF518" i="4"/>
  <c r="AV519" i="4"/>
  <c r="AW519" i="4"/>
  <c r="BE519" i="4"/>
  <c r="BF519" i="4"/>
  <c r="AV520" i="4"/>
  <c r="AW520" i="4"/>
  <c r="BE520" i="4"/>
  <c r="BF520" i="4"/>
  <c r="AV521" i="4"/>
  <c r="AW521" i="4"/>
  <c r="BE521" i="4"/>
  <c r="BF521" i="4"/>
  <c r="AV522" i="4"/>
  <c r="AW522" i="4"/>
  <c r="BE522" i="4"/>
  <c r="BF522" i="4"/>
  <c r="AV523" i="4"/>
  <c r="AW523" i="4"/>
  <c r="BE523" i="4"/>
  <c r="BF523" i="4"/>
  <c r="AV524" i="4"/>
  <c r="AW524" i="4"/>
  <c r="BE524" i="4"/>
  <c r="BF524" i="4"/>
  <c r="AV525" i="4"/>
  <c r="AW525" i="4"/>
  <c r="BE525" i="4"/>
  <c r="BF525" i="4"/>
  <c r="AV526" i="4"/>
  <c r="AW526" i="4"/>
  <c r="BE526" i="4"/>
  <c r="BF526" i="4"/>
  <c r="AV527" i="4"/>
  <c r="AW527" i="4"/>
  <c r="BE527" i="4"/>
  <c r="BF527" i="4"/>
  <c r="AV528" i="4"/>
  <c r="AW528" i="4"/>
  <c r="BE528" i="4"/>
  <c r="BF528" i="4"/>
  <c r="AV529" i="4"/>
  <c r="AW529" i="4"/>
  <c r="BE529" i="4"/>
  <c r="BF529" i="4"/>
  <c r="AV530" i="4"/>
  <c r="AW530" i="4"/>
  <c r="BE530" i="4"/>
  <c r="BF530" i="4"/>
  <c r="AV531" i="4"/>
  <c r="AW531" i="4"/>
  <c r="BE531" i="4"/>
  <c r="BF531" i="4"/>
  <c r="AV532" i="4"/>
  <c r="AW532" i="4"/>
  <c r="BE532" i="4"/>
  <c r="BF532" i="4"/>
  <c r="AV533" i="4"/>
  <c r="AW533" i="4"/>
  <c r="BE533" i="4"/>
  <c r="BF533" i="4"/>
  <c r="AV534" i="4"/>
  <c r="AW534" i="4"/>
  <c r="BE534" i="4"/>
  <c r="BF534" i="4"/>
  <c r="AV535" i="4"/>
  <c r="AW535" i="4"/>
  <c r="BE535" i="4"/>
  <c r="BF535" i="4"/>
  <c r="AV536" i="4"/>
  <c r="AW536" i="4"/>
  <c r="BE536" i="4"/>
  <c r="BF536" i="4"/>
  <c r="AV537" i="4"/>
  <c r="AW537" i="4"/>
  <c r="BE537" i="4"/>
  <c r="BF537" i="4"/>
  <c r="AV538" i="4"/>
  <c r="AW538" i="4"/>
  <c r="BE538" i="4"/>
  <c r="BF538" i="4"/>
  <c r="AV539" i="4"/>
  <c r="AW539" i="4"/>
  <c r="BE539" i="4"/>
  <c r="BF539" i="4"/>
  <c r="AV540" i="4"/>
  <c r="AW540" i="4"/>
  <c r="BE540" i="4"/>
  <c r="BF540" i="4"/>
  <c r="AV541" i="4"/>
  <c r="AW541" i="4"/>
  <c r="BE541" i="4"/>
  <c r="BF541" i="4"/>
  <c r="AV542" i="4"/>
  <c r="AW542" i="4"/>
  <c r="BE542" i="4"/>
  <c r="BF542" i="4"/>
  <c r="AV543" i="4"/>
  <c r="AW543" i="4"/>
  <c r="BE543" i="4"/>
  <c r="BF543" i="4"/>
  <c r="AV544" i="4"/>
  <c r="AW544" i="4"/>
  <c r="BE544" i="4"/>
  <c r="BF544" i="4"/>
  <c r="AV545" i="4"/>
  <c r="AW545" i="4"/>
  <c r="BE545" i="4"/>
  <c r="BF545" i="4"/>
  <c r="AV546" i="4"/>
  <c r="AW546" i="4"/>
  <c r="BE546" i="4"/>
  <c r="BF546" i="4"/>
  <c r="AV547" i="4"/>
  <c r="AW547" i="4"/>
  <c r="BE547" i="4"/>
  <c r="BF547" i="4"/>
  <c r="AV548" i="4"/>
  <c r="AW548" i="4"/>
  <c r="BE548" i="4"/>
  <c r="BF548" i="4"/>
  <c r="AV549" i="4"/>
  <c r="AW549" i="4"/>
  <c r="BE549" i="4"/>
  <c r="BF549" i="4"/>
  <c r="AV550" i="4"/>
  <c r="AW550" i="4"/>
  <c r="BE550" i="4"/>
  <c r="BF550" i="4"/>
  <c r="AV551" i="4"/>
  <c r="AW551" i="4"/>
  <c r="BE551" i="4"/>
  <c r="BF551" i="4"/>
  <c r="AV552" i="4"/>
  <c r="AW552" i="4"/>
  <c r="BE552" i="4"/>
  <c r="BF552" i="4"/>
  <c r="AV553" i="4"/>
  <c r="AW553" i="4"/>
  <c r="BE553" i="4"/>
  <c r="BF553" i="4"/>
  <c r="AV554" i="4"/>
  <c r="AW554" i="4"/>
  <c r="BE554" i="4"/>
  <c r="BF554" i="4"/>
  <c r="AV555" i="4"/>
  <c r="AW555" i="4"/>
  <c r="BE555" i="4"/>
  <c r="BF555" i="4"/>
  <c r="AV556" i="4"/>
  <c r="AW556" i="4"/>
  <c r="BE556" i="4"/>
  <c r="BF556" i="4"/>
  <c r="AV557" i="4"/>
  <c r="AW557" i="4"/>
  <c r="BE557" i="4"/>
  <c r="BF557" i="4"/>
  <c r="AV558" i="4"/>
  <c r="AW558" i="4"/>
  <c r="BE558" i="4"/>
  <c r="BF558" i="4"/>
  <c r="BE559" i="4"/>
  <c r="BF559" i="4"/>
  <c r="F97" i="7"/>
  <c r="D97" i="7"/>
  <c r="F96" i="7"/>
  <c r="D96" i="7"/>
  <c r="O33" i="7"/>
  <c r="M33" i="7"/>
  <c r="O25" i="7"/>
  <c r="M25" i="7"/>
  <c r="AE507" i="4"/>
  <c r="AF507" i="4"/>
  <c r="AM507" i="4"/>
  <c r="AN507" i="4"/>
  <c r="AE508" i="4"/>
  <c r="AF508" i="4"/>
  <c r="AM508" i="4"/>
  <c r="AN508" i="4"/>
  <c r="AE509" i="4"/>
  <c r="AF509" i="4"/>
  <c r="AM509" i="4"/>
  <c r="AN509" i="4"/>
  <c r="AE510" i="4"/>
  <c r="AF510" i="4"/>
  <c r="AM510" i="4"/>
  <c r="AN510" i="4"/>
  <c r="AE511" i="4"/>
  <c r="AF511" i="4"/>
  <c r="AM511" i="4"/>
  <c r="AN511" i="4"/>
  <c r="AE512" i="4"/>
  <c r="AF512" i="4"/>
  <c r="AM512" i="4"/>
  <c r="AN512" i="4"/>
  <c r="AE513" i="4"/>
  <c r="AF513" i="4"/>
  <c r="AM513" i="4"/>
  <c r="AN513" i="4"/>
  <c r="AE514" i="4"/>
  <c r="AF514" i="4"/>
  <c r="AM514" i="4"/>
  <c r="AN514" i="4"/>
  <c r="AE515" i="4"/>
  <c r="AF515" i="4"/>
  <c r="AM515" i="4"/>
  <c r="AN515" i="4"/>
  <c r="AE516" i="4"/>
  <c r="AF516" i="4"/>
  <c r="AM516" i="4"/>
  <c r="AN516" i="4"/>
  <c r="AE517" i="4"/>
  <c r="AF517" i="4"/>
  <c r="AM517" i="4"/>
  <c r="AN517" i="4"/>
  <c r="AE518" i="4"/>
  <c r="AF518" i="4"/>
  <c r="AM518" i="4"/>
  <c r="AN518" i="4"/>
  <c r="AE519" i="4"/>
  <c r="AF519" i="4"/>
  <c r="AM519" i="4"/>
  <c r="AN519" i="4"/>
  <c r="AE520" i="4"/>
  <c r="AF520" i="4"/>
  <c r="AM520" i="4"/>
  <c r="AN520" i="4"/>
  <c r="AE521" i="4"/>
  <c r="AF521" i="4"/>
  <c r="AM521" i="4"/>
  <c r="AN521" i="4"/>
  <c r="AE522" i="4"/>
  <c r="AF522" i="4"/>
  <c r="AM522" i="4"/>
  <c r="AN522" i="4"/>
  <c r="AE523" i="4"/>
  <c r="AF523" i="4"/>
  <c r="AM523" i="4"/>
  <c r="AN523" i="4"/>
  <c r="AE524" i="4"/>
  <c r="AF524" i="4"/>
  <c r="AM524" i="4"/>
  <c r="AN524" i="4"/>
  <c r="AE525" i="4"/>
  <c r="AF525" i="4"/>
  <c r="AM525" i="4"/>
  <c r="AN525" i="4"/>
  <c r="AE526" i="4"/>
  <c r="AF526" i="4"/>
  <c r="AM526" i="4"/>
  <c r="AN526" i="4"/>
  <c r="AE527" i="4"/>
  <c r="AF527" i="4"/>
  <c r="AM527" i="4"/>
  <c r="AN527" i="4"/>
  <c r="AE528" i="4"/>
  <c r="AF528" i="4"/>
  <c r="AM528" i="4"/>
  <c r="AN528" i="4"/>
  <c r="AE529" i="4"/>
  <c r="AF529" i="4"/>
  <c r="AM529" i="4"/>
  <c r="AN529" i="4"/>
  <c r="AE530" i="4"/>
  <c r="AF530" i="4"/>
  <c r="AM530" i="4"/>
  <c r="AN530" i="4"/>
  <c r="AE531" i="4"/>
  <c r="AF531" i="4"/>
  <c r="AM531" i="4"/>
  <c r="AN531" i="4"/>
  <c r="AE532" i="4"/>
  <c r="AF532" i="4"/>
  <c r="AM532" i="4"/>
  <c r="AN532" i="4"/>
  <c r="AE533" i="4"/>
  <c r="AF533" i="4"/>
  <c r="AM533" i="4"/>
  <c r="AN533" i="4"/>
  <c r="AE534" i="4"/>
  <c r="AF534" i="4"/>
  <c r="AM534" i="4"/>
  <c r="AN534" i="4"/>
  <c r="AE535" i="4"/>
  <c r="AF535" i="4"/>
  <c r="AM535" i="4"/>
  <c r="AN535" i="4"/>
  <c r="AE536" i="4"/>
  <c r="AF536" i="4"/>
  <c r="AM536" i="4"/>
  <c r="AN536" i="4"/>
  <c r="AE537" i="4"/>
  <c r="AF537" i="4"/>
  <c r="AM537" i="4"/>
  <c r="AN537" i="4"/>
  <c r="AE538" i="4"/>
  <c r="AF538" i="4"/>
  <c r="AM538" i="4"/>
  <c r="AN538" i="4"/>
  <c r="AE539" i="4"/>
  <c r="AF539" i="4"/>
  <c r="AM539" i="4"/>
  <c r="AN539" i="4"/>
  <c r="AE540" i="4"/>
  <c r="AF540" i="4"/>
  <c r="AM540" i="4"/>
  <c r="AN540" i="4"/>
  <c r="AE541" i="4"/>
  <c r="AF541" i="4"/>
  <c r="AM541" i="4"/>
  <c r="AN541" i="4"/>
  <c r="AE542" i="4"/>
  <c r="AF542" i="4"/>
  <c r="AM542" i="4"/>
  <c r="AN542" i="4"/>
  <c r="AE543" i="4"/>
  <c r="AF543" i="4"/>
  <c r="AM543" i="4"/>
  <c r="AN543" i="4"/>
  <c r="AE544" i="4"/>
  <c r="AF544" i="4"/>
  <c r="AM544" i="4"/>
  <c r="AN544" i="4"/>
  <c r="AE545" i="4"/>
  <c r="AF545" i="4"/>
  <c r="AM545" i="4"/>
  <c r="AN545" i="4"/>
  <c r="AE546" i="4"/>
  <c r="AF546" i="4"/>
  <c r="AM546" i="4"/>
  <c r="AN546" i="4"/>
  <c r="AE547" i="4"/>
  <c r="AF547" i="4"/>
  <c r="AM547" i="4"/>
  <c r="AN547" i="4"/>
  <c r="AE548" i="4"/>
  <c r="AF548" i="4"/>
  <c r="AM548" i="4"/>
  <c r="AN548" i="4"/>
  <c r="AE549" i="4"/>
  <c r="AF549" i="4"/>
  <c r="AM549" i="4"/>
  <c r="AN549" i="4"/>
  <c r="AE550" i="4"/>
  <c r="AF550" i="4"/>
  <c r="AM550" i="4"/>
  <c r="AN550" i="4"/>
  <c r="AE551" i="4"/>
  <c r="AF551" i="4"/>
  <c r="AM551" i="4"/>
  <c r="AN551" i="4"/>
  <c r="AE552" i="4"/>
  <c r="AF552" i="4"/>
  <c r="AM552" i="4"/>
  <c r="AN552" i="4"/>
  <c r="AE553" i="4"/>
  <c r="AF553" i="4"/>
  <c r="AM553" i="4"/>
  <c r="AN553" i="4"/>
  <c r="AE554" i="4"/>
  <c r="AF554" i="4"/>
  <c r="AM554" i="4"/>
  <c r="AN554" i="4"/>
  <c r="AE555" i="4"/>
  <c r="AF555" i="4"/>
  <c r="AM555" i="4"/>
  <c r="AN555" i="4"/>
  <c r="AM556" i="4"/>
  <c r="AN556" i="4"/>
  <c r="AM557" i="4"/>
  <c r="AN557" i="4"/>
  <c r="O31" i="7"/>
  <c r="M31" i="7"/>
  <c r="AZ458" i="4"/>
  <c r="BA458" i="4"/>
  <c r="BH458" i="4"/>
  <c r="BI458" i="4"/>
  <c r="AZ459" i="4"/>
  <c r="BA459" i="4"/>
  <c r="BH459" i="4"/>
  <c r="BI459" i="4"/>
  <c r="AZ460" i="4"/>
  <c r="BA460" i="4"/>
  <c r="BH460" i="4"/>
  <c r="BI460" i="4"/>
  <c r="AZ461" i="4"/>
  <c r="BA461" i="4"/>
  <c r="BH461" i="4"/>
  <c r="BI461" i="4"/>
  <c r="AZ462" i="4"/>
  <c r="BA462" i="4"/>
  <c r="BH462" i="4"/>
  <c r="BI462" i="4"/>
  <c r="AZ463" i="4"/>
  <c r="BA463" i="4"/>
  <c r="BH463" i="4"/>
  <c r="BI463" i="4"/>
  <c r="AZ464" i="4"/>
  <c r="BA464" i="4"/>
  <c r="BH464" i="4"/>
  <c r="BI464" i="4"/>
  <c r="AZ465" i="4"/>
  <c r="BA465" i="4"/>
  <c r="BH465" i="4"/>
  <c r="BI465" i="4"/>
  <c r="AZ466" i="4"/>
  <c r="BA466" i="4"/>
  <c r="BH466" i="4"/>
  <c r="BI466" i="4"/>
  <c r="AZ467" i="4"/>
  <c r="BA467" i="4"/>
  <c r="BH467" i="4"/>
  <c r="BI467" i="4"/>
  <c r="AZ468" i="4"/>
  <c r="BA468" i="4"/>
  <c r="BH468" i="4"/>
  <c r="BI468" i="4"/>
  <c r="AZ469" i="4"/>
  <c r="BA469" i="4"/>
  <c r="BH469" i="4"/>
  <c r="BI469" i="4"/>
  <c r="AZ470" i="4"/>
  <c r="BA470" i="4"/>
  <c r="BH470" i="4"/>
  <c r="BI470" i="4"/>
  <c r="AZ471" i="4"/>
  <c r="BA471" i="4"/>
  <c r="BH471" i="4"/>
  <c r="BI471" i="4"/>
  <c r="AZ472" i="4"/>
  <c r="BA472" i="4"/>
  <c r="BH472" i="4"/>
  <c r="BI472" i="4"/>
  <c r="AZ473" i="4"/>
  <c r="BA473" i="4"/>
  <c r="BH473" i="4"/>
  <c r="BI473" i="4"/>
  <c r="AZ474" i="4"/>
  <c r="BA474" i="4"/>
  <c r="BH474" i="4"/>
  <c r="BI474" i="4"/>
  <c r="AZ475" i="4"/>
  <c r="BA475" i="4"/>
  <c r="BH475" i="4"/>
  <c r="BI475" i="4"/>
  <c r="AZ476" i="4"/>
  <c r="BA476" i="4"/>
  <c r="BH476" i="4"/>
  <c r="BI476" i="4"/>
  <c r="AZ477" i="4"/>
  <c r="BA477" i="4"/>
  <c r="BH477" i="4"/>
  <c r="BI477" i="4"/>
  <c r="AZ478" i="4"/>
  <c r="BA478" i="4"/>
  <c r="BH478" i="4"/>
  <c r="BI478" i="4"/>
  <c r="AZ479" i="4"/>
  <c r="BA479" i="4"/>
  <c r="BH479" i="4"/>
  <c r="BI479" i="4"/>
  <c r="AZ480" i="4"/>
  <c r="BA480" i="4"/>
  <c r="BH480" i="4"/>
  <c r="BI480" i="4"/>
  <c r="AZ481" i="4"/>
  <c r="BA481" i="4"/>
  <c r="BH481" i="4"/>
  <c r="BI481" i="4"/>
  <c r="AZ482" i="4"/>
  <c r="BA482" i="4"/>
  <c r="BH482" i="4"/>
  <c r="BI482" i="4"/>
  <c r="AZ483" i="4"/>
  <c r="BA483" i="4"/>
  <c r="BH483" i="4"/>
  <c r="BI483" i="4"/>
  <c r="AZ484" i="4"/>
  <c r="BA484" i="4"/>
  <c r="BH484" i="4"/>
  <c r="BI484" i="4"/>
  <c r="AZ485" i="4"/>
  <c r="BA485" i="4"/>
  <c r="BH485" i="4"/>
  <c r="BI485" i="4"/>
  <c r="AZ486" i="4"/>
  <c r="BA486" i="4"/>
  <c r="BH486" i="4"/>
  <c r="BI486" i="4"/>
  <c r="AZ487" i="4"/>
  <c r="BA487" i="4"/>
  <c r="BH487" i="4"/>
  <c r="BI487" i="4"/>
  <c r="AZ488" i="4"/>
  <c r="BA488" i="4"/>
  <c r="BH488" i="4"/>
  <c r="BI488" i="4"/>
  <c r="AZ489" i="4"/>
  <c r="BA489" i="4"/>
  <c r="BH489" i="4"/>
  <c r="BI489" i="4"/>
  <c r="AZ490" i="4"/>
  <c r="BA490" i="4"/>
  <c r="BH490" i="4"/>
  <c r="BI490" i="4"/>
  <c r="AZ491" i="4"/>
  <c r="BA491" i="4"/>
  <c r="BH491" i="4"/>
  <c r="BI491" i="4"/>
  <c r="AZ492" i="4"/>
  <c r="BA492" i="4"/>
  <c r="BH492" i="4"/>
  <c r="BI492" i="4"/>
  <c r="AZ493" i="4"/>
  <c r="BA493" i="4"/>
  <c r="BH493" i="4"/>
  <c r="BI493" i="4"/>
  <c r="AZ494" i="4"/>
  <c r="BA494" i="4"/>
  <c r="BH494" i="4"/>
  <c r="BI494" i="4"/>
  <c r="AZ495" i="4"/>
  <c r="BA495" i="4"/>
  <c r="BH495" i="4"/>
  <c r="BI495" i="4"/>
  <c r="AZ496" i="4"/>
  <c r="BA496" i="4"/>
  <c r="BH496" i="4"/>
  <c r="BI496" i="4"/>
  <c r="AZ497" i="4"/>
  <c r="BA497" i="4"/>
  <c r="BH497" i="4"/>
  <c r="BI497" i="4"/>
  <c r="AZ498" i="4"/>
  <c r="BA498" i="4"/>
  <c r="BH498" i="4"/>
  <c r="BI498" i="4"/>
  <c r="AZ499" i="4"/>
  <c r="BA499" i="4"/>
  <c r="BH499" i="4"/>
  <c r="BI499" i="4"/>
  <c r="AZ500" i="4"/>
  <c r="BA500" i="4"/>
  <c r="BH500" i="4"/>
  <c r="BI500" i="4"/>
  <c r="AZ501" i="4"/>
  <c r="BA501" i="4"/>
  <c r="BH501" i="4"/>
  <c r="BI501" i="4"/>
  <c r="AZ502" i="4"/>
  <c r="BA502" i="4"/>
  <c r="BH502" i="4"/>
  <c r="BI502" i="4"/>
  <c r="AZ503" i="4"/>
  <c r="BA503" i="4"/>
  <c r="BH503" i="4"/>
  <c r="BI503" i="4"/>
  <c r="AZ504" i="4"/>
  <c r="BA504" i="4"/>
  <c r="BH504" i="4"/>
  <c r="BI504" i="4"/>
  <c r="O30" i="7"/>
  <c r="M30" i="7"/>
  <c r="AJ457" i="4"/>
  <c r="AK457" i="4"/>
  <c r="AR457" i="4"/>
  <c r="AS457" i="4"/>
  <c r="AJ458" i="4"/>
  <c r="AK458" i="4"/>
  <c r="AR458" i="4"/>
  <c r="AS458" i="4"/>
  <c r="AJ459" i="4"/>
  <c r="AK459" i="4"/>
  <c r="AR459" i="4"/>
  <c r="AS459" i="4"/>
  <c r="AJ460" i="4"/>
  <c r="AK460" i="4"/>
  <c r="AR460" i="4"/>
  <c r="AS460" i="4"/>
  <c r="AJ461" i="4"/>
  <c r="AK461" i="4"/>
  <c r="AR461" i="4"/>
  <c r="AS461" i="4"/>
  <c r="AJ462" i="4"/>
  <c r="AK462" i="4"/>
  <c r="AR462" i="4"/>
  <c r="AS462" i="4"/>
  <c r="AJ463" i="4"/>
  <c r="AK463" i="4"/>
  <c r="AR463" i="4"/>
  <c r="AS463" i="4"/>
  <c r="AJ464" i="4"/>
  <c r="AK464" i="4"/>
  <c r="AR464" i="4"/>
  <c r="AS464" i="4"/>
  <c r="AJ465" i="4"/>
  <c r="AK465" i="4"/>
  <c r="AR465" i="4"/>
  <c r="AS465" i="4"/>
  <c r="AJ466" i="4"/>
  <c r="AK466" i="4"/>
  <c r="AR466" i="4"/>
  <c r="AS466" i="4"/>
  <c r="AJ467" i="4"/>
  <c r="AK467" i="4"/>
  <c r="AR467" i="4"/>
  <c r="AS467" i="4"/>
  <c r="AJ468" i="4"/>
  <c r="AK468" i="4"/>
  <c r="AR468" i="4"/>
  <c r="AS468" i="4"/>
  <c r="AJ469" i="4"/>
  <c r="AK469" i="4"/>
  <c r="AR469" i="4"/>
  <c r="AS469" i="4"/>
  <c r="AJ470" i="4"/>
  <c r="AK470" i="4"/>
  <c r="AR470" i="4"/>
  <c r="AS470" i="4"/>
  <c r="AJ471" i="4"/>
  <c r="AK471" i="4"/>
  <c r="AR471" i="4"/>
  <c r="AS471" i="4"/>
  <c r="AJ472" i="4"/>
  <c r="AK472" i="4"/>
  <c r="AR472" i="4"/>
  <c r="AS472" i="4"/>
  <c r="AJ473" i="4"/>
  <c r="AK473" i="4"/>
  <c r="AR473" i="4"/>
  <c r="AS473" i="4"/>
  <c r="AJ474" i="4"/>
  <c r="AK474" i="4"/>
  <c r="AR474" i="4"/>
  <c r="AS474" i="4"/>
  <c r="AJ475" i="4"/>
  <c r="AK475" i="4"/>
  <c r="AR475" i="4"/>
  <c r="AS475" i="4"/>
  <c r="AJ476" i="4"/>
  <c r="AK476" i="4"/>
  <c r="AR476" i="4"/>
  <c r="AS476" i="4"/>
  <c r="AJ477" i="4"/>
  <c r="AK477" i="4"/>
  <c r="AR477" i="4"/>
  <c r="AS477" i="4"/>
  <c r="AJ478" i="4"/>
  <c r="AK478" i="4"/>
  <c r="AR478" i="4"/>
  <c r="AS478" i="4"/>
  <c r="AJ479" i="4"/>
  <c r="AK479" i="4"/>
  <c r="AR479" i="4"/>
  <c r="AS479" i="4"/>
  <c r="AJ480" i="4"/>
  <c r="AK480" i="4"/>
  <c r="AR480" i="4"/>
  <c r="AS480" i="4"/>
  <c r="AJ481" i="4"/>
  <c r="AK481" i="4"/>
  <c r="AR481" i="4"/>
  <c r="AS481" i="4"/>
  <c r="AJ482" i="4"/>
  <c r="AK482" i="4"/>
  <c r="AR482" i="4"/>
  <c r="AS482" i="4"/>
  <c r="AJ483" i="4"/>
  <c r="AK483" i="4"/>
  <c r="AR483" i="4"/>
  <c r="AS483" i="4"/>
  <c r="AJ484" i="4"/>
  <c r="AK484" i="4"/>
  <c r="AR484" i="4"/>
  <c r="AS484" i="4"/>
  <c r="AJ485" i="4"/>
  <c r="AK485" i="4"/>
  <c r="AR485" i="4"/>
  <c r="AS485" i="4"/>
  <c r="AJ486" i="4"/>
  <c r="AK486" i="4"/>
  <c r="AR486" i="4"/>
  <c r="AS486" i="4"/>
  <c r="AJ487" i="4"/>
  <c r="AK487" i="4"/>
  <c r="AR487" i="4"/>
  <c r="AS487" i="4"/>
  <c r="AJ488" i="4"/>
  <c r="AK488" i="4"/>
  <c r="AR488" i="4"/>
  <c r="AS488" i="4"/>
  <c r="AJ489" i="4"/>
  <c r="AK489" i="4"/>
  <c r="AR489" i="4"/>
  <c r="AS489" i="4"/>
  <c r="AJ490" i="4"/>
  <c r="AK490" i="4"/>
  <c r="AR490" i="4"/>
  <c r="AS490" i="4"/>
  <c r="AJ491" i="4"/>
  <c r="AK491" i="4"/>
  <c r="AR491" i="4"/>
  <c r="AS491" i="4"/>
  <c r="AJ492" i="4"/>
  <c r="AK492" i="4"/>
  <c r="AR492" i="4"/>
  <c r="AS492" i="4"/>
  <c r="AJ493" i="4"/>
  <c r="AK493" i="4"/>
  <c r="AR493" i="4"/>
  <c r="AS493" i="4"/>
  <c r="AJ494" i="4"/>
  <c r="AK494" i="4"/>
  <c r="AR494" i="4"/>
  <c r="AS494" i="4"/>
  <c r="AJ495" i="4"/>
  <c r="AK495" i="4"/>
  <c r="AR495" i="4"/>
  <c r="AS495" i="4"/>
  <c r="AJ496" i="4"/>
  <c r="AK496" i="4"/>
  <c r="AR496" i="4"/>
  <c r="AS496" i="4"/>
  <c r="AJ497" i="4"/>
  <c r="AK497" i="4"/>
  <c r="AR497" i="4"/>
  <c r="AS497" i="4"/>
  <c r="AJ498" i="4"/>
  <c r="AK498" i="4"/>
  <c r="AR498" i="4"/>
  <c r="AS498" i="4"/>
  <c r="AR499" i="4"/>
  <c r="AS499" i="4"/>
  <c r="AR500" i="4"/>
  <c r="AS500" i="4"/>
  <c r="AR501" i="4"/>
  <c r="AS501" i="4"/>
  <c r="O46" i="7"/>
  <c r="M46" i="7"/>
  <c r="T457" i="4"/>
  <c r="U457" i="4"/>
  <c r="AB457" i="4"/>
  <c r="AC457" i="4"/>
  <c r="T458" i="4"/>
  <c r="U458" i="4"/>
  <c r="AB458" i="4"/>
  <c r="AC458" i="4"/>
  <c r="T459" i="4"/>
  <c r="U459" i="4"/>
  <c r="AB459" i="4"/>
  <c r="AC459" i="4"/>
  <c r="T460" i="4"/>
  <c r="U460" i="4"/>
  <c r="AB460" i="4"/>
  <c r="AC460" i="4"/>
  <c r="T461" i="4"/>
  <c r="U461" i="4"/>
  <c r="AB461" i="4"/>
  <c r="AC461" i="4"/>
  <c r="T462" i="4"/>
  <c r="U462" i="4"/>
  <c r="AB462" i="4"/>
  <c r="AC462" i="4"/>
  <c r="T463" i="4"/>
  <c r="U463" i="4"/>
  <c r="AB463" i="4"/>
  <c r="AC463" i="4"/>
  <c r="T464" i="4"/>
  <c r="U464" i="4"/>
  <c r="AB464" i="4"/>
  <c r="AC464" i="4"/>
  <c r="T465" i="4"/>
  <c r="U465" i="4"/>
  <c r="AB465" i="4"/>
  <c r="AC465" i="4"/>
  <c r="T466" i="4"/>
  <c r="U466" i="4"/>
  <c r="AB466" i="4"/>
  <c r="AC466" i="4"/>
  <c r="T467" i="4"/>
  <c r="U467" i="4"/>
  <c r="AB467" i="4"/>
  <c r="AC467" i="4"/>
  <c r="T468" i="4"/>
  <c r="U468" i="4"/>
  <c r="AB468" i="4"/>
  <c r="AC468" i="4"/>
  <c r="T469" i="4"/>
  <c r="U469" i="4"/>
  <c r="AB469" i="4"/>
  <c r="AC469" i="4"/>
  <c r="T470" i="4"/>
  <c r="U470" i="4"/>
  <c r="AB470" i="4"/>
  <c r="AC470" i="4"/>
  <c r="T471" i="4"/>
  <c r="U471" i="4"/>
  <c r="AB471" i="4"/>
  <c r="AC471" i="4"/>
  <c r="T472" i="4"/>
  <c r="U472" i="4"/>
  <c r="AB472" i="4"/>
  <c r="AC472" i="4"/>
  <c r="T473" i="4"/>
  <c r="U473" i="4"/>
  <c r="AB473" i="4"/>
  <c r="AC473" i="4"/>
  <c r="T474" i="4"/>
  <c r="U474" i="4"/>
  <c r="AB474" i="4"/>
  <c r="AC474" i="4"/>
  <c r="T475" i="4"/>
  <c r="U475" i="4"/>
  <c r="AB475" i="4"/>
  <c r="AC475" i="4"/>
  <c r="T476" i="4"/>
  <c r="U476" i="4"/>
  <c r="AB476" i="4"/>
  <c r="AC476" i="4"/>
  <c r="T477" i="4"/>
  <c r="U477" i="4"/>
  <c r="AB477" i="4"/>
  <c r="AC477" i="4"/>
  <c r="T478" i="4"/>
  <c r="U478" i="4"/>
  <c r="AB478" i="4"/>
  <c r="AC478" i="4"/>
  <c r="T479" i="4"/>
  <c r="U479" i="4"/>
  <c r="AB479" i="4"/>
  <c r="AC479" i="4"/>
  <c r="T480" i="4"/>
  <c r="U480" i="4"/>
  <c r="AB480" i="4"/>
  <c r="AC480" i="4"/>
  <c r="T481" i="4"/>
  <c r="U481" i="4"/>
  <c r="AB481" i="4"/>
  <c r="AC481" i="4"/>
  <c r="T482" i="4"/>
  <c r="U482" i="4"/>
  <c r="AB482" i="4"/>
  <c r="AC482" i="4"/>
  <c r="T483" i="4"/>
  <c r="U483" i="4"/>
  <c r="AB483" i="4"/>
  <c r="AC483" i="4"/>
  <c r="T484" i="4"/>
  <c r="U484" i="4"/>
  <c r="AB484" i="4"/>
  <c r="AC484" i="4"/>
  <c r="T485" i="4"/>
  <c r="U485" i="4"/>
  <c r="AB485" i="4"/>
  <c r="AC485" i="4"/>
  <c r="T486" i="4"/>
  <c r="U486" i="4"/>
  <c r="AB486" i="4"/>
  <c r="AC486" i="4"/>
  <c r="T487" i="4"/>
  <c r="U487" i="4"/>
  <c r="AB487" i="4"/>
  <c r="AC487" i="4"/>
  <c r="T488" i="4"/>
  <c r="U488" i="4"/>
  <c r="AB488" i="4"/>
  <c r="AC488" i="4"/>
  <c r="T489" i="4"/>
  <c r="U489" i="4"/>
  <c r="AB489" i="4"/>
  <c r="AC489" i="4"/>
  <c r="T490" i="4"/>
  <c r="U490" i="4"/>
  <c r="AB490" i="4"/>
  <c r="AC490" i="4"/>
  <c r="T491" i="4"/>
  <c r="U491" i="4"/>
  <c r="AB491" i="4"/>
  <c r="AC491" i="4"/>
  <c r="T492" i="4"/>
  <c r="U492" i="4"/>
  <c r="AB492" i="4"/>
  <c r="AC492" i="4"/>
  <c r="T493" i="4"/>
  <c r="U493" i="4"/>
  <c r="AB493" i="4"/>
  <c r="AC493" i="4"/>
  <c r="T494" i="4"/>
  <c r="U494" i="4"/>
  <c r="AB494" i="4"/>
  <c r="AC494" i="4"/>
  <c r="T495" i="4"/>
  <c r="U495" i="4"/>
  <c r="AB495" i="4"/>
  <c r="AC495" i="4"/>
  <c r="AB496" i="4"/>
  <c r="AC496" i="4"/>
  <c r="D457" i="4"/>
  <c r="E457" i="4"/>
  <c r="L457" i="4"/>
  <c r="M457" i="4"/>
  <c r="D458" i="4"/>
  <c r="E458" i="4"/>
  <c r="L458" i="4"/>
  <c r="M458" i="4"/>
  <c r="D459" i="4"/>
  <c r="E459" i="4"/>
  <c r="L459" i="4"/>
  <c r="M459" i="4"/>
  <c r="D460" i="4"/>
  <c r="E460" i="4"/>
  <c r="L460" i="4"/>
  <c r="M460" i="4"/>
  <c r="D461" i="4"/>
  <c r="E461" i="4"/>
  <c r="L461" i="4"/>
  <c r="M461" i="4"/>
  <c r="D462" i="4"/>
  <c r="E462" i="4"/>
  <c r="L462" i="4"/>
  <c r="M462" i="4"/>
  <c r="D463" i="4"/>
  <c r="E463" i="4"/>
  <c r="L463" i="4"/>
  <c r="M463" i="4"/>
  <c r="D464" i="4"/>
  <c r="E464" i="4"/>
  <c r="L464" i="4"/>
  <c r="M464" i="4"/>
  <c r="D465" i="4"/>
  <c r="E465" i="4"/>
  <c r="L465" i="4"/>
  <c r="M465" i="4"/>
  <c r="D466" i="4"/>
  <c r="E466" i="4"/>
  <c r="L466" i="4"/>
  <c r="M466" i="4"/>
  <c r="D467" i="4"/>
  <c r="E467" i="4"/>
  <c r="L467" i="4"/>
  <c r="M467" i="4"/>
  <c r="D468" i="4"/>
  <c r="E468" i="4"/>
  <c r="L468" i="4"/>
  <c r="M468" i="4"/>
  <c r="D469" i="4"/>
  <c r="E469" i="4"/>
  <c r="L469" i="4"/>
  <c r="M469" i="4"/>
  <c r="D470" i="4"/>
  <c r="E470" i="4"/>
  <c r="L470" i="4"/>
  <c r="M470" i="4"/>
  <c r="D471" i="4"/>
  <c r="E471" i="4"/>
  <c r="L471" i="4"/>
  <c r="M471" i="4"/>
  <c r="D472" i="4"/>
  <c r="E472" i="4"/>
  <c r="L472" i="4"/>
  <c r="M472" i="4"/>
  <c r="D473" i="4"/>
  <c r="E473" i="4"/>
  <c r="L473" i="4"/>
  <c r="M473" i="4"/>
  <c r="D474" i="4"/>
  <c r="E474" i="4"/>
  <c r="L474" i="4"/>
  <c r="M474" i="4"/>
  <c r="D475" i="4"/>
  <c r="E475" i="4"/>
  <c r="L475" i="4"/>
  <c r="M475" i="4"/>
  <c r="D476" i="4"/>
  <c r="E476" i="4"/>
  <c r="L476" i="4"/>
  <c r="M476" i="4"/>
  <c r="D477" i="4"/>
  <c r="E477" i="4"/>
  <c r="L477" i="4"/>
  <c r="M477" i="4"/>
  <c r="D478" i="4"/>
  <c r="E478" i="4"/>
  <c r="L478" i="4"/>
  <c r="M478" i="4"/>
  <c r="D479" i="4"/>
  <c r="E479" i="4"/>
  <c r="L479" i="4"/>
  <c r="M479" i="4"/>
  <c r="D480" i="4"/>
  <c r="E480" i="4"/>
  <c r="L480" i="4"/>
  <c r="M480" i="4"/>
  <c r="D481" i="4"/>
  <c r="E481" i="4"/>
  <c r="L481" i="4"/>
  <c r="M481" i="4"/>
  <c r="D482" i="4"/>
  <c r="E482" i="4"/>
  <c r="L482" i="4"/>
  <c r="M482" i="4"/>
  <c r="D483" i="4"/>
  <c r="E483" i="4"/>
  <c r="L483" i="4"/>
  <c r="M483" i="4"/>
  <c r="D484" i="4"/>
  <c r="E484" i="4"/>
  <c r="L484" i="4"/>
  <c r="M484" i="4"/>
  <c r="D485" i="4"/>
  <c r="E485" i="4"/>
  <c r="L485" i="4"/>
  <c r="M485" i="4"/>
  <c r="D486" i="4"/>
  <c r="E486" i="4"/>
  <c r="L486" i="4"/>
  <c r="M486" i="4"/>
  <c r="D487" i="4"/>
  <c r="E487" i="4"/>
  <c r="L487" i="4"/>
  <c r="M487" i="4"/>
  <c r="D488" i="4"/>
  <c r="E488" i="4"/>
  <c r="L488" i="4"/>
  <c r="M488" i="4"/>
  <c r="D489" i="4"/>
  <c r="E489" i="4"/>
  <c r="L489" i="4"/>
  <c r="M489" i="4"/>
  <c r="D490" i="4"/>
  <c r="E490" i="4"/>
  <c r="L490" i="4"/>
  <c r="M490" i="4"/>
  <c r="D491" i="4"/>
  <c r="E491" i="4"/>
  <c r="L491" i="4"/>
  <c r="M491" i="4"/>
  <c r="L492" i="4"/>
  <c r="M492" i="4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13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2" i="5"/>
  <c r="L68" i="5"/>
  <c r="L7" i="5"/>
  <c r="L41" i="5"/>
  <c r="L47" i="5"/>
  <c r="L58" i="5"/>
  <c r="L28" i="5"/>
  <c r="L13" i="5"/>
  <c r="L6" i="5"/>
  <c r="L19" i="5"/>
  <c r="L23" i="5"/>
  <c r="L65" i="5"/>
  <c r="L34" i="5"/>
  <c r="L42" i="5"/>
  <c r="L77" i="5"/>
  <c r="L75" i="5"/>
  <c r="L60" i="5"/>
  <c r="L18" i="5"/>
  <c r="L22" i="5"/>
  <c r="L72" i="5"/>
  <c r="L56" i="5"/>
  <c r="L70" i="5"/>
  <c r="L55" i="5"/>
  <c r="L64" i="5"/>
  <c r="L59" i="5"/>
  <c r="L54" i="5"/>
  <c r="L36" i="5"/>
  <c r="L8" i="5"/>
  <c r="L9" i="5"/>
  <c r="L21" i="5"/>
  <c r="L32" i="5"/>
  <c r="L48" i="5"/>
  <c r="L27" i="5"/>
  <c r="L45" i="5"/>
  <c r="L44" i="5"/>
  <c r="L33" i="5"/>
  <c r="L37" i="5"/>
  <c r="L12" i="5"/>
  <c r="L53" i="5"/>
  <c r="L17" i="5"/>
  <c r="L62" i="5"/>
  <c r="L5" i="5"/>
  <c r="L43" i="5"/>
  <c r="L57" i="5"/>
  <c r="L39" i="5"/>
  <c r="L26" i="5"/>
  <c r="L4" i="5"/>
  <c r="L76" i="5"/>
  <c r="L15" i="5"/>
  <c r="L24" i="5"/>
  <c r="L49" i="5"/>
  <c r="L14" i="5"/>
  <c r="L74" i="5"/>
  <c r="L3" i="5"/>
  <c r="L16" i="5"/>
  <c r="L11" i="5"/>
  <c r="L25" i="5"/>
  <c r="L31" i="5"/>
  <c r="L40" i="5"/>
  <c r="L38" i="5"/>
  <c r="L61" i="5"/>
  <c r="L30" i="5"/>
  <c r="L52" i="5"/>
  <c r="L51" i="5"/>
  <c r="L73" i="5"/>
  <c r="L10" i="5"/>
  <c r="L67" i="5"/>
  <c r="L71" i="5"/>
  <c r="L66" i="5"/>
  <c r="L78" i="5"/>
  <c r="L35" i="5"/>
  <c r="L46" i="5"/>
  <c r="L20" i="5"/>
  <c r="L2" i="5"/>
  <c r="L69" i="5"/>
  <c r="L63" i="5"/>
  <c r="L29" i="5"/>
  <c r="L50" i="5"/>
  <c r="M74" i="6"/>
  <c r="M73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13" i="6"/>
  <c r="M14" i="6"/>
  <c r="M15" i="6"/>
  <c r="M16" i="6"/>
  <c r="M23" i="6"/>
  <c r="M17" i="6"/>
  <c r="M18" i="6"/>
  <c r="M19" i="6"/>
  <c r="M20" i="6"/>
  <c r="M21" i="6"/>
  <c r="M22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</calcChain>
</file>

<file path=xl/sharedStrings.xml><?xml version="1.0" encoding="utf-8"?>
<sst xmlns="http://schemas.openxmlformats.org/spreadsheetml/2006/main" count="18459" uniqueCount="613">
  <si>
    <t>Mega Man</t>
  </si>
  <si>
    <t>Meta Knight</t>
  </si>
  <si>
    <t>Zelda</t>
  </si>
  <si>
    <t>Yoshi</t>
  </si>
  <si>
    <t>Little Mac</t>
  </si>
  <si>
    <t>Pac Man</t>
  </si>
  <si>
    <t>Donkey Kong</t>
  </si>
  <si>
    <t>Sonic</t>
  </si>
  <si>
    <t>Captain Falcon</t>
  </si>
  <si>
    <t>Pit</t>
  </si>
  <si>
    <t>Kirby</t>
  </si>
  <si>
    <t>Dark Pit</t>
  </si>
  <si>
    <t>Rosalina</t>
  </si>
  <si>
    <t>King K Rool</t>
  </si>
  <si>
    <t>Corrin</t>
  </si>
  <si>
    <t>King Dedede</t>
  </si>
  <si>
    <t>Roy</t>
  </si>
  <si>
    <t>Ridley</t>
  </si>
  <si>
    <t>Dark Samus</t>
  </si>
  <si>
    <t>Dr. Mario</t>
  </si>
  <si>
    <t>Fox</t>
  </si>
  <si>
    <t>Luigi</t>
  </si>
  <si>
    <t>Samus</t>
  </si>
  <si>
    <t>Princess Peach</t>
  </si>
  <si>
    <t>Ness</t>
  </si>
  <si>
    <t>Ganondorf</t>
  </si>
  <si>
    <t>Wario</t>
  </si>
  <si>
    <t>Jigglypuff</t>
  </si>
  <si>
    <t>Mewtwo</t>
  </si>
  <si>
    <t>Pikachu</t>
  </si>
  <si>
    <t>Pichu</t>
  </si>
  <si>
    <t>Bowser</t>
  </si>
  <si>
    <t>Ken</t>
  </si>
  <si>
    <t>Simon</t>
  </si>
  <si>
    <t>Greninja</t>
  </si>
  <si>
    <t>Villager</t>
  </si>
  <si>
    <t>Inkling</t>
  </si>
  <si>
    <t>Cloud</t>
  </si>
  <si>
    <t>Top 8's</t>
  </si>
  <si>
    <t>Trophies</t>
  </si>
  <si>
    <t>Avg Position</t>
  </si>
  <si>
    <t>History</t>
  </si>
  <si>
    <t>Character</t>
  </si>
  <si>
    <t>Total</t>
  </si>
  <si>
    <t>▲1</t>
  </si>
  <si>
    <t>▼2</t>
  </si>
  <si>
    <t>▼1</t>
  </si>
  <si>
    <t>▲2</t>
  </si>
  <si>
    <t>*</t>
  </si>
  <si>
    <t>Wolf</t>
  </si>
  <si>
    <t>Ike</t>
  </si>
  <si>
    <t>Mario</t>
  </si>
  <si>
    <t>Falco</t>
  </si>
  <si>
    <t>New</t>
  </si>
  <si>
    <t>▼3</t>
  </si>
  <si>
    <t>▼4</t>
  </si>
  <si>
    <t>Duck Hunt</t>
  </si>
  <si>
    <t xml:space="preserve">Palutena </t>
  </si>
  <si>
    <t>Palutena</t>
  </si>
  <si>
    <t>▲3</t>
  </si>
  <si>
    <t>3,6,4</t>
  </si>
  <si>
    <t>Mii Swordfighter</t>
  </si>
  <si>
    <t>7,2,3</t>
  </si>
  <si>
    <t>Link</t>
  </si>
  <si>
    <t>🏆</t>
  </si>
  <si>
    <t>🏆🏆🏆</t>
  </si>
  <si>
    <t>🏆🏆</t>
  </si>
  <si>
    <t>▼8💀</t>
  </si>
  <si>
    <t>▼11💀</t>
  </si>
  <si>
    <t>▼7💀</t>
  </si>
  <si>
    <t>Trash Kong</t>
  </si>
  <si>
    <t>▼6</t>
  </si>
  <si>
    <t>King K Trash</t>
  </si>
  <si>
    <t>Trashchu</t>
  </si>
  <si>
    <t>Jigglytrash</t>
  </si>
  <si>
    <t>Trashdorf</t>
  </si>
  <si>
    <t>Mid Dedede</t>
  </si>
  <si>
    <t>Broken Kirby</t>
  </si>
  <si>
    <t>Marth</t>
  </si>
  <si>
    <t>R.O.B.</t>
  </si>
  <si>
    <t>Richter</t>
  </si>
  <si>
    <t>Incineroar</t>
  </si>
  <si>
    <t>Shulk</t>
  </si>
  <si>
    <t>🏆🏆🏆🏆</t>
  </si>
  <si>
    <t>▼9💀</t>
  </si>
  <si>
    <t>New Trash</t>
  </si>
  <si>
    <t>Iceclimbers</t>
  </si>
  <si>
    <t>Ice-Climbers</t>
  </si>
  <si>
    <t>▲5</t>
  </si>
  <si>
    <t>Ryu</t>
  </si>
  <si>
    <t>Diddy Kong</t>
  </si>
  <si>
    <t>8,4,5,1,6,7</t>
  </si>
  <si>
    <t>New God Tier</t>
  </si>
  <si>
    <t>New Mid Tier</t>
  </si>
  <si>
    <t>▼5</t>
  </si>
  <si>
    <t>Rosatrash</t>
  </si>
  <si>
    <t>Trashley</t>
  </si>
  <si>
    <t>Trashiest of the Trash</t>
  </si>
  <si>
    <t>▲7</t>
  </si>
  <si>
    <t>Snake</t>
  </si>
  <si>
    <t>5,2,8,8</t>
  </si>
  <si>
    <t>Trash Rat</t>
  </si>
  <si>
    <t>What Does the Trash Say</t>
  </si>
  <si>
    <t>Trash Lady and Trash Star</t>
  </si>
  <si>
    <t>Bayonetta</t>
  </si>
  <si>
    <t>Bowser Jr.</t>
  </si>
  <si>
    <t>▲10</t>
  </si>
  <si>
    <t>Trash Plumber</t>
  </si>
  <si>
    <t>Trash Lizard</t>
  </si>
  <si>
    <t>Trash Puff</t>
  </si>
  <si>
    <t>Sheik</t>
  </si>
  <si>
    <t>Trophy Rate</t>
  </si>
  <si>
    <t>Isabelle</t>
  </si>
  <si>
    <t>Toon Link</t>
  </si>
  <si>
    <t>2,6,4</t>
  </si>
  <si>
    <t>Mr. Game &amp; Watch</t>
  </si>
  <si>
    <t>Olimar</t>
  </si>
  <si>
    <t>Joker</t>
  </si>
  <si>
    <t>▲9</t>
  </si>
  <si>
    <t>King K. Rool</t>
  </si>
  <si>
    <t>7,8,7,3,4,7,6,1,5,2</t>
  </si>
  <si>
    <t>Lucario</t>
  </si>
  <si>
    <t>Wii Fit Trainer</t>
  </si>
  <si>
    <t>Robin</t>
  </si>
  <si>
    <t>Zero Suit Samus</t>
  </si>
  <si>
    <t>Banjo-Kazooie</t>
  </si>
  <si>
    <t>▲17🚀</t>
  </si>
  <si>
    <t>3,1,6,8,6,7,2,6,7</t>
  </si>
  <si>
    <t>Byleth</t>
  </si>
  <si>
    <t>Terry</t>
  </si>
  <si>
    <t>4,5,8,5,5</t>
  </si>
  <si>
    <t>7,4,7</t>
  </si>
  <si>
    <t>▲7🚀</t>
  </si>
  <si>
    <t>▲4</t>
  </si>
  <si>
    <t>New Barely Not Trash</t>
  </si>
  <si>
    <t>Sephiroth</t>
  </si>
  <si>
    <t>4,2,4,2,3,7</t>
  </si>
  <si>
    <t>Steve</t>
  </si>
  <si>
    <t>Sora</t>
  </si>
  <si>
    <t>Pokemon Trainer</t>
  </si>
  <si>
    <t>Pyra</t>
  </si>
  <si>
    <t>Kazuya</t>
  </si>
  <si>
    <t>Min Min</t>
  </si>
  <si>
    <t>▲18🚀🚀🚀</t>
  </si>
  <si>
    <t>▼11💀💀</t>
  </si>
  <si>
    <t>New Oko</t>
  </si>
  <si>
    <t>New Pithing Needle</t>
  </si>
  <si>
    <t>Hero</t>
  </si>
  <si>
    <t>Piranha Plant</t>
  </si>
  <si>
    <t>2,5,2,8</t>
  </si>
  <si>
    <t>▼18💀💀💀 Assassin Matt Send His Regards</t>
  </si>
  <si>
    <t>New Fa'adiyah Seer</t>
  </si>
  <si>
    <t>▼12💀💀</t>
  </si>
  <si>
    <t>▲13🚀🚀🚀</t>
  </si>
  <si>
    <t>▼19💀💀💀</t>
  </si>
  <si>
    <t>▲9🚀🚀</t>
  </si>
  <si>
    <t>4,7,1</t>
  </si>
  <si>
    <t>New Tenth District Legionnaire</t>
  </si>
  <si>
    <t>New Doomblade Roleplayer</t>
  </si>
  <si>
    <t>7,7,4,8,1</t>
  </si>
  <si>
    <t>6,6,5</t>
  </si>
  <si>
    <t>▲6🚀</t>
  </si>
  <si>
    <t>New Grim Flayer</t>
  </si>
  <si>
    <t>5,5,7</t>
  </si>
  <si>
    <t>7,8</t>
  </si>
  <si>
    <t>New Prophetic Titan</t>
  </si>
  <si>
    <t>New Tormod's Cryptkeeper</t>
  </si>
  <si>
    <t>New Rishadan Dockhand</t>
  </si>
  <si>
    <t>7,7,2</t>
  </si>
  <si>
    <t>3,8,5</t>
  </si>
  <si>
    <t>4,6,6,6,8,1,2,4,5,6,6,2</t>
  </si>
  <si>
    <t>6,6,6,3</t>
  </si>
  <si>
    <t>6,4,5</t>
  </si>
  <si>
    <t>Daisy</t>
  </si>
  <si>
    <t>8,2,4,1,5,6,4,5,5,3,3,8,4,7,6</t>
  </si>
  <si>
    <t>Mii Gunner</t>
  </si>
  <si>
    <t>3,8,4,1</t>
  </si>
  <si>
    <t>2,6,8</t>
  </si>
  <si>
    <t>New Black Lotus</t>
  </si>
  <si>
    <t>New Gruff Triplets</t>
  </si>
  <si>
    <t>New Torch the Tower</t>
  </si>
  <si>
    <t>▲18🚀🚀🚀🚀🚀</t>
  </si>
  <si>
    <t>▼10💀💀</t>
  </si>
  <si>
    <t>▼17💀💀💀</t>
  </si>
  <si>
    <t>New Mintstrosity</t>
  </si>
  <si>
    <t>New Edgewall Pack</t>
  </si>
  <si>
    <t>New Sugar Rush</t>
  </si>
  <si>
    <t>▼18💀💀💀</t>
  </si>
  <si>
    <t>New Rhystic Study</t>
  </si>
  <si>
    <t>8,6,1,5,6,3,7,5,8,1,1,7,8,2,6,4,8,6,4,5,5,8,6,7,3</t>
  </si>
  <si>
    <t>Mythra</t>
  </si>
  <si>
    <t>4,7,8,2,3</t>
  </si>
  <si>
    <t>2,3,5,7</t>
  </si>
  <si>
    <t>▼19💀💀💀💀</t>
  </si>
  <si>
    <t>▲11🚀🚀</t>
  </si>
  <si>
    <t>▼6💀</t>
  </si>
  <si>
    <t>1,3,3,3,7</t>
  </si>
  <si>
    <t>Pyra/Mythra</t>
  </si>
  <si>
    <t>4,8,4</t>
  </si>
  <si>
    <t>8,3,1,5,6,1,6</t>
  </si>
  <si>
    <t>3,7,7</t>
  </si>
  <si>
    <t>7,4,7,7,4,5,8,4,2,6,1,6,5,6,1,6,7,7,6,5,7,5,7,1,3,8,2,4,8,8</t>
  </si>
  <si>
    <t>3,4,5</t>
  </si>
  <si>
    <t>3,1,3,3,4,7,1,6,2,2,6</t>
  </si>
  <si>
    <t>6,5,4,8</t>
  </si>
  <si>
    <t>6,1,6,6,6</t>
  </si>
  <si>
    <t>7,3,5,7</t>
  </si>
  <si>
    <t>3,1,6</t>
  </si>
  <si>
    <t>2,1,8</t>
  </si>
  <si>
    <t>8,3,5</t>
  </si>
  <si>
    <t>5,4,2,7,3,6,5</t>
  </si>
  <si>
    <t>6,5,2,2,2,6</t>
  </si>
  <si>
    <t>7,2,3,4,4,5,4,4,7</t>
  </si>
  <si>
    <t>New P1P1 Deep-Cavern Bat</t>
  </si>
  <si>
    <t>New P1P1 Zoetic Glyph</t>
  </si>
  <si>
    <t>▲8🚀🚀</t>
  </si>
  <si>
    <t>▲13🚀🚀</t>
  </si>
  <si>
    <t>New Mid Cenote Scout</t>
  </si>
  <si>
    <t>▼15💀💀💀</t>
  </si>
  <si>
    <t>▼28💀💀💀💀💀💀</t>
  </si>
  <si>
    <t>New Sorcerous Spyglass</t>
  </si>
  <si>
    <t>▼16💀💀💀</t>
  </si>
  <si>
    <t>▼21💀💀💀💀💀</t>
  </si>
  <si>
    <t>3,1,3,2,4,3,8,1,1,6,7,4,3,8,7,5,4,5,5,2,7,5,6,3</t>
  </si>
  <si>
    <t>4,8,7,6,2,7,2,6</t>
  </si>
  <si>
    <t>1,8,8</t>
  </si>
  <si>
    <t>8,4,2</t>
  </si>
  <si>
    <t>2,4,2,7,8,8,8,7,2,2,2,4,4</t>
  </si>
  <si>
    <t>8,1,3,5,8,4,1,6</t>
  </si>
  <si>
    <t>3,2,8,5,3,5,4,3,5,8</t>
  </si>
  <si>
    <t>Young Link</t>
  </si>
  <si>
    <t>2,3,6,8,2,3,8,7,6,7,5,8,4,5,8,4</t>
  </si>
  <si>
    <t>Lucas</t>
  </si>
  <si>
    <t>New Mid</t>
  </si>
  <si>
    <t>1,5,8,8,1,2,6,6,6,2,4</t>
  </si>
  <si>
    <t>1,1,2,5,1,6,6,8,4,5,8,1,4,2,7,2,8,2,5,7,2,4,3,1,7,2,4,7,8,6</t>
  </si>
  <si>
    <t>8,5,3,7,8,5,7,5,7</t>
  </si>
  <si>
    <t>Chrom</t>
  </si>
  <si>
    <t>5,3,8</t>
  </si>
  <si>
    <t>5,7,4,5,8,1</t>
  </si>
  <si>
    <t>1,2,2,6,3,8,2,4,1,1,1,1,1,3,3,3,2,7,5,1,5,2</t>
  </si>
  <si>
    <t>8,4</t>
  </si>
  <si>
    <t>3,6,1,6,1,4,6,3,6,4,5,5,5,6,1,1,7,3,1,5,2,6</t>
  </si>
  <si>
    <t>3,4,7</t>
  </si>
  <si>
    <t>▲21🚀🚀🚀🚀🚀</t>
  </si>
  <si>
    <t>6,7,1</t>
  </si>
  <si>
    <t>1,5,4,6,6,4,3</t>
  </si>
  <si>
    <t>1,3,8,4,1,5,8,3,4</t>
  </si>
  <si>
    <t>2,3,7,7,4,2,3,5,3,5,5,7,7,4,1,7,8,5,8,8</t>
  </si>
  <si>
    <t>1,1,1,6,4,3,7</t>
  </si>
  <si>
    <t>1,8,6,6</t>
  </si>
  <si>
    <t>5,3,3,5</t>
  </si>
  <si>
    <t>7,3</t>
  </si>
  <si>
    <t>Mii Brawler</t>
  </si>
  <si>
    <t>5,1,1,8,3,3,4,4,7,1,8,3,4,5,4,3,1,1,3,3,1,4,6,1,2,1,1,4,8,1,3,8,6,1,3,5,7,7,5,8,7,7,4,6,4,8,6,7,8,2,2,4,5,4,1,7,5,3,4,5,1</t>
  </si>
  <si>
    <t>5,7,4,1,8,1,8,2,1,1,5,1,2,7,4,5,2,2,7,5</t>
  </si>
  <si>
    <t>2,5,6,5,4,8,2,6</t>
  </si>
  <si>
    <t>8,6,8,8,4,8,4,4,1,6,7</t>
  </si>
  <si>
    <t>2,2,8</t>
  </si>
  <si>
    <t>4,5,4,2,8,5,1,2,3,1,2,8,3,6,1,8,4,2,3,1,7,1,4,3,1,3,4,2,6,2,8,7,5,1,6,8,3,5,3,3,7,4,5,6,5,3,7,8,3,1,2,6,5,8,7,8,2,1</t>
  </si>
  <si>
    <t>1,6,2,2,7,3,3,6,5,3,7,2,1,2,5,2,1,2,3,3,2</t>
  </si>
  <si>
    <t>6,4,3</t>
  </si>
  <si>
    <t>7,6,6,8,2,4</t>
  </si>
  <si>
    <t>6,5,5</t>
  </si>
  <si>
    <t>3,5,1,2,8,6</t>
  </si>
  <si>
    <t>4,2,3,2,2,3,1,3,1,2,5,7,8,3,4,8,4,7,4,5,6,2,2,2,8,3,7,6,4,7,7,1,7</t>
  </si>
  <si>
    <t>3,6,2,7,6,4,2,1,3,2,8,7,6,1,2,3,4,8</t>
  </si>
  <si>
    <t>▼13💀💀</t>
  </si>
  <si>
    <t>4,2,3,2,2,3,1,3,1,2,5,7,8,3,4,8,4,7,4,5,6,2,2,2,8,3,7,6,4,7,7,1,7,4,6</t>
  </si>
  <si>
    <t>4,6,6,6,8,1,2,4,5,6,6,2,1</t>
  </si>
  <si>
    <t>6,4,3,8,3,2</t>
  </si>
  <si>
    <t>Min-Min</t>
  </si>
  <si>
    <t>▲6</t>
  </si>
  <si>
    <t>Forever Trash</t>
  </si>
  <si>
    <t>Generational Trash</t>
  </si>
  <si>
    <t>STD</t>
  </si>
  <si>
    <t>7,2,3,4,4,5,4,4,7,3</t>
  </si>
  <si>
    <t>2,3,7,7,4,2,3,5,3,5,5,7,7,4,1,7,8,5,8,8,6</t>
  </si>
  <si>
    <t>2,3,6,8,2,3,8,7,6,7,5,8,4,5,8,4,6,1</t>
  </si>
  <si>
    <t>1,8,6,6,3</t>
  </si>
  <si>
    <t>5,5,7,8,4</t>
  </si>
  <si>
    <t>7,7,2,7,8</t>
  </si>
  <si>
    <t>▼7 💀</t>
  </si>
  <si>
    <t>New Zoomer Trash</t>
  </si>
  <si>
    <t>Average Buylister</t>
  </si>
  <si>
    <t>New Boomer Andrew Reference</t>
  </si>
  <si>
    <t>7,8,6,7</t>
  </si>
  <si>
    <t>8,5,3,7,8,5,7,5,7,7,7,1</t>
  </si>
  <si>
    <t>4,7,1,4</t>
  </si>
  <si>
    <t>6,6,5,3,8</t>
  </si>
  <si>
    <t>New Most Volatile Trash</t>
  </si>
  <si>
    <t>Buylist Throne</t>
  </si>
  <si>
    <t>3,6,2,7,6,4,2,1,3,2,8,7,6,1,2,3,4,8,2,6,8</t>
  </si>
  <si>
    <t>6,7,1,8,4,5,8,5</t>
  </si>
  <si>
    <t>5,3,8,8,8,4,7,4</t>
  </si>
  <si>
    <t>8,6,1,5,6,3,7,5,8,1,1,7,8,2,6,4,8,6,4,5,5,8,6,7,3,2,2,2</t>
  </si>
  <si>
    <t>▼8 💀</t>
  </si>
  <si>
    <t>New Gaea's Skyfolk</t>
  </si>
  <si>
    <t>7,4,7,7,4,5,8,4,2,6,1,6,5,6,1,6,7,7,6,5,7,5,7,1,3,8,2,4,8,8,3,7,4,8,8,7</t>
  </si>
  <si>
    <t>5,2,8,8,7</t>
  </si>
  <si>
    <t>Ice Climbers</t>
  </si>
  <si>
    <t>7,4,7,5</t>
  </si>
  <si>
    <t>8,1,3,5,8,4,1,6,2</t>
  </si>
  <si>
    <t>1,1,2,5,1,6,6,8,4,5,8,1,4,2,7,2,8,2,5,7,2,4,3,1,7,2,4,7,8,6,2</t>
  </si>
  <si>
    <t>▲13 🚀🚀</t>
  </si>
  <si>
    <t>▲7 🚀</t>
  </si>
  <si>
    <t>New PSA 10 COVID Card</t>
  </si>
  <si>
    <t>4,5,8,5,5,3</t>
  </si>
  <si>
    <t>2,5,2,8,4</t>
  </si>
  <si>
    <t>3,6,4,3,5</t>
  </si>
  <si>
    <t>1,3,3,3,7,8</t>
  </si>
  <si>
    <t>2,4,2,7,8,8,8,7,2,2,2,4,4,3,2,2</t>
  </si>
  <si>
    <t>4,7,8,2,3,6,5</t>
  </si>
  <si>
    <t>Lucina</t>
  </si>
  <si>
    <t>1,6,2,2,7,3,3,6,5,3,7,2,1,2,5,2,1,2,3,3,2,3,7,1,5,5,1,3</t>
  </si>
  <si>
    <t>5,3,3,5,3,7</t>
  </si>
  <si>
    <t>1,5,8,8,1,2,6,6,6,2,4,6,7</t>
  </si>
  <si>
    <t>4,8,4,6,6</t>
  </si>
  <si>
    <t>4,2,4,2,3,7,8</t>
  </si>
  <si>
    <t>6,5,5,4</t>
  </si>
  <si>
    <t>▼10💀💀 Assassin Matt sends his regards</t>
  </si>
  <si>
    <t>▲14 🚀🚀</t>
  </si>
  <si>
    <t>▼15💀💀 Assassin Matt sends his regards</t>
  </si>
  <si>
    <t>▼4 Buylist Throne</t>
  </si>
  <si>
    <t>1,2,2,6,3,8,2,4,1,1,1,1,1,3,3,3,2,7,5,1,5,2,2,5,2,2,1,1,5,6,1,1,1,3,5,2,1</t>
  </si>
  <si>
    <t>3,8,4,1,3,2</t>
  </si>
  <si>
    <t>6,4,5,8,4,4</t>
  </si>
  <si>
    <t>7,8,7,3,4,7,6,1,5,2,7,3,2,5,3,7,5,5</t>
  </si>
  <si>
    <t>3,2,8,5,3,5,4,3,5,8,5,7,7</t>
  </si>
  <si>
    <t>3,7,7,4,8</t>
  </si>
  <si>
    <t>6,6,6,3,5</t>
  </si>
  <si>
    <t>3,6,1,6,1,4,6,3,6,4,5,5,5,6,1,1,7,3,1,5,2,6,7,7,6</t>
  </si>
  <si>
    <t>6,5,2,2,2,6,4,7</t>
  </si>
  <si>
    <t>New Target in Matt's Sights</t>
  </si>
  <si>
    <t xml:space="preserve">▼11💀💀 </t>
  </si>
  <si>
    <t>5,7,4,1,8,1,8,2,1,1,5,1,2,7,4,5,2,2,7,5,1,1,8,1,2,6,1,4,1,2,8,1,1,6</t>
  </si>
  <si>
    <t>8,2,4,1,5,6,4,5,5,3,3,8,4,7,6,1,1,8,4,2,5,4,6,6,8,2,7</t>
  </si>
  <si>
    <t>2,1,8,2,6,3</t>
  </si>
  <si>
    <t>3,4,7,4,1</t>
  </si>
  <si>
    <t>6,5,4,8,7,7,5</t>
  </si>
  <si>
    <t>7,2,3,5,7,2</t>
  </si>
  <si>
    <t>1,1,1,6,4,3,7,7,8</t>
  </si>
  <si>
    <t>3,4,5,8</t>
  </si>
  <si>
    <t>3,1,3,2,4,3,8,1,1,6,7,4,3,8,7,5,4,5,5,2,7,5,6,3,7,3</t>
  </si>
  <si>
    <t>5,7,4,5,8,1,4</t>
  </si>
  <si>
    <t>2,3,5,7,5</t>
  </si>
  <si>
    <t>New UW Mill</t>
  </si>
  <si>
    <t>▼11💀💀 Assassin Matt sends his regards</t>
  </si>
  <si>
    <t xml:space="preserve">New Mid </t>
  </si>
  <si>
    <t>▼3 Buylist Throne</t>
  </si>
  <si>
    <t>3,1,3,3,4,7,1,6,2,2,6,6,1,2,6,1,3,6,1</t>
  </si>
  <si>
    <t>3,1,6,6,3,2</t>
  </si>
  <si>
    <t>8,4,4,3</t>
  </si>
  <si>
    <t>4,5,4,2,8,5,1,2,3,1,2,8,3,6,1,8,4,2,3,1,7,1,4,3,1,3,4,2,6,2,8,7,5,1,6,8,3,5,3,3,7,4,5,6,5,3,7,8,3,1,2,6,5,8,7,8,2,1,1,5,4,5,3,2,4,5,6,6,3,4,3,5,8,6,4,4</t>
  </si>
  <si>
    <t>4,8,7,6,2,7,2,6,6,2,3,3,5</t>
  </si>
  <si>
    <t>1,8,8,5,8,6</t>
  </si>
  <si>
    <t>5,1,1,8,3,3,4,4,7,1,8,3,4,5,4,3,1,1,3,3,1,4,6,1,2,1,1,4,8,1,3,8,6,1,3,5,7,7,5,8,7,7,4,6,4,8,6,7,8,2,2,4,5,4,1,7,5,3,4,5,1,7</t>
  </si>
  <si>
    <t>8,4,2,4,8</t>
  </si>
  <si>
    <t>▼1 Buylist Throne</t>
  </si>
  <si>
    <t>▲14🚀🚀</t>
  </si>
  <si>
    <t>Richter/Simon</t>
  </si>
  <si>
    <t>Mii Sword Fighter</t>
  </si>
  <si>
    <t>New SLGS Pristine 10</t>
  </si>
  <si>
    <t>▼2 Reclaimed Buylist Throne</t>
  </si>
  <si>
    <t>▼26 💀💀💀</t>
  </si>
  <si>
    <t>▲16 🚀🚀🚀</t>
  </si>
  <si>
    <t>▲1  Lost Buylist Throne</t>
  </si>
  <si>
    <t>▼2 Buylist Throne</t>
  </si>
  <si>
    <t>▼1 Quest to reclaim the buylist throne</t>
  </si>
  <si>
    <t>Quest to reclaim the buylist throne</t>
  </si>
  <si>
    <t>▲5🚀</t>
  </si>
  <si>
    <t>I can't believe Diddy is still lowering his avg</t>
  </si>
  <si>
    <t>Change in Top 8's</t>
  </si>
  <si>
    <t>Change in Trophies</t>
  </si>
  <si>
    <t>Change in Avg Position</t>
  </si>
  <si>
    <t>▼15💀💀</t>
  </si>
  <si>
    <t>Sonny's Champion</t>
  </si>
  <si>
    <t>New Anti-Sonny Tech</t>
  </si>
  <si>
    <t>▲9🚀</t>
  </si>
  <si>
    <t>New Tier 69</t>
  </si>
  <si>
    <t>New Tier 4</t>
  </si>
  <si>
    <t>▼5💀</t>
  </si>
  <si>
    <t>New Tierless</t>
  </si>
  <si>
    <t>New Tier 69 Rakdos Cube</t>
  </si>
  <si>
    <t>New Tier 1 Core Set Cube</t>
  </si>
  <si>
    <t>New Hareruya Scam</t>
  </si>
  <si>
    <t>▼10💀</t>
  </si>
  <si>
    <t>New Rootwalla Dream</t>
  </si>
  <si>
    <t>New TCGplayer 'NM'</t>
  </si>
  <si>
    <t>▼3 Reclaimed Buylist Throne 😤</t>
  </si>
  <si>
    <t>New Hate of the Crystalline Variety</t>
  </si>
  <si>
    <t>Wager Trophies</t>
  </si>
  <si>
    <t>Trash</t>
  </si>
  <si>
    <t>New SLGS Scam Drop</t>
  </si>
  <si>
    <t>▼14💀💀</t>
  </si>
  <si>
    <r>
      <rPr>
        <i/>
        <sz val="11"/>
        <color theme="1"/>
        <rFont val="Calibri"/>
        <family val="2"/>
        <scheme val="minor"/>
      </rPr>
      <t>Generational</t>
    </r>
    <r>
      <rPr>
        <sz val="11"/>
        <color theme="1"/>
        <rFont val="Calibri"/>
        <family val="2"/>
        <scheme val="minor"/>
      </rPr>
      <t xml:space="preserve"> Trash</t>
    </r>
  </si>
  <si>
    <t>▼1 Held Onto the Buylist Throne😤</t>
  </si>
  <si>
    <t>New Draft Hitler</t>
  </si>
  <si>
    <t>New Blue Cube Additions</t>
  </si>
  <si>
    <t>New RCQ Cope</t>
  </si>
  <si>
    <t xml:space="preserve">New Chapin Incident </t>
  </si>
  <si>
    <t>Ken/Ryu</t>
  </si>
  <si>
    <t xml:space="preserve">Greninja </t>
  </si>
  <si>
    <t xml:space="preserve">Bowser Jr. </t>
  </si>
  <si>
    <t>Roy/Chrom</t>
  </si>
  <si>
    <t>New Twin Cope</t>
  </si>
  <si>
    <t>New Frog Malders</t>
  </si>
  <si>
    <t xml:space="preserve">New Energy Malders </t>
  </si>
  <si>
    <t>New One Ring Heavy Bags</t>
  </si>
  <si>
    <t>New Companion Defenders</t>
  </si>
  <si>
    <t>New Opal Unban Logic</t>
  </si>
  <si>
    <t>Buylist Throne Remains</t>
  </si>
  <si>
    <t>New Unban Stonks</t>
  </si>
  <si>
    <t>Banned</t>
  </si>
  <si>
    <t>Marth/Lucina</t>
  </si>
  <si>
    <t>▲19 🔫🔫</t>
  </si>
  <si>
    <t>▲8 🚀</t>
  </si>
  <si>
    <t>New CB Exclusive</t>
  </si>
  <si>
    <t>▼1🔫</t>
  </si>
  <si>
    <t>▲12🚀🚀</t>
  </si>
  <si>
    <t>▼5🔫</t>
  </si>
  <si>
    <t>New Free Lotus Petal</t>
  </si>
  <si>
    <t>▲3 The Buylist Throne Ascends</t>
  </si>
  <si>
    <t>New Mardu Agenda</t>
  </si>
  <si>
    <t>The Hero is Untouchable</t>
  </si>
  <si>
    <t>New Green Cube Additions</t>
  </si>
  <si>
    <t>▼1 The Buylist Throne Descends</t>
  </si>
  <si>
    <t>New Oculus Hopium</t>
  </si>
  <si>
    <t>Princess Peach/Daisy</t>
  </si>
  <si>
    <t>▲11🔫🔫</t>
  </si>
  <si>
    <t>▼2 The Buylist Throne Descends</t>
  </si>
  <si>
    <t>New Multani Vanguard Enjoyers</t>
  </si>
  <si>
    <t>New Gerrard Vanguard Copers</t>
  </si>
  <si>
    <t>New Buylist Bracket 69</t>
  </si>
  <si>
    <t>New Bracket 1 CEDH</t>
  </si>
  <si>
    <t>Change</t>
  </si>
  <si>
    <t>▲17🚀🚀🚀</t>
  </si>
  <si>
    <t>▲23🚀🚀🚀🚀</t>
  </si>
  <si>
    <t>▲20🚀🚀🚀🚀</t>
  </si>
  <si>
    <t>▲19🚀🚀🚀</t>
  </si>
  <si>
    <t>▲16🚀🚀🚀</t>
  </si>
  <si>
    <t>▲15🚀🚀🚀</t>
  </si>
  <si>
    <t>▲8🚀</t>
  </si>
  <si>
    <t>▲10🚀🚀</t>
  </si>
  <si>
    <t>▲38🚀🚀🚀🚀🚀🚀🚀</t>
  </si>
  <si>
    <t>▲26🚀🚀🚀🚀🚀</t>
  </si>
  <si>
    <t>▲30🚀🚀🚀🚀🚀🚀</t>
  </si>
  <si>
    <t>▲16🔫🔫🔫</t>
  </si>
  <si>
    <t>▼22💀💀💀💀</t>
  </si>
  <si>
    <t>▼30💀💀💀💀💀💀</t>
  </si>
  <si>
    <t>▼39💀💀💀💀💀💀💀</t>
  </si>
  <si>
    <t>▼45💀💀💀💀💀💀💀💀💀</t>
  </si>
  <si>
    <t>▼50💀💀💀💀💀💀💀💀💀💀</t>
  </si>
  <si>
    <t>💰💰💰💰💰💰💰💰💰💰💰💰</t>
  </si>
  <si>
    <t>New UB Spam</t>
  </si>
  <si>
    <t>New Blue Cube Drafter</t>
  </si>
  <si>
    <t>New Tariff the Gathering</t>
  </si>
  <si>
    <t>New Dragonstorm Block Constructed</t>
  </si>
  <si>
    <t>▼2 So close to reclaiming the buylist throne</t>
  </si>
  <si>
    <t>New Battle Screech the Gathering</t>
  </si>
  <si>
    <t>▼1 So close to reclaiming the buylist throne</t>
  </si>
  <si>
    <t>New FF Preview Spam Season</t>
  </si>
  <si>
    <t>New continued FF Preview Spam</t>
  </si>
  <si>
    <t>New Cloud Bitcoin</t>
  </si>
  <si>
    <t>New Secret Lair the Queuing</t>
  </si>
  <si>
    <t xml:space="preserve">Pikachu </t>
  </si>
  <si>
    <t>New Edging Spoilers</t>
  </si>
  <si>
    <t>New Primordial Store Champs</t>
  </si>
  <si>
    <t>New Search for Uncommon Green Removal</t>
  </si>
  <si>
    <t>▼9🚮🚮</t>
  </si>
  <si>
    <t>▼6🚮</t>
  </si>
  <si>
    <t>New Funny Cube Violence the Gathering</t>
  </si>
  <si>
    <t>Pac-Man</t>
  </si>
  <si>
    <t>New imagine not drafting Titania or Takara the Gathering</t>
  </si>
  <si>
    <t>New Free Exploration/Goblin Bombardment the Gathering</t>
  </si>
  <si>
    <t>▼5 Ever closer to the buylist throne 😤</t>
  </si>
  <si>
    <t xml:space="preserve">New Cube Manifestos </t>
  </si>
  <si>
    <t>New Best Set Since Limited Edition Alpha</t>
  </si>
  <si>
    <t>New Funny Car Set Manifestos</t>
  </si>
  <si>
    <t>New $1000 Avatar Boxes 3+ months from release the Gathering</t>
  </si>
  <si>
    <t>New Funny Car Set Counter Manifestos from Across the Nation</t>
  </si>
  <si>
    <t>Ice-climber</t>
  </si>
  <si>
    <t>New Cube Manifestos of the Uncommon Variety</t>
  </si>
  <si>
    <t>New Month of the Travis (not of the Trav AKA Smurfy variety) your financial advisor variety</t>
  </si>
  <si>
    <t>Ice-climbers</t>
  </si>
  <si>
    <t>New Amulet Ruminations Spoiler the Gathering</t>
  </si>
  <si>
    <t>New Furby the Gathering</t>
  </si>
  <si>
    <t>New The Office the Gathering</t>
  </si>
  <si>
    <t>New Jaws the Gathering</t>
  </si>
  <si>
    <t>New Dandan the Gathering</t>
  </si>
  <si>
    <t>New Avatar Cube Agenda Support</t>
  </si>
  <si>
    <r>
      <t xml:space="preserve">New Avatar Spoilers </t>
    </r>
    <r>
      <rPr>
        <i/>
        <sz val="11"/>
        <color rgb="FFFF0000"/>
        <rFont val="Arial"/>
        <family val="2"/>
      </rPr>
      <t>Lack of Pixels™</t>
    </r>
  </si>
  <si>
    <r>
      <t xml:space="preserve">New State of FNM in the wake of </t>
    </r>
    <r>
      <rPr>
        <i/>
        <sz val="11"/>
        <color rgb="FFFF0000"/>
        <rFont val="Arial"/>
        <family val="2"/>
      </rPr>
      <t>Spoder</t>
    </r>
    <r>
      <rPr>
        <sz val="11"/>
        <color rgb="FFFF0000"/>
        <rFont val="Arial"/>
        <family val="2"/>
      </rPr>
      <t>™</t>
    </r>
  </si>
  <si>
    <r>
      <t xml:space="preserve">New </t>
    </r>
    <r>
      <rPr>
        <i/>
        <sz val="11"/>
        <color rgb="FFFF0000"/>
        <rFont val="Arial"/>
        <family val="2"/>
      </rPr>
      <t>The Office™ Tragic Bonus Card</t>
    </r>
  </si>
  <si>
    <t>▼5 💀</t>
  </si>
  <si>
    <t>▼9 💀</t>
  </si>
  <si>
    <t>Jacob</t>
  </si>
  <si>
    <t>Tony</t>
  </si>
  <si>
    <t>Luke</t>
  </si>
  <si>
    <t>Matt Y</t>
  </si>
  <si>
    <t>Thana</t>
  </si>
  <si>
    <t>Andre</t>
  </si>
  <si>
    <t>Ketchum</t>
  </si>
  <si>
    <t>Juwan</t>
  </si>
  <si>
    <t>Kevin</t>
  </si>
  <si>
    <t>Collin</t>
  </si>
  <si>
    <t>Adam</t>
  </si>
  <si>
    <t>Chris</t>
  </si>
  <si>
    <t xml:space="preserve">Andrew </t>
  </si>
  <si>
    <t>Nick C</t>
  </si>
  <si>
    <t>Noah</t>
  </si>
  <si>
    <t>Clayton</t>
  </si>
  <si>
    <t>Luis</t>
  </si>
  <si>
    <t>Walski</t>
  </si>
  <si>
    <t>Will</t>
  </si>
  <si>
    <t>Ana</t>
  </si>
  <si>
    <t>Eric</t>
  </si>
  <si>
    <t>Stephen</t>
  </si>
  <si>
    <t>Nick D</t>
  </si>
  <si>
    <t>Karen</t>
  </si>
  <si>
    <t>Evan</t>
  </si>
  <si>
    <t>Matt H</t>
  </si>
  <si>
    <t>Sonny</t>
  </si>
  <si>
    <t>Luke - Hero</t>
  </si>
  <si>
    <t>Collin - Wii Fit Trainer</t>
  </si>
  <si>
    <t>Thana - Lucas</t>
  </si>
  <si>
    <t>Chris - King Dedede</t>
  </si>
  <si>
    <t>Matt H - Greninja</t>
  </si>
  <si>
    <t>Nick D - Young Link</t>
  </si>
  <si>
    <t>Stephen - Wolf</t>
  </si>
  <si>
    <t>Andrew D - Ness</t>
  </si>
  <si>
    <t>Nick C - Marth</t>
  </si>
  <si>
    <t>Will - Sheik</t>
  </si>
  <si>
    <t>Luis - Incineroar</t>
  </si>
  <si>
    <t>Kevin - Bayonetta</t>
  </si>
  <si>
    <t>Walski - Wario</t>
  </si>
  <si>
    <t>Jacob - Byleth</t>
  </si>
  <si>
    <t>Ketchum - Samus</t>
  </si>
  <si>
    <t>Tony - Villager</t>
  </si>
  <si>
    <t>Ana - Pichu</t>
  </si>
  <si>
    <t>Evan - Zero Suit Samus</t>
  </si>
  <si>
    <t>Noah - Ice-Climbers</t>
  </si>
  <si>
    <t>Eric - Bowser</t>
  </si>
  <si>
    <t>Clayton - Ganondorf</t>
  </si>
  <si>
    <t>Andre - Banjo-Kazooie</t>
  </si>
  <si>
    <t>Matt Y - Lucario</t>
  </si>
  <si>
    <t>Juwan - Palutena</t>
  </si>
  <si>
    <t>Sonny - Ryu</t>
  </si>
  <si>
    <t>Adam - Luigi</t>
  </si>
  <si>
    <t>Simon - Bowser Jr.</t>
  </si>
  <si>
    <t>Karen - Duck Hunt</t>
  </si>
  <si>
    <t xml:space="preserve">Bowser </t>
  </si>
  <si>
    <t>Gunner</t>
  </si>
  <si>
    <t>Swordfighter</t>
  </si>
  <si>
    <t>Mii Sword Figher</t>
  </si>
  <si>
    <t>▼6 💀</t>
  </si>
  <si>
    <t>New Lorwyn Leaks</t>
  </si>
  <si>
    <t>New foreboding future ONE Draft</t>
  </si>
  <si>
    <t>▼1🐐</t>
  </si>
  <si>
    <t>Gruul in lorwyn</t>
  </si>
  <si>
    <t>Simic in lorwyn</t>
  </si>
  <si>
    <t>New Design by Committee Felix Cube</t>
  </si>
  <si>
    <t>New worthless human who loves plastic models and social games</t>
  </si>
  <si>
    <r>
      <t xml:space="preserve">New casinostone discourse in my </t>
    </r>
    <r>
      <rPr>
        <i/>
        <sz val="11"/>
        <color rgb="FFFF0000"/>
        <rFont val="Arial"/>
        <family val="2"/>
      </rPr>
      <t>Advertisements Within</t>
    </r>
    <r>
      <rPr>
        <sz val="11"/>
        <color rgb="FFFF0000"/>
        <rFont val="Arial"/>
        <family val="2"/>
      </rPr>
      <t>™ server</t>
    </r>
  </si>
  <si>
    <t>▼11 💀💀</t>
  </si>
  <si>
    <t>New Simic in Lorwyn</t>
  </si>
  <si>
    <t>▼14 💀💀</t>
  </si>
  <si>
    <t>▼13 💀💀</t>
  </si>
  <si>
    <t>New Gruul in Lorwyn</t>
  </si>
  <si>
    <t>New Dubious Vanguard Violence</t>
  </si>
  <si>
    <t>New Sonny Last Seat 🐐</t>
  </si>
  <si>
    <t>Mii Sword</t>
  </si>
  <si>
    <t>Swordfight</t>
  </si>
  <si>
    <t>Meta-Knight</t>
  </si>
  <si>
    <t>Brawler</t>
  </si>
  <si>
    <t>New Violence of the Crystalline Variety</t>
  </si>
  <si>
    <t>New hunt for the un-EDH priced Mox Amber</t>
  </si>
  <si>
    <t>New Tragedy of the Cowabunga™! Prerelease Turnout Variety</t>
  </si>
  <si>
    <t>New Bonny Pall Lore of the Lumberjack Folk Hero, Midnight Ride, Aspiration Employee, Founding Father, Abolitionist, and Large Fruit Residing Variety</t>
  </si>
  <si>
    <r>
      <t xml:space="preserve">New Nathan's Goat </t>
    </r>
    <r>
      <rPr>
        <strike/>
        <sz val="11"/>
        <color rgb="FFFF0000"/>
        <rFont val="Calibri"/>
        <family val="2"/>
      </rPr>
      <t>of the trash variety, but that doesn't fit the narrative</t>
    </r>
  </si>
  <si>
    <r>
      <t xml:space="preserve">New Violence of the </t>
    </r>
    <r>
      <rPr>
        <i/>
        <sz val="11"/>
        <color rgb="FFFF0000"/>
        <rFont val="Calibri"/>
        <family val="2"/>
      </rPr>
      <t>Cowabunga</t>
    </r>
    <r>
      <rPr>
        <sz val="11"/>
        <color rgb="FFFF0000"/>
        <rFont val="Calibri"/>
        <family val="2"/>
      </rPr>
      <t>™! Sol Ring Variety</t>
    </r>
  </si>
  <si>
    <r>
      <t xml:space="preserve">New Violence of the </t>
    </r>
    <r>
      <rPr>
        <i/>
        <sz val="11"/>
        <color rgb="FFFF0000"/>
        <rFont val="Calibri"/>
        <family val="2"/>
      </rPr>
      <t>Cowabunga</t>
    </r>
    <r>
      <rPr>
        <sz val="11"/>
        <color rgb="FFFF0000"/>
        <rFont val="Calibri"/>
        <family val="2"/>
      </rPr>
      <t>™! Jitte Variety</t>
    </r>
  </si>
  <si>
    <r>
      <rPr>
        <strike/>
        <sz val="11"/>
        <color rgb="FFFF0000"/>
        <rFont val="Calibri"/>
        <family val="2"/>
      </rPr>
      <t>Ever-Persistent</t>
    </r>
    <r>
      <rPr>
        <sz val="11"/>
        <color rgb="FFFF0000"/>
        <rFont val="Calibri"/>
        <family val="2"/>
      </rPr>
      <t xml:space="preserve"> New Violence of the Frosted Variety</t>
    </r>
  </si>
  <si>
    <r>
      <t xml:space="preserve">New </t>
    </r>
    <r>
      <rPr>
        <i/>
        <sz val="11"/>
        <color rgb="FFFF0000"/>
        <rFont val="Calibri"/>
        <family val="2"/>
      </rPr>
      <t>Cowabunga™</t>
    </r>
    <r>
      <rPr>
        <sz val="11"/>
        <color rgb="FFFF0000"/>
        <rFont val="Calibri"/>
        <family val="2"/>
      </rPr>
      <t>!</t>
    </r>
    <r>
      <rPr>
        <i/>
        <sz val="11"/>
        <color rgb="FFFF0000"/>
        <rFont val="Calibri"/>
        <family val="2"/>
      </rPr>
      <t xml:space="preserve"> The Gathering</t>
    </r>
    <r>
      <rPr>
        <sz val="11"/>
        <color rgb="FFFF0000"/>
        <rFont val="Calibri"/>
        <family val="2"/>
      </rPr>
      <t xml:space="preserve"> season</t>
    </r>
  </si>
  <si>
    <t>New Copium Modern Staple of the $60 Urza's Saga Target Variety</t>
  </si>
  <si>
    <t>Peach</t>
  </si>
  <si>
    <t>Climbers</t>
  </si>
  <si>
    <t>Dedede</t>
  </si>
  <si>
    <t>Banjo</t>
  </si>
  <si>
    <t>Metaknight</t>
  </si>
  <si>
    <t>Meta knight</t>
  </si>
  <si>
    <t>Ganon</t>
  </si>
  <si>
    <t>Wii Fit Trainr</t>
  </si>
  <si>
    <t>Wii Fit</t>
  </si>
  <si>
    <t>▲1🐐</t>
  </si>
  <si>
    <t>New Rage Bait of the Sorcery Speed Variety</t>
  </si>
  <si>
    <t xml:space="preserve">New Narrative of the Kid Icarus Variety </t>
  </si>
  <si>
    <t>▼10 💀💀</t>
  </si>
  <si>
    <t>🐐</t>
  </si>
  <si>
    <t xml:space="preserve">New Nathan Violence Agenda of the BFZ/OGW Variety </t>
  </si>
  <si>
    <t>New 2AM Commander Planechase Chaos Violence of the Upheaval Variety</t>
  </si>
  <si>
    <t>New SLGS Escape Room Team of the 0% Winrate Variety</t>
  </si>
  <si>
    <t>New SLGS Ultra PRO Apex™ League of the Revived by the Nathan Reaper Variety</t>
  </si>
  <si>
    <t>New long awaited return of the COSTA RICAN GOAT Variety</t>
  </si>
  <si>
    <t>New Simping for Cantrips of the Japanese Girls Pondering over Orbs Variety</t>
  </si>
  <si>
    <t xml:space="preserve">Wii Fit </t>
  </si>
  <si>
    <t>Diddy</t>
  </si>
  <si>
    <t>King K.Rool</t>
  </si>
  <si>
    <t>Zero Suit</t>
  </si>
  <si>
    <r>
      <t>Peach/</t>
    </r>
    <r>
      <rPr>
        <b/>
        <sz val="11"/>
        <color theme="1"/>
        <rFont val="Calibri"/>
        <family val="2"/>
        <scheme val="minor"/>
      </rPr>
      <t>Daisy</t>
    </r>
  </si>
  <si>
    <r>
      <rPr>
        <b/>
        <sz val="11"/>
        <color theme="1"/>
        <rFont val="Calibri"/>
        <family val="2"/>
        <scheme val="minor"/>
      </rPr>
      <t>Ricter</t>
    </r>
    <r>
      <rPr>
        <sz val="11"/>
        <color theme="1"/>
        <rFont val="Calibri"/>
        <family val="2"/>
        <scheme val="minor"/>
      </rPr>
      <t>/Simon</t>
    </r>
  </si>
  <si>
    <t>New Jace</t>
  </si>
  <si>
    <t>Puff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</si>
</sst>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1"/>
      <color theme="9"/>
      <name val="Arial"/>
      <family val="2"/>
    </font>
    <font>
      <sz val="11"/>
      <color rgb="FFFF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Arial"/>
      <family val="2"/>
    </font>
    <font>
      <sz val="11"/>
      <color rgb="FFFFC000"/>
      <name val="Calibri"/>
      <family val="2"/>
      <scheme val="minor"/>
    </font>
    <font>
      <sz val="11"/>
      <color rgb="FF92D050"/>
      <name val="Arial"/>
      <family val="2"/>
    </font>
    <font>
      <sz val="8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00B050"/>
      <name val="Arial"/>
      <family val="2"/>
    </font>
    <font>
      <sz val="11"/>
      <color rgb="FF92D050"/>
      <name val="Calibri"/>
      <family val="2"/>
      <scheme val="minor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/>
      <name val="Calibri"/>
      <family val="2"/>
      <scheme val="minor"/>
    </font>
    <font>
      <sz val="11"/>
      <color theme="8"/>
      <name val="Arial"/>
      <family val="2"/>
    </font>
    <font>
      <sz val="11"/>
      <color theme="6"/>
      <name val="Calibri"/>
      <family val="2"/>
      <scheme val="minor"/>
    </font>
    <font>
      <sz val="11"/>
      <color rgb="FFFFC000"/>
      <name val="Arial"/>
      <family val="2"/>
    </font>
    <font>
      <sz val="11"/>
      <color rgb="FF00206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</font>
    <font>
      <sz val="11"/>
      <color rgb="FFC00000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rgb="FF00B0F0"/>
      <name val="Calibri"/>
      <family val="2"/>
      <scheme val="minor"/>
    </font>
    <font>
      <u/>
      <sz val="11"/>
      <color rgb="FFFFFF00"/>
      <name val="Calibri"/>
      <family val="2"/>
      <scheme val="minor"/>
    </font>
    <font>
      <i/>
      <sz val="11"/>
      <color rgb="FFFF0000"/>
      <name val="Arial"/>
      <family val="2"/>
    </font>
    <font>
      <strike/>
      <sz val="11"/>
      <color rgb="FFFF0000"/>
      <name val="Calibri"/>
      <family val="2"/>
    </font>
    <font>
      <i/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color rgb="FF00B05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14" fontId="0" fillId="0" borderId="0" xfId="0" applyNumberFormat="1"/>
    <xf numFmtId="0" fontId="16" fillId="0" borderId="0" xfId="0" applyFont="1" applyAlignment="1">
      <alignment vertical="center"/>
    </xf>
    <xf numFmtId="0" fontId="0" fillId="2" borderId="0" xfId="0" applyFill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0" fillId="0" borderId="0" xfId="0" quotePrefix="1"/>
    <xf numFmtId="0" fontId="6" fillId="0" borderId="0" xfId="0" quotePrefix="1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6" fillId="2" borderId="0" xfId="0" applyFont="1" applyFill="1"/>
    <xf numFmtId="0" fontId="5" fillId="2" borderId="0" xfId="0" applyFont="1" applyFill="1"/>
    <xf numFmtId="0" fontId="0" fillId="3" borderId="0" xfId="0" applyFill="1"/>
    <xf numFmtId="0" fontId="11" fillId="0" borderId="0" xfId="0" applyFont="1" applyAlignment="1">
      <alignment vertical="center"/>
    </xf>
    <xf numFmtId="16" fontId="0" fillId="2" borderId="0" xfId="0" applyNumberFormat="1" applyFill="1"/>
    <xf numFmtId="0" fontId="12" fillId="0" borderId="0" xfId="0" applyFont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5" fillId="5" borderId="0" xfId="0" applyFont="1" applyFill="1"/>
    <xf numFmtId="0" fontId="7" fillId="5" borderId="0" xfId="0" applyFont="1" applyFill="1"/>
    <xf numFmtId="0" fontId="0" fillId="6" borderId="0" xfId="0" applyFill="1"/>
    <xf numFmtId="0" fontId="5" fillId="6" borderId="0" xfId="0" applyFont="1" applyFill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5" fillId="8" borderId="0" xfId="0" applyFont="1" applyFill="1"/>
    <xf numFmtId="0" fontId="6" fillId="5" borderId="0" xfId="0" applyFont="1" applyFill="1"/>
    <xf numFmtId="0" fontId="7" fillId="4" borderId="0" xfId="0" applyFont="1" applyFill="1"/>
    <xf numFmtId="0" fontId="24" fillId="0" borderId="0" xfId="0" applyFont="1" applyAlignment="1">
      <alignment vertical="center"/>
    </xf>
    <xf numFmtId="0" fontId="6" fillId="6" borderId="0" xfId="0" applyFont="1" applyFill="1"/>
    <xf numFmtId="0" fontId="6" fillId="4" borderId="0" xfId="0" applyFont="1" applyFill="1"/>
    <xf numFmtId="0" fontId="25" fillId="0" borderId="0" xfId="0" applyFont="1"/>
    <xf numFmtId="0" fontId="0" fillId="9" borderId="0" xfId="0" applyFill="1"/>
    <xf numFmtId="0" fontId="5" fillId="9" borderId="0" xfId="0" applyFont="1" applyFill="1"/>
    <xf numFmtId="0" fontId="7" fillId="6" borderId="0" xfId="0" applyFont="1" applyFill="1"/>
    <xf numFmtId="0" fontId="26" fillId="0" borderId="0" xfId="0" applyFont="1"/>
    <xf numFmtId="0" fontId="27" fillId="0" borderId="0" xfId="0" applyFont="1" applyAlignment="1">
      <alignment vertical="center"/>
    </xf>
    <xf numFmtId="0" fontId="28" fillId="0" borderId="0" xfId="0" applyFont="1"/>
    <xf numFmtId="0" fontId="29" fillId="4" borderId="0" xfId="0" applyFont="1" applyFill="1"/>
    <xf numFmtId="0" fontId="10" fillId="2" borderId="0" xfId="0" applyFont="1" applyFill="1"/>
    <xf numFmtId="0" fontId="11" fillId="9" borderId="0" xfId="0" applyFont="1" applyFill="1"/>
    <xf numFmtId="0" fontId="10" fillId="0" borderId="0" xfId="0" applyFont="1" applyAlignment="1">
      <alignment vertical="center"/>
    </xf>
    <xf numFmtId="0" fontId="30" fillId="2" borderId="0" xfId="0" applyFont="1" applyFill="1"/>
    <xf numFmtId="0" fontId="31" fillId="4" borderId="0" xfId="0" applyFont="1" applyFill="1"/>
    <xf numFmtId="0" fontId="6" fillId="3" borderId="0" xfId="0" applyFont="1" applyFill="1"/>
    <xf numFmtId="0" fontId="11" fillId="2" borderId="0" xfId="0" applyFont="1" applyFill="1"/>
    <xf numFmtId="0" fontId="29" fillId="7" borderId="0" xfId="0" applyFont="1" applyFill="1"/>
    <xf numFmtId="0" fontId="11" fillId="3" borderId="0" xfId="0" applyFont="1" applyFill="1"/>
    <xf numFmtId="0" fontId="11" fillId="10" borderId="0" xfId="0" applyFont="1" applyFill="1"/>
    <xf numFmtId="0" fontId="0" fillId="10" borderId="0" xfId="0" applyFill="1"/>
    <xf numFmtId="16" fontId="0" fillId="11" borderId="0" xfId="0" applyNumberFormat="1" applyFill="1"/>
    <xf numFmtId="0" fontId="17" fillId="0" borderId="0" xfId="0" applyFont="1" applyAlignment="1">
      <alignment vertical="center"/>
    </xf>
    <xf numFmtId="0" fontId="4" fillId="2" borderId="0" xfId="0" applyFont="1" applyFill="1"/>
    <xf numFmtId="0" fontId="14" fillId="0" borderId="0" xfId="0" applyFont="1"/>
    <xf numFmtId="0" fontId="27" fillId="0" borderId="0" xfId="0" applyFont="1"/>
    <xf numFmtId="0" fontId="35" fillId="0" borderId="0" xfId="0" applyFont="1"/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workbookViewId="0">
      <selection activeCell="E2" sqref="E2"/>
    </sheetView>
  </sheetViews>
  <sheetFormatPr defaultRowHeight="14.5" x14ac:dyDescent="0.35"/>
  <cols>
    <col min="1" max="1" width="17.7265625" bestFit="1" customWidth="1"/>
    <col min="2" max="3" width="14" bestFit="1" customWidth="1"/>
    <col min="4" max="4" width="37.453125" bestFit="1" customWidth="1"/>
    <col min="5" max="5" width="14.1796875" bestFit="1" customWidth="1"/>
    <col min="6" max="8" width="17.7265625" bestFit="1" customWidth="1"/>
    <col min="9" max="9" width="14" bestFit="1" customWidth="1"/>
    <col min="10" max="12" width="17.7265625" bestFit="1" customWidth="1"/>
    <col min="13" max="14" width="14" bestFit="1" customWidth="1"/>
    <col min="15" max="15" width="13.54296875" bestFit="1" customWidth="1"/>
    <col min="16" max="16" width="15.1796875" bestFit="1" customWidth="1"/>
    <col min="17" max="18" width="14" bestFit="1" customWidth="1"/>
    <col min="19" max="19" width="17.7265625" bestFit="1" customWidth="1"/>
    <col min="20" max="21" width="14" bestFit="1" customWidth="1"/>
  </cols>
  <sheetData>
    <row r="1" spans="1:14" x14ac:dyDescent="0.35">
      <c r="A1" s="1">
        <v>45260</v>
      </c>
      <c r="B1" s="1">
        <v>45262</v>
      </c>
      <c r="C1" s="1">
        <v>45262</v>
      </c>
      <c r="D1" s="1">
        <v>45267</v>
      </c>
      <c r="E1" s="1">
        <v>45267</v>
      </c>
      <c r="F1" s="1">
        <v>45269</v>
      </c>
      <c r="G1" s="1">
        <v>45274</v>
      </c>
      <c r="H1" s="1">
        <v>45274</v>
      </c>
      <c r="I1" s="1">
        <v>45654</v>
      </c>
      <c r="J1" s="1">
        <v>45654</v>
      </c>
    </row>
    <row r="2" spans="1:14" x14ac:dyDescent="0.35">
      <c r="A2" t="s">
        <v>230</v>
      </c>
      <c r="B2" t="s">
        <v>15</v>
      </c>
      <c r="C2" t="s">
        <v>22</v>
      </c>
      <c r="D2" t="s">
        <v>128</v>
      </c>
      <c r="E2" t="s">
        <v>237</v>
      </c>
      <c r="F2" t="s">
        <v>30</v>
      </c>
      <c r="G2" t="s">
        <v>19</v>
      </c>
      <c r="H2" t="s">
        <v>15</v>
      </c>
      <c r="I2" t="s">
        <v>14</v>
      </c>
      <c r="J2" t="s">
        <v>22</v>
      </c>
    </row>
    <row r="3" spans="1:14" x14ac:dyDescent="0.35">
      <c r="A3" t="s">
        <v>124</v>
      </c>
      <c r="B3" t="s">
        <v>0</v>
      </c>
      <c r="C3" t="s">
        <v>50</v>
      </c>
      <c r="D3" t="s">
        <v>22</v>
      </c>
      <c r="E3" t="s">
        <v>129</v>
      </c>
      <c r="F3" t="s">
        <v>128</v>
      </c>
      <c r="G3" t="s">
        <v>61</v>
      </c>
      <c r="H3" t="s">
        <v>253</v>
      </c>
      <c r="I3" t="s">
        <v>22</v>
      </c>
      <c r="J3" t="s">
        <v>0</v>
      </c>
    </row>
    <row r="4" spans="1:14" x14ac:dyDescent="0.35">
      <c r="A4" t="s">
        <v>4</v>
      </c>
      <c r="B4" t="s">
        <v>10</v>
      </c>
      <c r="C4" t="s">
        <v>0</v>
      </c>
      <c r="D4" t="s">
        <v>15</v>
      </c>
      <c r="E4" t="s">
        <v>104</v>
      </c>
      <c r="F4" t="s">
        <v>112</v>
      </c>
      <c r="G4" t="s">
        <v>81</v>
      </c>
      <c r="H4" t="s">
        <v>175</v>
      </c>
      <c r="I4" t="s">
        <v>0</v>
      </c>
      <c r="J4" t="s">
        <v>232</v>
      </c>
    </row>
    <row r="5" spans="1:14" x14ac:dyDescent="0.35">
      <c r="A5" t="s">
        <v>51</v>
      </c>
      <c r="B5" t="s">
        <v>112</v>
      </c>
      <c r="C5" t="s">
        <v>27</v>
      </c>
      <c r="D5" t="s">
        <v>37</v>
      </c>
      <c r="E5" t="s">
        <v>15</v>
      </c>
      <c r="F5" t="s">
        <v>138</v>
      </c>
      <c r="G5" t="s">
        <v>26</v>
      </c>
      <c r="H5" t="s">
        <v>104</v>
      </c>
      <c r="I5" t="s">
        <v>232</v>
      </c>
      <c r="J5" t="s">
        <v>124</v>
      </c>
    </row>
    <row r="6" spans="1:14" x14ac:dyDescent="0.35">
      <c r="A6" t="s">
        <v>15</v>
      </c>
      <c r="B6" t="s">
        <v>128</v>
      </c>
      <c r="C6" t="s">
        <v>32</v>
      </c>
      <c r="D6" t="s">
        <v>129</v>
      </c>
      <c r="E6" t="s">
        <v>128</v>
      </c>
      <c r="F6" t="s">
        <v>22</v>
      </c>
      <c r="G6" t="s">
        <v>15</v>
      </c>
      <c r="H6" t="s">
        <v>122</v>
      </c>
      <c r="I6" t="s">
        <v>35</v>
      </c>
      <c r="J6" t="s">
        <v>123</v>
      </c>
    </row>
    <row r="7" spans="1:14" x14ac:dyDescent="0.35">
      <c r="A7" t="s">
        <v>232</v>
      </c>
      <c r="B7" t="s">
        <v>29</v>
      </c>
      <c r="C7" t="s">
        <v>117</v>
      </c>
      <c r="D7" t="s">
        <v>8</v>
      </c>
      <c r="E7" t="s">
        <v>22</v>
      </c>
      <c r="F7" t="s">
        <v>129</v>
      </c>
      <c r="G7" t="s">
        <v>230</v>
      </c>
      <c r="H7" t="s">
        <v>230</v>
      </c>
      <c r="I7" t="s">
        <v>21</v>
      </c>
      <c r="J7" t="s">
        <v>63</v>
      </c>
    </row>
    <row r="8" spans="1:14" x14ac:dyDescent="0.35">
      <c r="A8" t="s">
        <v>19</v>
      </c>
      <c r="B8" t="s">
        <v>32</v>
      </c>
      <c r="C8" t="s">
        <v>15</v>
      </c>
      <c r="D8" t="s">
        <v>32</v>
      </c>
      <c r="E8" t="s">
        <v>35</v>
      </c>
      <c r="F8" t="s">
        <v>139</v>
      </c>
      <c r="G8" t="s">
        <v>22</v>
      </c>
      <c r="H8" t="s">
        <v>112</v>
      </c>
      <c r="I8" t="s">
        <v>20</v>
      </c>
      <c r="J8" t="s">
        <v>14</v>
      </c>
    </row>
    <row r="9" spans="1:14" x14ac:dyDescent="0.35">
      <c r="A9" t="s">
        <v>1</v>
      </c>
      <c r="B9" t="s">
        <v>90</v>
      </c>
      <c r="C9" t="s">
        <v>79</v>
      </c>
      <c r="D9" t="s">
        <v>230</v>
      </c>
      <c r="E9" t="s">
        <v>4</v>
      </c>
      <c r="F9" t="s">
        <v>18</v>
      </c>
      <c r="G9" t="s">
        <v>1</v>
      </c>
      <c r="H9" t="s">
        <v>22</v>
      </c>
      <c r="I9" t="s">
        <v>61</v>
      </c>
      <c r="J9" t="s">
        <v>104</v>
      </c>
    </row>
    <row r="12" spans="1:14" x14ac:dyDescent="0.35">
      <c r="A12" t="s">
        <v>42</v>
      </c>
      <c r="B12" t="s">
        <v>38</v>
      </c>
      <c r="C12" t="s">
        <v>39</v>
      </c>
      <c r="D12" t="s">
        <v>41</v>
      </c>
      <c r="E12" t="s">
        <v>40</v>
      </c>
      <c r="F12" t="s">
        <v>43</v>
      </c>
    </row>
    <row r="13" spans="1:14" x14ac:dyDescent="0.35">
      <c r="A13" t="s">
        <v>125</v>
      </c>
      <c r="B13">
        <v>5</v>
      </c>
      <c r="C13">
        <v>0</v>
      </c>
      <c r="D13" t="s">
        <v>191</v>
      </c>
      <c r="E13">
        <v>4.8</v>
      </c>
      <c r="F13">
        <v>24</v>
      </c>
      <c r="J13" s="4" t="s">
        <v>42</v>
      </c>
      <c r="K13" s="4" t="s">
        <v>38</v>
      </c>
      <c r="L13" s="4" t="s">
        <v>39</v>
      </c>
      <c r="M13" s="4" t="s">
        <v>40</v>
      </c>
      <c r="N13" s="4" t="s">
        <v>111</v>
      </c>
    </row>
    <row r="14" spans="1:14" x14ac:dyDescent="0.35">
      <c r="A14" t="s">
        <v>104</v>
      </c>
      <c r="B14">
        <v>18</v>
      </c>
      <c r="C14">
        <v>2</v>
      </c>
      <c r="D14" t="s">
        <v>266</v>
      </c>
      <c r="E14">
        <v>4.17</v>
      </c>
      <c r="F14">
        <v>75</v>
      </c>
      <c r="J14" t="s">
        <v>125</v>
      </c>
      <c r="K14">
        <v>5</v>
      </c>
      <c r="L14">
        <v>0</v>
      </c>
      <c r="M14">
        <v>4.8</v>
      </c>
      <c r="N14">
        <v>0</v>
      </c>
    </row>
    <row r="15" spans="1:14" x14ac:dyDescent="0.35">
      <c r="A15" t="s">
        <v>31</v>
      </c>
      <c r="B15">
        <v>4</v>
      </c>
      <c r="C15">
        <v>0</v>
      </c>
      <c r="D15" t="s">
        <v>204</v>
      </c>
      <c r="E15">
        <v>5.75</v>
      </c>
      <c r="F15">
        <v>23</v>
      </c>
      <c r="J15" t="s">
        <v>104</v>
      </c>
      <c r="K15">
        <v>18</v>
      </c>
      <c r="L15">
        <v>2</v>
      </c>
      <c r="M15">
        <v>4.17</v>
      </c>
      <c r="N15">
        <v>0.11</v>
      </c>
    </row>
    <row r="16" spans="1:14" x14ac:dyDescent="0.35">
      <c r="A16" t="s">
        <v>105</v>
      </c>
      <c r="B16">
        <v>3</v>
      </c>
      <c r="C16">
        <v>0</v>
      </c>
      <c r="D16" t="s">
        <v>160</v>
      </c>
      <c r="E16">
        <v>5.67</v>
      </c>
      <c r="F16">
        <v>17</v>
      </c>
      <c r="J16" t="s">
        <v>31</v>
      </c>
      <c r="K16">
        <v>4</v>
      </c>
      <c r="L16">
        <v>0</v>
      </c>
      <c r="M16">
        <v>5.75</v>
      </c>
      <c r="N16">
        <v>0</v>
      </c>
    </row>
    <row r="17" spans="1:16" x14ac:dyDescent="0.35">
      <c r="A17" t="s">
        <v>128</v>
      </c>
      <c r="B17">
        <v>22</v>
      </c>
      <c r="C17">
        <v>7</v>
      </c>
      <c r="D17" t="s">
        <v>240</v>
      </c>
      <c r="E17">
        <v>2.91</v>
      </c>
      <c r="F17">
        <v>64</v>
      </c>
      <c r="J17" t="s">
        <v>105</v>
      </c>
      <c r="K17">
        <v>3</v>
      </c>
      <c r="L17">
        <v>0</v>
      </c>
      <c r="M17">
        <v>5.67</v>
      </c>
      <c r="N17">
        <v>0</v>
      </c>
    </row>
    <row r="18" spans="1:16" x14ac:dyDescent="0.35">
      <c r="A18" t="s">
        <v>8</v>
      </c>
      <c r="B18">
        <v>30</v>
      </c>
      <c r="C18">
        <v>5</v>
      </c>
      <c r="D18" t="s">
        <v>235</v>
      </c>
      <c r="E18">
        <v>4.33</v>
      </c>
      <c r="F18">
        <v>129</v>
      </c>
      <c r="J18" t="s">
        <v>128</v>
      </c>
      <c r="K18">
        <v>22</v>
      </c>
      <c r="L18">
        <v>7</v>
      </c>
      <c r="M18">
        <v>2.91</v>
      </c>
      <c r="N18">
        <v>0.32</v>
      </c>
    </row>
    <row r="19" spans="1:16" x14ac:dyDescent="0.35">
      <c r="A19" t="s">
        <v>37</v>
      </c>
      <c r="B19">
        <v>11</v>
      </c>
      <c r="C19">
        <v>2</v>
      </c>
      <c r="D19" t="s">
        <v>234</v>
      </c>
      <c r="E19">
        <v>4.45</v>
      </c>
      <c r="F19">
        <v>49</v>
      </c>
      <c r="J19" t="s">
        <v>8</v>
      </c>
      <c r="K19">
        <v>30</v>
      </c>
      <c r="L19">
        <v>5</v>
      </c>
      <c r="M19">
        <v>4.3</v>
      </c>
      <c r="N19">
        <v>0.17</v>
      </c>
    </row>
    <row r="20" spans="1:16" x14ac:dyDescent="0.35">
      <c r="A20" t="s">
        <v>237</v>
      </c>
      <c r="B20">
        <v>1</v>
      </c>
      <c r="C20">
        <v>1</v>
      </c>
      <c r="D20">
        <v>1</v>
      </c>
      <c r="E20">
        <v>1</v>
      </c>
      <c r="F20">
        <v>1</v>
      </c>
      <c r="J20" t="s">
        <v>37</v>
      </c>
      <c r="K20">
        <v>11</v>
      </c>
      <c r="L20">
        <v>2</v>
      </c>
      <c r="M20">
        <v>4.45</v>
      </c>
      <c r="N20">
        <v>0.18</v>
      </c>
      <c r="P20" s="2"/>
    </row>
    <row r="21" spans="1:16" x14ac:dyDescent="0.35">
      <c r="A21" t="s">
        <v>14</v>
      </c>
      <c r="B21">
        <v>33</v>
      </c>
      <c r="C21">
        <v>3</v>
      </c>
      <c r="D21" t="s">
        <v>265</v>
      </c>
      <c r="E21">
        <v>4.24</v>
      </c>
      <c r="F21">
        <v>140</v>
      </c>
      <c r="J21" t="s">
        <v>14</v>
      </c>
      <c r="K21">
        <v>33</v>
      </c>
      <c r="L21">
        <v>3</v>
      </c>
      <c r="M21">
        <v>4.24</v>
      </c>
      <c r="N21">
        <v>0.09</v>
      </c>
      <c r="P21" s="3"/>
    </row>
    <row r="22" spans="1:16" x14ac:dyDescent="0.35">
      <c r="A22" t="s">
        <v>173</v>
      </c>
      <c r="B22">
        <v>3</v>
      </c>
      <c r="C22">
        <v>0</v>
      </c>
      <c r="D22" t="s">
        <v>177</v>
      </c>
      <c r="E22">
        <v>5.33</v>
      </c>
      <c r="F22">
        <v>16</v>
      </c>
      <c r="J22" t="s">
        <v>6</v>
      </c>
      <c r="K22">
        <v>30</v>
      </c>
      <c r="L22">
        <v>3</v>
      </c>
      <c r="M22">
        <v>5.23</v>
      </c>
      <c r="N22">
        <v>0.1</v>
      </c>
    </row>
    <row r="23" spans="1:16" x14ac:dyDescent="0.35">
      <c r="A23" t="s">
        <v>90</v>
      </c>
      <c r="B23">
        <v>3</v>
      </c>
      <c r="C23">
        <v>1</v>
      </c>
      <c r="D23" t="s">
        <v>225</v>
      </c>
      <c r="E23">
        <v>5.67</v>
      </c>
      <c r="F23">
        <v>17</v>
      </c>
      <c r="J23" t="s">
        <v>52</v>
      </c>
      <c r="K23">
        <v>6</v>
      </c>
      <c r="L23">
        <v>0</v>
      </c>
      <c r="M23">
        <v>3.67</v>
      </c>
      <c r="N23">
        <v>0</v>
      </c>
    </row>
    <row r="24" spans="1:16" x14ac:dyDescent="0.35">
      <c r="A24" t="s">
        <v>6</v>
      </c>
      <c r="B24">
        <v>30</v>
      </c>
      <c r="C24">
        <v>3</v>
      </c>
      <c r="D24" t="s">
        <v>201</v>
      </c>
      <c r="E24">
        <v>5.23</v>
      </c>
      <c r="F24">
        <v>157</v>
      </c>
      <c r="J24" t="s">
        <v>20</v>
      </c>
      <c r="K24">
        <v>11</v>
      </c>
      <c r="L24">
        <v>1</v>
      </c>
      <c r="M24">
        <v>5.82</v>
      </c>
      <c r="N24">
        <v>0.09</v>
      </c>
    </row>
    <row r="25" spans="1:16" x14ac:dyDescent="0.35">
      <c r="A25" t="s">
        <v>19</v>
      </c>
      <c r="B25">
        <v>3</v>
      </c>
      <c r="C25">
        <v>1</v>
      </c>
      <c r="D25" t="s">
        <v>245</v>
      </c>
      <c r="E25">
        <v>4.67</v>
      </c>
      <c r="F25">
        <v>14</v>
      </c>
      <c r="J25" t="s">
        <v>25</v>
      </c>
      <c r="K25">
        <v>26</v>
      </c>
      <c r="L25">
        <v>3</v>
      </c>
      <c r="M25">
        <v>5.31</v>
      </c>
      <c r="N25">
        <v>0.12</v>
      </c>
    </row>
    <row r="26" spans="1:16" x14ac:dyDescent="0.35">
      <c r="A26" t="s">
        <v>56</v>
      </c>
      <c r="B26">
        <v>3</v>
      </c>
      <c r="C26">
        <v>0</v>
      </c>
      <c r="D26" t="s">
        <v>202</v>
      </c>
      <c r="E26">
        <v>4</v>
      </c>
      <c r="F26">
        <v>12</v>
      </c>
      <c r="J26" t="s">
        <v>34</v>
      </c>
      <c r="K26">
        <v>5</v>
      </c>
      <c r="L26">
        <v>1</v>
      </c>
      <c r="M26">
        <v>5</v>
      </c>
      <c r="N26">
        <v>0.2</v>
      </c>
    </row>
    <row r="27" spans="1:16" x14ac:dyDescent="0.35">
      <c r="A27" t="s">
        <v>52</v>
      </c>
      <c r="B27">
        <v>6</v>
      </c>
      <c r="C27">
        <v>0</v>
      </c>
      <c r="D27" t="s">
        <v>136</v>
      </c>
      <c r="E27">
        <v>3.67</v>
      </c>
      <c r="F27">
        <v>22</v>
      </c>
      <c r="J27" t="s">
        <v>147</v>
      </c>
      <c r="K27">
        <v>4</v>
      </c>
      <c r="L27">
        <v>0</v>
      </c>
      <c r="M27">
        <v>4.25</v>
      </c>
      <c r="N27">
        <v>0</v>
      </c>
    </row>
    <row r="28" spans="1:16" x14ac:dyDescent="0.35">
      <c r="A28" t="s">
        <v>20</v>
      </c>
      <c r="B28">
        <v>11</v>
      </c>
      <c r="C28">
        <v>1</v>
      </c>
      <c r="D28" t="s">
        <v>257</v>
      </c>
      <c r="E28">
        <v>5.82</v>
      </c>
      <c r="F28">
        <v>64</v>
      </c>
      <c r="J28" t="s">
        <v>87</v>
      </c>
      <c r="K28">
        <v>3</v>
      </c>
      <c r="L28">
        <v>0</v>
      </c>
      <c r="M28">
        <v>6</v>
      </c>
      <c r="N28">
        <v>0</v>
      </c>
    </row>
    <row r="29" spans="1:16" x14ac:dyDescent="0.35">
      <c r="A29" t="s">
        <v>25</v>
      </c>
      <c r="B29">
        <v>26</v>
      </c>
      <c r="C29">
        <v>3</v>
      </c>
      <c r="D29" t="s">
        <v>189</v>
      </c>
      <c r="E29">
        <v>5.31</v>
      </c>
      <c r="F29">
        <v>138</v>
      </c>
      <c r="J29" t="s">
        <v>81</v>
      </c>
      <c r="K29">
        <v>7</v>
      </c>
      <c r="L29">
        <v>1</v>
      </c>
      <c r="M29">
        <v>4.43</v>
      </c>
      <c r="N29">
        <v>0.14000000000000001</v>
      </c>
    </row>
    <row r="30" spans="1:16" x14ac:dyDescent="0.35">
      <c r="A30" t="s">
        <v>34</v>
      </c>
      <c r="B30">
        <v>5</v>
      </c>
      <c r="C30">
        <v>1</v>
      </c>
      <c r="D30" t="s">
        <v>205</v>
      </c>
      <c r="E30">
        <v>5</v>
      </c>
      <c r="F30">
        <v>25</v>
      </c>
      <c r="J30" t="s">
        <v>36</v>
      </c>
      <c r="K30">
        <v>3</v>
      </c>
      <c r="L30">
        <v>0</v>
      </c>
      <c r="M30">
        <v>4</v>
      </c>
      <c r="N30">
        <v>0</v>
      </c>
    </row>
    <row r="31" spans="1:16" x14ac:dyDescent="0.35">
      <c r="A31" t="s">
        <v>147</v>
      </c>
      <c r="B31">
        <v>4</v>
      </c>
      <c r="C31">
        <v>0</v>
      </c>
      <c r="D31" t="s">
        <v>192</v>
      </c>
      <c r="E31">
        <v>4.25</v>
      </c>
      <c r="F31">
        <v>17</v>
      </c>
      <c r="J31" t="s">
        <v>112</v>
      </c>
      <c r="K31">
        <v>7</v>
      </c>
      <c r="L31">
        <v>3</v>
      </c>
      <c r="M31">
        <v>3.29</v>
      </c>
      <c r="N31">
        <v>0.43</v>
      </c>
    </row>
    <row r="32" spans="1:16" x14ac:dyDescent="0.35">
      <c r="A32" t="s">
        <v>50</v>
      </c>
      <c r="B32">
        <v>3</v>
      </c>
      <c r="C32">
        <v>0</v>
      </c>
      <c r="D32" t="s">
        <v>226</v>
      </c>
      <c r="E32">
        <v>4.67</v>
      </c>
      <c r="F32">
        <v>14</v>
      </c>
      <c r="H32" t="s">
        <v>48</v>
      </c>
      <c r="J32" t="s">
        <v>27</v>
      </c>
      <c r="K32">
        <v>13</v>
      </c>
      <c r="L32">
        <v>0</v>
      </c>
      <c r="M32">
        <v>4.62</v>
      </c>
      <c r="N32">
        <v>0</v>
      </c>
    </row>
    <row r="33" spans="1:15" x14ac:dyDescent="0.35">
      <c r="A33" t="s">
        <v>87</v>
      </c>
      <c r="B33">
        <v>3</v>
      </c>
      <c r="C33">
        <v>0</v>
      </c>
      <c r="D33" t="s">
        <v>131</v>
      </c>
      <c r="E33">
        <v>6</v>
      </c>
      <c r="F33">
        <v>18</v>
      </c>
      <c r="J33" t="s">
        <v>117</v>
      </c>
      <c r="K33">
        <v>8</v>
      </c>
      <c r="L33">
        <v>2</v>
      </c>
      <c r="M33">
        <v>4.5</v>
      </c>
      <c r="N33">
        <v>0.25</v>
      </c>
    </row>
    <row r="34" spans="1:15" x14ac:dyDescent="0.35">
      <c r="A34" t="s">
        <v>81</v>
      </c>
      <c r="B34">
        <v>7</v>
      </c>
      <c r="C34">
        <v>1</v>
      </c>
      <c r="D34" t="s">
        <v>246</v>
      </c>
      <c r="E34">
        <v>4.43</v>
      </c>
      <c r="F34">
        <v>31</v>
      </c>
      <c r="J34" t="s">
        <v>32</v>
      </c>
      <c r="K34">
        <v>9</v>
      </c>
      <c r="L34">
        <v>0</v>
      </c>
      <c r="M34">
        <v>6.11</v>
      </c>
      <c r="N34">
        <v>0</v>
      </c>
    </row>
    <row r="35" spans="1:15" x14ac:dyDescent="0.35">
      <c r="A35" t="s">
        <v>36</v>
      </c>
      <c r="B35">
        <v>3</v>
      </c>
      <c r="C35">
        <v>0</v>
      </c>
      <c r="D35" t="s">
        <v>114</v>
      </c>
      <c r="E35">
        <v>4</v>
      </c>
      <c r="F35">
        <v>12</v>
      </c>
      <c r="J35" t="s">
        <v>15</v>
      </c>
      <c r="K35">
        <v>61</v>
      </c>
      <c r="L35">
        <v>13</v>
      </c>
      <c r="M35">
        <v>4.1100000000000003</v>
      </c>
      <c r="N35">
        <v>0.21</v>
      </c>
    </row>
    <row r="36" spans="1:15" x14ac:dyDescent="0.35">
      <c r="A36" t="s">
        <v>112</v>
      </c>
      <c r="B36">
        <v>7</v>
      </c>
      <c r="C36">
        <v>3</v>
      </c>
      <c r="D36" t="s">
        <v>249</v>
      </c>
      <c r="E36">
        <v>3.29</v>
      </c>
      <c r="F36">
        <v>23</v>
      </c>
      <c r="J36" t="s">
        <v>13</v>
      </c>
      <c r="K36">
        <v>10</v>
      </c>
      <c r="L36">
        <v>1</v>
      </c>
      <c r="M36">
        <v>5</v>
      </c>
      <c r="N36">
        <v>0.1</v>
      </c>
    </row>
    <row r="37" spans="1:15" x14ac:dyDescent="0.35">
      <c r="A37" t="s">
        <v>27</v>
      </c>
      <c r="B37">
        <v>13</v>
      </c>
      <c r="C37">
        <v>0</v>
      </c>
      <c r="D37" t="s">
        <v>227</v>
      </c>
      <c r="E37">
        <v>4.62</v>
      </c>
      <c r="F37">
        <v>60</v>
      </c>
      <c r="J37" t="s">
        <v>10</v>
      </c>
      <c r="K37">
        <v>24</v>
      </c>
      <c r="L37">
        <v>3</v>
      </c>
      <c r="M37">
        <v>4.29</v>
      </c>
      <c r="N37">
        <v>0.13</v>
      </c>
      <c r="O37" s="2"/>
    </row>
    <row r="38" spans="1:15" x14ac:dyDescent="0.35">
      <c r="A38" t="s">
        <v>117</v>
      </c>
      <c r="B38">
        <v>8</v>
      </c>
      <c r="C38">
        <v>2</v>
      </c>
      <c r="D38" t="s">
        <v>228</v>
      </c>
      <c r="E38">
        <v>4.5</v>
      </c>
      <c r="F38">
        <v>36</v>
      </c>
      <c r="J38" t="s">
        <v>63</v>
      </c>
      <c r="K38">
        <v>6</v>
      </c>
      <c r="L38">
        <v>1</v>
      </c>
      <c r="M38">
        <v>4.17</v>
      </c>
      <c r="N38">
        <v>0.17</v>
      </c>
      <c r="O38" s="3"/>
    </row>
    <row r="39" spans="1:15" x14ac:dyDescent="0.35">
      <c r="A39" t="s">
        <v>141</v>
      </c>
      <c r="B39">
        <v>3</v>
      </c>
      <c r="C39">
        <v>1</v>
      </c>
      <c r="D39" t="s">
        <v>207</v>
      </c>
      <c r="E39">
        <v>3.33</v>
      </c>
      <c r="F39">
        <v>10</v>
      </c>
      <c r="J39" t="s">
        <v>121</v>
      </c>
      <c r="K39">
        <v>11</v>
      </c>
      <c r="L39">
        <v>2</v>
      </c>
      <c r="M39">
        <v>3.45</v>
      </c>
      <c r="N39">
        <v>0.18</v>
      </c>
      <c r="O39" s="2"/>
    </row>
    <row r="40" spans="1:15" x14ac:dyDescent="0.35">
      <c r="A40" t="s">
        <v>32</v>
      </c>
      <c r="B40">
        <v>9</v>
      </c>
      <c r="C40">
        <v>0</v>
      </c>
      <c r="D40" t="s">
        <v>236</v>
      </c>
      <c r="E40">
        <v>6.11</v>
      </c>
      <c r="F40">
        <v>55</v>
      </c>
      <c r="J40" t="s">
        <v>21</v>
      </c>
      <c r="K40">
        <v>8</v>
      </c>
      <c r="L40">
        <v>0</v>
      </c>
      <c r="M40">
        <v>4.75</v>
      </c>
      <c r="N40">
        <v>0</v>
      </c>
      <c r="O40" s="3"/>
    </row>
    <row r="41" spans="1:15" x14ac:dyDescent="0.35">
      <c r="A41" t="s">
        <v>15</v>
      </c>
      <c r="B41">
        <v>61</v>
      </c>
      <c r="C41">
        <v>13</v>
      </c>
      <c r="D41" t="s">
        <v>254</v>
      </c>
      <c r="E41">
        <v>4.1100000000000003</v>
      </c>
      <c r="F41">
        <v>251</v>
      </c>
      <c r="J41" t="s">
        <v>51</v>
      </c>
      <c r="K41">
        <v>16</v>
      </c>
      <c r="L41">
        <v>0</v>
      </c>
      <c r="M41">
        <v>5.38</v>
      </c>
      <c r="N41">
        <v>0</v>
      </c>
    </row>
    <row r="42" spans="1:15" x14ac:dyDescent="0.35">
      <c r="A42" t="s">
        <v>13</v>
      </c>
      <c r="B42">
        <v>10</v>
      </c>
      <c r="C42">
        <v>1</v>
      </c>
      <c r="D42" t="s">
        <v>120</v>
      </c>
      <c r="E42">
        <v>5</v>
      </c>
      <c r="F42">
        <v>50</v>
      </c>
      <c r="J42" t="s">
        <v>0</v>
      </c>
      <c r="K42">
        <v>21</v>
      </c>
      <c r="L42">
        <v>3</v>
      </c>
      <c r="M42">
        <v>3.24</v>
      </c>
      <c r="N42">
        <v>0.14000000000000001</v>
      </c>
      <c r="O42" s="2"/>
    </row>
    <row r="43" spans="1:15" x14ac:dyDescent="0.35">
      <c r="A43" t="s">
        <v>10</v>
      </c>
      <c r="B43">
        <v>24</v>
      </c>
      <c r="C43">
        <v>3</v>
      </c>
      <c r="D43" t="s">
        <v>223</v>
      </c>
      <c r="E43">
        <v>4.29</v>
      </c>
      <c r="F43">
        <v>103</v>
      </c>
      <c r="J43" t="s">
        <v>1</v>
      </c>
      <c r="K43">
        <v>20</v>
      </c>
      <c r="L43">
        <v>1</v>
      </c>
      <c r="M43">
        <v>5.05</v>
      </c>
      <c r="N43">
        <v>0.05</v>
      </c>
    </row>
    <row r="44" spans="1:15" x14ac:dyDescent="0.35">
      <c r="A44" t="s">
        <v>63</v>
      </c>
      <c r="B44">
        <v>6</v>
      </c>
      <c r="C44">
        <v>1</v>
      </c>
      <c r="D44" t="s">
        <v>264</v>
      </c>
      <c r="E44">
        <v>4.17</v>
      </c>
      <c r="F44">
        <v>25</v>
      </c>
      <c r="J44" t="s">
        <v>28</v>
      </c>
      <c r="K44">
        <v>3</v>
      </c>
      <c r="L44">
        <v>0</v>
      </c>
      <c r="M44">
        <v>4.33</v>
      </c>
      <c r="N44">
        <v>0</v>
      </c>
      <c r="O44" s="3"/>
    </row>
    <row r="45" spans="1:15" x14ac:dyDescent="0.35">
      <c r="A45" t="s">
        <v>4</v>
      </c>
      <c r="B45">
        <v>3</v>
      </c>
      <c r="C45">
        <v>0</v>
      </c>
      <c r="D45" t="s">
        <v>238</v>
      </c>
      <c r="E45">
        <v>5.33</v>
      </c>
      <c r="F45">
        <v>16</v>
      </c>
      <c r="J45" t="s">
        <v>115</v>
      </c>
      <c r="K45">
        <v>7</v>
      </c>
      <c r="L45">
        <v>0</v>
      </c>
      <c r="M45">
        <v>4.57</v>
      </c>
      <c r="N45">
        <v>0</v>
      </c>
      <c r="O45" s="3"/>
    </row>
    <row r="46" spans="1:15" x14ac:dyDescent="0.35">
      <c r="A46" t="s">
        <v>121</v>
      </c>
      <c r="B46">
        <v>11</v>
      </c>
      <c r="C46">
        <v>2</v>
      </c>
      <c r="D46" t="s">
        <v>203</v>
      </c>
      <c r="E46">
        <v>3.45</v>
      </c>
      <c r="F46">
        <v>38</v>
      </c>
      <c r="J46" t="s">
        <v>24</v>
      </c>
      <c r="K46">
        <v>15</v>
      </c>
      <c r="L46">
        <v>1</v>
      </c>
      <c r="M46">
        <v>4.7300000000000004</v>
      </c>
      <c r="N46">
        <v>7.0000000000000007E-2</v>
      </c>
    </row>
    <row r="47" spans="1:15" x14ac:dyDescent="0.35">
      <c r="A47" t="s">
        <v>232</v>
      </c>
      <c r="B47">
        <v>3</v>
      </c>
      <c r="C47">
        <v>0</v>
      </c>
      <c r="D47" t="s">
        <v>261</v>
      </c>
      <c r="E47">
        <v>4.33</v>
      </c>
      <c r="F47">
        <v>13</v>
      </c>
      <c r="J47" t="s">
        <v>116</v>
      </c>
      <c r="K47">
        <v>5</v>
      </c>
      <c r="L47">
        <v>0</v>
      </c>
      <c r="M47">
        <v>5.4</v>
      </c>
      <c r="N47">
        <v>0</v>
      </c>
      <c r="O47" s="3"/>
    </row>
    <row r="48" spans="1:15" x14ac:dyDescent="0.35">
      <c r="A48" t="s">
        <v>21</v>
      </c>
      <c r="B48">
        <v>8</v>
      </c>
      <c r="C48">
        <v>0</v>
      </c>
      <c r="D48" t="s">
        <v>256</v>
      </c>
      <c r="E48">
        <v>4.75</v>
      </c>
      <c r="F48">
        <v>38</v>
      </c>
      <c r="J48" t="s">
        <v>5</v>
      </c>
      <c r="K48">
        <v>3</v>
      </c>
      <c r="L48">
        <v>0</v>
      </c>
      <c r="M48">
        <v>5</v>
      </c>
      <c r="N48">
        <v>0</v>
      </c>
    </row>
    <row r="49" spans="1:15" x14ac:dyDescent="0.35">
      <c r="A49" t="s">
        <v>51</v>
      </c>
      <c r="B49">
        <v>16</v>
      </c>
      <c r="C49">
        <v>0</v>
      </c>
      <c r="D49" t="s">
        <v>231</v>
      </c>
      <c r="E49">
        <v>5.38</v>
      </c>
      <c r="F49">
        <v>86</v>
      </c>
      <c r="J49" t="s">
        <v>58</v>
      </c>
      <c r="K49">
        <v>3</v>
      </c>
      <c r="L49">
        <v>0</v>
      </c>
      <c r="M49">
        <v>4</v>
      </c>
      <c r="N49">
        <v>0</v>
      </c>
      <c r="O49" s="3"/>
    </row>
    <row r="50" spans="1:15" x14ac:dyDescent="0.35">
      <c r="A50" t="s">
        <v>78</v>
      </c>
      <c r="B50">
        <v>5</v>
      </c>
      <c r="C50">
        <v>1</v>
      </c>
      <c r="D50" t="s">
        <v>196</v>
      </c>
      <c r="E50">
        <v>3.4</v>
      </c>
      <c r="F50">
        <v>17</v>
      </c>
      <c r="J50" t="s">
        <v>30</v>
      </c>
      <c r="K50">
        <v>6</v>
      </c>
      <c r="L50">
        <v>1</v>
      </c>
      <c r="M50">
        <v>5</v>
      </c>
      <c r="N50">
        <v>0.17</v>
      </c>
      <c r="O50" s="3"/>
    </row>
    <row r="51" spans="1:15" x14ac:dyDescent="0.35">
      <c r="A51" t="s">
        <v>0</v>
      </c>
      <c r="B51">
        <v>21</v>
      </c>
      <c r="C51">
        <v>3</v>
      </c>
      <c r="D51" t="s">
        <v>260</v>
      </c>
      <c r="E51">
        <v>3.24</v>
      </c>
      <c r="F51">
        <v>68</v>
      </c>
      <c r="J51" t="s">
        <v>29</v>
      </c>
      <c r="K51">
        <v>8</v>
      </c>
      <c r="L51">
        <v>0</v>
      </c>
      <c r="M51">
        <v>5.25</v>
      </c>
      <c r="N51">
        <v>0</v>
      </c>
      <c r="O51" s="3"/>
    </row>
    <row r="52" spans="1:15" x14ac:dyDescent="0.35">
      <c r="A52" t="s">
        <v>1</v>
      </c>
      <c r="B52">
        <v>20</v>
      </c>
      <c r="C52">
        <v>1</v>
      </c>
      <c r="D52" t="s">
        <v>248</v>
      </c>
      <c r="E52">
        <v>5.05</v>
      </c>
      <c r="F52">
        <v>101</v>
      </c>
      <c r="J52" t="s">
        <v>148</v>
      </c>
      <c r="K52">
        <v>6</v>
      </c>
      <c r="L52">
        <v>0</v>
      </c>
      <c r="M52">
        <v>3.83</v>
      </c>
      <c r="N52">
        <v>0</v>
      </c>
      <c r="O52" s="3"/>
    </row>
    <row r="53" spans="1:15" x14ac:dyDescent="0.35">
      <c r="A53" t="s">
        <v>28</v>
      </c>
      <c r="B53">
        <v>3</v>
      </c>
      <c r="D53" t="s">
        <v>60</v>
      </c>
      <c r="E53">
        <v>4.33</v>
      </c>
      <c r="F53">
        <v>13</v>
      </c>
      <c r="J53" t="s">
        <v>23</v>
      </c>
      <c r="K53">
        <v>9</v>
      </c>
      <c r="L53">
        <v>0</v>
      </c>
      <c r="M53">
        <v>4.4400000000000004</v>
      </c>
      <c r="N53">
        <v>0</v>
      </c>
    </row>
    <row r="54" spans="1:15" x14ac:dyDescent="0.35">
      <c r="A54" t="s">
        <v>253</v>
      </c>
      <c r="B54">
        <v>1</v>
      </c>
      <c r="C54">
        <v>0</v>
      </c>
      <c r="D54">
        <v>2</v>
      </c>
      <c r="E54">
        <v>2</v>
      </c>
      <c r="F54">
        <v>2</v>
      </c>
      <c r="J54" t="s">
        <v>79</v>
      </c>
      <c r="K54">
        <v>10</v>
      </c>
      <c r="L54">
        <v>0</v>
      </c>
      <c r="M54">
        <v>4.5999999999999996</v>
      </c>
      <c r="N54">
        <v>0</v>
      </c>
    </row>
    <row r="55" spans="1:15" x14ac:dyDescent="0.35">
      <c r="A55" t="s">
        <v>175</v>
      </c>
      <c r="B55">
        <v>2</v>
      </c>
      <c r="C55">
        <v>0</v>
      </c>
      <c r="D55" t="s">
        <v>252</v>
      </c>
      <c r="E55">
        <v>5</v>
      </c>
      <c r="F55">
        <v>10</v>
      </c>
      <c r="J55" t="s">
        <v>80</v>
      </c>
      <c r="K55">
        <v>3</v>
      </c>
      <c r="L55">
        <v>0</v>
      </c>
      <c r="M55">
        <v>5.33</v>
      </c>
      <c r="N55">
        <v>0</v>
      </c>
    </row>
    <row r="56" spans="1:15" x14ac:dyDescent="0.35">
      <c r="A56" t="s">
        <v>61</v>
      </c>
      <c r="B56">
        <v>3</v>
      </c>
      <c r="C56">
        <v>0</v>
      </c>
      <c r="D56" t="s">
        <v>258</v>
      </c>
      <c r="E56">
        <v>4</v>
      </c>
      <c r="F56">
        <v>12</v>
      </c>
      <c r="J56" t="s">
        <v>17</v>
      </c>
      <c r="K56">
        <v>6</v>
      </c>
      <c r="L56">
        <v>1</v>
      </c>
      <c r="M56">
        <v>5.17</v>
      </c>
      <c r="N56">
        <v>0.17</v>
      </c>
    </row>
    <row r="57" spans="1:15" x14ac:dyDescent="0.35">
      <c r="A57" t="s">
        <v>142</v>
      </c>
      <c r="B57">
        <v>2</v>
      </c>
      <c r="C57">
        <v>0</v>
      </c>
      <c r="D57" t="s">
        <v>164</v>
      </c>
      <c r="E57">
        <v>7.5</v>
      </c>
      <c r="F57">
        <v>15</v>
      </c>
      <c r="J57" t="s">
        <v>12</v>
      </c>
      <c r="K57">
        <v>4</v>
      </c>
      <c r="L57">
        <v>0</v>
      </c>
      <c r="M57">
        <v>5.75</v>
      </c>
      <c r="N57">
        <v>0</v>
      </c>
    </row>
    <row r="58" spans="1:15" x14ac:dyDescent="0.35">
      <c r="A58" t="s">
        <v>115</v>
      </c>
      <c r="B58">
        <v>7</v>
      </c>
      <c r="C58">
        <v>0</v>
      </c>
      <c r="D58" t="s">
        <v>210</v>
      </c>
      <c r="E58">
        <v>4.57</v>
      </c>
      <c r="F58">
        <v>32</v>
      </c>
      <c r="J58" t="s">
        <v>16</v>
      </c>
      <c r="K58">
        <v>4</v>
      </c>
      <c r="L58">
        <v>0</v>
      </c>
      <c r="M58">
        <v>5.25</v>
      </c>
      <c r="N58">
        <v>0</v>
      </c>
    </row>
    <row r="59" spans="1:15" x14ac:dyDescent="0.35">
      <c r="A59" t="s">
        <v>24</v>
      </c>
      <c r="B59">
        <v>15</v>
      </c>
      <c r="C59">
        <v>1</v>
      </c>
      <c r="D59" t="s">
        <v>174</v>
      </c>
      <c r="E59">
        <v>4.7300000000000004</v>
      </c>
      <c r="F59">
        <v>71</v>
      </c>
      <c r="J59" t="s">
        <v>89</v>
      </c>
      <c r="K59">
        <v>4</v>
      </c>
      <c r="L59">
        <v>0</v>
      </c>
      <c r="M59">
        <v>5.5</v>
      </c>
      <c r="N59">
        <v>0</v>
      </c>
    </row>
    <row r="60" spans="1:15" x14ac:dyDescent="0.35">
      <c r="A60" t="s">
        <v>116</v>
      </c>
      <c r="B60">
        <v>5</v>
      </c>
      <c r="C60">
        <v>0</v>
      </c>
      <c r="D60" t="s">
        <v>130</v>
      </c>
      <c r="E60">
        <v>5.4</v>
      </c>
      <c r="F60">
        <v>27</v>
      </c>
      <c r="J60" t="s">
        <v>22</v>
      </c>
      <c r="K60">
        <v>58</v>
      </c>
      <c r="L60">
        <v>9</v>
      </c>
      <c r="M60">
        <v>4.1900000000000004</v>
      </c>
      <c r="N60">
        <v>0.16</v>
      </c>
    </row>
    <row r="61" spans="1:15" x14ac:dyDescent="0.35">
      <c r="A61" t="s">
        <v>5</v>
      </c>
      <c r="B61">
        <v>3</v>
      </c>
      <c r="C61">
        <v>0</v>
      </c>
      <c r="D61" t="s">
        <v>172</v>
      </c>
      <c r="E61">
        <v>5</v>
      </c>
      <c r="F61">
        <v>15</v>
      </c>
      <c r="J61" t="s">
        <v>135</v>
      </c>
      <c r="K61">
        <v>3</v>
      </c>
      <c r="L61">
        <v>1</v>
      </c>
      <c r="M61">
        <v>4</v>
      </c>
      <c r="N61">
        <v>0.33</v>
      </c>
    </row>
    <row r="62" spans="1:15" x14ac:dyDescent="0.35">
      <c r="A62" t="s">
        <v>58</v>
      </c>
      <c r="B62">
        <v>3</v>
      </c>
      <c r="C62">
        <v>0</v>
      </c>
      <c r="D62" t="s">
        <v>62</v>
      </c>
      <c r="E62">
        <v>4</v>
      </c>
      <c r="F62">
        <v>12</v>
      </c>
      <c r="J62" t="s">
        <v>33</v>
      </c>
      <c r="K62">
        <v>3</v>
      </c>
      <c r="L62">
        <v>0</v>
      </c>
      <c r="M62">
        <v>5.33</v>
      </c>
      <c r="N62">
        <v>0</v>
      </c>
    </row>
    <row r="63" spans="1:15" x14ac:dyDescent="0.35">
      <c r="A63" t="s">
        <v>30</v>
      </c>
      <c r="B63">
        <v>6</v>
      </c>
      <c r="C63">
        <v>1</v>
      </c>
      <c r="D63" t="s">
        <v>239</v>
      </c>
      <c r="E63">
        <v>5</v>
      </c>
      <c r="F63">
        <v>30</v>
      </c>
      <c r="J63" t="s">
        <v>99</v>
      </c>
      <c r="K63">
        <v>9</v>
      </c>
      <c r="L63">
        <v>1</v>
      </c>
      <c r="M63">
        <v>5.1100000000000003</v>
      </c>
      <c r="N63">
        <v>0.11</v>
      </c>
    </row>
    <row r="64" spans="1:15" x14ac:dyDescent="0.35">
      <c r="A64" t="s">
        <v>29</v>
      </c>
      <c r="B64">
        <v>8</v>
      </c>
      <c r="C64">
        <v>0</v>
      </c>
      <c r="D64" t="s">
        <v>224</v>
      </c>
      <c r="E64">
        <v>5.25</v>
      </c>
      <c r="F64">
        <v>42</v>
      </c>
      <c r="J64" t="s">
        <v>7</v>
      </c>
      <c r="K64">
        <v>7</v>
      </c>
      <c r="L64">
        <v>2</v>
      </c>
      <c r="M64">
        <v>4.29</v>
      </c>
      <c r="N64">
        <v>0.28999999999999998</v>
      </c>
    </row>
    <row r="65" spans="1:14" x14ac:dyDescent="0.35">
      <c r="A65" t="s">
        <v>148</v>
      </c>
      <c r="B65">
        <v>6</v>
      </c>
      <c r="C65">
        <v>0</v>
      </c>
      <c r="D65" t="s">
        <v>211</v>
      </c>
      <c r="E65">
        <v>3.83</v>
      </c>
      <c r="F65">
        <v>23</v>
      </c>
      <c r="J65" t="s">
        <v>137</v>
      </c>
      <c r="K65">
        <v>3</v>
      </c>
      <c r="L65">
        <v>0</v>
      </c>
      <c r="M65">
        <v>5.67</v>
      </c>
      <c r="N65">
        <v>0</v>
      </c>
    </row>
    <row r="66" spans="1:14" x14ac:dyDescent="0.35">
      <c r="A66" t="s">
        <v>9</v>
      </c>
      <c r="B66">
        <v>3</v>
      </c>
      <c r="C66">
        <v>1</v>
      </c>
      <c r="D66" t="s">
        <v>208</v>
      </c>
      <c r="E66">
        <v>3.67</v>
      </c>
      <c r="F66">
        <v>11</v>
      </c>
      <c r="J66" t="s">
        <v>129</v>
      </c>
      <c r="K66">
        <v>22</v>
      </c>
      <c r="L66">
        <v>5</v>
      </c>
      <c r="M66">
        <v>3.95</v>
      </c>
      <c r="N66">
        <v>0.23</v>
      </c>
    </row>
    <row r="67" spans="1:14" x14ac:dyDescent="0.35">
      <c r="A67" t="s">
        <v>139</v>
      </c>
      <c r="B67">
        <v>3</v>
      </c>
      <c r="C67">
        <v>0</v>
      </c>
      <c r="D67" t="s">
        <v>243</v>
      </c>
      <c r="E67">
        <v>4.67</v>
      </c>
      <c r="F67">
        <v>14</v>
      </c>
      <c r="J67" t="s">
        <v>113</v>
      </c>
      <c r="K67">
        <v>4</v>
      </c>
      <c r="L67">
        <v>0</v>
      </c>
      <c r="M67">
        <v>4.25</v>
      </c>
      <c r="N67">
        <v>0</v>
      </c>
    </row>
    <row r="68" spans="1:14" x14ac:dyDescent="0.35">
      <c r="A68" t="s">
        <v>23</v>
      </c>
      <c r="B68">
        <v>9</v>
      </c>
      <c r="C68">
        <v>0</v>
      </c>
      <c r="D68" t="s">
        <v>212</v>
      </c>
      <c r="E68">
        <v>4.4400000000000004</v>
      </c>
      <c r="F68">
        <v>40</v>
      </c>
      <c r="J68" t="s">
        <v>35</v>
      </c>
      <c r="K68">
        <v>20</v>
      </c>
      <c r="L68">
        <v>5</v>
      </c>
      <c r="M68">
        <v>3.9</v>
      </c>
      <c r="N68">
        <v>0.25</v>
      </c>
    </row>
    <row r="69" spans="1:14" x14ac:dyDescent="0.35">
      <c r="A69" t="s">
        <v>197</v>
      </c>
      <c r="B69">
        <v>3</v>
      </c>
      <c r="C69">
        <v>0</v>
      </c>
      <c r="D69" t="s">
        <v>198</v>
      </c>
      <c r="E69">
        <v>5.33</v>
      </c>
      <c r="F69">
        <v>16</v>
      </c>
      <c r="J69" t="s">
        <v>26</v>
      </c>
      <c r="K69">
        <v>9</v>
      </c>
      <c r="L69">
        <v>2</v>
      </c>
      <c r="M69">
        <v>4.1100000000000003</v>
      </c>
      <c r="N69">
        <v>0.22</v>
      </c>
    </row>
    <row r="70" spans="1:14" x14ac:dyDescent="0.35">
      <c r="A70" t="s">
        <v>80</v>
      </c>
      <c r="B70">
        <v>3</v>
      </c>
      <c r="C70">
        <v>0</v>
      </c>
      <c r="D70" t="s">
        <v>169</v>
      </c>
      <c r="E70">
        <v>5.33</v>
      </c>
      <c r="F70">
        <v>16</v>
      </c>
      <c r="J70" t="s">
        <v>122</v>
      </c>
      <c r="K70">
        <v>4</v>
      </c>
      <c r="L70">
        <v>0</v>
      </c>
      <c r="M70">
        <v>4</v>
      </c>
      <c r="N70">
        <v>0</v>
      </c>
    </row>
    <row r="71" spans="1:14" x14ac:dyDescent="0.35">
      <c r="A71" t="s">
        <v>17</v>
      </c>
      <c r="B71">
        <v>6</v>
      </c>
      <c r="C71">
        <v>1</v>
      </c>
      <c r="D71" t="s">
        <v>91</v>
      </c>
      <c r="E71">
        <v>5.17</v>
      </c>
      <c r="F71">
        <v>31</v>
      </c>
      <c r="J71" t="s">
        <v>49</v>
      </c>
      <c r="K71">
        <v>5</v>
      </c>
      <c r="L71">
        <v>1</v>
      </c>
      <c r="M71">
        <v>5.4</v>
      </c>
      <c r="N71">
        <v>0.2</v>
      </c>
    </row>
    <row r="72" spans="1:14" x14ac:dyDescent="0.35">
      <c r="A72" t="s">
        <v>79</v>
      </c>
      <c r="B72">
        <v>10</v>
      </c>
      <c r="C72">
        <v>0</v>
      </c>
      <c r="D72" t="s">
        <v>229</v>
      </c>
      <c r="E72">
        <v>4.5999999999999996</v>
      </c>
      <c r="F72">
        <v>46</v>
      </c>
      <c r="J72" t="s">
        <v>3</v>
      </c>
      <c r="K72">
        <v>12</v>
      </c>
      <c r="L72">
        <v>1</v>
      </c>
      <c r="M72">
        <v>4.67</v>
      </c>
      <c r="N72">
        <v>0.08</v>
      </c>
    </row>
    <row r="73" spans="1:14" x14ac:dyDescent="0.35">
      <c r="A73" t="s">
        <v>123</v>
      </c>
      <c r="B73">
        <v>3</v>
      </c>
      <c r="C73">
        <v>0</v>
      </c>
      <c r="D73" t="s">
        <v>263</v>
      </c>
      <c r="E73">
        <v>5.33</v>
      </c>
      <c r="F73">
        <v>16</v>
      </c>
      <c r="J73" t="s">
        <v>2</v>
      </c>
      <c r="K73">
        <v>4</v>
      </c>
      <c r="L73">
        <v>1</v>
      </c>
      <c r="M73">
        <v>4</v>
      </c>
      <c r="N73">
        <v>0.25</v>
      </c>
    </row>
    <row r="74" spans="1:14" x14ac:dyDescent="0.35">
      <c r="A74" t="s">
        <v>12</v>
      </c>
      <c r="B74">
        <v>4</v>
      </c>
      <c r="C74">
        <v>0</v>
      </c>
      <c r="D74" t="s">
        <v>100</v>
      </c>
      <c r="E74">
        <v>5.75</v>
      </c>
      <c r="F74">
        <v>23</v>
      </c>
      <c r="J74" t="s">
        <v>78</v>
      </c>
      <c r="K74">
        <v>5</v>
      </c>
      <c r="L74">
        <v>1</v>
      </c>
      <c r="M74">
        <v>3.4</v>
      </c>
      <c r="N74">
        <v>0.2</v>
      </c>
    </row>
    <row r="75" spans="1:14" x14ac:dyDescent="0.35">
      <c r="A75" t="s">
        <v>16</v>
      </c>
      <c r="B75">
        <v>4</v>
      </c>
      <c r="C75">
        <v>0</v>
      </c>
      <c r="D75" t="s">
        <v>171</v>
      </c>
      <c r="E75">
        <v>5.25</v>
      </c>
      <c r="F75">
        <v>21</v>
      </c>
      <c r="J75" t="s">
        <v>124</v>
      </c>
      <c r="K75">
        <v>6</v>
      </c>
      <c r="L75">
        <v>0</v>
      </c>
      <c r="M75">
        <v>5.5</v>
      </c>
      <c r="N75">
        <v>0</v>
      </c>
    </row>
    <row r="76" spans="1:14" x14ac:dyDescent="0.35">
      <c r="A76" t="s">
        <v>89</v>
      </c>
      <c r="B76">
        <v>4</v>
      </c>
      <c r="C76">
        <v>0</v>
      </c>
      <c r="D76" t="s">
        <v>206</v>
      </c>
      <c r="E76">
        <v>5.5</v>
      </c>
      <c r="F76">
        <v>22</v>
      </c>
      <c r="J76" t="s">
        <v>173</v>
      </c>
      <c r="K76">
        <v>3</v>
      </c>
      <c r="L76">
        <v>0</v>
      </c>
      <c r="M76">
        <v>5.33</v>
      </c>
      <c r="N76">
        <v>0</v>
      </c>
    </row>
    <row r="77" spans="1:14" x14ac:dyDescent="0.35">
      <c r="A77" t="s">
        <v>22</v>
      </c>
      <c r="B77">
        <v>58</v>
      </c>
      <c r="C77">
        <v>9</v>
      </c>
      <c r="D77" t="s">
        <v>259</v>
      </c>
      <c r="E77">
        <v>4.1900000000000004</v>
      </c>
      <c r="F77">
        <v>243</v>
      </c>
      <c r="J77" t="s">
        <v>197</v>
      </c>
      <c r="K77">
        <v>3</v>
      </c>
      <c r="L77">
        <v>0</v>
      </c>
      <c r="M77">
        <v>5.33</v>
      </c>
      <c r="N77">
        <v>0</v>
      </c>
    </row>
    <row r="78" spans="1:14" x14ac:dyDescent="0.35">
      <c r="A78" t="s">
        <v>135</v>
      </c>
      <c r="B78">
        <v>3</v>
      </c>
      <c r="C78">
        <v>1</v>
      </c>
      <c r="D78" t="s">
        <v>156</v>
      </c>
      <c r="E78">
        <v>4</v>
      </c>
      <c r="F78">
        <v>12</v>
      </c>
      <c r="J78" t="s">
        <v>82</v>
      </c>
      <c r="K78">
        <v>3</v>
      </c>
      <c r="L78">
        <v>0</v>
      </c>
      <c r="M78">
        <v>5.67</v>
      </c>
      <c r="N78">
        <v>0</v>
      </c>
    </row>
    <row r="79" spans="1:14" x14ac:dyDescent="0.35">
      <c r="A79" t="s">
        <v>110</v>
      </c>
      <c r="B79">
        <v>3</v>
      </c>
      <c r="C79">
        <v>0</v>
      </c>
      <c r="D79" t="s">
        <v>209</v>
      </c>
      <c r="E79">
        <v>5.33</v>
      </c>
      <c r="F79">
        <v>16</v>
      </c>
      <c r="J79" t="s">
        <v>56</v>
      </c>
      <c r="K79">
        <v>3</v>
      </c>
      <c r="L79">
        <v>0</v>
      </c>
      <c r="M79">
        <v>4</v>
      </c>
      <c r="N79">
        <v>0</v>
      </c>
    </row>
    <row r="80" spans="1:14" x14ac:dyDescent="0.35">
      <c r="A80" t="s">
        <v>82</v>
      </c>
      <c r="B80">
        <v>3</v>
      </c>
      <c r="C80">
        <v>0</v>
      </c>
      <c r="D80" t="s">
        <v>200</v>
      </c>
      <c r="E80">
        <v>5.67</v>
      </c>
      <c r="F80">
        <v>17</v>
      </c>
      <c r="J80" t="s">
        <v>141</v>
      </c>
      <c r="K80">
        <v>3</v>
      </c>
      <c r="L80">
        <v>1</v>
      </c>
      <c r="M80">
        <v>3.33</v>
      </c>
      <c r="N80">
        <v>0.33</v>
      </c>
    </row>
    <row r="81" spans="1:14" x14ac:dyDescent="0.35">
      <c r="A81" t="s">
        <v>33</v>
      </c>
      <c r="B81">
        <v>3</v>
      </c>
      <c r="C81">
        <v>0</v>
      </c>
      <c r="D81" t="s">
        <v>168</v>
      </c>
      <c r="E81">
        <v>5.33</v>
      </c>
      <c r="F81">
        <v>16</v>
      </c>
      <c r="J81" t="s">
        <v>9</v>
      </c>
      <c r="K81">
        <v>3</v>
      </c>
      <c r="L81">
        <v>1</v>
      </c>
      <c r="M81">
        <v>3.67</v>
      </c>
      <c r="N81">
        <v>0.33</v>
      </c>
    </row>
    <row r="82" spans="1:14" x14ac:dyDescent="0.35">
      <c r="A82" t="s">
        <v>99</v>
      </c>
      <c r="B82">
        <v>9</v>
      </c>
      <c r="C82">
        <v>1</v>
      </c>
      <c r="D82" t="s">
        <v>127</v>
      </c>
      <c r="E82">
        <v>5.1100000000000003</v>
      </c>
      <c r="F82">
        <v>46</v>
      </c>
      <c r="J82" t="s">
        <v>110</v>
      </c>
      <c r="K82">
        <v>3</v>
      </c>
      <c r="L82">
        <v>0</v>
      </c>
      <c r="M82">
        <v>5.33</v>
      </c>
      <c r="N82">
        <v>0</v>
      </c>
    </row>
    <row r="83" spans="1:14" x14ac:dyDescent="0.35">
      <c r="A83" t="s">
        <v>7</v>
      </c>
      <c r="B83">
        <v>7</v>
      </c>
      <c r="C83">
        <v>2</v>
      </c>
      <c r="D83" t="s">
        <v>199</v>
      </c>
      <c r="E83">
        <v>4.29</v>
      </c>
      <c r="F83">
        <v>30</v>
      </c>
      <c r="J83" t="s">
        <v>90</v>
      </c>
      <c r="K83">
        <v>3</v>
      </c>
      <c r="L83">
        <v>1</v>
      </c>
      <c r="M83">
        <v>5.67</v>
      </c>
      <c r="N83">
        <v>0.33</v>
      </c>
    </row>
    <row r="84" spans="1:14" x14ac:dyDescent="0.35">
      <c r="A84" t="s">
        <v>138</v>
      </c>
      <c r="B84">
        <v>2</v>
      </c>
      <c r="C84">
        <v>0</v>
      </c>
      <c r="D84" t="s">
        <v>241</v>
      </c>
      <c r="E84">
        <v>6</v>
      </c>
      <c r="F84">
        <v>12</v>
      </c>
      <c r="J84" t="s">
        <v>50</v>
      </c>
      <c r="K84">
        <v>3</v>
      </c>
      <c r="L84">
        <v>0</v>
      </c>
      <c r="M84">
        <v>4.67</v>
      </c>
      <c r="N84">
        <v>0</v>
      </c>
    </row>
    <row r="85" spans="1:14" x14ac:dyDescent="0.35">
      <c r="A85" t="s">
        <v>137</v>
      </c>
      <c r="B85">
        <v>3</v>
      </c>
      <c r="C85">
        <v>0</v>
      </c>
      <c r="D85" t="s">
        <v>163</v>
      </c>
      <c r="E85">
        <v>5.67</v>
      </c>
      <c r="F85">
        <v>17</v>
      </c>
      <c r="J85" t="s">
        <v>4</v>
      </c>
      <c r="K85">
        <v>3</v>
      </c>
      <c r="L85">
        <v>0</v>
      </c>
      <c r="M85">
        <v>5.33</v>
      </c>
      <c r="N85">
        <v>0</v>
      </c>
    </row>
    <row r="86" spans="1:14" x14ac:dyDescent="0.35">
      <c r="A86" t="s">
        <v>129</v>
      </c>
      <c r="B86">
        <v>22</v>
      </c>
      <c r="C86">
        <v>5</v>
      </c>
      <c r="D86" t="s">
        <v>242</v>
      </c>
      <c r="E86">
        <v>3.95</v>
      </c>
      <c r="F86">
        <v>87</v>
      </c>
      <c r="J86" t="s">
        <v>139</v>
      </c>
      <c r="K86">
        <v>3</v>
      </c>
      <c r="L86">
        <v>0</v>
      </c>
      <c r="M86">
        <v>4.67</v>
      </c>
      <c r="N86">
        <v>0</v>
      </c>
    </row>
    <row r="87" spans="1:14" x14ac:dyDescent="0.35">
      <c r="A87" t="s">
        <v>113</v>
      </c>
      <c r="B87">
        <v>4</v>
      </c>
      <c r="C87">
        <v>0</v>
      </c>
      <c r="D87" t="s">
        <v>149</v>
      </c>
      <c r="E87">
        <v>4.25</v>
      </c>
      <c r="F87">
        <v>17</v>
      </c>
      <c r="J87" t="s">
        <v>19</v>
      </c>
      <c r="K87">
        <v>3</v>
      </c>
      <c r="L87">
        <v>1</v>
      </c>
      <c r="M87">
        <v>4.67</v>
      </c>
      <c r="N87">
        <v>0</v>
      </c>
    </row>
    <row r="88" spans="1:14" x14ac:dyDescent="0.35">
      <c r="A88" t="s">
        <v>35</v>
      </c>
      <c r="B88">
        <v>20</v>
      </c>
      <c r="C88">
        <v>5</v>
      </c>
      <c r="D88" t="s">
        <v>255</v>
      </c>
      <c r="E88">
        <v>3.9</v>
      </c>
      <c r="F88">
        <v>78</v>
      </c>
      <c r="J88" t="s">
        <v>230</v>
      </c>
      <c r="K88">
        <v>4</v>
      </c>
      <c r="L88">
        <v>1</v>
      </c>
      <c r="M88">
        <v>5.25</v>
      </c>
      <c r="N88">
        <v>0.25</v>
      </c>
    </row>
    <row r="89" spans="1:14" x14ac:dyDescent="0.35">
      <c r="A89" t="s">
        <v>26</v>
      </c>
      <c r="B89">
        <v>9</v>
      </c>
      <c r="C89">
        <v>2</v>
      </c>
      <c r="D89" t="s">
        <v>247</v>
      </c>
      <c r="E89">
        <v>4.1100000000000003</v>
      </c>
      <c r="F89">
        <v>37</v>
      </c>
      <c r="J89" t="s">
        <v>61</v>
      </c>
      <c r="K89">
        <v>3</v>
      </c>
      <c r="L89">
        <v>0</v>
      </c>
      <c r="M89">
        <v>4</v>
      </c>
      <c r="N89">
        <v>0</v>
      </c>
    </row>
    <row r="90" spans="1:14" x14ac:dyDescent="0.35">
      <c r="A90" t="s">
        <v>122</v>
      </c>
      <c r="B90">
        <v>4</v>
      </c>
      <c r="C90">
        <v>0</v>
      </c>
      <c r="D90" t="s">
        <v>251</v>
      </c>
      <c r="E90">
        <v>4</v>
      </c>
      <c r="F90">
        <v>16</v>
      </c>
      <c r="J90" t="s">
        <v>232</v>
      </c>
      <c r="K90">
        <v>3</v>
      </c>
      <c r="L90">
        <v>0</v>
      </c>
      <c r="M90">
        <v>4.33</v>
      </c>
      <c r="N90">
        <v>0</v>
      </c>
    </row>
    <row r="91" spans="1:14" x14ac:dyDescent="0.35">
      <c r="A91" t="s">
        <v>49</v>
      </c>
      <c r="B91">
        <v>5</v>
      </c>
      <c r="C91">
        <v>1</v>
      </c>
      <c r="D91" t="s">
        <v>159</v>
      </c>
      <c r="E91">
        <v>5.4</v>
      </c>
      <c r="F91">
        <v>27</v>
      </c>
      <c r="J91" t="s">
        <v>123</v>
      </c>
      <c r="K91">
        <v>3</v>
      </c>
      <c r="L91">
        <v>0</v>
      </c>
      <c r="M91">
        <v>5.33</v>
      </c>
      <c r="N91">
        <v>0</v>
      </c>
    </row>
    <row r="92" spans="1:14" x14ac:dyDescent="0.35">
      <c r="A92" t="s">
        <v>3</v>
      </c>
      <c r="B92">
        <v>12</v>
      </c>
      <c r="C92">
        <v>1</v>
      </c>
      <c r="D92" t="s">
        <v>170</v>
      </c>
      <c r="E92">
        <v>4.67</v>
      </c>
      <c r="F92">
        <v>56</v>
      </c>
    </row>
    <row r="93" spans="1:14" x14ac:dyDescent="0.35">
      <c r="A93" t="s">
        <v>230</v>
      </c>
      <c r="B93">
        <v>4</v>
      </c>
      <c r="C93">
        <v>1</v>
      </c>
      <c r="D93" t="s">
        <v>250</v>
      </c>
      <c r="E93">
        <v>5.25</v>
      </c>
      <c r="F93">
        <v>21</v>
      </c>
    </row>
    <row r="94" spans="1:14" x14ac:dyDescent="0.35">
      <c r="A94" t="s">
        <v>2</v>
      </c>
      <c r="B94">
        <v>4</v>
      </c>
      <c r="C94">
        <v>1</v>
      </c>
      <c r="D94" t="s">
        <v>176</v>
      </c>
      <c r="E94">
        <v>4</v>
      </c>
      <c r="F94">
        <v>16</v>
      </c>
    </row>
    <row r="95" spans="1:14" x14ac:dyDescent="0.35">
      <c r="A95" t="s">
        <v>124</v>
      </c>
      <c r="B95">
        <v>6</v>
      </c>
      <c r="C95">
        <v>0</v>
      </c>
      <c r="D95" t="s">
        <v>262</v>
      </c>
      <c r="E95">
        <v>5.5</v>
      </c>
      <c r="F95">
        <v>33</v>
      </c>
    </row>
  </sheetData>
  <sortState ref="J14:N71">
    <sortCondition ref="J14:J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opLeftCell="A22" zoomScaleNormal="100" workbookViewId="0">
      <selection activeCell="O1" sqref="O1:R79"/>
    </sheetView>
  </sheetViews>
  <sheetFormatPr defaultRowHeight="14.5" x14ac:dyDescent="0.35"/>
  <cols>
    <col min="1" max="1" width="19.453125" bestFit="1" customWidth="1"/>
    <col min="2" max="2" width="7.453125" bestFit="1" customWidth="1"/>
    <col min="3" max="3" width="8.7265625" bestFit="1" customWidth="1"/>
    <col min="4" max="4" width="12.1796875" bestFit="1" customWidth="1"/>
    <col min="5" max="5" width="12" bestFit="1" customWidth="1"/>
    <col min="6" max="6" width="20.7265625" bestFit="1" customWidth="1"/>
    <col min="8" max="8" width="19.453125" bestFit="1" customWidth="1"/>
    <col min="9" max="9" width="7.453125" bestFit="1" customWidth="1"/>
    <col min="10" max="10" width="8.7265625" bestFit="1" customWidth="1"/>
    <col min="11" max="11" width="12.1796875" bestFit="1" customWidth="1"/>
    <col min="12" max="12" width="12" bestFit="1" customWidth="1"/>
    <col min="15" max="15" width="17.7265625" bestFit="1" customWidth="1"/>
    <col min="16" max="16" width="7.1796875" bestFit="1" customWidth="1"/>
    <col min="17" max="17" width="8.7265625" bestFit="1" customWidth="1"/>
    <col min="18" max="18" width="12" bestFit="1" customWidth="1"/>
    <col min="19" max="19" width="11.54296875" bestFit="1" customWidth="1"/>
    <col min="20" max="20" width="11.1796875" bestFit="1" customWidth="1"/>
  </cols>
  <sheetData>
    <row r="1" spans="1:20" x14ac:dyDescent="0.35">
      <c r="A1" s="4" t="s">
        <v>42</v>
      </c>
      <c r="B1" s="4" t="s">
        <v>38</v>
      </c>
      <c r="C1" s="4" t="s">
        <v>39</v>
      </c>
      <c r="D1" s="4" t="s">
        <v>40</v>
      </c>
      <c r="E1" s="4" t="s">
        <v>111</v>
      </c>
      <c r="H1" s="4" t="s">
        <v>42</v>
      </c>
      <c r="I1" s="4" t="s">
        <v>38</v>
      </c>
      <c r="J1" s="4" t="s">
        <v>39</v>
      </c>
      <c r="K1" s="4" t="s">
        <v>40</v>
      </c>
      <c r="L1" s="4" t="s">
        <v>111</v>
      </c>
      <c r="O1" s="4" t="s">
        <v>42</v>
      </c>
      <c r="P1" s="4" t="s">
        <v>38</v>
      </c>
      <c r="Q1" s="4" t="s">
        <v>39</v>
      </c>
      <c r="R1" s="4" t="s">
        <v>40</v>
      </c>
      <c r="S1" s="4" t="s">
        <v>111</v>
      </c>
    </row>
    <row r="2" spans="1:20" x14ac:dyDescent="0.35">
      <c r="A2" t="s">
        <v>112</v>
      </c>
      <c r="B2">
        <v>6</v>
      </c>
      <c r="C2">
        <v>3</v>
      </c>
      <c r="D2">
        <v>2.67</v>
      </c>
      <c r="E2">
        <v>0.5</v>
      </c>
      <c r="H2" t="s">
        <v>128</v>
      </c>
      <c r="I2">
        <v>22</v>
      </c>
      <c r="J2">
        <v>7</v>
      </c>
      <c r="K2">
        <v>2.91</v>
      </c>
      <c r="L2">
        <v>0.32</v>
      </c>
      <c r="O2" t="s">
        <v>128</v>
      </c>
      <c r="P2">
        <v>22</v>
      </c>
      <c r="Q2">
        <v>7</v>
      </c>
      <c r="R2">
        <v>2.91</v>
      </c>
      <c r="S2">
        <v>0.32</v>
      </c>
    </row>
    <row r="3" spans="1:20" x14ac:dyDescent="0.35">
      <c r="A3" t="s">
        <v>128</v>
      </c>
      <c r="B3">
        <v>22</v>
      </c>
      <c r="C3" s="6">
        <v>7</v>
      </c>
      <c r="D3">
        <v>2.91</v>
      </c>
      <c r="E3">
        <v>0.32</v>
      </c>
      <c r="H3" t="s">
        <v>112</v>
      </c>
      <c r="I3">
        <v>7</v>
      </c>
      <c r="J3">
        <v>3</v>
      </c>
      <c r="K3">
        <v>3.29</v>
      </c>
      <c r="L3">
        <v>0.43</v>
      </c>
      <c r="M3" s="3" t="s">
        <v>46</v>
      </c>
      <c r="O3" t="s">
        <v>0</v>
      </c>
      <c r="P3">
        <v>21</v>
      </c>
      <c r="Q3">
        <v>3</v>
      </c>
      <c r="R3">
        <v>3.24</v>
      </c>
      <c r="S3">
        <v>0.14000000000000001</v>
      </c>
      <c r="T3" s="2" t="s">
        <v>44</v>
      </c>
    </row>
    <row r="4" spans="1:20" x14ac:dyDescent="0.35">
      <c r="A4" t="s">
        <v>0</v>
      </c>
      <c r="B4">
        <v>19</v>
      </c>
      <c r="C4">
        <v>3</v>
      </c>
      <c r="D4">
        <v>3.32</v>
      </c>
      <c r="E4">
        <v>0.17</v>
      </c>
      <c r="H4" t="s">
        <v>0</v>
      </c>
      <c r="I4">
        <v>19</v>
      </c>
      <c r="J4">
        <v>3</v>
      </c>
      <c r="K4">
        <v>3.32</v>
      </c>
      <c r="L4">
        <v>0.17</v>
      </c>
      <c r="O4" t="s">
        <v>112</v>
      </c>
      <c r="P4">
        <v>7</v>
      </c>
      <c r="Q4">
        <v>3</v>
      </c>
      <c r="R4">
        <v>3.29</v>
      </c>
      <c r="S4">
        <v>0.43</v>
      </c>
      <c r="T4" s="3" t="s">
        <v>46</v>
      </c>
    </row>
    <row r="5" spans="1:20" x14ac:dyDescent="0.35">
      <c r="A5" t="s">
        <v>141</v>
      </c>
      <c r="B5">
        <v>3</v>
      </c>
      <c r="C5">
        <v>1</v>
      </c>
      <c r="D5">
        <v>3.33</v>
      </c>
      <c r="E5">
        <v>0.33</v>
      </c>
      <c r="H5" t="s">
        <v>141</v>
      </c>
      <c r="I5">
        <v>3</v>
      </c>
      <c r="J5">
        <v>1</v>
      </c>
      <c r="K5">
        <v>3.33</v>
      </c>
      <c r="L5">
        <v>0.33</v>
      </c>
      <c r="O5" t="s">
        <v>141</v>
      </c>
      <c r="P5">
        <v>3</v>
      </c>
      <c r="Q5">
        <v>1</v>
      </c>
      <c r="R5">
        <v>3.33</v>
      </c>
      <c r="S5">
        <v>0.33</v>
      </c>
    </row>
    <row r="6" spans="1:20" x14ac:dyDescent="0.35">
      <c r="A6" t="s">
        <v>78</v>
      </c>
      <c r="B6">
        <v>5</v>
      </c>
      <c r="C6">
        <v>1</v>
      </c>
      <c r="D6">
        <v>3.4</v>
      </c>
      <c r="E6">
        <v>0.2</v>
      </c>
      <c r="H6" t="s">
        <v>78</v>
      </c>
      <c r="I6">
        <v>5</v>
      </c>
      <c r="J6">
        <v>1</v>
      </c>
      <c r="K6">
        <v>3.4</v>
      </c>
      <c r="L6">
        <v>0.2</v>
      </c>
      <c r="O6" t="s">
        <v>78</v>
      </c>
      <c r="P6">
        <v>5</v>
      </c>
      <c r="Q6">
        <v>1</v>
      </c>
      <c r="R6">
        <v>3.4</v>
      </c>
      <c r="S6">
        <v>0.2</v>
      </c>
    </row>
    <row r="7" spans="1:20" x14ac:dyDescent="0.35">
      <c r="A7" t="s">
        <v>121</v>
      </c>
      <c r="B7">
        <v>11</v>
      </c>
      <c r="C7">
        <v>2</v>
      </c>
      <c r="D7">
        <v>3.45</v>
      </c>
      <c r="E7">
        <v>0.18</v>
      </c>
      <c r="H7" t="s">
        <v>121</v>
      </c>
      <c r="I7">
        <v>11</v>
      </c>
      <c r="J7">
        <v>2</v>
      </c>
      <c r="K7">
        <v>3.45</v>
      </c>
      <c r="L7">
        <v>0.18</v>
      </c>
      <c r="O7" t="s">
        <v>121</v>
      </c>
      <c r="P7">
        <v>11</v>
      </c>
      <c r="Q7">
        <v>2</v>
      </c>
      <c r="R7">
        <v>3.45</v>
      </c>
      <c r="S7">
        <v>0.18</v>
      </c>
    </row>
    <row r="8" spans="1:20" x14ac:dyDescent="0.35">
      <c r="A8" t="s">
        <v>52</v>
      </c>
      <c r="B8">
        <v>6</v>
      </c>
      <c r="C8">
        <v>0</v>
      </c>
      <c r="D8">
        <v>3.67</v>
      </c>
      <c r="E8">
        <v>0</v>
      </c>
      <c r="H8" t="s">
        <v>52</v>
      </c>
      <c r="I8">
        <v>6</v>
      </c>
      <c r="J8">
        <v>0</v>
      </c>
      <c r="K8">
        <v>3.67</v>
      </c>
      <c r="L8">
        <v>0</v>
      </c>
      <c r="O8" t="s">
        <v>52</v>
      </c>
      <c r="P8">
        <v>6</v>
      </c>
      <c r="Q8">
        <v>0</v>
      </c>
      <c r="R8">
        <v>3.67</v>
      </c>
      <c r="S8">
        <v>0</v>
      </c>
    </row>
    <row r="9" spans="1:20" x14ac:dyDescent="0.35">
      <c r="A9" t="s">
        <v>122</v>
      </c>
      <c r="B9">
        <v>3</v>
      </c>
      <c r="C9">
        <v>0</v>
      </c>
      <c r="D9">
        <v>3.67</v>
      </c>
      <c r="E9">
        <v>0</v>
      </c>
      <c r="F9" s="2" t="s">
        <v>44</v>
      </c>
      <c r="H9" t="s">
        <v>9</v>
      </c>
      <c r="I9">
        <v>3</v>
      </c>
      <c r="J9">
        <v>1</v>
      </c>
      <c r="K9">
        <v>3.67</v>
      </c>
      <c r="L9">
        <v>0.33</v>
      </c>
      <c r="M9" s="2" t="s">
        <v>44</v>
      </c>
      <c r="O9" t="s">
        <v>9</v>
      </c>
      <c r="P9">
        <v>3</v>
      </c>
      <c r="Q9">
        <v>1</v>
      </c>
      <c r="R9">
        <v>3.67</v>
      </c>
      <c r="S9">
        <v>0.33</v>
      </c>
    </row>
    <row r="10" spans="1:20" x14ac:dyDescent="0.35">
      <c r="A10" t="s">
        <v>9</v>
      </c>
      <c r="B10">
        <v>3</v>
      </c>
      <c r="C10">
        <v>1</v>
      </c>
      <c r="D10">
        <v>3.67</v>
      </c>
      <c r="E10">
        <v>0.33</v>
      </c>
      <c r="F10" s="2" t="s">
        <v>44</v>
      </c>
      <c r="H10" t="s">
        <v>63</v>
      </c>
      <c r="I10">
        <v>5</v>
      </c>
      <c r="J10">
        <v>1</v>
      </c>
      <c r="K10">
        <v>3.8</v>
      </c>
      <c r="L10">
        <v>0.2</v>
      </c>
      <c r="O10" t="s">
        <v>148</v>
      </c>
      <c r="P10">
        <v>6</v>
      </c>
      <c r="Q10">
        <v>0</v>
      </c>
      <c r="R10">
        <v>3.83</v>
      </c>
      <c r="S10">
        <v>0</v>
      </c>
      <c r="T10" s="2" t="s">
        <v>44</v>
      </c>
    </row>
    <row r="11" spans="1:20" x14ac:dyDescent="0.35">
      <c r="A11" t="s">
        <v>63</v>
      </c>
      <c r="B11">
        <v>5</v>
      </c>
      <c r="C11">
        <v>1</v>
      </c>
      <c r="D11">
        <v>3.8</v>
      </c>
      <c r="E11">
        <v>0.2</v>
      </c>
      <c r="F11" s="2" t="s">
        <v>44</v>
      </c>
      <c r="H11" t="s">
        <v>148</v>
      </c>
      <c r="I11">
        <v>6</v>
      </c>
      <c r="J11">
        <v>0</v>
      </c>
      <c r="K11">
        <v>3.83</v>
      </c>
      <c r="L11">
        <v>0</v>
      </c>
      <c r="O11" t="s">
        <v>35</v>
      </c>
      <c r="P11">
        <v>20</v>
      </c>
      <c r="Q11">
        <v>5</v>
      </c>
      <c r="R11">
        <v>3.9</v>
      </c>
      <c r="S11">
        <v>0.25</v>
      </c>
      <c r="T11" s="2" t="s">
        <v>44</v>
      </c>
    </row>
    <row r="12" spans="1:20" x14ac:dyDescent="0.35">
      <c r="A12" t="s">
        <v>148</v>
      </c>
      <c r="B12">
        <v>6</v>
      </c>
      <c r="C12">
        <v>0</v>
      </c>
      <c r="D12">
        <v>3.83</v>
      </c>
      <c r="E12">
        <v>0</v>
      </c>
      <c r="F12" s="2" t="s">
        <v>44</v>
      </c>
      <c r="H12" t="s">
        <v>35</v>
      </c>
      <c r="I12">
        <v>19</v>
      </c>
      <c r="J12">
        <v>5</v>
      </c>
      <c r="K12">
        <v>3.84</v>
      </c>
      <c r="L12">
        <v>0.26</v>
      </c>
      <c r="M12" s="2" t="s">
        <v>44</v>
      </c>
      <c r="O12" t="s">
        <v>129</v>
      </c>
      <c r="P12">
        <v>22</v>
      </c>
      <c r="Q12">
        <v>5</v>
      </c>
      <c r="R12">
        <v>3.95</v>
      </c>
      <c r="S12">
        <v>0.23</v>
      </c>
      <c r="T12" s="2" t="s">
        <v>47</v>
      </c>
    </row>
    <row r="13" spans="1:20" x14ac:dyDescent="0.35">
      <c r="A13" t="s">
        <v>35</v>
      </c>
      <c r="B13">
        <v>19</v>
      </c>
      <c r="C13">
        <v>5</v>
      </c>
      <c r="D13">
        <v>3.84</v>
      </c>
      <c r="E13">
        <v>0.26</v>
      </c>
      <c r="F13" s="3" t="s">
        <v>55</v>
      </c>
      <c r="H13" t="s">
        <v>104</v>
      </c>
      <c r="I13">
        <v>17</v>
      </c>
      <c r="J13">
        <v>2</v>
      </c>
      <c r="K13">
        <v>3.94</v>
      </c>
      <c r="L13">
        <v>0.12</v>
      </c>
      <c r="M13" s="2" t="s">
        <v>44</v>
      </c>
      <c r="O13" t="s">
        <v>36</v>
      </c>
      <c r="P13">
        <v>3</v>
      </c>
      <c r="Q13">
        <v>0</v>
      </c>
      <c r="R13">
        <v>4</v>
      </c>
      <c r="S13">
        <v>0</v>
      </c>
      <c r="T13" s="2" t="s">
        <v>47</v>
      </c>
    </row>
    <row r="14" spans="1:20" x14ac:dyDescent="0.35">
      <c r="A14" t="s">
        <v>104</v>
      </c>
      <c r="B14">
        <v>16</v>
      </c>
      <c r="C14">
        <v>2</v>
      </c>
      <c r="D14">
        <v>3.94</v>
      </c>
      <c r="E14">
        <v>0.13</v>
      </c>
      <c r="F14" s="2" t="s">
        <v>44</v>
      </c>
      <c r="H14" t="s">
        <v>129</v>
      </c>
      <c r="I14">
        <v>22</v>
      </c>
      <c r="J14">
        <v>5</v>
      </c>
      <c r="K14">
        <v>3.95</v>
      </c>
      <c r="L14">
        <v>0.23</v>
      </c>
      <c r="M14" s="2" t="s">
        <v>44</v>
      </c>
      <c r="O14" t="s">
        <v>58</v>
      </c>
      <c r="P14">
        <v>3</v>
      </c>
      <c r="Q14">
        <v>0</v>
      </c>
      <c r="R14">
        <v>4</v>
      </c>
      <c r="S14">
        <v>0</v>
      </c>
      <c r="T14" s="2" t="s">
        <v>47</v>
      </c>
    </row>
    <row r="15" spans="1:20" x14ac:dyDescent="0.35">
      <c r="A15" t="s">
        <v>129</v>
      </c>
      <c r="B15">
        <v>22</v>
      </c>
      <c r="C15">
        <v>5</v>
      </c>
      <c r="D15">
        <v>3.95</v>
      </c>
      <c r="E15">
        <v>0.23</v>
      </c>
      <c r="F15" s="3" t="s">
        <v>46</v>
      </c>
      <c r="H15" t="s">
        <v>36</v>
      </c>
      <c r="I15">
        <v>3</v>
      </c>
      <c r="J15">
        <v>0</v>
      </c>
      <c r="K15">
        <v>4</v>
      </c>
      <c r="L15">
        <v>0</v>
      </c>
      <c r="M15" s="3"/>
      <c r="O15" t="s">
        <v>135</v>
      </c>
      <c r="P15">
        <v>3</v>
      </c>
      <c r="Q15">
        <v>1</v>
      </c>
      <c r="R15">
        <v>4</v>
      </c>
      <c r="S15">
        <v>0.33</v>
      </c>
      <c r="T15" s="2" t="s">
        <v>47</v>
      </c>
    </row>
    <row r="16" spans="1:20" x14ac:dyDescent="0.35">
      <c r="A16" t="s">
        <v>36</v>
      </c>
      <c r="B16">
        <v>3</v>
      </c>
      <c r="C16">
        <v>0</v>
      </c>
      <c r="D16">
        <v>4</v>
      </c>
      <c r="E16">
        <v>0</v>
      </c>
      <c r="H16" t="s">
        <v>58</v>
      </c>
      <c r="I16">
        <v>3</v>
      </c>
      <c r="J16">
        <v>0</v>
      </c>
      <c r="K16">
        <v>4</v>
      </c>
      <c r="L16">
        <v>0</v>
      </c>
      <c r="O16" t="s">
        <v>122</v>
      </c>
      <c r="P16">
        <v>4</v>
      </c>
      <c r="Q16">
        <v>0</v>
      </c>
      <c r="R16">
        <v>4</v>
      </c>
      <c r="S16">
        <v>0</v>
      </c>
      <c r="T16" s="2" t="s">
        <v>47</v>
      </c>
    </row>
    <row r="17" spans="1:20" x14ac:dyDescent="0.35">
      <c r="A17" t="s">
        <v>58</v>
      </c>
      <c r="B17">
        <v>3</v>
      </c>
      <c r="C17">
        <v>0</v>
      </c>
      <c r="D17">
        <v>4</v>
      </c>
      <c r="E17">
        <v>0</v>
      </c>
      <c r="H17" t="s">
        <v>135</v>
      </c>
      <c r="I17">
        <v>3</v>
      </c>
      <c r="J17">
        <v>1</v>
      </c>
      <c r="K17">
        <v>4</v>
      </c>
      <c r="L17">
        <v>0.33</v>
      </c>
      <c r="O17" t="s">
        <v>2</v>
      </c>
      <c r="P17">
        <v>4</v>
      </c>
      <c r="Q17">
        <v>1</v>
      </c>
      <c r="R17">
        <v>4</v>
      </c>
      <c r="S17">
        <v>0.25</v>
      </c>
      <c r="T17" s="2" t="s">
        <v>47</v>
      </c>
    </row>
    <row r="18" spans="1:20" x14ac:dyDescent="0.35">
      <c r="A18" t="s">
        <v>135</v>
      </c>
      <c r="B18">
        <v>3</v>
      </c>
      <c r="C18">
        <v>1</v>
      </c>
      <c r="D18">
        <v>4</v>
      </c>
      <c r="E18">
        <v>0.33</v>
      </c>
      <c r="H18" t="s">
        <v>122</v>
      </c>
      <c r="I18">
        <v>4</v>
      </c>
      <c r="J18">
        <v>0</v>
      </c>
      <c r="K18">
        <v>4</v>
      </c>
      <c r="L18">
        <v>0</v>
      </c>
      <c r="M18" s="3" t="s">
        <v>71</v>
      </c>
      <c r="O18" t="s">
        <v>56</v>
      </c>
      <c r="P18">
        <v>3</v>
      </c>
      <c r="Q18">
        <v>0</v>
      </c>
      <c r="R18">
        <v>4</v>
      </c>
      <c r="S18">
        <v>0</v>
      </c>
      <c r="T18" s="2" t="s">
        <v>47</v>
      </c>
    </row>
    <row r="19" spans="1:20" x14ac:dyDescent="0.35">
      <c r="A19" t="s">
        <v>2</v>
      </c>
      <c r="B19">
        <v>4</v>
      </c>
      <c r="C19">
        <v>1</v>
      </c>
      <c r="D19">
        <v>4</v>
      </c>
      <c r="E19">
        <v>0.25</v>
      </c>
      <c r="H19" t="s">
        <v>2</v>
      </c>
      <c r="I19">
        <v>4</v>
      </c>
      <c r="J19">
        <v>1</v>
      </c>
      <c r="K19">
        <v>4</v>
      </c>
      <c r="L19">
        <v>0.25</v>
      </c>
      <c r="O19" t="s">
        <v>61</v>
      </c>
      <c r="P19">
        <v>3</v>
      </c>
      <c r="Q19">
        <v>0</v>
      </c>
      <c r="R19">
        <v>4</v>
      </c>
      <c r="S19">
        <v>0</v>
      </c>
      <c r="T19" s="2" t="s">
        <v>233</v>
      </c>
    </row>
    <row r="20" spans="1:20" x14ac:dyDescent="0.35">
      <c r="A20" t="s">
        <v>56</v>
      </c>
      <c r="B20">
        <v>3</v>
      </c>
      <c r="C20">
        <v>0</v>
      </c>
      <c r="D20">
        <v>4</v>
      </c>
      <c r="E20">
        <v>0</v>
      </c>
      <c r="H20" t="s">
        <v>56</v>
      </c>
      <c r="I20">
        <v>3</v>
      </c>
      <c r="J20">
        <v>0</v>
      </c>
      <c r="K20">
        <v>4</v>
      </c>
      <c r="L20">
        <v>0</v>
      </c>
      <c r="O20" t="s">
        <v>15</v>
      </c>
      <c r="P20">
        <v>61</v>
      </c>
      <c r="Q20">
        <v>13</v>
      </c>
      <c r="R20">
        <v>4.1100000000000003</v>
      </c>
      <c r="S20">
        <v>0.21</v>
      </c>
      <c r="T20" s="2" t="s">
        <v>44</v>
      </c>
    </row>
    <row r="21" spans="1:20" x14ac:dyDescent="0.35">
      <c r="A21" t="s">
        <v>26</v>
      </c>
      <c r="B21">
        <v>8</v>
      </c>
      <c r="C21">
        <v>2</v>
      </c>
      <c r="D21">
        <v>4.13</v>
      </c>
      <c r="E21">
        <v>0.25</v>
      </c>
      <c r="F21" s="2" t="s">
        <v>44</v>
      </c>
      <c r="H21" t="s">
        <v>15</v>
      </c>
      <c r="I21">
        <v>61</v>
      </c>
      <c r="J21">
        <v>13</v>
      </c>
      <c r="K21">
        <v>4.1100000000000003</v>
      </c>
      <c r="L21">
        <v>0.21</v>
      </c>
      <c r="M21" s="2" t="s">
        <v>44</v>
      </c>
      <c r="O21" t="s">
        <v>26</v>
      </c>
      <c r="P21">
        <v>9</v>
      </c>
      <c r="Q21">
        <v>2</v>
      </c>
      <c r="R21">
        <v>4.1100000000000003</v>
      </c>
      <c r="S21">
        <v>0.22</v>
      </c>
      <c r="T21" s="2" t="s">
        <v>44</v>
      </c>
    </row>
    <row r="22" spans="1:20" x14ac:dyDescent="0.35">
      <c r="A22" t="s">
        <v>15</v>
      </c>
      <c r="B22">
        <v>59</v>
      </c>
      <c r="C22">
        <v>12</v>
      </c>
      <c r="D22">
        <v>4.1500000000000004</v>
      </c>
      <c r="E22">
        <v>0.2</v>
      </c>
      <c r="F22" s="2" t="s">
        <v>44</v>
      </c>
      <c r="H22" t="s">
        <v>26</v>
      </c>
      <c r="I22">
        <v>9</v>
      </c>
      <c r="J22">
        <v>2</v>
      </c>
      <c r="K22">
        <v>4.1100000000000003</v>
      </c>
      <c r="L22">
        <v>0.22</v>
      </c>
      <c r="O22" t="s">
        <v>104</v>
      </c>
      <c r="P22">
        <v>18</v>
      </c>
      <c r="Q22">
        <v>2</v>
      </c>
      <c r="R22">
        <v>4.17</v>
      </c>
      <c r="S22">
        <v>0.11</v>
      </c>
      <c r="T22" s="3" t="s">
        <v>84</v>
      </c>
    </row>
    <row r="23" spans="1:20" x14ac:dyDescent="0.35">
      <c r="A23" t="s">
        <v>22</v>
      </c>
      <c r="B23">
        <v>54</v>
      </c>
      <c r="C23">
        <v>8</v>
      </c>
      <c r="D23">
        <v>4.17</v>
      </c>
      <c r="E23">
        <v>0.15</v>
      </c>
      <c r="F23" s="3" t="s">
        <v>45</v>
      </c>
      <c r="H23" t="s">
        <v>147</v>
      </c>
      <c r="I23">
        <v>4</v>
      </c>
      <c r="J23">
        <v>0</v>
      </c>
      <c r="K23">
        <v>4.25</v>
      </c>
      <c r="L23">
        <v>0</v>
      </c>
      <c r="M23" s="2" t="s">
        <v>44</v>
      </c>
      <c r="O23" t="s">
        <v>63</v>
      </c>
      <c r="P23">
        <v>6</v>
      </c>
      <c r="Q23">
        <v>1</v>
      </c>
      <c r="R23">
        <v>4.17</v>
      </c>
      <c r="S23">
        <v>0.17</v>
      </c>
      <c r="T23" s="3" t="s">
        <v>267</v>
      </c>
    </row>
    <row r="24" spans="1:20" x14ac:dyDescent="0.35">
      <c r="A24" t="s">
        <v>147</v>
      </c>
      <c r="B24">
        <v>4</v>
      </c>
      <c r="C24">
        <v>0</v>
      </c>
      <c r="D24">
        <v>4.25</v>
      </c>
      <c r="E24">
        <v>0</v>
      </c>
      <c r="F24" s="2" t="s">
        <v>44</v>
      </c>
      <c r="H24" t="s">
        <v>113</v>
      </c>
      <c r="I24">
        <v>4</v>
      </c>
      <c r="J24">
        <v>0</v>
      </c>
      <c r="K24">
        <v>4.25</v>
      </c>
      <c r="L24">
        <v>0</v>
      </c>
      <c r="M24" s="2" t="s">
        <v>44</v>
      </c>
      <c r="O24" t="s">
        <v>22</v>
      </c>
      <c r="P24">
        <v>58</v>
      </c>
      <c r="Q24">
        <v>9</v>
      </c>
      <c r="R24">
        <v>4.1900000000000004</v>
      </c>
      <c r="S24">
        <v>0.16</v>
      </c>
      <c r="T24" s="2" t="s">
        <v>59</v>
      </c>
    </row>
    <row r="25" spans="1:20" x14ac:dyDescent="0.35">
      <c r="A25" t="s">
        <v>113</v>
      </c>
      <c r="B25">
        <v>4</v>
      </c>
      <c r="C25">
        <v>0</v>
      </c>
      <c r="D25">
        <v>4.25</v>
      </c>
      <c r="E25">
        <v>0</v>
      </c>
      <c r="F25" s="2" t="s">
        <v>44</v>
      </c>
      <c r="H25" t="s">
        <v>14</v>
      </c>
      <c r="I25">
        <v>31</v>
      </c>
      <c r="J25">
        <v>2</v>
      </c>
      <c r="K25">
        <v>4.26</v>
      </c>
      <c r="L25">
        <v>0.06</v>
      </c>
      <c r="M25" s="2" t="s">
        <v>44</v>
      </c>
      <c r="O25" t="s">
        <v>14</v>
      </c>
      <c r="P25">
        <v>33</v>
      </c>
      <c r="Q25">
        <v>3</v>
      </c>
      <c r="R25">
        <v>4.24</v>
      </c>
      <c r="S25">
        <v>0.09</v>
      </c>
    </row>
    <row r="26" spans="1:20" x14ac:dyDescent="0.35">
      <c r="A26" t="s">
        <v>14</v>
      </c>
      <c r="B26">
        <v>31</v>
      </c>
      <c r="C26">
        <v>2</v>
      </c>
      <c r="D26">
        <v>4.26</v>
      </c>
      <c r="E26">
        <v>0.06</v>
      </c>
      <c r="F26" s="2" t="s">
        <v>44</v>
      </c>
      <c r="H26" t="s">
        <v>10</v>
      </c>
      <c r="I26">
        <v>24</v>
      </c>
      <c r="J26">
        <v>3</v>
      </c>
      <c r="K26">
        <v>4.29</v>
      </c>
      <c r="L26">
        <v>0.13</v>
      </c>
      <c r="M26" s="2" t="s">
        <v>44</v>
      </c>
      <c r="O26" t="s">
        <v>147</v>
      </c>
      <c r="P26">
        <v>4</v>
      </c>
      <c r="Q26">
        <v>0</v>
      </c>
      <c r="R26">
        <v>4.25</v>
      </c>
      <c r="S26">
        <v>0</v>
      </c>
      <c r="T26" s="3" t="s">
        <v>54</v>
      </c>
    </row>
    <row r="27" spans="1:20" x14ac:dyDescent="0.35">
      <c r="A27" t="s">
        <v>10</v>
      </c>
      <c r="B27">
        <v>24</v>
      </c>
      <c r="C27">
        <v>3</v>
      </c>
      <c r="D27">
        <v>4.29</v>
      </c>
      <c r="E27">
        <v>0.13</v>
      </c>
      <c r="F27" s="2" t="s">
        <v>44</v>
      </c>
      <c r="H27" t="s">
        <v>22</v>
      </c>
      <c r="I27">
        <v>56</v>
      </c>
      <c r="J27">
        <v>8</v>
      </c>
      <c r="K27">
        <v>4.29</v>
      </c>
      <c r="L27">
        <v>0.14000000000000001</v>
      </c>
      <c r="M27" s="3" t="s">
        <v>54</v>
      </c>
      <c r="O27" t="s">
        <v>113</v>
      </c>
      <c r="P27">
        <v>4</v>
      </c>
      <c r="Q27">
        <v>0</v>
      </c>
      <c r="R27">
        <v>4.25</v>
      </c>
      <c r="S27">
        <v>0</v>
      </c>
      <c r="T27" s="3" t="s">
        <v>54</v>
      </c>
    </row>
    <row r="28" spans="1:20" x14ac:dyDescent="0.35">
      <c r="A28" t="s">
        <v>7</v>
      </c>
      <c r="B28">
        <v>7</v>
      </c>
      <c r="C28">
        <v>2</v>
      </c>
      <c r="D28">
        <v>4.29</v>
      </c>
      <c r="E28">
        <v>0.28999999999999998</v>
      </c>
      <c r="F28" s="2" t="s">
        <v>44</v>
      </c>
      <c r="H28" t="s">
        <v>7</v>
      </c>
      <c r="I28">
        <v>7</v>
      </c>
      <c r="J28">
        <v>2</v>
      </c>
      <c r="K28">
        <v>4.29</v>
      </c>
      <c r="L28">
        <v>0.28999999999999998</v>
      </c>
      <c r="O28" t="s">
        <v>10</v>
      </c>
      <c r="P28">
        <v>24</v>
      </c>
      <c r="Q28">
        <v>3</v>
      </c>
      <c r="R28">
        <v>4.29</v>
      </c>
      <c r="S28">
        <v>0.13</v>
      </c>
      <c r="T28" s="3" t="s">
        <v>45</v>
      </c>
    </row>
    <row r="29" spans="1:20" x14ac:dyDescent="0.35">
      <c r="A29" t="s">
        <v>8</v>
      </c>
      <c r="B29">
        <v>30</v>
      </c>
      <c r="C29">
        <v>5</v>
      </c>
      <c r="D29">
        <v>4.3</v>
      </c>
      <c r="E29">
        <v>0.17</v>
      </c>
      <c r="F29" s="3" t="s">
        <v>94</v>
      </c>
      <c r="H29" t="s">
        <v>8</v>
      </c>
      <c r="I29">
        <v>30</v>
      </c>
      <c r="J29">
        <v>5</v>
      </c>
      <c r="K29">
        <v>4.3</v>
      </c>
      <c r="L29">
        <v>0.17</v>
      </c>
      <c r="O29" t="s">
        <v>7</v>
      </c>
      <c r="P29">
        <v>7</v>
      </c>
      <c r="Q29">
        <v>2</v>
      </c>
      <c r="R29">
        <v>4.29</v>
      </c>
      <c r="S29">
        <v>0.28999999999999998</v>
      </c>
      <c r="T29" s="3" t="s">
        <v>46</v>
      </c>
    </row>
    <row r="30" spans="1:20" x14ac:dyDescent="0.35">
      <c r="A30" t="s">
        <v>28</v>
      </c>
      <c r="B30">
        <v>3</v>
      </c>
      <c r="C30">
        <v>0</v>
      </c>
      <c r="D30">
        <v>4.33</v>
      </c>
      <c r="E30">
        <v>0</v>
      </c>
      <c r="H30" t="s">
        <v>28</v>
      </c>
      <c r="I30">
        <v>3</v>
      </c>
      <c r="J30">
        <v>0</v>
      </c>
      <c r="K30">
        <v>4.33</v>
      </c>
      <c r="L30">
        <v>0</v>
      </c>
      <c r="O30" t="s">
        <v>8</v>
      </c>
      <c r="P30">
        <v>30</v>
      </c>
      <c r="Q30">
        <v>5</v>
      </c>
      <c r="R30">
        <v>4.3</v>
      </c>
      <c r="S30">
        <v>0.17</v>
      </c>
      <c r="T30" s="3" t="s">
        <v>46</v>
      </c>
    </row>
    <row r="31" spans="1:20" x14ac:dyDescent="0.35">
      <c r="A31" t="s">
        <v>23</v>
      </c>
      <c r="B31">
        <v>9</v>
      </c>
      <c r="C31">
        <v>0</v>
      </c>
      <c r="D31">
        <v>4.4400000000000004</v>
      </c>
      <c r="E31">
        <v>0</v>
      </c>
      <c r="H31" t="s">
        <v>81</v>
      </c>
      <c r="I31">
        <v>7</v>
      </c>
      <c r="J31">
        <v>1</v>
      </c>
      <c r="K31">
        <v>4.43</v>
      </c>
      <c r="L31">
        <v>0.14000000000000001</v>
      </c>
      <c r="M31" s="2" t="s">
        <v>98</v>
      </c>
      <c r="O31" t="s">
        <v>28</v>
      </c>
      <c r="P31">
        <v>3</v>
      </c>
      <c r="Q31">
        <v>0</v>
      </c>
      <c r="R31">
        <v>4.33</v>
      </c>
      <c r="S31">
        <v>0</v>
      </c>
      <c r="T31" s="3" t="s">
        <v>46</v>
      </c>
    </row>
    <row r="32" spans="1:20" x14ac:dyDescent="0.35">
      <c r="A32" t="s">
        <v>37</v>
      </c>
      <c r="B32">
        <v>11</v>
      </c>
      <c r="C32">
        <v>2</v>
      </c>
      <c r="D32">
        <v>4.45</v>
      </c>
      <c r="E32">
        <v>0.18</v>
      </c>
      <c r="H32" t="s">
        <v>23</v>
      </c>
      <c r="I32">
        <v>9</v>
      </c>
      <c r="J32">
        <v>0</v>
      </c>
      <c r="K32">
        <v>4.4400000000000004</v>
      </c>
      <c r="L32">
        <v>0</v>
      </c>
      <c r="M32" s="3" t="s">
        <v>46</v>
      </c>
      <c r="O32" t="s">
        <v>232</v>
      </c>
      <c r="P32">
        <v>3</v>
      </c>
      <c r="Q32">
        <v>0</v>
      </c>
      <c r="R32">
        <v>4.33</v>
      </c>
      <c r="S32">
        <v>0</v>
      </c>
      <c r="T32" s="2" t="s">
        <v>233</v>
      </c>
    </row>
    <row r="33" spans="1:20" x14ac:dyDescent="0.35">
      <c r="A33" t="s">
        <v>117</v>
      </c>
      <c r="B33">
        <v>8</v>
      </c>
      <c r="C33">
        <v>2</v>
      </c>
      <c r="D33">
        <v>4.5</v>
      </c>
      <c r="E33">
        <v>0.25</v>
      </c>
      <c r="H33" t="s">
        <v>37</v>
      </c>
      <c r="I33">
        <v>11</v>
      </c>
      <c r="J33">
        <v>2</v>
      </c>
      <c r="K33">
        <v>4.45</v>
      </c>
      <c r="L33">
        <v>0.18</v>
      </c>
      <c r="M33" s="3" t="s">
        <v>46</v>
      </c>
      <c r="O33" t="s">
        <v>81</v>
      </c>
      <c r="P33">
        <v>7</v>
      </c>
      <c r="Q33">
        <v>1</v>
      </c>
      <c r="R33">
        <v>4.43</v>
      </c>
      <c r="S33">
        <v>0.14000000000000001</v>
      </c>
      <c r="T33" s="3" t="s">
        <v>45</v>
      </c>
    </row>
    <row r="34" spans="1:20" x14ac:dyDescent="0.35">
      <c r="A34" t="s">
        <v>21</v>
      </c>
      <c r="B34">
        <v>7</v>
      </c>
      <c r="C34">
        <v>0</v>
      </c>
      <c r="D34">
        <v>4.57</v>
      </c>
      <c r="E34">
        <v>0</v>
      </c>
      <c r="H34" t="s">
        <v>117</v>
      </c>
      <c r="I34">
        <v>8</v>
      </c>
      <c r="J34">
        <v>2</v>
      </c>
      <c r="K34">
        <v>4.5</v>
      </c>
      <c r="L34">
        <v>0.25</v>
      </c>
      <c r="M34" s="3" t="s">
        <v>46</v>
      </c>
      <c r="O34" t="s">
        <v>23</v>
      </c>
      <c r="P34">
        <v>9</v>
      </c>
      <c r="Q34">
        <v>0</v>
      </c>
      <c r="R34">
        <v>4.4400000000000004</v>
      </c>
      <c r="S34">
        <v>0</v>
      </c>
      <c r="T34" s="3" t="s">
        <v>45</v>
      </c>
    </row>
    <row r="35" spans="1:20" x14ac:dyDescent="0.35">
      <c r="A35" t="s">
        <v>115</v>
      </c>
      <c r="B35">
        <v>7</v>
      </c>
      <c r="C35">
        <v>0</v>
      </c>
      <c r="D35">
        <v>4.57</v>
      </c>
      <c r="E35">
        <v>0</v>
      </c>
      <c r="H35" t="s">
        <v>21</v>
      </c>
      <c r="I35">
        <v>7</v>
      </c>
      <c r="J35">
        <v>0</v>
      </c>
      <c r="K35">
        <v>4.57</v>
      </c>
      <c r="L35">
        <v>0</v>
      </c>
      <c r="M35" s="3" t="s">
        <v>46</v>
      </c>
      <c r="O35" t="s">
        <v>37</v>
      </c>
      <c r="P35">
        <v>11</v>
      </c>
      <c r="Q35">
        <v>2</v>
      </c>
      <c r="R35">
        <v>4.45</v>
      </c>
      <c r="S35">
        <v>0.18</v>
      </c>
      <c r="T35" s="3" t="s">
        <v>45</v>
      </c>
    </row>
    <row r="36" spans="1:20" x14ac:dyDescent="0.35">
      <c r="A36" t="s">
        <v>79</v>
      </c>
      <c r="B36">
        <v>10</v>
      </c>
      <c r="C36">
        <v>0</v>
      </c>
      <c r="D36">
        <v>4.5999999999999996</v>
      </c>
      <c r="E36">
        <v>0</v>
      </c>
      <c r="H36" t="s">
        <v>115</v>
      </c>
      <c r="I36">
        <v>7</v>
      </c>
      <c r="J36">
        <v>0</v>
      </c>
      <c r="K36">
        <v>4.57</v>
      </c>
      <c r="L36">
        <v>0</v>
      </c>
      <c r="M36" s="3" t="s">
        <v>46</v>
      </c>
      <c r="O36" t="s">
        <v>117</v>
      </c>
      <c r="P36">
        <v>8</v>
      </c>
      <c r="Q36">
        <v>2</v>
      </c>
      <c r="R36">
        <v>4.5</v>
      </c>
      <c r="S36">
        <v>0.25</v>
      </c>
      <c r="T36" s="3" t="s">
        <v>45</v>
      </c>
    </row>
    <row r="37" spans="1:20" x14ac:dyDescent="0.35">
      <c r="A37" t="s">
        <v>27</v>
      </c>
      <c r="B37">
        <v>13</v>
      </c>
      <c r="C37">
        <v>0</v>
      </c>
      <c r="D37">
        <v>4.62</v>
      </c>
      <c r="E37">
        <v>0</v>
      </c>
      <c r="H37" t="s">
        <v>79</v>
      </c>
      <c r="I37">
        <v>10</v>
      </c>
      <c r="J37">
        <v>0</v>
      </c>
      <c r="K37">
        <v>4.5999999999999996</v>
      </c>
      <c r="L37">
        <v>0</v>
      </c>
      <c r="M37" s="3" t="s">
        <v>46</v>
      </c>
      <c r="O37" t="s">
        <v>115</v>
      </c>
      <c r="P37">
        <v>7</v>
      </c>
      <c r="Q37">
        <v>0</v>
      </c>
      <c r="R37">
        <v>4.57</v>
      </c>
      <c r="S37">
        <v>0</v>
      </c>
      <c r="T37" s="3" t="s">
        <v>46</v>
      </c>
    </row>
    <row r="38" spans="1:20" x14ac:dyDescent="0.35">
      <c r="A38" t="s">
        <v>81</v>
      </c>
      <c r="B38">
        <v>6</v>
      </c>
      <c r="C38">
        <v>1</v>
      </c>
      <c r="D38">
        <v>4.67</v>
      </c>
      <c r="E38">
        <v>0.17</v>
      </c>
      <c r="H38" t="s">
        <v>27</v>
      </c>
      <c r="I38">
        <v>13</v>
      </c>
      <c r="J38">
        <v>0</v>
      </c>
      <c r="K38">
        <v>4.62</v>
      </c>
      <c r="L38">
        <v>0</v>
      </c>
      <c r="M38" s="3" t="s">
        <v>46</v>
      </c>
      <c r="O38" t="s">
        <v>79</v>
      </c>
      <c r="P38">
        <v>10</v>
      </c>
      <c r="Q38">
        <v>0</v>
      </c>
      <c r="R38">
        <v>4.5999999999999996</v>
      </c>
      <c r="S38">
        <v>0</v>
      </c>
      <c r="T38" s="3" t="s">
        <v>46</v>
      </c>
    </row>
    <row r="39" spans="1:20" x14ac:dyDescent="0.35">
      <c r="A39" t="s">
        <v>3</v>
      </c>
      <c r="B39">
        <v>12</v>
      </c>
      <c r="C39">
        <v>1</v>
      </c>
      <c r="D39">
        <v>4.67</v>
      </c>
      <c r="E39">
        <v>0.08</v>
      </c>
      <c r="H39" t="s">
        <v>3</v>
      </c>
      <c r="I39">
        <v>12</v>
      </c>
      <c r="J39">
        <v>1</v>
      </c>
      <c r="K39">
        <v>4.67</v>
      </c>
      <c r="L39">
        <v>0.08</v>
      </c>
      <c r="O39" t="s">
        <v>27</v>
      </c>
      <c r="P39">
        <v>13</v>
      </c>
      <c r="Q39">
        <v>0</v>
      </c>
      <c r="R39">
        <v>4.62</v>
      </c>
      <c r="S39">
        <v>0</v>
      </c>
      <c r="T39" s="3" t="s">
        <v>46</v>
      </c>
    </row>
    <row r="40" spans="1:20" x14ac:dyDescent="0.35">
      <c r="A40" t="s">
        <v>50</v>
      </c>
      <c r="B40">
        <v>3</v>
      </c>
      <c r="C40">
        <v>0</v>
      </c>
      <c r="D40">
        <v>4.67</v>
      </c>
      <c r="E40">
        <v>0</v>
      </c>
      <c r="H40" t="s">
        <v>50</v>
      </c>
      <c r="I40">
        <v>3</v>
      </c>
      <c r="J40">
        <v>0</v>
      </c>
      <c r="K40">
        <v>4.67</v>
      </c>
      <c r="L40">
        <v>0</v>
      </c>
      <c r="O40" t="s">
        <v>3</v>
      </c>
      <c r="P40">
        <v>12</v>
      </c>
      <c r="Q40">
        <v>1</v>
      </c>
      <c r="R40">
        <v>4.67</v>
      </c>
      <c r="S40">
        <v>0.08</v>
      </c>
      <c r="T40" s="3" t="s">
        <v>46</v>
      </c>
    </row>
    <row r="41" spans="1:20" x14ac:dyDescent="0.35">
      <c r="A41" t="s">
        <v>139</v>
      </c>
      <c r="B41">
        <v>3</v>
      </c>
      <c r="C41">
        <v>0</v>
      </c>
      <c r="D41">
        <v>4.67</v>
      </c>
      <c r="E41">
        <v>0</v>
      </c>
      <c r="F41" s="3" t="s">
        <v>233</v>
      </c>
      <c r="H41" t="s">
        <v>139</v>
      </c>
      <c r="I41">
        <v>3</v>
      </c>
      <c r="J41">
        <v>0</v>
      </c>
      <c r="K41">
        <v>4.67</v>
      </c>
      <c r="L41">
        <v>0</v>
      </c>
      <c r="O41" t="s">
        <v>50</v>
      </c>
      <c r="P41">
        <v>3</v>
      </c>
      <c r="Q41">
        <v>0</v>
      </c>
      <c r="R41">
        <v>4.67</v>
      </c>
      <c r="S41">
        <v>0</v>
      </c>
      <c r="T41" s="3" t="s">
        <v>46</v>
      </c>
    </row>
    <row r="42" spans="1:20" x14ac:dyDescent="0.35">
      <c r="A42" t="s">
        <v>24</v>
      </c>
      <c r="B42">
        <v>15</v>
      </c>
      <c r="C42">
        <v>1</v>
      </c>
      <c r="D42">
        <v>4.7300000000000004</v>
      </c>
      <c r="E42">
        <v>7.0000000000000007E-2</v>
      </c>
      <c r="F42" s="3" t="s">
        <v>46</v>
      </c>
      <c r="H42" t="s">
        <v>19</v>
      </c>
      <c r="I42">
        <v>3</v>
      </c>
      <c r="J42">
        <v>1</v>
      </c>
      <c r="K42">
        <v>4.67</v>
      </c>
      <c r="L42">
        <v>0</v>
      </c>
      <c r="M42" s="3" t="s">
        <v>233</v>
      </c>
      <c r="O42" t="s">
        <v>139</v>
      </c>
      <c r="P42">
        <v>3</v>
      </c>
      <c r="Q42">
        <v>0</v>
      </c>
      <c r="R42">
        <v>4.67</v>
      </c>
      <c r="S42">
        <v>0</v>
      </c>
      <c r="T42" s="3" t="s">
        <v>46</v>
      </c>
    </row>
    <row r="43" spans="1:20" x14ac:dyDescent="0.35">
      <c r="A43" t="s">
        <v>125</v>
      </c>
      <c r="B43">
        <v>5</v>
      </c>
      <c r="C43">
        <v>0</v>
      </c>
      <c r="D43">
        <v>4.8</v>
      </c>
      <c r="E43">
        <v>0</v>
      </c>
      <c r="F43" s="3" t="s">
        <v>46</v>
      </c>
      <c r="H43" t="s">
        <v>24</v>
      </c>
      <c r="I43">
        <v>15</v>
      </c>
      <c r="J43">
        <v>1</v>
      </c>
      <c r="K43">
        <v>4.7300000000000004</v>
      </c>
      <c r="L43">
        <v>7.0000000000000007E-2</v>
      </c>
      <c r="M43" s="3" t="s">
        <v>46</v>
      </c>
      <c r="O43" t="s">
        <v>19</v>
      </c>
      <c r="P43">
        <v>3</v>
      </c>
      <c r="Q43">
        <v>1</v>
      </c>
      <c r="R43">
        <v>4.67</v>
      </c>
      <c r="S43">
        <v>0</v>
      </c>
      <c r="T43" s="3" t="s">
        <v>46</v>
      </c>
    </row>
    <row r="44" spans="1:20" x14ac:dyDescent="0.35">
      <c r="A44" t="s">
        <v>1</v>
      </c>
      <c r="B44">
        <v>19</v>
      </c>
      <c r="C44">
        <v>1</v>
      </c>
      <c r="D44">
        <v>4.8899999999999997</v>
      </c>
      <c r="E44">
        <v>0.05</v>
      </c>
      <c r="F44" s="3" t="s">
        <v>46</v>
      </c>
      <c r="H44" t="s">
        <v>125</v>
      </c>
      <c r="I44">
        <v>5</v>
      </c>
      <c r="J44">
        <v>0</v>
      </c>
      <c r="K44">
        <v>4.8</v>
      </c>
      <c r="L44">
        <v>0</v>
      </c>
      <c r="M44" s="3" t="s">
        <v>46</v>
      </c>
      <c r="O44" t="s">
        <v>24</v>
      </c>
      <c r="P44">
        <v>15</v>
      </c>
      <c r="Q44">
        <v>1</v>
      </c>
      <c r="R44">
        <v>4.7300000000000004</v>
      </c>
      <c r="S44">
        <v>7.0000000000000007E-2</v>
      </c>
      <c r="T44" s="3" t="s">
        <v>46</v>
      </c>
    </row>
    <row r="45" spans="1:20" x14ac:dyDescent="0.35">
      <c r="A45" t="s">
        <v>34</v>
      </c>
      <c r="B45">
        <v>5</v>
      </c>
      <c r="C45">
        <v>1</v>
      </c>
      <c r="D45">
        <v>5</v>
      </c>
      <c r="E45">
        <v>0.2</v>
      </c>
      <c r="F45" s="3" t="s">
        <v>46</v>
      </c>
      <c r="H45" t="s">
        <v>34</v>
      </c>
      <c r="I45">
        <v>5</v>
      </c>
      <c r="J45">
        <v>1</v>
      </c>
      <c r="K45">
        <v>5</v>
      </c>
      <c r="L45">
        <v>0.2</v>
      </c>
      <c r="O45" t="s">
        <v>21</v>
      </c>
      <c r="P45">
        <v>8</v>
      </c>
      <c r="Q45">
        <v>0</v>
      </c>
      <c r="R45">
        <v>4.75</v>
      </c>
      <c r="S45">
        <v>0</v>
      </c>
      <c r="T45" s="3" t="s">
        <v>182</v>
      </c>
    </row>
    <row r="46" spans="1:20" x14ac:dyDescent="0.35">
      <c r="A46" t="s">
        <v>13</v>
      </c>
      <c r="B46">
        <v>10</v>
      </c>
      <c r="C46">
        <v>1</v>
      </c>
      <c r="D46">
        <v>5</v>
      </c>
      <c r="E46">
        <v>0.1</v>
      </c>
      <c r="F46" s="3" t="s">
        <v>46</v>
      </c>
      <c r="H46" t="s">
        <v>13</v>
      </c>
      <c r="I46">
        <v>10</v>
      </c>
      <c r="J46">
        <v>1</v>
      </c>
      <c r="K46">
        <v>5</v>
      </c>
      <c r="L46">
        <v>0.1</v>
      </c>
      <c r="O46" t="s">
        <v>125</v>
      </c>
      <c r="P46">
        <v>5</v>
      </c>
      <c r="Q46">
        <v>0</v>
      </c>
      <c r="R46">
        <v>4.8</v>
      </c>
      <c r="S46">
        <v>0</v>
      </c>
      <c r="T46" s="3" t="s">
        <v>45</v>
      </c>
    </row>
    <row r="47" spans="1:20" x14ac:dyDescent="0.35">
      <c r="A47" t="s">
        <v>5</v>
      </c>
      <c r="B47">
        <v>3</v>
      </c>
      <c r="C47">
        <v>0</v>
      </c>
      <c r="D47">
        <v>5</v>
      </c>
      <c r="E47">
        <v>0</v>
      </c>
      <c r="F47" s="3" t="s">
        <v>46</v>
      </c>
      <c r="H47" t="s">
        <v>5</v>
      </c>
      <c r="I47">
        <v>3</v>
      </c>
      <c r="J47">
        <v>0</v>
      </c>
      <c r="K47">
        <v>5</v>
      </c>
      <c r="L47">
        <v>0</v>
      </c>
      <c r="O47" t="s">
        <v>34</v>
      </c>
      <c r="P47">
        <v>5</v>
      </c>
      <c r="Q47">
        <v>1</v>
      </c>
      <c r="R47">
        <v>5</v>
      </c>
      <c r="S47">
        <v>0.2</v>
      </c>
      <c r="T47" s="3" t="s">
        <v>45</v>
      </c>
    </row>
    <row r="48" spans="1:20" x14ac:dyDescent="0.35">
      <c r="A48" t="s">
        <v>30</v>
      </c>
      <c r="B48">
        <v>6</v>
      </c>
      <c r="C48">
        <v>1</v>
      </c>
      <c r="D48">
        <v>5</v>
      </c>
      <c r="E48">
        <v>0.17</v>
      </c>
      <c r="F48" s="2" t="s">
        <v>244</v>
      </c>
      <c r="H48" t="s">
        <v>30</v>
      </c>
      <c r="I48">
        <v>6</v>
      </c>
      <c r="J48">
        <v>1</v>
      </c>
      <c r="K48">
        <v>5</v>
      </c>
      <c r="L48">
        <v>0.17</v>
      </c>
      <c r="O48" t="s">
        <v>13</v>
      </c>
      <c r="P48">
        <v>10</v>
      </c>
      <c r="Q48">
        <v>1</v>
      </c>
      <c r="R48">
        <v>5</v>
      </c>
      <c r="S48">
        <v>0.1</v>
      </c>
      <c r="T48" s="3" t="s">
        <v>45</v>
      </c>
    </row>
    <row r="49" spans="1:20" x14ac:dyDescent="0.35">
      <c r="A49" t="s">
        <v>99</v>
      </c>
      <c r="B49">
        <v>9</v>
      </c>
      <c r="C49">
        <v>1</v>
      </c>
      <c r="D49">
        <v>5.1100000000000003</v>
      </c>
      <c r="E49">
        <v>0.11</v>
      </c>
      <c r="F49" s="3" t="s">
        <v>45</v>
      </c>
      <c r="H49" t="s">
        <v>1</v>
      </c>
      <c r="I49">
        <v>20</v>
      </c>
      <c r="J49">
        <v>1</v>
      </c>
      <c r="K49">
        <v>5.05</v>
      </c>
      <c r="L49">
        <v>0.05</v>
      </c>
      <c r="M49" s="3" t="s">
        <v>94</v>
      </c>
      <c r="O49" t="s">
        <v>5</v>
      </c>
      <c r="P49">
        <v>3</v>
      </c>
      <c r="Q49">
        <v>0</v>
      </c>
      <c r="R49">
        <v>5</v>
      </c>
      <c r="S49">
        <v>0</v>
      </c>
      <c r="T49" s="3" t="s">
        <v>45</v>
      </c>
    </row>
    <row r="50" spans="1:20" x14ac:dyDescent="0.35">
      <c r="A50" t="s">
        <v>17</v>
      </c>
      <c r="B50">
        <v>6</v>
      </c>
      <c r="C50">
        <v>1</v>
      </c>
      <c r="D50">
        <v>5.17</v>
      </c>
      <c r="E50">
        <v>0.17</v>
      </c>
      <c r="F50" s="3" t="s">
        <v>45</v>
      </c>
      <c r="H50" t="s">
        <v>99</v>
      </c>
      <c r="I50">
        <v>9</v>
      </c>
      <c r="J50">
        <v>1</v>
      </c>
      <c r="K50">
        <v>5.1100000000000003</v>
      </c>
      <c r="L50">
        <v>0.11</v>
      </c>
      <c r="M50" s="3" t="s">
        <v>46</v>
      </c>
      <c r="O50" t="s">
        <v>30</v>
      </c>
      <c r="P50">
        <v>6</v>
      </c>
      <c r="Q50">
        <v>1</v>
      </c>
      <c r="R50">
        <v>5</v>
      </c>
      <c r="S50">
        <v>0.17</v>
      </c>
      <c r="T50" s="3" t="s">
        <v>45</v>
      </c>
    </row>
    <row r="51" spans="1:20" x14ac:dyDescent="0.35">
      <c r="A51" t="s">
        <v>6</v>
      </c>
      <c r="B51">
        <v>30</v>
      </c>
      <c r="C51">
        <v>3</v>
      </c>
      <c r="D51">
        <v>5.23</v>
      </c>
      <c r="E51">
        <v>0.1</v>
      </c>
      <c r="F51" s="3" t="s">
        <v>45</v>
      </c>
      <c r="H51" t="s">
        <v>17</v>
      </c>
      <c r="I51">
        <v>6</v>
      </c>
      <c r="J51">
        <v>1</v>
      </c>
      <c r="K51">
        <v>5.17</v>
      </c>
      <c r="L51">
        <v>0.17</v>
      </c>
      <c r="M51" s="3" t="s">
        <v>46</v>
      </c>
      <c r="O51" t="s">
        <v>1</v>
      </c>
      <c r="P51">
        <v>20</v>
      </c>
      <c r="Q51">
        <v>1</v>
      </c>
      <c r="R51">
        <v>5.05</v>
      </c>
      <c r="S51">
        <v>0.05</v>
      </c>
      <c r="T51" s="3" t="s">
        <v>45</v>
      </c>
    </row>
    <row r="52" spans="1:20" x14ac:dyDescent="0.35">
      <c r="A52" t="s">
        <v>29</v>
      </c>
      <c r="B52">
        <v>8</v>
      </c>
      <c r="C52">
        <v>0</v>
      </c>
      <c r="D52">
        <v>5.25</v>
      </c>
      <c r="E52">
        <v>0</v>
      </c>
      <c r="F52" s="3" t="s">
        <v>45</v>
      </c>
      <c r="H52" t="s">
        <v>6</v>
      </c>
      <c r="I52">
        <v>30</v>
      </c>
      <c r="J52">
        <v>3</v>
      </c>
      <c r="K52">
        <v>5.23</v>
      </c>
      <c r="L52">
        <v>0.1</v>
      </c>
      <c r="M52" s="3" t="s">
        <v>46</v>
      </c>
      <c r="O52" t="s">
        <v>99</v>
      </c>
      <c r="P52">
        <v>9</v>
      </c>
      <c r="Q52">
        <v>1</v>
      </c>
      <c r="R52">
        <v>5.1100000000000003</v>
      </c>
      <c r="S52">
        <v>0.11</v>
      </c>
      <c r="T52" s="3" t="s">
        <v>45</v>
      </c>
    </row>
    <row r="53" spans="1:20" x14ac:dyDescent="0.35">
      <c r="A53" t="s">
        <v>16</v>
      </c>
      <c r="B53">
        <v>4</v>
      </c>
      <c r="C53">
        <v>0</v>
      </c>
      <c r="D53">
        <v>5.25</v>
      </c>
      <c r="E53">
        <v>0</v>
      </c>
      <c r="F53" s="3" t="s">
        <v>45</v>
      </c>
      <c r="H53" t="s">
        <v>29</v>
      </c>
      <c r="I53">
        <v>8</v>
      </c>
      <c r="J53">
        <v>0</v>
      </c>
      <c r="K53">
        <v>5.25</v>
      </c>
      <c r="L53">
        <v>0</v>
      </c>
      <c r="M53" s="3" t="s">
        <v>46</v>
      </c>
      <c r="O53" t="s">
        <v>17</v>
      </c>
      <c r="P53">
        <v>6</v>
      </c>
      <c r="Q53">
        <v>1</v>
      </c>
      <c r="R53">
        <v>5.17</v>
      </c>
      <c r="S53">
        <v>0.17</v>
      </c>
      <c r="T53" s="3" t="s">
        <v>45</v>
      </c>
    </row>
    <row r="54" spans="1:20" x14ac:dyDescent="0.35">
      <c r="A54" t="s">
        <v>25</v>
      </c>
      <c r="B54">
        <v>26</v>
      </c>
      <c r="C54">
        <v>3</v>
      </c>
      <c r="D54">
        <v>5.31</v>
      </c>
      <c r="E54">
        <v>0.12</v>
      </c>
      <c r="F54" s="3" t="s">
        <v>45</v>
      </c>
      <c r="H54" t="s">
        <v>16</v>
      </c>
      <c r="I54">
        <v>4</v>
      </c>
      <c r="J54">
        <v>0</v>
      </c>
      <c r="K54">
        <v>5.25</v>
      </c>
      <c r="L54">
        <v>0</v>
      </c>
      <c r="M54" s="3" t="s">
        <v>46</v>
      </c>
      <c r="O54" t="s">
        <v>6</v>
      </c>
      <c r="P54">
        <v>30</v>
      </c>
      <c r="Q54">
        <v>3</v>
      </c>
      <c r="R54">
        <v>5.23</v>
      </c>
      <c r="S54">
        <v>0.1</v>
      </c>
      <c r="T54" s="3" t="s">
        <v>45</v>
      </c>
    </row>
    <row r="55" spans="1:20" x14ac:dyDescent="0.35">
      <c r="A55" t="s">
        <v>80</v>
      </c>
      <c r="B55">
        <v>3</v>
      </c>
      <c r="C55">
        <v>0</v>
      </c>
      <c r="D55">
        <v>5.33</v>
      </c>
      <c r="E55">
        <v>0</v>
      </c>
      <c r="F55" s="3" t="s">
        <v>45</v>
      </c>
      <c r="H55" t="s">
        <v>230</v>
      </c>
      <c r="I55">
        <v>4</v>
      </c>
      <c r="J55">
        <v>1</v>
      </c>
      <c r="K55">
        <v>5.25</v>
      </c>
      <c r="L55">
        <v>0.25</v>
      </c>
      <c r="M55" s="3" t="s">
        <v>85</v>
      </c>
      <c r="O55" t="s">
        <v>29</v>
      </c>
      <c r="P55">
        <v>8</v>
      </c>
      <c r="Q55">
        <v>0</v>
      </c>
      <c r="R55">
        <v>5.25</v>
      </c>
      <c r="S55">
        <v>0</v>
      </c>
      <c r="T55" s="3" t="s">
        <v>45</v>
      </c>
    </row>
    <row r="56" spans="1:20" x14ac:dyDescent="0.35">
      <c r="A56" t="s">
        <v>33</v>
      </c>
      <c r="B56">
        <v>3</v>
      </c>
      <c r="C56">
        <v>0</v>
      </c>
      <c r="D56">
        <v>5.33</v>
      </c>
      <c r="E56">
        <v>0</v>
      </c>
      <c r="F56" s="3" t="s">
        <v>45</v>
      </c>
      <c r="H56" t="s">
        <v>25</v>
      </c>
      <c r="I56">
        <v>26</v>
      </c>
      <c r="J56">
        <v>3</v>
      </c>
      <c r="K56">
        <v>5.31</v>
      </c>
      <c r="L56">
        <v>0.12</v>
      </c>
      <c r="M56" s="3" t="s">
        <v>45</v>
      </c>
      <c r="O56" t="s">
        <v>16</v>
      </c>
      <c r="P56">
        <v>4</v>
      </c>
      <c r="Q56">
        <v>0</v>
      </c>
      <c r="R56">
        <v>5.25</v>
      </c>
      <c r="S56">
        <v>0</v>
      </c>
      <c r="T56" s="3" t="s">
        <v>45</v>
      </c>
    </row>
    <row r="57" spans="1:20" x14ac:dyDescent="0.35">
      <c r="A57" t="s">
        <v>173</v>
      </c>
      <c r="B57">
        <v>3</v>
      </c>
      <c r="C57">
        <v>0</v>
      </c>
      <c r="D57">
        <v>5.33</v>
      </c>
      <c r="E57">
        <v>0</v>
      </c>
      <c r="F57" s="3" t="s">
        <v>45</v>
      </c>
      <c r="H57" t="s">
        <v>80</v>
      </c>
      <c r="I57">
        <v>3</v>
      </c>
      <c r="J57">
        <v>0</v>
      </c>
      <c r="K57">
        <v>5.33</v>
      </c>
      <c r="L57">
        <v>0</v>
      </c>
      <c r="M57" s="3" t="s">
        <v>45</v>
      </c>
      <c r="O57" t="s">
        <v>230</v>
      </c>
      <c r="P57">
        <v>4</v>
      </c>
      <c r="Q57">
        <v>1</v>
      </c>
      <c r="R57">
        <v>5.25</v>
      </c>
      <c r="S57">
        <v>0.25</v>
      </c>
      <c r="T57" s="3" t="s">
        <v>45</v>
      </c>
    </row>
    <row r="58" spans="1:20" x14ac:dyDescent="0.35">
      <c r="A58" t="s">
        <v>197</v>
      </c>
      <c r="B58">
        <v>3</v>
      </c>
      <c r="C58">
        <v>0</v>
      </c>
      <c r="D58">
        <v>5.33</v>
      </c>
      <c r="E58">
        <v>0</v>
      </c>
      <c r="F58" s="3" t="s">
        <v>45</v>
      </c>
      <c r="H58" t="s">
        <v>33</v>
      </c>
      <c r="I58">
        <v>3</v>
      </c>
      <c r="J58">
        <v>0</v>
      </c>
      <c r="K58">
        <v>5.33</v>
      </c>
      <c r="L58">
        <v>0</v>
      </c>
      <c r="M58" s="3" t="s">
        <v>45</v>
      </c>
      <c r="O58" t="s">
        <v>25</v>
      </c>
      <c r="P58">
        <v>26</v>
      </c>
      <c r="Q58">
        <v>3</v>
      </c>
      <c r="R58">
        <v>5.31</v>
      </c>
      <c r="S58">
        <v>0.12</v>
      </c>
      <c r="T58" s="3" t="s">
        <v>45</v>
      </c>
    </row>
    <row r="59" spans="1:20" x14ac:dyDescent="0.35">
      <c r="A59" t="s">
        <v>110</v>
      </c>
      <c r="B59">
        <v>3</v>
      </c>
      <c r="C59">
        <v>0</v>
      </c>
      <c r="D59">
        <v>5.33</v>
      </c>
      <c r="E59">
        <v>0</v>
      </c>
      <c r="F59" s="3" t="s">
        <v>45</v>
      </c>
      <c r="H59" t="s">
        <v>173</v>
      </c>
      <c r="I59">
        <v>3</v>
      </c>
      <c r="J59">
        <v>0</v>
      </c>
      <c r="K59">
        <v>5.33</v>
      </c>
      <c r="L59">
        <v>0</v>
      </c>
      <c r="M59" s="3" t="s">
        <v>45</v>
      </c>
      <c r="O59" t="s">
        <v>80</v>
      </c>
      <c r="P59">
        <v>3</v>
      </c>
      <c r="Q59">
        <v>0</v>
      </c>
      <c r="R59">
        <v>5.33</v>
      </c>
      <c r="S59">
        <v>0</v>
      </c>
      <c r="T59" s="3" t="s">
        <v>45</v>
      </c>
    </row>
    <row r="60" spans="1:20" x14ac:dyDescent="0.35">
      <c r="A60" t="s">
        <v>4</v>
      </c>
      <c r="B60">
        <v>3</v>
      </c>
      <c r="C60">
        <v>0</v>
      </c>
      <c r="D60">
        <v>5.33</v>
      </c>
      <c r="E60">
        <v>0</v>
      </c>
      <c r="F60" s="3" t="s">
        <v>85</v>
      </c>
      <c r="H60" t="s">
        <v>197</v>
      </c>
      <c r="I60">
        <v>3</v>
      </c>
      <c r="J60">
        <v>0</v>
      </c>
      <c r="K60">
        <v>5.33</v>
      </c>
      <c r="L60">
        <v>0</v>
      </c>
      <c r="M60" s="3" t="s">
        <v>45</v>
      </c>
      <c r="O60" t="s">
        <v>33</v>
      </c>
      <c r="P60">
        <v>3</v>
      </c>
      <c r="Q60">
        <v>0</v>
      </c>
      <c r="R60">
        <v>5.33</v>
      </c>
      <c r="S60">
        <v>0</v>
      </c>
      <c r="T60" s="3" t="s">
        <v>45</v>
      </c>
    </row>
    <row r="61" spans="1:20" x14ac:dyDescent="0.35">
      <c r="A61" t="s">
        <v>51</v>
      </c>
      <c r="B61">
        <v>16</v>
      </c>
      <c r="C61">
        <v>0</v>
      </c>
      <c r="D61">
        <v>5.38</v>
      </c>
      <c r="E61">
        <v>0</v>
      </c>
      <c r="F61" s="3" t="s">
        <v>54</v>
      </c>
      <c r="H61" t="s">
        <v>110</v>
      </c>
      <c r="I61">
        <v>3</v>
      </c>
      <c r="J61">
        <v>0</v>
      </c>
      <c r="K61">
        <v>5.33</v>
      </c>
      <c r="L61">
        <v>0</v>
      </c>
      <c r="M61" s="3" t="s">
        <v>45</v>
      </c>
      <c r="O61" t="s">
        <v>173</v>
      </c>
      <c r="P61">
        <v>3</v>
      </c>
      <c r="Q61">
        <v>0</v>
      </c>
      <c r="R61">
        <v>5.33</v>
      </c>
      <c r="S61">
        <v>0</v>
      </c>
      <c r="T61" s="3" t="s">
        <v>45</v>
      </c>
    </row>
    <row r="62" spans="1:20" x14ac:dyDescent="0.35">
      <c r="A62" t="s">
        <v>116</v>
      </c>
      <c r="B62">
        <v>5</v>
      </c>
      <c r="C62">
        <v>0</v>
      </c>
      <c r="D62">
        <v>5.4</v>
      </c>
      <c r="E62">
        <v>0</v>
      </c>
      <c r="F62" s="3" t="s">
        <v>54</v>
      </c>
      <c r="H62" t="s">
        <v>4</v>
      </c>
      <c r="I62">
        <v>3</v>
      </c>
      <c r="J62">
        <v>0</v>
      </c>
      <c r="K62">
        <v>5.33</v>
      </c>
      <c r="L62">
        <v>0</v>
      </c>
      <c r="M62" s="3" t="s">
        <v>45</v>
      </c>
      <c r="O62" t="s">
        <v>197</v>
      </c>
      <c r="P62">
        <v>3</v>
      </c>
      <c r="Q62">
        <v>0</v>
      </c>
      <c r="R62">
        <v>5.33</v>
      </c>
      <c r="S62">
        <v>0</v>
      </c>
      <c r="T62" s="3" t="s">
        <v>45</v>
      </c>
    </row>
    <row r="63" spans="1:20" x14ac:dyDescent="0.35">
      <c r="A63" t="s">
        <v>49</v>
      </c>
      <c r="B63">
        <v>5</v>
      </c>
      <c r="C63">
        <v>1</v>
      </c>
      <c r="D63">
        <v>5.4</v>
      </c>
      <c r="E63">
        <v>0.2</v>
      </c>
      <c r="F63" s="3" t="s">
        <v>54</v>
      </c>
      <c r="H63" t="s">
        <v>51</v>
      </c>
      <c r="I63">
        <v>16</v>
      </c>
      <c r="J63">
        <v>0</v>
      </c>
      <c r="K63">
        <v>5.38</v>
      </c>
      <c r="L63">
        <v>0</v>
      </c>
      <c r="M63" s="3" t="s">
        <v>45</v>
      </c>
      <c r="O63" t="s">
        <v>110</v>
      </c>
      <c r="P63">
        <v>3</v>
      </c>
      <c r="Q63">
        <v>0</v>
      </c>
      <c r="R63">
        <v>5.33</v>
      </c>
      <c r="S63">
        <v>0</v>
      </c>
      <c r="T63" s="3" t="s">
        <v>45</v>
      </c>
    </row>
    <row r="64" spans="1:20" x14ac:dyDescent="0.35">
      <c r="A64" t="s">
        <v>89</v>
      </c>
      <c r="B64">
        <v>4</v>
      </c>
      <c r="C64">
        <v>0</v>
      </c>
      <c r="D64">
        <v>5.5</v>
      </c>
      <c r="E64">
        <v>0</v>
      </c>
      <c r="F64" s="3" t="s">
        <v>54</v>
      </c>
      <c r="H64" t="s">
        <v>116</v>
      </c>
      <c r="I64">
        <v>5</v>
      </c>
      <c r="J64">
        <v>0</v>
      </c>
      <c r="K64">
        <v>5.4</v>
      </c>
      <c r="L64">
        <v>0</v>
      </c>
      <c r="M64" s="3" t="s">
        <v>45</v>
      </c>
      <c r="O64" t="s">
        <v>4</v>
      </c>
      <c r="P64">
        <v>3</v>
      </c>
      <c r="Q64">
        <v>0</v>
      </c>
      <c r="R64">
        <v>5.33</v>
      </c>
      <c r="S64">
        <v>0</v>
      </c>
      <c r="T64" s="3" t="s">
        <v>45</v>
      </c>
    </row>
    <row r="65" spans="1:20" x14ac:dyDescent="0.35">
      <c r="A65" t="s">
        <v>105</v>
      </c>
      <c r="B65">
        <v>3</v>
      </c>
      <c r="C65">
        <v>0</v>
      </c>
      <c r="D65">
        <v>5.67</v>
      </c>
      <c r="E65">
        <v>0</v>
      </c>
      <c r="F65" s="3" t="s">
        <v>54</v>
      </c>
      <c r="H65" t="s">
        <v>49</v>
      </c>
      <c r="I65">
        <v>5</v>
      </c>
      <c r="J65">
        <v>1</v>
      </c>
      <c r="K65">
        <v>5.4</v>
      </c>
      <c r="L65">
        <v>0.2</v>
      </c>
      <c r="M65" s="3" t="s">
        <v>45</v>
      </c>
      <c r="O65" t="s">
        <v>123</v>
      </c>
      <c r="P65">
        <v>3</v>
      </c>
      <c r="Q65">
        <v>0</v>
      </c>
      <c r="R65">
        <v>5.33</v>
      </c>
      <c r="S65">
        <v>0</v>
      </c>
      <c r="T65" s="3" t="s">
        <v>85</v>
      </c>
    </row>
    <row r="66" spans="1:20" x14ac:dyDescent="0.35">
      <c r="A66" t="s">
        <v>137</v>
      </c>
      <c r="B66">
        <v>3</v>
      </c>
      <c r="C66">
        <v>0</v>
      </c>
      <c r="D66">
        <v>5.67</v>
      </c>
      <c r="E66">
        <v>0</v>
      </c>
      <c r="F66" s="3" t="s">
        <v>54</v>
      </c>
      <c r="H66" t="s">
        <v>89</v>
      </c>
      <c r="I66">
        <v>4</v>
      </c>
      <c r="J66">
        <v>0</v>
      </c>
      <c r="K66">
        <v>5.5</v>
      </c>
      <c r="L66">
        <v>0</v>
      </c>
      <c r="M66" s="3" t="s">
        <v>45</v>
      </c>
      <c r="O66" t="s">
        <v>51</v>
      </c>
      <c r="P66">
        <v>16</v>
      </c>
      <c r="Q66">
        <v>0</v>
      </c>
      <c r="R66">
        <v>5.38</v>
      </c>
      <c r="S66">
        <v>0</v>
      </c>
      <c r="T66" s="3" t="s">
        <v>54</v>
      </c>
    </row>
    <row r="67" spans="1:20" x14ac:dyDescent="0.35">
      <c r="A67" t="s">
        <v>82</v>
      </c>
      <c r="B67">
        <v>3</v>
      </c>
      <c r="C67">
        <v>0</v>
      </c>
      <c r="D67">
        <v>5.67</v>
      </c>
      <c r="E67">
        <v>0</v>
      </c>
      <c r="F67" s="3" t="s">
        <v>54</v>
      </c>
      <c r="H67" t="s">
        <v>105</v>
      </c>
      <c r="I67">
        <v>3</v>
      </c>
      <c r="J67">
        <v>0</v>
      </c>
      <c r="K67">
        <v>5.67</v>
      </c>
      <c r="L67">
        <v>0</v>
      </c>
      <c r="M67" s="3" t="s">
        <v>45</v>
      </c>
      <c r="O67" t="s">
        <v>116</v>
      </c>
      <c r="P67">
        <v>5</v>
      </c>
      <c r="Q67">
        <v>0</v>
      </c>
      <c r="R67">
        <v>5.4</v>
      </c>
      <c r="S67">
        <v>0</v>
      </c>
      <c r="T67" s="3" t="s">
        <v>54</v>
      </c>
    </row>
    <row r="68" spans="1:20" x14ac:dyDescent="0.35">
      <c r="A68" t="s">
        <v>90</v>
      </c>
      <c r="B68">
        <v>3</v>
      </c>
      <c r="C68">
        <v>1</v>
      </c>
      <c r="D68">
        <v>5.67</v>
      </c>
      <c r="E68">
        <v>0.33</v>
      </c>
      <c r="F68" s="3" t="s">
        <v>54</v>
      </c>
      <c r="H68" t="s">
        <v>137</v>
      </c>
      <c r="I68">
        <v>3</v>
      </c>
      <c r="J68">
        <v>0</v>
      </c>
      <c r="K68">
        <v>5.67</v>
      </c>
      <c r="L68">
        <v>0</v>
      </c>
      <c r="M68" s="3" t="s">
        <v>45</v>
      </c>
      <c r="O68" t="s">
        <v>49</v>
      </c>
      <c r="P68">
        <v>5</v>
      </c>
      <c r="Q68">
        <v>1</v>
      </c>
      <c r="R68">
        <v>5.4</v>
      </c>
      <c r="S68">
        <v>0.2</v>
      </c>
      <c r="T68" s="3" t="s">
        <v>54</v>
      </c>
    </row>
    <row r="69" spans="1:20" x14ac:dyDescent="0.35">
      <c r="A69" t="s">
        <v>20</v>
      </c>
      <c r="B69">
        <v>10</v>
      </c>
      <c r="C69">
        <v>1</v>
      </c>
      <c r="D69">
        <v>5.7</v>
      </c>
      <c r="E69">
        <v>0.1</v>
      </c>
      <c r="F69" s="3" t="s">
        <v>54</v>
      </c>
      <c r="H69" t="s">
        <v>82</v>
      </c>
      <c r="I69">
        <v>3</v>
      </c>
      <c r="J69">
        <v>0</v>
      </c>
      <c r="K69">
        <v>5.67</v>
      </c>
      <c r="L69">
        <v>0</v>
      </c>
      <c r="M69" s="3" t="s">
        <v>45</v>
      </c>
      <c r="O69" t="s">
        <v>89</v>
      </c>
      <c r="P69">
        <v>4</v>
      </c>
      <c r="Q69">
        <v>0</v>
      </c>
      <c r="R69">
        <v>5.5</v>
      </c>
      <c r="S69">
        <v>0</v>
      </c>
      <c r="T69" s="3" t="s">
        <v>54</v>
      </c>
    </row>
    <row r="70" spans="1:20" x14ac:dyDescent="0.35">
      <c r="A70" t="s">
        <v>31</v>
      </c>
      <c r="B70">
        <v>4</v>
      </c>
      <c r="C70">
        <v>0</v>
      </c>
      <c r="D70">
        <v>5.75</v>
      </c>
      <c r="E70">
        <v>0</v>
      </c>
      <c r="F70" s="3" t="s">
        <v>54</v>
      </c>
      <c r="H70" t="s">
        <v>90</v>
      </c>
      <c r="I70">
        <v>3</v>
      </c>
      <c r="J70">
        <v>1</v>
      </c>
      <c r="K70">
        <v>5.67</v>
      </c>
      <c r="L70">
        <v>0.33</v>
      </c>
      <c r="M70" s="3" t="s">
        <v>45</v>
      </c>
      <c r="O70" t="s">
        <v>124</v>
      </c>
      <c r="P70">
        <v>6</v>
      </c>
      <c r="Q70">
        <v>0</v>
      </c>
      <c r="R70">
        <v>5.5</v>
      </c>
      <c r="S70">
        <v>0</v>
      </c>
      <c r="T70" s="2" t="s">
        <v>133</v>
      </c>
    </row>
    <row r="71" spans="1:20" x14ac:dyDescent="0.35">
      <c r="A71" t="s">
        <v>12</v>
      </c>
      <c r="B71">
        <v>4</v>
      </c>
      <c r="C71">
        <v>0</v>
      </c>
      <c r="D71">
        <v>5.75</v>
      </c>
      <c r="E71">
        <v>0</v>
      </c>
      <c r="F71" s="3" t="s">
        <v>54</v>
      </c>
      <c r="H71" t="s">
        <v>20</v>
      </c>
      <c r="I71">
        <v>10</v>
      </c>
      <c r="J71">
        <v>1</v>
      </c>
      <c r="K71">
        <v>5.7</v>
      </c>
      <c r="L71">
        <v>0.1</v>
      </c>
      <c r="M71" s="3" t="s">
        <v>45</v>
      </c>
      <c r="O71" t="s">
        <v>105</v>
      </c>
      <c r="P71">
        <v>3</v>
      </c>
      <c r="Q71">
        <v>0</v>
      </c>
      <c r="R71">
        <v>5.67</v>
      </c>
      <c r="S71">
        <v>0</v>
      </c>
      <c r="T71" s="3" t="s">
        <v>55</v>
      </c>
    </row>
    <row r="72" spans="1:20" x14ac:dyDescent="0.35">
      <c r="A72" t="s">
        <v>124</v>
      </c>
      <c r="B72">
        <v>5</v>
      </c>
      <c r="C72">
        <v>0</v>
      </c>
      <c r="D72">
        <v>5.8</v>
      </c>
      <c r="E72">
        <v>0</v>
      </c>
      <c r="F72" s="3" t="s">
        <v>45</v>
      </c>
      <c r="H72" t="s">
        <v>31</v>
      </c>
      <c r="I72">
        <v>4</v>
      </c>
      <c r="J72">
        <v>0</v>
      </c>
      <c r="K72">
        <v>5.75</v>
      </c>
      <c r="L72">
        <v>0</v>
      </c>
      <c r="M72" s="3" t="s">
        <v>45</v>
      </c>
      <c r="O72" t="s">
        <v>137</v>
      </c>
      <c r="P72">
        <v>3</v>
      </c>
      <c r="Q72">
        <v>0</v>
      </c>
      <c r="R72">
        <v>5.67</v>
      </c>
      <c r="S72">
        <v>0</v>
      </c>
      <c r="T72" s="3" t="s">
        <v>55</v>
      </c>
    </row>
    <row r="73" spans="1:20" x14ac:dyDescent="0.35">
      <c r="A73" t="s">
        <v>87</v>
      </c>
      <c r="B73">
        <v>3</v>
      </c>
      <c r="C73">
        <v>0</v>
      </c>
      <c r="D73">
        <v>6</v>
      </c>
      <c r="E73">
        <v>0</v>
      </c>
      <c r="F73" s="3" t="s">
        <v>45</v>
      </c>
      <c r="H73" t="s">
        <v>12</v>
      </c>
      <c r="I73">
        <v>4</v>
      </c>
      <c r="J73">
        <v>0</v>
      </c>
      <c r="K73">
        <v>5.75</v>
      </c>
      <c r="L73">
        <v>0</v>
      </c>
      <c r="M73" s="3" t="s">
        <v>45</v>
      </c>
      <c r="O73" t="s">
        <v>82</v>
      </c>
      <c r="P73">
        <v>3</v>
      </c>
      <c r="Q73">
        <v>0</v>
      </c>
      <c r="R73">
        <v>5.67</v>
      </c>
      <c r="S73">
        <v>0</v>
      </c>
      <c r="T73" s="3" t="s">
        <v>55</v>
      </c>
    </row>
    <row r="74" spans="1:20" x14ac:dyDescent="0.35">
      <c r="A74" t="s">
        <v>32</v>
      </c>
      <c r="B74">
        <v>9</v>
      </c>
      <c r="C74">
        <v>0</v>
      </c>
      <c r="D74">
        <v>6.11</v>
      </c>
      <c r="E74">
        <v>0</v>
      </c>
      <c r="F74" s="3" t="s">
        <v>45</v>
      </c>
      <c r="H74" t="s">
        <v>124</v>
      </c>
      <c r="I74">
        <v>5</v>
      </c>
      <c r="J74">
        <v>0</v>
      </c>
      <c r="K74">
        <v>5.8</v>
      </c>
      <c r="L74">
        <v>0</v>
      </c>
      <c r="M74" s="3" t="s">
        <v>45</v>
      </c>
      <c r="O74" t="s">
        <v>90</v>
      </c>
      <c r="P74">
        <v>3</v>
      </c>
      <c r="Q74">
        <v>1</v>
      </c>
      <c r="R74">
        <v>5.67</v>
      </c>
      <c r="S74">
        <v>0.33</v>
      </c>
      <c r="T74" s="3" t="s">
        <v>55</v>
      </c>
    </row>
    <row r="75" spans="1:20" x14ac:dyDescent="0.35">
      <c r="H75" t="s">
        <v>87</v>
      </c>
      <c r="I75">
        <v>3</v>
      </c>
      <c r="J75">
        <v>0</v>
      </c>
      <c r="K75">
        <v>6</v>
      </c>
      <c r="L75">
        <v>0</v>
      </c>
      <c r="M75" s="3" t="s">
        <v>45</v>
      </c>
      <c r="O75" t="s">
        <v>31</v>
      </c>
      <c r="P75">
        <v>4</v>
      </c>
      <c r="Q75">
        <v>0</v>
      </c>
      <c r="R75">
        <v>5.75</v>
      </c>
      <c r="S75">
        <v>0</v>
      </c>
      <c r="T75" s="3" t="s">
        <v>54</v>
      </c>
    </row>
    <row r="76" spans="1:20" x14ac:dyDescent="0.35">
      <c r="H76" t="s">
        <v>32</v>
      </c>
      <c r="I76">
        <v>9</v>
      </c>
      <c r="J76">
        <v>0</v>
      </c>
      <c r="K76">
        <v>6.11</v>
      </c>
      <c r="L76">
        <v>0</v>
      </c>
      <c r="M76" s="3" t="s">
        <v>45</v>
      </c>
      <c r="O76" t="s">
        <v>12</v>
      </c>
      <c r="P76">
        <v>4</v>
      </c>
      <c r="Q76">
        <v>0</v>
      </c>
      <c r="R76">
        <v>5.75</v>
      </c>
      <c r="S76">
        <v>0</v>
      </c>
      <c r="T76" s="3" t="s">
        <v>54</v>
      </c>
    </row>
    <row r="77" spans="1:20" x14ac:dyDescent="0.35">
      <c r="O77" t="s">
        <v>20</v>
      </c>
      <c r="P77">
        <v>11</v>
      </c>
      <c r="Q77">
        <v>1</v>
      </c>
      <c r="R77">
        <v>5.82</v>
      </c>
      <c r="S77">
        <v>0.09</v>
      </c>
      <c r="T77" s="3" t="s">
        <v>71</v>
      </c>
    </row>
    <row r="78" spans="1:20" x14ac:dyDescent="0.35">
      <c r="O78" t="s">
        <v>87</v>
      </c>
      <c r="P78">
        <v>3</v>
      </c>
      <c r="Q78">
        <v>0</v>
      </c>
      <c r="R78">
        <v>6</v>
      </c>
      <c r="S78">
        <v>0</v>
      </c>
      <c r="T78" s="3" t="s">
        <v>54</v>
      </c>
    </row>
    <row r="79" spans="1:20" x14ac:dyDescent="0.35">
      <c r="O79" t="s">
        <v>32</v>
      </c>
      <c r="P79">
        <v>9</v>
      </c>
      <c r="Q79">
        <v>0</v>
      </c>
      <c r="R79">
        <v>6.11</v>
      </c>
      <c r="S79">
        <v>0</v>
      </c>
      <c r="T79" s="3" t="s">
        <v>54</v>
      </c>
    </row>
  </sheetData>
  <sortState ref="O2:S79">
    <sortCondition ref="R2:R79"/>
  </sortState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00"/>
  <sheetViews>
    <sheetView topLeftCell="F349" zoomScaleNormal="100" workbookViewId="0">
      <selection activeCell="Q392" sqref="Q392:Y400"/>
    </sheetView>
  </sheetViews>
  <sheetFormatPr defaultRowHeight="14.5" x14ac:dyDescent="0.35"/>
  <sheetData>
    <row r="1" spans="1:39" x14ac:dyDescent="0.35">
      <c r="A1" s="1">
        <v>44955</v>
      </c>
      <c r="B1" s="1">
        <v>44973</v>
      </c>
      <c r="C1" s="1">
        <v>44994</v>
      </c>
      <c r="D1" s="1">
        <v>45008</v>
      </c>
      <c r="E1" s="1">
        <v>45008</v>
      </c>
      <c r="F1" s="1">
        <v>45010</v>
      </c>
      <c r="G1" s="1">
        <v>45015</v>
      </c>
      <c r="H1" s="1">
        <v>45022</v>
      </c>
      <c r="I1" s="1">
        <v>45029</v>
      </c>
      <c r="J1" s="1">
        <v>45038</v>
      </c>
      <c r="K1" s="1">
        <v>45038</v>
      </c>
      <c r="L1" s="1">
        <v>45043</v>
      </c>
      <c r="M1" s="1">
        <v>45050</v>
      </c>
      <c r="N1" s="1">
        <v>45051</v>
      </c>
      <c r="O1" s="1">
        <v>45051</v>
      </c>
      <c r="P1" s="1">
        <v>45051</v>
      </c>
      <c r="Q1" s="1">
        <v>45057</v>
      </c>
      <c r="R1" s="1">
        <v>45057</v>
      </c>
      <c r="S1" s="1">
        <v>45059</v>
      </c>
      <c r="T1" s="1">
        <v>45059</v>
      </c>
      <c r="U1" s="1">
        <v>45059</v>
      </c>
      <c r="V1" s="1">
        <v>45059</v>
      </c>
      <c r="W1" s="1">
        <v>45059</v>
      </c>
      <c r="X1" s="1">
        <v>45064</v>
      </c>
      <c r="Y1" s="1">
        <v>45066</v>
      </c>
      <c r="Z1" s="1">
        <v>45066</v>
      </c>
      <c r="AA1" s="1">
        <v>45071</v>
      </c>
      <c r="AB1" s="1">
        <v>45078</v>
      </c>
      <c r="AC1" s="1">
        <v>45080</v>
      </c>
      <c r="AD1" s="1">
        <v>45080</v>
      </c>
      <c r="AE1" s="1">
        <v>45085</v>
      </c>
      <c r="AF1" s="1">
        <v>45087</v>
      </c>
      <c r="AG1" s="1">
        <v>45087</v>
      </c>
      <c r="AH1" s="1">
        <v>45092</v>
      </c>
      <c r="AI1" s="1">
        <v>45092</v>
      </c>
      <c r="AJ1" s="1">
        <v>45092</v>
      </c>
    </row>
    <row r="2" spans="1:39" x14ac:dyDescent="0.35">
      <c r="A2" t="s">
        <v>0</v>
      </c>
      <c r="B2" t="s">
        <v>8</v>
      </c>
      <c r="C2" t="s">
        <v>8</v>
      </c>
      <c r="D2" t="s">
        <v>10</v>
      </c>
      <c r="E2" t="s">
        <v>8</v>
      </c>
      <c r="F2" t="s">
        <v>15</v>
      </c>
      <c r="G2" t="s">
        <v>26</v>
      </c>
      <c r="H2" t="s">
        <v>15</v>
      </c>
      <c r="I2" t="s">
        <v>7</v>
      </c>
      <c r="J2" t="s">
        <v>35</v>
      </c>
      <c r="K2" t="s">
        <v>37</v>
      </c>
      <c r="L2" t="s">
        <v>6</v>
      </c>
      <c r="M2" t="s">
        <v>14</v>
      </c>
      <c r="N2" t="s">
        <v>25</v>
      </c>
      <c r="O2" t="s">
        <v>14</v>
      </c>
      <c r="P2" t="s">
        <v>15</v>
      </c>
      <c r="Q2" t="s">
        <v>6</v>
      </c>
      <c r="R2" t="s">
        <v>13</v>
      </c>
      <c r="S2" t="s">
        <v>17</v>
      </c>
      <c r="T2" t="s">
        <v>3</v>
      </c>
      <c r="U2" t="s">
        <v>37</v>
      </c>
      <c r="V2" t="s">
        <v>10</v>
      </c>
      <c r="W2" t="s">
        <v>10</v>
      </c>
      <c r="X2" t="s">
        <v>78</v>
      </c>
      <c r="Y2" t="s">
        <v>8</v>
      </c>
      <c r="Z2" t="s">
        <v>81</v>
      </c>
      <c r="AA2" t="s">
        <v>34</v>
      </c>
      <c r="AB2" t="s">
        <v>35</v>
      </c>
      <c r="AC2" t="s">
        <v>24</v>
      </c>
      <c r="AD2" t="s">
        <v>90</v>
      </c>
      <c r="AE2" t="s">
        <v>15</v>
      </c>
      <c r="AF2" t="s">
        <v>15</v>
      </c>
      <c r="AG2" t="s">
        <v>22</v>
      </c>
      <c r="AH2" t="s">
        <v>99</v>
      </c>
      <c r="AI2" t="s">
        <v>15</v>
      </c>
      <c r="AJ2" t="s">
        <v>63</v>
      </c>
    </row>
    <row r="3" spans="1:39" x14ac:dyDescent="0.35">
      <c r="A3" t="s">
        <v>1</v>
      </c>
      <c r="B3" t="s">
        <v>11</v>
      </c>
      <c r="C3" t="s">
        <v>8</v>
      </c>
      <c r="D3" t="s">
        <v>14</v>
      </c>
      <c r="E3" t="s">
        <v>21</v>
      </c>
      <c r="F3" t="s">
        <v>0</v>
      </c>
      <c r="G3" t="s">
        <v>27</v>
      </c>
      <c r="H3" t="s">
        <v>14</v>
      </c>
      <c r="I3" t="s">
        <v>0</v>
      </c>
      <c r="J3" t="s">
        <v>6</v>
      </c>
      <c r="K3" t="s">
        <v>1</v>
      </c>
      <c r="L3" t="s">
        <v>14</v>
      </c>
      <c r="M3" t="s">
        <v>27</v>
      </c>
      <c r="N3" t="s">
        <v>10</v>
      </c>
      <c r="O3" t="s">
        <v>51</v>
      </c>
      <c r="P3" t="s">
        <v>22</v>
      </c>
      <c r="Q3" t="s">
        <v>14</v>
      </c>
      <c r="R3" t="s">
        <v>57</v>
      </c>
      <c r="S3" t="s">
        <v>29</v>
      </c>
      <c r="T3" t="s">
        <v>3</v>
      </c>
      <c r="U3" t="s">
        <v>24</v>
      </c>
      <c r="V3" t="s">
        <v>61</v>
      </c>
      <c r="W3" t="s">
        <v>23</v>
      </c>
      <c r="X3" t="s">
        <v>12</v>
      </c>
      <c r="Y3" t="s">
        <v>79</v>
      </c>
      <c r="Z3" t="s">
        <v>52</v>
      </c>
      <c r="AA3" t="s">
        <v>51</v>
      </c>
      <c r="AB3" t="s">
        <v>8</v>
      </c>
      <c r="AC3" t="s">
        <v>14</v>
      </c>
      <c r="AD3" t="s">
        <v>14</v>
      </c>
      <c r="AE3" t="s">
        <v>52</v>
      </c>
      <c r="AF3" t="s">
        <v>36</v>
      </c>
      <c r="AG3" t="s">
        <v>22</v>
      </c>
      <c r="AH3" t="s">
        <v>8</v>
      </c>
      <c r="AI3" t="s">
        <v>104</v>
      </c>
      <c r="AJ3" t="s">
        <v>8</v>
      </c>
    </row>
    <row r="4" spans="1:39" x14ac:dyDescent="0.35">
      <c r="A4" t="s">
        <v>2</v>
      </c>
      <c r="B4" t="s">
        <v>10</v>
      </c>
      <c r="C4" t="s">
        <v>7</v>
      </c>
      <c r="D4" t="s">
        <v>1</v>
      </c>
      <c r="E4" t="s">
        <v>14</v>
      </c>
      <c r="F4" t="s">
        <v>10</v>
      </c>
      <c r="G4" t="s">
        <v>28</v>
      </c>
      <c r="H4" t="s">
        <v>26</v>
      </c>
      <c r="I4" t="s">
        <v>34</v>
      </c>
      <c r="J4" t="s">
        <v>15</v>
      </c>
      <c r="K4" t="s">
        <v>15</v>
      </c>
      <c r="L4" t="s">
        <v>14</v>
      </c>
      <c r="M4" t="s">
        <v>13</v>
      </c>
      <c r="N4" t="s">
        <v>14</v>
      </c>
      <c r="O4" t="s">
        <v>1</v>
      </c>
      <c r="P4" t="s">
        <v>10</v>
      </c>
      <c r="Q4" t="s">
        <v>56</v>
      </c>
      <c r="R4" t="s">
        <v>15</v>
      </c>
      <c r="S4" t="s">
        <v>51</v>
      </c>
      <c r="T4" t="s">
        <v>14</v>
      </c>
      <c r="U4" t="s">
        <v>25</v>
      </c>
      <c r="V4" t="s">
        <v>58</v>
      </c>
      <c r="W4" t="s">
        <v>63</v>
      </c>
      <c r="X4" t="s">
        <v>79</v>
      </c>
      <c r="Y4" t="s">
        <v>80</v>
      </c>
      <c r="Z4" t="s">
        <v>82</v>
      </c>
      <c r="AA4" t="s">
        <v>15</v>
      </c>
      <c r="AB4" t="s">
        <v>51</v>
      </c>
      <c r="AC4" t="s">
        <v>1</v>
      </c>
      <c r="AD4" t="s">
        <v>79</v>
      </c>
      <c r="AE4" t="s">
        <v>99</v>
      </c>
      <c r="AF4" t="s">
        <v>104</v>
      </c>
      <c r="AG4" t="s">
        <v>15</v>
      </c>
      <c r="AH4" t="s">
        <v>15</v>
      </c>
      <c r="AI4" t="s">
        <v>24</v>
      </c>
      <c r="AJ4" t="s">
        <v>89</v>
      </c>
    </row>
    <row r="5" spans="1:39" x14ac:dyDescent="0.35">
      <c r="A5" t="s">
        <v>3</v>
      </c>
      <c r="B5" t="s">
        <v>6</v>
      </c>
      <c r="C5" t="s">
        <v>14</v>
      </c>
      <c r="D5" t="s">
        <v>18</v>
      </c>
      <c r="E5" t="s">
        <v>6</v>
      </c>
      <c r="F5" t="s">
        <v>22</v>
      </c>
      <c r="G5" t="s">
        <v>29</v>
      </c>
      <c r="H5" t="s">
        <v>6</v>
      </c>
      <c r="I5" t="s">
        <v>17</v>
      </c>
      <c r="J5" t="s">
        <v>1</v>
      </c>
      <c r="K5" t="s">
        <v>27</v>
      </c>
      <c r="L5" t="s">
        <v>15</v>
      </c>
      <c r="M5" t="s">
        <v>15</v>
      </c>
      <c r="N5" t="s">
        <v>13</v>
      </c>
      <c r="O5" t="s">
        <v>10</v>
      </c>
      <c r="P5" t="s">
        <v>52</v>
      </c>
      <c r="Q5" t="s">
        <v>8</v>
      </c>
      <c r="R5" t="s">
        <v>56</v>
      </c>
      <c r="S5" t="s">
        <v>15</v>
      </c>
      <c r="T5" t="s">
        <v>3</v>
      </c>
      <c r="U5" t="s">
        <v>28</v>
      </c>
      <c r="V5" t="s">
        <v>14</v>
      </c>
      <c r="W5" t="s">
        <v>14</v>
      </c>
      <c r="X5" t="s">
        <v>15</v>
      </c>
      <c r="Y5" t="s">
        <v>35</v>
      </c>
      <c r="Z5" t="s">
        <v>8</v>
      </c>
      <c r="AA5" t="s">
        <v>14</v>
      </c>
      <c r="AB5" t="s">
        <v>24</v>
      </c>
      <c r="AC5" t="s">
        <v>10</v>
      </c>
      <c r="AD5" t="s">
        <v>52</v>
      </c>
      <c r="AE5" t="s">
        <v>81</v>
      </c>
      <c r="AF5" t="s">
        <v>24</v>
      </c>
      <c r="AG5" t="s">
        <v>20</v>
      </c>
      <c r="AH5" t="s">
        <v>31</v>
      </c>
      <c r="AI5" t="s">
        <v>49</v>
      </c>
      <c r="AJ5" t="s">
        <v>15</v>
      </c>
    </row>
    <row r="6" spans="1:39" x14ac:dyDescent="0.35">
      <c r="A6" t="s">
        <v>4</v>
      </c>
      <c r="B6" t="s">
        <v>12</v>
      </c>
      <c r="C6" t="s">
        <v>15</v>
      </c>
      <c r="D6" t="s">
        <v>8</v>
      </c>
      <c r="E6" t="s">
        <v>22</v>
      </c>
      <c r="F6" t="s">
        <v>6</v>
      </c>
      <c r="G6" t="s">
        <v>30</v>
      </c>
      <c r="H6" t="s">
        <v>32</v>
      </c>
      <c r="I6" t="s">
        <v>25</v>
      </c>
      <c r="J6" t="s">
        <v>17</v>
      </c>
      <c r="K6" t="s">
        <v>21</v>
      </c>
      <c r="L6" t="s">
        <v>31</v>
      </c>
      <c r="M6" t="s">
        <v>37</v>
      </c>
      <c r="N6" t="s">
        <v>6</v>
      </c>
      <c r="O6" t="s">
        <v>25</v>
      </c>
      <c r="P6" t="s">
        <v>1</v>
      </c>
      <c r="Q6" t="s">
        <v>14</v>
      </c>
      <c r="R6" t="s">
        <v>8</v>
      </c>
      <c r="S6" t="s">
        <v>7</v>
      </c>
      <c r="T6" t="s">
        <v>35</v>
      </c>
      <c r="U6" t="s">
        <v>15</v>
      </c>
      <c r="V6" t="s">
        <v>3</v>
      </c>
      <c r="W6" t="s">
        <v>6</v>
      </c>
      <c r="X6" t="s">
        <v>63</v>
      </c>
      <c r="Y6" t="s">
        <v>25</v>
      </c>
      <c r="Z6" t="s">
        <v>6</v>
      </c>
      <c r="AA6" t="s">
        <v>81</v>
      </c>
      <c r="AB6" t="s">
        <v>14</v>
      </c>
      <c r="AC6" t="s">
        <v>79</v>
      </c>
      <c r="AD6" t="s">
        <v>1</v>
      </c>
      <c r="AE6" t="s">
        <v>79</v>
      </c>
      <c r="AF6" t="s">
        <v>22</v>
      </c>
      <c r="AG6" t="s">
        <v>24</v>
      </c>
      <c r="AH6" t="s">
        <v>24</v>
      </c>
      <c r="AI6" t="s">
        <v>32</v>
      </c>
      <c r="AJ6" t="s">
        <v>51</v>
      </c>
    </row>
    <row r="7" spans="1:39" x14ac:dyDescent="0.35">
      <c r="A7" t="s">
        <v>5</v>
      </c>
      <c r="B7" t="s">
        <v>0</v>
      </c>
      <c r="C7" t="s">
        <v>16</v>
      </c>
      <c r="D7" t="s">
        <v>19</v>
      </c>
      <c r="E7" t="s">
        <v>3</v>
      </c>
      <c r="F7" t="s">
        <v>3</v>
      </c>
      <c r="G7" t="s">
        <v>31</v>
      </c>
      <c r="H7" t="s">
        <v>8</v>
      </c>
      <c r="I7" t="s">
        <v>8</v>
      </c>
      <c r="J7" t="s">
        <v>3</v>
      </c>
      <c r="K7" t="s">
        <v>6</v>
      </c>
      <c r="L7" t="s">
        <v>25</v>
      </c>
      <c r="M7" t="s">
        <v>6</v>
      </c>
      <c r="N7" t="s">
        <v>28</v>
      </c>
      <c r="O7" t="s">
        <v>29</v>
      </c>
      <c r="P7" t="s">
        <v>6</v>
      </c>
      <c r="Q7" t="s">
        <v>13</v>
      </c>
      <c r="R7" t="s">
        <v>6</v>
      </c>
      <c r="S7" t="s">
        <v>25</v>
      </c>
      <c r="T7" t="s">
        <v>16</v>
      </c>
      <c r="U7" t="s">
        <v>6</v>
      </c>
      <c r="V7" t="s">
        <v>51</v>
      </c>
      <c r="W7" t="s">
        <v>3</v>
      </c>
      <c r="X7" t="s">
        <v>10</v>
      </c>
      <c r="Y7" t="s">
        <v>20</v>
      </c>
      <c r="Z7" t="s">
        <v>34</v>
      </c>
      <c r="AA7" t="s">
        <v>17</v>
      </c>
      <c r="AB7" t="s">
        <v>14</v>
      </c>
      <c r="AC7" t="s">
        <v>21</v>
      </c>
      <c r="AD7" t="s">
        <v>24</v>
      </c>
      <c r="AE7" t="s">
        <v>24</v>
      </c>
      <c r="AF7" t="s">
        <v>105</v>
      </c>
      <c r="AG7" t="s">
        <v>51</v>
      </c>
      <c r="AH7" t="s">
        <v>104</v>
      </c>
      <c r="AI7" t="s">
        <v>99</v>
      </c>
      <c r="AJ7" t="s">
        <v>36</v>
      </c>
    </row>
    <row r="8" spans="1:39" x14ac:dyDescent="0.35">
      <c r="A8" t="s">
        <v>6</v>
      </c>
      <c r="B8" t="s">
        <v>13</v>
      </c>
      <c r="C8" t="s">
        <v>6</v>
      </c>
      <c r="D8" t="s">
        <v>6</v>
      </c>
      <c r="E8" t="s">
        <v>23</v>
      </c>
      <c r="F8" t="s">
        <v>1</v>
      </c>
      <c r="G8" t="s">
        <v>1</v>
      </c>
      <c r="H8" t="s">
        <v>33</v>
      </c>
      <c r="I8" t="s">
        <v>13</v>
      </c>
      <c r="J8" t="s">
        <v>36</v>
      </c>
      <c r="K8" t="s">
        <v>29</v>
      </c>
      <c r="L8" t="s">
        <v>0</v>
      </c>
      <c r="M8" t="s">
        <v>49</v>
      </c>
      <c r="N8" t="s">
        <v>15</v>
      </c>
      <c r="O8" t="s">
        <v>27</v>
      </c>
      <c r="P8" t="s">
        <v>13</v>
      </c>
      <c r="Q8" t="s">
        <v>57</v>
      </c>
      <c r="R8" t="s">
        <v>14</v>
      </c>
      <c r="S8" t="s">
        <v>6</v>
      </c>
      <c r="T8" t="s">
        <v>6</v>
      </c>
      <c r="U8" t="s">
        <v>29</v>
      </c>
      <c r="V8" t="s">
        <v>35</v>
      </c>
      <c r="W8" t="s">
        <v>25</v>
      </c>
      <c r="X8" t="s">
        <v>49</v>
      </c>
      <c r="Y8" t="s">
        <v>6</v>
      </c>
      <c r="Z8" t="s">
        <v>14</v>
      </c>
      <c r="AA8" t="s">
        <v>86</v>
      </c>
      <c r="AB8" t="s">
        <v>10</v>
      </c>
      <c r="AC8" t="s">
        <v>89</v>
      </c>
      <c r="AD8" t="s">
        <v>17</v>
      </c>
      <c r="AE8" t="s">
        <v>8</v>
      </c>
      <c r="AF8" t="s">
        <v>51</v>
      </c>
      <c r="AG8" t="s">
        <v>33</v>
      </c>
      <c r="AH8" t="s">
        <v>51</v>
      </c>
      <c r="AI8" t="s">
        <v>82</v>
      </c>
      <c r="AJ8" t="s">
        <v>104</v>
      </c>
    </row>
    <row r="9" spans="1:39" x14ac:dyDescent="0.35">
      <c r="A9" t="s">
        <v>7</v>
      </c>
      <c r="B9" t="s">
        <v>2</v>
      </c>
      <c r="C9" t="s">
        <v>17</v>
      </c>
      <c r="D9" t="s">
        <v>20</v>
      </c>
      <c r="E9" t="s">
        <v>24</v>
      </c>
      <c r="F9" t="s">
        <v>25</v>
      </c>
      <c r="G9" t="s">
        <v>6</v>
      </c>
      <c r="H9" t="s">
        <v>13</v>
      </c>
      <c r="I9" t="s">
        <v>15</v>
      </c>
      <c r="J9" t="s">
        <v>29</v>
      </c>
      <c r="K9" t="s">
        <v>3</v>
      </c>
      <c r="L9" t="s">
        <v>8</v>
      </c>
      <c r="M9" t="s">
        <v>50</v>
      </c>
      <c r="N9" t="s">
        <v>37</v>
      </c>
      <c r="O9" t="s">
        <v>32</v>
      </c>
      <c r="P9" t="s">
        <v>37</v>
      </c>
      <c r="Q9" t="s">
        <v>15</v>
      </c>
      <c r="R9" t="s">
        <v>14</v>
      </c>
      <c r="S9" t="s">
        <v>22</v>
      </c>
      <c r="T9" t="s">
        <v>27</v>
      </c>
      <c r="U9" t="s">
        <v>10</v>
      </c>
      <c r="V9" t="s">
        <v>14</v>
      </c>
      <c r="W9" t="s">
        <v>27</v>
      </c>
      <c r="X9" t="s">
        <v>8</v>
      </c>
      <c r="Y9" t="s">
        <v>51</v>
      </c>
      <c r="Z9" t="s">
        <v>20</v>
      </c>
      <c r="AA9" t="s">
        <v>12</v>
      </c>
      <c r="AB9" t="s">
        <v>79</v>
      </c>
      <c r="AC9" t="s">
        <v>51</v>
      </c>
      <c r="AD9" t="s">
        <v>20</v>
      </c>
      <c r="AE9" t="s">
        <v>12</v>
      </c>
      <c r="AF9" t="s">
        <v>80</v>
      </c>
      <c r="AG9" t="s">
        <v>27</v>
      </c>
      <c r="AH9" t="s">
        <v>110</v>
      </c>
      <c r="AI9" t="s">
        <v>8</v>
      </c>
      <c r="AJ9" t="s">
        <v>99</v>
      </c>
    </row>
    <row r="12" spans="1:39" x14ac:dyDescent="0.35">
      <c r="A12" s="1">
        <v>45094</v>
      </c>
      <c r="B12" s="1">
        <v>45099</v>
      </c>
      <c r="C12" s="1">
        <v>45101</v>
      </c>
      <c r="D12" s="1">
        <v>45106</v>
      </c>
      <c r="E12" s="1">
        <v>45108</v>
      </c>
      <c r="F12" s="1">
        <v>45115</v>
      </c>
      <c r="G12" s="1">
        <v>45115</v>
      </c>
      <c r="H12" s="1">
        <v>45115</v>
      </c>
      <c r="I12" s="1">
        <v>45115</v>
      </c>
      <c r="J12" s="1">
        <v>45115</v>
      </c>
      <c r="K12" s="1">
        <v>45120</v>
      </c>
      <c r="L12" s="1">
        <v>45120</v>
      </c>
      <c r="M12" s="1">
        <v>45134</v>
      </c>
      <c r="N12" s="1">
        <v>45134</v>
      </c>
      <c r="O12" s="1">
        <v>45136</v>
      </c>
      <c r="P12" s="1">
        <v>45136</v>
      </c>
      <c r="Q12" s="1">
        <v>45141</v>
      </c>
      <c r="R12" s="1">
        <v>45148</v>
      </c>
      <c r="S12" s="1">
        <v>45148</v>
      </c>
      <c r="T12" s="1">
        <v>45148</v>
      </c>
      <c r="U12" s="1">
        <v>45150</v>
      </c>
      <c r="V12" s="1">
        <v>45150</v>
      </c>
      <c r="W12" s="1">
        <v>45162</v>
      </c>
      <c r="X12" s="1">
        <v>45169</v>
      </c>
      <c r="Y12" s="1">
        <v>45176</v>
      </c>
      <c r="Z12" s="1">
        <v>45183</v>
      </c>
      <c r="AA12" s="1">
        <v>45185</v>
      </c>
      <c r="AB12" s="1">
        <v>45185</v>
      </c>
      <c r="AC12" s="1">
        <v>45197</v>
      </c>
      <c r="AD12" s="1">
        <v>45199</v>
      </c>
      <c r="AE12" s="1">
        <v>45204</v>
      </c>
      <c r="AF12" s="1">
        <v>45205</v>
      </c>
      <c r="AG12" s="1">
        <v>45205</v>
      </c>
      <c r="AH12" s="1">
        <v>45205</v>
      </c>
      <c r="AI12" s="1">
        <v>45206</v>
      </c>
      <c r="AJ12" s="1">
        <v>45206</v>
      </c>
      <c r="AK12" s="1">
        <v>45206</v>
      </c>
      <c r="AL12" s="1">
        <v>45206</v>
      </c>
      <c r="AM12" s="1">
        <v>45206</v>
      </c>
    </row>
    <row r="13" spans="1:39" x14ac:dyDescent="0.35">
      <c r="A13" t="s">
        <v>112</v>
      </c>
      <c r="B13" t="s">
        <v>15</v>
      </c>
      <c r="C13" t="s">
        <v>112</v>
      </c>
      <c r="D13" t="s">
        <v>117</v>
      </c>
      <c r="E13" t="s">
        <v>15</v>
      </c>
      <c r="F13" t="s">
        <v>22</v>
      </c>
      <c r="G13" t="s">
        <v>15</v>
      </c>
      <c r="H13" t="s">
        <v>25</v>
      </c>
      <c r="I13" t="s">
        <v>25</v>
      </c>
      <c r="J13" t="s">
        <v>35</v>
      </c>
      <c r="K13" t="s">
        <v>15</v>
      </c>
      <c r="L13" t="s">
        <v>104</v>
      </c>
      <c r="M13" t="s">
        <v>8</v>
      </c>
      <c r="N13" t="s">
        <v>128</v>
      </c>
      <c r="O13" t="s">
        <v>22</v>
      </c>
      <c r="P13" t="s">
        <v>15</v>
      </c>
      <c r="Q13" t="s">
        <v>6</v>
      </c>
      <c r="R13" t="s">
        <v>121</v>
      </c>
      <c r="S13" t="s">
        <v>35</v>
      </c>
      <c r="T13" t="s">
        <v>35</v>
      </c>
      <c r="U13" t="s">
        <v>22</v>
      </c>
      <c r="V13" t="s">
        <v>22</v>
      </c>
      <c r="W13" t="s">
        <v>129</v>
      </c>
      <c r="X13" t="s">
        <v>22</v>
      </c>
      <c r="Y13" t="s">
        <v>129</v>
      </c>
      <c r="Z13" t="s">
        <v>35</v>
      </c>
      <c r="AA13" t="s">
        <v>141</v>
      </c>
      <c r="AB13" t="s">
        <v>135</v>
      </c>
      <c r="AC13" t="s">
        <v>49</v>
      </c>
      <c r="AD13" t="s">
        <v>128</v>
      </c>
      <c r="AE13" t="s">
        <v>20</v>
      </c>
      <c r="AF13" t="s">
        <v>22</v>
      </c>
      <c r="AG13" t="s">
        <v>121</v>
      </c>
      <c r="AH13" t="s">
        <v>1</v>
      </c>
      <c r="AI13" t="s">
        <v>128</v>
      </c>
      <c r="AJ13" t="s">
        <v>112</v>
      </c>
      <c r="AK13" t="s">
        <v>0</v>
      </c>
      <c r="AL13" t="s">
        <v>128</v>
      </c>
      <c r="AM13" t="s">
        <v>2</v>
      </c>
    </row>
    <row r="14" spans="1:39" x14ac:dyDescent="0.35">
      <c r="A14" t="s">
        <v>113</v>
      </c>
      <c r="B14" t="s">
        <v>14</v>
      </c>
      <c r="C14" t="s">
        <v>37</v>
      </c>
      <c r="D14" t="s">
        <v>15</v>
      </c>
      <c r="E14" t="s">
        <v>8</v>
      </c>
      <c r="F14" t="s">
        <v>119</v>
      </c>
      <c r="G14" t="s">
        <v>22</v>
      </c>
      <c r="H14" t="s">
        <v>99</v>
      </c>
      <c r="I14" t="s">
        <v>27</v>
      </c>
      <c r="J14" t="s">
        <v>37</v>
      </c>
      <c r="K14" t="s">
        <v>104</v>
      </c>
      <c r="L14" t="s">
        <v>63</v>
      </c>
      <c r="M14" t="s">
        <v>25</v>
      </c>
      <c r="N14" t="s">
        <v>104</v>
      </c>
      <c r="O14" t="s">
        <v>10</v>
      </c>
      <c r="P14" t="s">
        <v>8</v>
      </c>
      <c r="Q14" t="s">
        <v>113</v>
      </c>
      <c r="R14" t="s">
        <v>35</v>
      </c>
      <c r="S14" t="s">
        <v>22</v>
      </c>
      <c r="T14" t="s">
        <v>125</v>
      </c>
      <c r="U14" t="s">
        <v>128</v>
      </c>
      <c r="V14" t="s">
        <v>128</v>
      </c>
      <c r="W14" t="s">
        <v>147</v>
      </c>
      <c r="X14" t="s">
        <v>115</v>
      </c>
      <c r="Y14" t="s">
        <v>27</v>
      </c>
      <c r="Z14" t="s">
        <v>22</v>
      </c>
      <c r="AA14" t="s">
        <v>22</v>
      </c>
      <c r="AB14" t="s">
        <v>128</v>
      </c>
      <c r="AC14" t="s">
        <v>35</v>
      </c>
      <c r="AD14" t="s">
        <v>148</v>
      </c>
      <c r="AE14" t="s">
        <v>33</v>
      </c>
      <c r="AF14" t="s">
        <v>148</v>
      </c>
      <c r="AG14" t="s">
        <v>27</v>
      </c>
      <c r="AH14" t="s">
        <v>3</v>
      </c>
      <c r="AI14" t="s">
        <v>173</v>
      </c>
      <c r="AJ14" t="s">
        <v>0</v>
      </c>
      <c r="AK14" t="s">
        <v>121</v>
      </c>
      <c r="AL14" t="s">
        <v>29</v>
      </c>
      <c r="AM14" t="s">
        <v>121</v>
      </c>
    </row>
    <row r="15" spans="1:39" x14ac:dyDescent="0.35">
      <c r="A15" t="s">
        <v>110</v>
      </c>
      <c r="B15" t="s">
        <v>10</v>
      </c>
      <c r="C15" t="s">
        <v>22</v>
      </c>
      <c r="D15" t="s">
        <v>14</v>
      </c>
      <c r="E15" t="s">
        <v>79</v>
      </c>
      <c r="F15" t="s">
        <v>121</v>
      </c>
      <c r="G15" t="s">
        <v>23</v>
      </c>
      <c r="H15" t="s">
        <v>52</v>
      </c>
      <c r="I15" t="s">
        <v>8</v>
      </c>
      <c r="J15" t="s">
        <v>22</v>
      </c>
      <c r="K15" t="s">
        <v>117</v>
      </c>
      <c r="L15" t="s">
        <v>15</v>
      </c>
      <c r="M15" t="s">
        <v>104</v>
      </c>
      <c r="N15" t="s">
        <v>129</v>
      </c>
      <c r="O15" t="s">
        <v>122</v>
      </c>
      <c r="P15" t="s">
        <v>32</v>
      </c>
      <c r="Q15" t="s">
        <v>15</v>
      </c>
      <c r="R15" t="s">
        <v>0</v>
      </c>
      <c r="S15" t="s">
        <v>0</v>
      </c>
      <c r="T15" t="s">
        <v>22</v>
      </c>
      <c r="U15" t="s">
        <v>139</v>
      </c>
      <c r="V15" t="s">
        <v>141</v>
      </c>
      <c r="W15" t="s">
        <v>22</v>
      </c>
      <c r="X15" t="s">
        <v>128</v>
      </c>
      <c r="Y15" t="s">
        <v>22</v>
      </c>
      <c r="Z15" t="s">
        <v>78</v>
      </c>
      <c r="AA15" t="s">
        <v>121</v>
      </c>
      <c r="AB15" t="s">
        <v>147</v>
      </c>
      <c r="AC15" t="s">
        <v>24</v>
      </c>
      <c r="AD15" t="s">
        <v>121</v>
      </c>
      <c r="AE15" t="s">
        <v>129</v>
      </c>
      <c r="AF15" t="s">
        <v>0</v>
      </c>
      <c r="AG15" t="s">
        <v>122</v>
      </c>
      <c r="AH15" t="s">
        <v>16</v>
      </c>
      <c r="AI15" t="s">
        <v>22</v>
      </c>
      <c r="AJ15" t="s">
        <v>6</v>
      </c>
      <c r="AK15" t="s">
        <v>22</v>
      </c>
      <c r="AL15" t="s">
        <v>22</v>
      </c>
      <c r="AM15" t="s">
        <v>78</v>
      </c>
    </row>
    <row r="16" spans="1:39" x14ac:dyDescent="0.35">
      <c r="A16" t="s">
        <v>36</v>
      </c>
      <c r="B16" t="s">
        <v>116</v>
      </c>
      <c r="C16" t="s">
        <v>79</v>
      </c>
      <c r="D16" t="s">
        <v>87</v>
      </c>
      <c r="E16" t="s">
        <v>104</v>
      </c>
      <c r="F16" t="s">
        <v>8</v>
      </c>
      <c r="G16" t="s">
        <v>15</v>
      </c>
      <c r="H16" t="s">
        <v>23</v>
      </c>
      <c r="I16" t="s">
        <v>23</v>
      </c>
      <c r="J16" t="s">
        <v>10</v>
      </c>
      <c r="K16" t="s">
        <v>125</v>
      </c>
      <c r="L16" t="s">
        <v>30</v>
      </c>
      <c r="M16" t="s">
        <v>14</v>
      </c>
      <c r="N16" t="s">
        <v>20</v>
      </c>
      <c r="O16" t="s">
        <v>25</v>
      </c>
      <c r="P16" t="s">
        <v>1</v>
      </c>
      <c r="Q16" t="s">
        <v>135</v>
      </c>
      <c r="R16" t="s">
        <v>22</v>
      </c>
      <c r="S16" t="s">
        <v>115</v>
      </c>
      <c r="T16" t="s">
        <v>25</v>
      </c>
      <c r="U16" t="s">
        <v>26</v>
      </c>
      <c r="V16" t="s">
        <v>22</v>
      </c>
      <c r="W16" t="s">
        <v>8</v>
      </c>
      <c r="X16" t="s">
        <v>20</v>
      </c>
      <c r="Y16" t="s">
        <v>18</v>
      </c>
      <c r="Z16" t="s">
        <v>15</v>
      </c>
      <c r="AA16" t="s">
        <v>129</v>
      </c>
      <c r="AB16" t="s">
        <v>15</v>
      </c>
      <c r="AC16" t="s">
        <v>128</v>
      </c>
      <c r="AD16" t="s">
        <v>5</v>
      </c>
      <c r="AE16" t="s">
        <v>121</v>
      </c>
      <c r="AF16" t="s">
        <v>50</v>
      </c>
      <c r="AG16" t="s">
        <v>129</v>
      </c>
      <c r="AH16" t="s">
        <v>24</v>
      </c>
      <c r="AI16" t="s">
        <v>35</v>
      </c>
      <c r="AJ16" t="s">
        <v>51</v>
      </c>
      <c r="AK16" t="s">
        <v>2</v>
      </c>
      <c r="AL16" t="s">
        <v>21</v>
      </c>
      <c r="AM16" t="s">
        <v>139</v>
      </c>
    </row>
    <row r="17" spans="1:39" x14ac:dyDescent="0.35">
      <c r="A17" t="s">
        <v>115</v>
      </c>
      <c r="B17" t="s">
        <v>8</v>
      </c>
      <c r="C17" t="s">
        <v>1</v>
      </c>
      <c r="D17" t="s">
        <v>116</v>
      </c>
      <c r="E17" t="s">
        <v>119</v>
      </c>
      <c r="F17" t="s">
        <v>122</v>
      </c>
      <c r="G17" t="s">
        <v>79</v>
      </c>
      <c r="H17" t="s">
        <v>10</v>
      </c>
      <c r="I17" t="s">
        <v>123</v>
      </c>
      <c r="J17" t="s">
        <v>113</v>
      </c>
      <c r="K17" t="s">
        <v>10</v>
      </c>
      <c r="L17" t="s">
        <v>10</v>
      </c>
      <c r="M17" t="s">
        <v>116</v>
      </c>
      <c r="N17" t="s">
        <v>116</v>
      </c>
      <c r="O17" t="s">
        <v>89</v>
      </c>
      <c r="P17" t="s">
        <v>30</v>
      </c>
      <c r="Q17" t="s">
        <v>10</v>
      </c>
      <c r="R17" t="s">
        <v>15</v>
      </c>
      <c r="S17" t="s">
        <v>137</v>
      </c>
      <c r="T17" t="s">
        <v>137</v>
      </c>
      <c r="U17" t="s">
        <v>15</v>
      </c>
      <c r="V17" t="s">
        <v>0</v>
      </c>
      <c r="W17" t="s">
        <v>25</v>
      </c>
      <c r="X17" t="s">
        <v>117</v>
      </c>
      <c r="Y17" t="s">
        <v>35</v>
      </c>
      <c r="Z17" t="s">
        <v>25</v>
      </c>
      <c r="AA17" t="s">
        <v>148</v>
      </c>
      <c r="AB17" t="s">
        <v>21</v>
      </c>
      <c r="AC17" t="s">
        <v>105</v>
      </c>
      <c r="AD17" t="s">
        <v>147</v>
      </c>
      <c r="AE17" t="s">
        <v>22</v>
      </c>
      <c r="AF17" t="s">
        <v>80</v>
      </c>
      <c r="AG17" t="s">
        <v>32</v>
      </c>
      <c r="AH17" t="s">
        <v>5</v>
      </c>
      <c r="AI17" t="s">
        <v>129</v>
      </c>
      <c r="AJ17" t="s">
        <v>22</v>
      </c>
      <c r="AK17" t="s">
        <v>51</v>
      </c>
      <c r="AL17" t="s">
        <v>35</v>
      </c>
      <c r="AM17" t="s">
        <v>1</v>
      </c>
    </row>
    <row r="18" spans="1:39" x14ac:dyDescent="0.35">
      <c r="A18" t="s">
        <v>15</v>
      </c>
      <c r="B18" t="s">
        <v>99</v>
      </c>
      <c r="C18" t="s">
        <v>3</v>
      </c>
      <c r="D18" t="s">
        <v>104</v>
      </c>
      <c r="E18" t="s">
        <v>37</v>
      </c>
      <c r="F18" t="s">
        <v>123</v>
      </c>
      <c r="G18" t="s">
        <v>37</v>
      </c>
      <c r="H18" t="s">
        <v>37</v>
      </c>
      <c r="I18" t="s">
        <v>34</v>
      </c>
      <c r="J18" t="s">
        <v>99</v>
      </c>
      <c r="K18" t="s">
        <v>81</v>
      </c>
      <c r="L18" t="s">
        <v>14</v>
      </c>
      <c r="M18" t="s">
        <v>22</v>
      </c>
      <c r="N18" t="s">
        <v>25</v>
      </c>
      <c r="O18" t="s">
        <v>15</v>
      </c>
      <c r="P18" t="s">
        <v>124</v>
      </c>
      <c r="Q18" t="s">
        <v>129</v>
      </c>
      <c r="R18" t="s">
        <v>16</v>
      </c>
      <c r="S18" t="s">
        <v>25</v>
      </c>
      <c r="T18" t="s">
        <v>0</v>
      </c>
      <c r="U18" t="s">
        <v>105</v>
      </c>
      <c r="V18" t="s">
        <v>128</v>
      </c>
      <c r="W18" t="s">
        <v>148</v>
      </c>
      <c r="X18" t="s">
        <v>129</v>
      </c>
      <c r="Y18" t="s">
        <v>81</v>
      </c>
      <c r="Z18" t="s">
        <v>18</v>
      </c>
      <c r="AA18" t="s">
        <v>15</v>
      </c>
      <c r="AB18" t="s">
        <v>25</v>
      </c>
      <c r="AC18" t="s">
        <v>129</v>
      </c>
      <c r="AD18" t="s">
        <v>15</v>
      </c>
      <c r="AE18" t="s">
        <v>10</v>
      </c>
      <c r="AF18" t="s">
        <v>129</v>
      </c>
      <c r="AG18" t="s">
        <v>18</v>
      </c>
      <c r="AH18" t="s">
        <v>104</v>
      </c>
      <c r="AI18" t="s">
        <v>121</v>
      </c>
      <c r="AJ18" t="s">
        <v>173</v>
      </c>
      <c r="AK18" t="s">
        <v>24</v>
      </c>
      <c r="AL18" t="s">
        <v>34</v>
      </c>
      <c r="AM18" t="s">
        <v>124</v>
      </c>
    </row>
    <row r="19" spans="1:39" x14ac:dyDescent="0.35">
      <c r="A19" t="s">
        <v>6</v>
      </c>
      <c r="B19" t="s">
        <v>27</v>
      </c>
      <c r="C19" t="s">
        <v>8</v>
      </c>
      <c r="D19" t="s">
        <v>99</v>
      </c>
      <c r="E19" t="s">
        <v>1</v>
      </c>
      <c r="F19" t="s">
        <v>14</v>
      </c>
      <c r="G19" t="s">
        <v>10</v>
      </c>
      <c r="H19" t="s">
        <v>1</v>
      </c>
      <c r="I19" t="s">
        <v>124</v>
      </c>
      <c r="J19" t="s">
        <v>25</v>
      </c>
      <c r="K19" t="s">
        <v>30</v>
      </c>
      <c r="L19" t="s">
        <v>125</v>
      </c>
      <c r="M19" t="s">
        <v>99</v>
      </c>
      <c r="N19" t="s">
        <v>87</v>
      </c>
      <c r="O19" t="s">
        <v>8</v>
      </c>
      <c r="P19" t="s">
        <v>10</v>
      </c>
      <c r="Q19" t="s">
        <v>52</v>
      </c>
      <c r="R19" t="s">
        <v>104</v>
      </c>
      <c r="S19" t="s">
        <v>15</v>
      </c>
      <c r="T19" t="s">
        <v>15</v>
      </c>
      <c r="U19" t="s">
        <v>22</v>
      </c>
      <c r="V19" t="s">
        <v>142</v>
      </c>
      <c r="W19" t="s">
        <v>15</v>
      </c>
      <c r="X19" t="s">
        <v>8</v>
      </c>
      <c r="Y19" t="s">
        <v>15</v>
      </c>
      <c r="Z19" t="s">
        <v>33</v>
      </c>
      <c r="AA19" t="s">
        <v>135</v>
      </c>
      <c r="AB19" t="s">
        <v>32</v>
      </c>
      <c r="AC19" t="s">
        <v>22</v>
      </c>
      <c r="AD19" t="s">
        <v>137</v>
      </c>
      <c r="AE19" t="s">
        <v>15</v>
      </c>
      <c r="AF19" t="s">
        <v>121</v>
      </c>
      <c r="AG19" t="s">
        <v>0</v>
      </c>
      <c r="AH19" t="s">
        <v>35</v>
      </c>
      <c r="AI19" t="s">
        <v>24</v>
      </c>
      <c r="AJ19" t="s">
        <v>1</v>
      </c>
      <c r="AK19" t="s">
        <v>14</v>
      </c>
      <c r="AL19" t="s">
        <v>175</v>
      </c>
      <c r="AM19" t="s">
        <v>25</v>
      </c>
    </row>
    <row r="20" spans="1:39" x14ac:dyDescent="0.35">
      <c r="A20" t="s">
        <v>26</v>
      </c>
      <c r="B20" t="s">
        <v>117</v>
      </c>
      <c r="C20" t="s">
        <v>14</v>
      </c>
      <c r="D20" t="s">
        <v>49</v>
      </c>
      <c r="E20" t="s">
        <v>10</v>
      </c>
      <c r="F20" t="s">
        <v>35</v>
      </c>
      <c r="G20" t="s">
        <v>25</v>
      </c>
      <c r="H20" t="s">
        <v>15</v>
      </c>
      <c r="I20" t="s">
        <v>22</v>
      </c>
      <c r="J20" t="s">
        <v>116</v>
      </c>
      <c r="K20" t="s">
        <v>20</v>
      </c>
      <c r="L20" t="s">
        <v>25</v>
      </c>
      <c r="M20" t="s">
        <v>35</v>
      </c>
      <c r="N20" t="s">
        <v>15</v>
      </c>
      <c r="O20" t="s">
        <v>63</v>
      </c>
      <c r="P20" t="s">
        <v>22</v>
      </c>
      <c r="Q20" t="s">
        <v>104</v>
      </c>
      <c r="R20" t="s">
        <v>25</v>
      </c>
      <c r="S20" t="s">
        <v>125</v>
      </c>
      <c r="T20" t="s">
        <v>138</v>
      </c>
      <c r="U20" t="s">
        <v>140</v>
      </c>
      <c r="V20" t="s">
        <v>15</v>
      </c>
      <c r="W20" t="s">
        <v>113</v>
      </c>
      <c r="X20" t="s">
        <v>25</v>
      </c>
      <c r="Y20" t="s">
        <v>128</v>
      </c>
      <c r="Z20" t="s">
        <v>8</v>
      </c>
      <c r="AA20" t="s">
        <v>25</v>
      </c>
      <c r="AB20" t="s">
        <v>22</v>
      </c>
      <c r="AC20" t="s">
        <v>15</v>
      </c>
      <c r="AD20" t="s">
        <v>142</v>
      </c>
      <c r="AE20" t="s">
        <v>24</v>
      </c>
      <c r="AF20" t="s">
        <v>32</v>
      </c>
      <c r="AG20" t="s">
        <v>22</v>
      </c>
      <c r="AH20" t="s">
        <v>51</v>
      </c>
      <c r="AI20" t="s">
        <v>117</v>
      </c>
      <c r="AJ20" t="s">
        <v>30</v>
      </c>
      <c r="AK20" t="s">
        <v>1</v>
      </c>
      <c r="AL20" t="s">
        <v>6</v>
      </c>
      <c r="AM20" t="s">
        <v>173</v>
      </c>
    </row>
    <row r="23" spans="1:39" x14ac:dyDescent="0.35">
      <c r="A23" s="1">
        <v>45211</v>
      </c>
      <c r="B23" s="1">
        <v>45225</v>
      </c>
      <c r="C23" s="1">
        <v>45227</v>
      </c>
      <c r="D23" s="1">
        <v>45227</v>
      </c>
      <c r="E23" s="1">
        <v>45227</v>
      </c>
      <c r="F23" s="1">
        <v>45248</v>
      </c>
      <c r="G23" s="1">
        <v>45248</v>
      </c>
      <c r="H23" s="1">
        <v>45248</v>
      </c>
      <c r="I23" s="1">
        <v>45248</v>
      </c>
      <c r="J23" s="1">
        <v>45248</v>
      </c>
      <c r="K23" s="1">
        <v>45248</v>
      </c>
      <c r="O23" s="16">
        <v>45295</v>
      </c>
      <c r="P23" s="16">
        <v>45295</v>
      </c>
      <c r="Q23" s="1">
        <v>45302</v>
      </c>
      <c r="R23" s="1">
        <v>45302</v>
      </c>
      <c r="S23" s="1">
        <v>45309</v>
      </c>
      <c r="T23" s="1">
        <v>45311</v>
      </c>
      <c r="U23" s="1">
        <v>45316</v>
      </c>
      <c r="V23" s="1">
        <v>45323</v>
      </c>
      <c r="W23" s="1">
        <v>45329</v>
      </c>
      <c r="X23" s="1">
        <v>45329</v>
      </c>
      <c r="Z23" s="1">
        <v>45337</v>
      </c>
      <c r="AA23" s="1">
        <v>45337</v>
      </c>
      <c r="AB23" s="1">
        <v>45358</v>
      </c>
      <c r="AC23" s="1">
        <v>45365</v>
      </c>
      <c r="AD23" s="1">
        <v>45372</v>
      </c>
      <c r="AE23" s="1">
        <v>45372</v>
      </c>
    </row>
    <row r="24" spans="1:39" x14ac:dyDescent="0.35">
      <c r="A24" t="s">
        <v>9</v>
      </c>
      <c r="B24" t="s">
        <v>128</v>
      </c>
      <c r="C24" t="s">
        <v>128</v>
      </c>
      <c r="D24" t="s">
        <v>7</v>
      </c>
      <c r="E24" t="s">
        <v>117</v>
      </c>
      <c r="F24" t="s">
        <v>26</v>
      </c>
      <c r="G24" t="s">
        <v>129</v>
      </c>
      <c r="H24" t="s">
        <v>129</v>
      </c>
      <c r="I24" t="s">
        <v>0</v>
      </c>
      <c r="J24" t="s">
        <v>104</v>
      </c>
      <c r="K24" t="s">
        <v>129</v>
      </c>
      <c r="O24" t="s">
        <v>22</v>
      </c>
      <c r="P24" t="s">
        <v>35</v>
      </c>
      <c r="Q24" t="s">
        <v>3</v>
      </c>
      <c r="R24" t="s">
        <v>0</v>
      </c>
      <c r="S24" t="s">
        <v>35</v>
      </c>
      <c r="T24" t="s">
        <v>24</v>
      </c>
      <c r="U24" t="s">
        <v>51</v>
      </c>
      <c r="V24" t="s">
        <v>24</v>
      </c>
      <c r="W24" t="s">
        <v>128</v>
      </c>
      <c r="X24" t="s">
        <v>128</v>
      </c>
      <c r="Z24" t="s">
        <v>35</v>
      </c>
      <c r="AA24" t="s">
        <v>32</v>
      </c>
      <c r="AB24" t="s">
        <v>128</v>
      </c>
      <c r="AC24" t="s">
        <v>128</v>
      </c>
      <c r="AD24" t="s">
        <v>35</v>
      </c>
      <c r="AE24" t="s">
        <v>121</v>
      </c>
    </row>
    <row r="25" spans="1:39" x14ac:dyDescent="0.35">
      <c r="A25" t="s">
        <v>35</v>
      </c>
      <c r="B25" t="s">
        <v>6</v>
      </c>
      <c r="C25" t="s">
        <v>0</v>
      </c>
      <c r="D25" t="s">
        <v>15</v>
      </c>
      <c r="E25" t="s">
        <v>15</v>
      </c>
      <c r="F25" t="s">
        <v>35</v>
      </c>
      <c r="G25" t="s">
        <v>0</v>
      </c>
      <c r="H25" t="s">
        <v>128</v>
      </c>
      <c r="I25" t="s">
        <v>21</v>
      </c>
      <c r="J25" t="s">
        <v>148</v>
      </c>
      <c r="K25" t="s">
        <v>104</v>
      </c>
      <c r="O25" t="s">
        <v>25</v>
      </c>
      <c r="P25" t="s">
        <v>25</v>
      </c>
      <c r="Q25" t="s">
        <v>128</v>
      </c>
      <c r="R25" t="s">
        <v>232</v>
      </c>
      <c r="S25" t="s">
        <v>128</v>
      </c>
      <c r="T25" t="s">
        <v>104</v>
      </c>
      <c r="U25" t="s">
        <v>22</v>
      </c>
      <c r="V25" t="s">
        <v>128</v>
      </c>
      <c r="W25" t="s">
        <v>13</v>
      </c>
      <c r="X25" t="s">
        <v>29</v>
      </c>
      <c r="Z25" t="s">
        <v>24</v>
      </c>
      <c r="AA25" t="s">
        <v>35</v>
      </c>
      <c r="AB25" t="s">
        <v>9</v>
      </c>
      <c r="AC25" t="s">
        <v>25</v>
      </c>
      <c r="AD25" t="s">
        <v>117</v>
      </c>
      <c r="AE25" t="s">
        <v>8</v>
      </c>
    </row>
    <row r="26" spans="1:39" x14ac:dyDescent="0.35">
      <c r="A26" t="s">
        <v>25</v>
      </c>
      <c r="B26" t="s">
        <v>125</v>
      </c>
      <c r="C26" t="s">
        <v>78</v>
      </c>
      <c r="D26" t="s">
        <v>128</v>
      </c>
      <c r="E26" t="s">
        <v>128</v>
      </c>
      <c r="F26" t="s">
        <v>22</v>
      </c>
      <c r="G26" t="s">
        <v>128</v>
      </c>
      <c r="H26" t="s">
        <v>115</v>
      </c>
      <c r="I26" t="s">
        <v>22</v>
      </c>
      <c r="J26" t="s">
        <v>129</v>
      </c>
      <c r="K26" t="s">
        <v>26</v>
      </c>
      <c r="O26" t="s">
        <v>0</v>
      </c>
      <c r="P26" t="s">
        <v>28</v>
      </c>
      <c r="Q26" t="s">
        <v>232</v>
      </c>
      <c r="R26" t="s">
        <v>22</v>
      </c>
      <c r="S26" t="s">
        <v>105</v>
      </c>
      <c r="T26" t="s">
        <v>23</v>
      </c>
      <c r="U26" t="s">
        <v>13</v>
      </c>
      <c r="V26" t="s">
        <v>230</v>
      </c>
      <c r="W26" t="s">
        <v>6</v>
      </c>
      <c r="X26" t="s">
        <v>141</v>
      </c>
      <c r="Z26" t="s">
        <v>13</v>
      </c>
      <c r="AA26" t="s">
        <v>22</v>
      </c>
      <c r="AB26" t="s">
        <v>27</v>
      </c>
      <c r="AC26" t="s">
        <v>22</v>
      </c>
      <c r="AD26" t="s">
        <v>29</v>
      </c>
      <c r="AE26" t="s">
        <v>29</v>
      </c>
    </row>
    <row r="27" spans="1:39" x14ac:dyDescent="0.35">
      <c r="A27" t="s">
        <v>190</v>
      </c>
      <c r="B27" t="s">
        <v>22</v>
      </c>
      <c r="C27" t="s">
        <v>6</v>
      </c>
      <c r="D27" t="s">
        <v>117</v>
      </c>
      <c r="E27" t="s">
        <v>197</v>
      </c>
      <c r="F27" t="s">
        <v>81</v>
      </c>
      <c r="G27" t="s">
        <v>15</v>
      </c>
      <c r="H27" t="s">
        <v>23</v>
      </c>
      <c r="I27" t="s">
        <v>27</v>
      </c>
      <c r="J27" t="s">
        <v>23</v>
      </c>
      <c r="K27" t="s">
        <v>15</v>
      </c>
      <c r="O27" t="s">
        <v>14</v>
      </c>
      <c r="P27" t="s">
        <v>22</v>
      </c>
      <c r="Q27" t="s">
        <v>138</v>
      </c>
      <c r="R27" t="s">
        <v>19</v>
      </c>
      <c r="S27" t="s">
        <v>82</v>
      </c>
      <c r="T27" t="s">
        <v>148</v>
      </c>
      <c r="U27" t="s">
        <v>4</v>
      </c>
      <c r="V27" t="s">
        <v>22</v>
      </c>
      <c r="W27" t="s">
        <v>137</v>
      </c>
      <c r="X27" t="s">
        <v>24</v>
      </c>
      <c r="Z27" t="s">
        <v>6</v>
      </c>
      <c r="AA27" t="s">
        <v>135</v>
      </c>
      <c r="AB27" t="s">
        <v>22</v>
      </c>
      <c r="AC27" t="s">
        <v>4</v>
      </c>
      <c r="AD27" t="s">
        <v>24</v>
      </c>
      <c r="AE27" t="s">
        <v>35</v>
      </c>
    </row>
    <row r="28" spans="1:39" x14ac:dyDescent="0.35">
      <c r="A28" t="s">
        <v>129</v>
      </c>
      <c r="B28" t="s">
        <v>129</v>
      </c>
      <c r="C28" t="s">
        <v>22</v>
      </c>
      <c r="D28" t="s">
        <v>0</v>
      </c>
      <c r="E28" t="s">
        <v>22</v>
      </c>
      <c r="F28" t="s">
        <v>23</v>
      </c>
      <c r="G28" t="s">
        <v>56</v>
      </c>
      <c r="H28" t="s">
        <v>26</v>
      </c>
      <c r="I28" t="s">
        <v>15</v>
      </c>
      <c r="J28" t="s">
        <v>110</v>
      </c>
      <c r="K28" t="s">
        <v>115</v>
      </c>
      <c r="O28" t="s">
        <v>22</v>
      </c>
      <c r="P28" t="s">
        <v>90</v>
      </c>
      <c r="Q28" t="s">
        <v>22</v>
      </c>
      <c r="R28" t="s">
        <v>128</v>
      </c>
      <c r="S28" t="s">
        <v>0</v>
      </c>
      <c r="T28" t="s">
        <v>19</v>
      </c>
      <c r="U28" t="s">
        <v>0</v>
      </c>
      <c r="V28" t="s">
        <v>79</v>
      </c>
      <c r="W28" t="s">
        <v>22</v>
      </c>
      <c r="X28" t="s">
        <v>13</v>
      </c>
      <c r="Z28" t="s">
        <v>128</v>
      </c>
      <c r="AA28" t="s">
        <v>24</v>
      </c>
      <c r="AB28" t="s">
        <v>13</v>
      </c>
      <c r="AC28" t="s">
        <v>19</v>
      </c>
      <c r="AD28" t="s">
        <v>22</v>
      </c>
      <c r="AE28" t="s">
        <v>300</v>
      </c>
    </row>
    <row r="29" spans="1:39" x14ac:dyDescent="0.35">
      <c r="A29" t="s">
        <v>112</v>
      </c>
      <c r="B29" t="s">
        <v>20</v>
      </c>
      <c r="C29" t="s">
        <v>7</v>
      </c>
      <c r="D29" t="s">
        <v>22</v>
      </c>
      <c r="E29" t="s">
        <v>7</v>
      </c>
      <c r="F29" t="s">
        <v>129</v>
      </c>
      <c r="G29" t="s">
        <v>121</v>
      </c>
      <c r="H29" t="s">
        <v>34</v>
      </c>
      <c r="I29" t="s">
        <v>141</v>
      </c>
      <c r="J29" t="s">
        <v>115</v>
      </c>
      <c r="K29" t="s">
        <v>148</v>
      </c>
      <c r="O29" t="s">
        <v>37</v>
      </c>
      <c r="P29" t="s">
        <v>14</v>
      </c>
      <c r="Q29" t="s">
        <v>51</v>
      </c>
      <c r="R29" t="s">
        <v>271</v>
      </c>
      <c r="S29" t="s">
        <v>125</v>
      </c>
      <c r="T29" t="s">
        <v>1</v>
      </c>
      <c r="U29" t="s">
        <v>104</v>
      </c>
      <c r="V29" t="s">
        <v>141</v>
      </c>
      <c r="W29" t="s">
        <v>29</v>
      </c>
      <c r="X29" t="s">
        <v>22</v>
      </c>
      <c r="Z29" t="s">
        <v>22</v>
      </c>
      <c r="AA29" t="s">
        <v>128</v>
      </c>
      <c r="AB29" t="s">
        <v>35</v>
      </c>
      <c r="AC29" t="s">
        <v>9</v>
      </c>
      <c r="AD29" t="s">
        <v>121</v>
      </c>
      <c r="AE29" t="s">
        <v>24</v>
      </c>
    </row>
    <row r="30" spans="1:39" x14ac:dyDescent="0.35">
      <c r="A30" t="s">
        <v>22</v>
      </c>
      <c r="B30" t="s">
        <v>147</v>
      </c>
      <c r="C30" t="s">
        <v>14</v>
      </c>
      <c r="D30" t="s">
        <v>78</v>
      </c>
      <c r="E30" t="s">
        <v>82</v>
      </c>
      <c r="F30" t="s">
        <v>115</v>
      </c>
      <c r="G30" t="s">
        <v>22</v>
      </c>
      <c r="H30" t="s">
        <v>89</v>
      </c>
      <c r="I30" t="s">
        <v>129</v>
      </c>
      <c r="J30" t="s">
        <v>128</v>
      </c>
      <c r="K30" t="s">
        <v>23</v>
      </c>
      <c r="O30" t="s">
        <v>112</v>
      </c>
      <c r="P30" t="s">
        <v>32</v>
      </c>
      <c r="Q30" t="s">
        <v>0</v>
      </c>
      <c r="R30" t="s">
        <v>31</v>
      </c>
      <c r="S30" t="s">
        <v>13</v>
      </c>
      <c r="T30" t="s">
        <v>129</v>
      </c>
      <c r="U30" t="s">
        <v>129</v>
      </c>
      <c r="V30" t="s">
        <v>32</v>
      </c>
      <c r="W30" t="s">
        <v>33</v>
      </c>
      <c r="X30" t="s">
        <v>6</v>
      </c>
      <c r="Z30" t="s">
        <v>271</v>
      </c>
      <c r="AA30" t="s">
        <v>13</v>
      </c>
      <c r="AB30" t="s">
        <v>4</v>
      </c>
      <c r="AC30" t="s">
        <v>10</v>
      </c>
      <c r="AD30" t="s">
        <v>12</v>
      </c>
      <c r="AE30" t="s">
        <v>6</v>
      </c>
    </row>
    <row r="31" spans="1:39" x14ac:dyDescent="0.35">
      <c r="A31" t="s">
        <v>21</v>
      </c>
      <c r="B31" t="s">
        <v>51</v>
      </c>
      <c r="C31" t="s">
        <v>15</v>
      </c>
      <c r="D31" t="s">
        <v>6</v>
      </c>
      <c r="E31" t="s">
        <v>6</v>
      </c>
      <c r="F31" t="s">
        <v>124</v>
      </c>
      <c r="G31" t="s">
        <v>31</v>
      </c>
      <c r="H31" t="s">
        <v>22</v>
      </c>
      <c r="I31" t="s">
        <v>9</v>
      </c>
      <c r="J31" t="s">
        <v>26</v>
      </c>
      <c r="K31" t="s">
        <v>90</v>
      </c>
      <c r="O31" t="s">
        <v>4</v>
      </c>
      <c r="P31" t="s">
        <v>232</v>
      </c>
      <c r="Q31" t="s">
        <v>19</v>
      </c>
      <c r="R31" t="s">
        <v>4</v>
      </c>
      <c r="S31" t="s">
        <v>137</v>
      </c>
      <c r="T31" t="s">
        <v>5</v>
      </c>
      <c r="U31" t="s">
        <v>35</v>
      </c>
      <c r="V31" t="s">
        <v>19</v>
      </c>
      <c r="W31" t="s">
        <v>24</v>
      </c>
      <c r="X31" t="s">
        <v>33</v>
      </c>
      <c r="Z31" t="s">
        <v>90</v>
      </c>
      <c r="AA31" t="s">
        <v>105</v>
      </c>
      <c r="AB31" t="s">
        <v>6</v>
      </c>
      <c r="AC31" t="s">
        <v>104</v>
      </c>
      <c r="AD31" t="s">
        <v>6</v>
      </c>
      <c r="AE31" t="s">
        <v>22</v>
      </c>
    </row>
    <row r="33" spans="1:32" x14ac:dyDescent="0.35">
      <c r="A33" s="1">
        <v>45386</v>
      </c>
      <c r="B33" s="1">
        <v>45386</v>
      </c>
      <c r="C33" s="1">
        <v>45387</v>
      </c>
      <c r="D33" s="1">
        <v>45387</v>
      </c>
      <c r="E33" s="1">
        <v>45393</v>
      </c>
      <c r="F33" s="1">
        <v>45393</v>
      </c>
      <c r="G33" s="1">
        <v>45399</v>
      </c>
      <c r="H33" s="1">
        <v>45399</v>
      </c>
      <c r="I33" s="1">
        <v>45407</v>
      </c>
      <c r="K33" t="s">
        <v>41</v>
      </c>
      <c r="R33" s="1">
        <v>45409</v>
      </c>
      <c r="S33" s="1">
        <v>45409</v>
      </c>
      <c r="T33" s="1">
        <v>45409</v>
      </c>
      <c r="U33" s="1">
        <v>45414</v>
      </c>
      <c r="V33" s="1">
        <v>45414</v>
      </c>
      <c r="W33" s="1">
        <v>45421</v>
      </c>
      <c r="X33" s="1">
        <v>45421</v>
      </c>
      <c r="Y33" s="1">
        <v>45444</v>
      </c>
      <c r="Z33" s="1">
        <v>45444</v>
      </c>
      <c r="AA33" s="1">
        <v>45449</v>
      </c>
      <c r="AB33" s="1">
        <v>45449</v>
      </c>
      <c r="AC33" s="1">
        <v>45484</v>
      </c>
      <c r="AD33" s="1">
        <v>45498</v>
      </c>
      <c r="AE33" s="1">
        <v>45505</v>
      </c>
      <c r="AF33" s="1">
        <v>45505</v>
      </c>
    </row>
    <row r="34" spans="1:32" x14ac:dyDescent="0.35">
      <c r="A34" t="s">
        <v>128</v>
      </c>
      <c r="B34" t="s">
        <v>35</v>
      </c>
      <c r="C34" t="s">
        <v>0</v>
      </c>
      <c r="D34" t="s">
        <v>35</v>
      </c>
      <c r="E34" t="s">
        <v>121</v>
      </c>
      <c r="F34" t="s">
        <v>128</v>
      </c>
      <c r="G34" t="s">
        <v>35</v>
      </c>
      <c r="H34" t="s">
        <v>139</v>
      </c>
      <c r="I34" t="s">
        <v>121</v>
      </c>
      <c r="K34" s="18" t="s">
        <v>312</v>
      </c>
      <c r="R34" t="s">
        <v>10</v>
      </c>
      <c r="S34" t="s">
        <v>128</v>
      </c>
      <c r="T34" t="s">
        <v>22</v>
      </c>
      <c r="U34" t="s">
        <v>29</v>
      </c>
      <c r="V34" t="s">
        <v>0</v>
      </c>
      <c r="W34" t="s">
        <v>2</v>
      </c>
      <c r="X34" t="s">
        <v>22</v>
      </c>
      <c r="Y34" t="s">
        <v>2</v>
      </c>
      <c r="Z34" t="s">
        <v>128</v>
      </c>
      <c r="AA34" t="s">
        <v>361</v>
      </c>
      <c r="AB34" t="s">
        <v>22</v>
      </c>
      <c r="AC34" t="s">
        <v>35</v>
      </c>
      <c r="AD34" t="s">
        <v>30</v>
      </c>
      <c r="AE34" t="s">
        <v>24</v>
      </c>
      <c r="AF34" t="s">
        <v>15</v>
      </c>
    </row>
    <row r="35" spans="1:32" x14ac:dyDescent="0.35">
      <c r="A35" t="s">
        <v>121</v>
      </c>
      <c r="B35" t="s">
        <v>27</v>
      </c>
      <c r="C35" t="s">
        <v>35</v>
      </c>
      <c r="D35" t="s">
        <v>27</v>
      </c>
      <c r="E35" t="s">
        <v>128</v>
      </c>
      <c r="F35" t="s">
        <v>2</v>
      </c>
      <c r="G35" t="s">
        <v>24</v>
      </c>
      <c r="H35" t="s">
        <v>58</v>
      </c>
      <c r="I35" t="s">
        <v>141</v>
      </c>
      <c r="K35" s="18" t="s">
        <v>292</v>
      </c>
      <c r="R35" t="s">
        <v>197</v>
      </c>
      <c r="S35" t="s">
        <v>197</v>
      </c>
      <c r="T35" t="s">
        <v>21</v>
      </c>
      <c r="U35" t="s">
        <v>31</v>
      </c>
      <c r="V35" t="s">
        <v>36</v>
      </c>
      <c r="W35" t="s">
        <v>123</v>
      </c>
      <c r="X35" t="s">
        <v>121</v>
      </c>
      <c r="Y35" t="s">
        <v>15</v>
      </c>
      <c r="Z35" t="s">
        <v>2</v>
      </c>
      <c r="AA35" t="s">
        <v>22</v>
      </c>
      <c r="AB35" t="s">
        <v>24</v>
      </c>
      <c r="AC35" t="s">
        <v>0</v>
      </c>
      <c r="AD35" t="s">
        <v>139</v>
      </c>
      <c r="AE35" t="s">
        <v>12</v>
      </c>
      <c r="AF35" t="s">
        <v>22</v>
      </c>
    </row>
    <row r="36" spans="1:32" x14ac:dyDescent="0.35">
      <c r="A36" t="s">
        <v>116</v>
      </c>
      <c r="B36" t="s">
        <v>128</v>
      </c>
      <c r="C36" t="s">
        <v>122</v>
      </c>
      <c r="D36" t="s">
        <v>0</v>
      </c>
      <c r="E36" t="s">
        <v>2</v>
      </c>
      <c r="F36" t="s">
        <v>121</v>
      </c>
      <c r="G36" t="s">
        <v>9</v>
      </c>
      <c r="H36" t="s">
        <v>10</v>
      </c>
      <c r="I36" t="s">
        <v>138</v>
      </c>
      <c r="K36" s="18" t="s">
        <v>339</v>
      </c>
      <c r="R36" t="s">
        <v>29</v>
      </c>
      <c r="S36" t="s">
        <v>29</v>
      </c>
      <c r="T36" t="s">
        <v>128</v>
      </c>
      <c r="U36" t="s">
        <v>87</v>
      </c>
      <c r="V36" t="s">
        <v>137</v>
      </c>
      <c r="W36" t="s">
        <v>24</v>
      </c>
      <c r="X36" t="s">
        <v>175</v>
      </c>
      <c r="Y36" t="s">
        <v>128</v>
      </c>
      <c r="Z36" t="s">
        <v>24</v>
      </c>
      <c r="AA36" t="s">
        <v>24</v>
      </c>
      <c r="AB36" t="s">
        <v>121</v>
      </c>
      <c r="AC36" t="s">
        <v>139</v>
      </c>
      <c r="AD36" t="s">
        <v>15</v>
      </c>
      <c r="AE36" t="s">
        <v>51</v>
      </c>
      <c r="AF36" t="s">
        <v>30</v>
      </c>
    </row>
    <row r="37" spans="1:32" x14ac:dyDescent="0.35">
      <c r="A37" t="s">
        <v>113</v>
      </c>
      <c r="B37" t="s">
        <v>22</v>
      </c>
      <c r="C37" t="s">
        <v>50</v>
      </c>
      <c r="D37" t="s">
        <v>123</v>
      </c>
      <c r="E37" t="s">
        <v>5</v>
      </c>
      <c r="F37" t="s">
        <v>5</v>
      </c>
      <c r="G37" t="s">
        <v>139</v>
      </c>
      <c r="H37" t="s">
        <v>30</v>
      </c>
      <c r="I37" t="s">
        <v>22</v>
      </c>
      <c r="K37" s="18" t="s">
        <v>289</v>
      </c>
      <c r="R37" t="s">
        <v>22</v>
      </c>
      <c r="S37" t="s">
        <v>22</v>
      </c>
      <c r="T37" t="s">
        <v>24</v>
      </c>
      <c r="U37" t="s">
        <v>89</v>
      </c>
      <c r="V37" t="s">
        <v>29</v>
      </c>
      <c r="W37" t="s">
        <v>22</v>
      </c>
      <c r="X37" t="s">
        <v>13</v>
      </c>
      <c r="Y37" t="s">
        <v>139</v>
      </c>
      <c r="Z37" t="s">
        <v>15</v>
      </c>
      <c r="AA37" t="s">
        <v>121</v>
      </c>
      <c r="AB37" t="s">
        <v>14</v>
      </c>
      <c r="AC37" t="s">
        <v>22</v>
      </c>
      <c r="AD37" t="s">
        <v>2</v>
      </c>
      <c r="AE37" t="s">
        <v>35</v>
      </c>
      <c r="AF37" t="s">
        <v>35</v>
      </c>
    </row>
    <row r="38" spans="1:32" x14ac:dyDescent="0.35">
      <c r="A38" t="s">
        <v>28</v>
      </c>
      <c r="B38" t="s">
        <v>125</v>
      </c>
      <c r="C38" t="s">
        <v>128</v>
      </c>
      <c r="D38" t="s">
        <v>58</v>
      </c>
      <c r="E38" t="s">
        <v>13</v>
      </c>
      <c r="F38" t="s">
        <v>16</v>
      </c>
      <c r="G38" t="s">
        <v>31</v>
      </c>
      <c r="H38" t="s">
        <v>147</v>
      </c>
      <c r="I38" t="s">
        <v>29</v>
      </c>
      <c r="K38" s="18" t="s">
        <v>324</v>
      </c>
      <c r="R38" t="s">
        <v>6</v>
      </c>
      <c r="S38" t="s">
        <v>37</v>
      </c>
      <c r="T38" t="s">
        <v>135</v>
      </c>
      <c r="U38" t="s">
        <v>22</v>
      </c>
      <c r="V38" t="s">
        <v>175</v>
      </c>
      <c r="W38" t="s">
        <v>139</v>
      </c>
      <c r="X38" t="s">
        <v>139</v>
      </c>
      <c r="Y38" t="s">
        <v>24</v>
      </c>
      <c r="Z38" t="s">
        <v>22</v>
      </c>
      <c r="AA38" t="s">
        <v>14</v>
      </c>
      <c r="AB38" t="s">
        <v>112</v>
      </c>
      <c r="AC38" t="s">
        <v>14</v>
      </c>
      <c r="AD38" t="s">
        <v>14</v>
      </c>
      <c r="AE38" t="s">
        <v>22</v>
      </c>
      <c r="AF38" t="s">
        <v>24</v>
      </c>
    </row>
    <row r="39" spans="1:32" x14ac:dyDescent="0.35">
      <c r="A39" t="s">
        <v>22</v>
      </c>
      <c r="B39" t="s">
        <v>121</v>
      </c>
      <c r="C39" t="s">
        <v>140</v>
      </c>
      <c r="D39" t="s">
        <v>140</v>
      </c>
      <c r="E39" t="s">
        <v>24</v>
      </c>
      <c r="F39" t="s">
        <v>129</v>
      </c>
      <c r="G39" t="s">
        <v>121</v>
      </c>
      <c r="H39" t="s">
        <v>35</v>
      </c>
      <c r="I39" t="s">
        <v>90</v>
      </c>
      <c r="K39" s="18" t="s">
        <v>303</v>
      </c>
      <c r="R39" t="s">
        <v>0</v>
      </c>
      <c r="S39" t="s">
        <v>21</v>
      </c>
      <c r="T39" t="s">
        <v>0</v>
      </c>
      <c r="U39" t="s">
        <v>128</v>
      </c>
      <c r="V39" t="s">
        <v>10</v>
      </c>
      <c r="W39" t="s">
        <v>121</v>
      </c>
      <c r="X39" t="s">
        <v>12</v>
      </c>
      <c r="Y39" t="s">
        <v>22</v>
      </c>
      <c r="Z39" t="s">
        <v>110</v>
      </c>
      <c r="AA39" t="s">
        <v>25</v>
      </c>
      <c r="AB39" t="s">
        <v>25</v>
      </c>
      <c r="AC39" t="s">
        <v>9</v>
      </c>
      <c r="AD39" t="s">
        <v>22</v>
      </c>
      <c r="AE39" t="s">
        <v>15</v>
      </c>
      <c r="AF39" t="s">
        <v>1</v>
      </c>
    </row>
    <row r="40" spans="1:32" x14ac:dyDescent="0.35">
      <c r="A40" t="s">
        <v>31</v>
      </c>
      <c r="B40" t="s">
        <v>79</v>
      </c>
      <c r="C40" t="s">
        <v>37</v>
      </c>
      <c r="D40" t="s">
        <v>122</v>
      </c>
      <c r="E40" t="s">
        <v>79</v>
      </c>
      <c r="F40" t="s">
        <v>148</v>
      </c>
      <c r="G40" t="s">
        <v>58</v>
      </c>
      <c r="H40" t="s">
        <v>24</v>
      </c>
      <c r="I40" t="s">
        <v>15</v>
      </c>
      <c r="K40">
        <v>1</v>
      </c>
      <c r="R40" t="s">
        <v>128</v>
      </c>
      <c r="S40" t="s">
        <v>0</v>
      </c>
      <c r="T40" t="s">
        <v>30</v>
      </c>
      <c r="U40" t="s">
        <v>175</v>
      </c>
      <c r="V40" t="s">
        <v>22</v>
      </c>
      <c r="W40" t="s">
        <v>12</v>
      </c>
      <c r="X40" t="s">
        <v>24</v>
      </c>
      <c r="Y40" t="s">
        <v>104</v>
      </c>
      <c r="Z40" t="s">
        <v>29</v>
      </c>
      <c r="AA40" t="s">
        <v>33</v>
      </c>
      <c r="AB40" t="s">
        <v>361</v>
      </c>
      <c r="AC40" t="s">
        <v>15</v>
      </c>
      <c r="AD40" t="s">
        <v>0</v>
      </c>
      <c r="AE40" t="s">
        <v>1</v>
      </c>
      <c r="AF40" t="s">
        <v>6</v>
      </c>
    </row>
    <row r="41" spans="1:32" x14ac:dyDescent="0.35">
      <c r="A41" t="s">
        <v>78</v>
      </c>
      <c r="B41" t="s">
        <v>313</v>
      </c>
      <c r="C41" t="s">
        <v>35</v>
      </c>
      <c r="D41" t="s">
        <v>52</v>
      </c>
      <c r="E41" t="s">
        <v>82</v>
      </c>
      <c r="F41" t="s">
        <v>24</v>
      </c>
      <c r="G41" t="s">
        <v>56</v>
      </c>
      <c r="H41" t="s">
        <v>112</v>
      </c>
      <c r="I41" t="s">
        <v>50</v>
      </c>
      <c r="K41" s="18" t="s">
        <v>316</v>
      </c>
      <c r="R41" t="s">
        <v>3</v>
      </c>
      <c r="S41" t="s">
        <v>22</v>
      </c>
      <c r="T41" t="s">
        <v>197</v>
      </c>
      <c r="U41" t="s">
        <v>36</v>
      </c>
      <c r="V41" t="s">
        <v>89</v>
      </c>
      <c r="W41" t="s">
        <v>360</v>
      </c>
      <c r="X41" t="s">
        <v>123</v>
      </c>
      <c r="Y41" t="s">
        <v>13</v>
      </c>
      <c r="Z41" t="s">
        <v>7</v>
      </c>
      <c r="AA41" t="s">
        <v>16</v>
      </c>
      <c r="AB41" t="s">
        <v>14</v>
      </c>
      <c r="AC41" t="s">
        <v>121</v>
      </c>
      <c r="AD41" t="s">
        <v>79</v>
      </c>
      <c r="AE41" t="s">
        <v>30</v>
      </c>
      <c r="AF41" t="s">
        <v>90</v>
      </c>
    </row>
    <row r="42" spans="1:32" x14ac:dyDescent="0.35">
      <c r="K42" s="18" t="s">
        <v>268</v>
      </c>
    </row>
    <row r="43" spans="1:32" x14ac:dyDescent="0.35">
      <c r="K43" t="s">
        <v>177</v>
      </c>
    </row>
    <row r="44" spans="1:32" x14ac:dyDescent="0.35">
      <c r="K44" s="18" t="s">
        <v>355</v>
      </c>
      <c r="R44" s="1">
        <v>45540</v>
      </c>
      <c r="S44" s="1">
        <v>45542</v>
      </c>
      <c r="T44" s="1">
        <v>45542</v>
      </c>
      <c r="U44" s="1">
        <v>45542</v>
      </c>
      <c r="V44" s="1">
        <v>45542</v>
      </c>
      <c r="W44" s="1">
        <v>45542</v>
      </c>
      <c r="X44" s="1">
        <v>45542</v>
      </c>
      <c r="Y44" s="1">
        <v>45547</v>
      </c>
      <c r="Z44" s="1">
        <v>45547</v>
      </c>
      <c r="AA44" s="1">
        <v>45549</v>
      </c>
    </row>
    <row r="45" spans="1:32" x14ac:dyDescent="0.35">
      <c r="K45" s="18" t="s">
        <v>298</v>
      </c>
      <c r="R45" t="s">
        <v>63</v>
      </c>
      <c r="S45" t="s">
        <v>25</v>
      </c>
      <c r="T45" t="s">
        <v>22</v>
      </c>
      <c r="U45" t="s">
        <v>30</v>
      </c>
      <c r="V45" t="s">
        <v>10</v>
      </c>
      <c r="W45" t="s">
        <v>232</v>
      </c>
      <c r="X45" t="s">
        <v>29</v>
      </c>
      <c r="Y45" t="s">
        <v>35</v>
      </c>
      <c r="Z45" t="s">
        <v>35</v>
      </c>
      <c r="AA45" t="s">
        <v>52</v>
      </c>
    </row>
    <row r="46" spans="1:32" x14ac:dyDescent="0.35">
      <c r="K46" s="18" t="s">
        <v>293</v>
      </c>
      <c r="R46" t="s">
        <v>121</v>
      </c>
      <c r="S46" t="s">
        <v>15</v>
      </c>
      <c r="T46" t="s">
        <v>23</v>
      </c>
      <c r="U46" t="s">
        <v>33</v>
      </c>
      <c r="V46" t="s">
        <v>56</v>
      </c>
      <c r="W46" t="s">
        <v>23</v>
      </c>
      <c r="X46" t="s">
        <v>22</v>
      </c>
      <c r="Y46" t="s">
        <v>90</v>
      </c>
      <c r="Z46" t="s">
        <v>0</v>
      </c>
      <c r="AA46" t="s">
        <v>232</v>
      </c>
    </row>
    <row r="47" spans="1:32" x14ac:dyDescent="0.35">
      <c r="K47" t="s">
        <v>342</v>
      </c>
      <c r="R47" t="s">
        <v>22</v>
      </c>
      <c r="S47" t="s">
        <v>24</v>
      </c>
      <c r="T47" t="s">
        <v>81</v>
      </c>
      <c r="U47" t="s">
        <v>113</v>
      </c>
      <c r="V47" t="s">
        <v>113</v>
      </c>
      <c r="W47" t="s">
        <v>15</v>
      </c>
      <c r="X47" t="s">
        <v>104</v>
      </c>
      <c r="Y47" t="s">
        <v>63</v>
      </c>
      <c r="Z47" t="s">
        <v>90</v>
      </c>
      <c r="AA47" t="s">
        <v>123</v>
      </c>
    </row>
    <row r="48" spans="1:32" x14ac:dyDescent="0.35">
      <c r="K48" s="18" t="s">
        <v>318</v>
      </c>
      <c r="R48" t="s">
        <v>34</v>
      </c>
      <c r="S48" t="s">
        <v>7</v>
      </c>
      <c r="T48" t="s">
        <v>35</v>
      </c>
      <c r="U48" t="s">
        <v>0</v>
      </c>
      <c r="V48" t="s">
        <v>30</v>
      </c>
      <c r="W48" t="s">
        <v>6</v>
      </c>
      <c r="X48" t="s">
        <v>51</v>
      </c>
      <c r="Y48" t="s">
        <v>13</v>
      </c>
      <c r="Z48" t="s">
        <v>13</v>
      </c>
      <c r="AA48" t="s">
        <v>5</v>
      </c>
    </row>
    <row r="49" spans="11:29" x14ac:dyDescent="0.35">
      <c r="K49" s="18" t="s">
        <v>257</v>
      </c>
      <c r="R49" t="s">
        <v>23</v>
      </c>
      <c r="S49" t="s">
        <v>232</v>
      </c>
      <c r="T49" t="s">
        <v>115</v>
      </c>
      <c r="U49" t="s">
        <v>22</v>
      </c>
      <c r="V49" t="s">
        <v>22</v>
      </c>
      <c r="W49" t="s">
        <v>24</v>
      </c>
      <c r="X49" t="s">
        <v>115</v>
      </c>
      <c r="Y49" t="s">
        <v>81</v>
      </c>
      <c r="Z49" t="s">
        <v>31</v>
      </c>
      <c r="AA49" t="s">
        <v>13</v>
      </c>
    </row>
    <row r="50" spans="11:29" x14ac:dyDescent="0.35">
      <c r="K50" s="18" t="s">
        <v>295</v>
      </c>
      <c r="R50" t="s">
        <v>15</v>
      </c>
      <c r="S50" t="s">
        <v>23</v>
      </c>
      <c r="T50" t="s">
        <v>104</v>
      </c>
      <c r="U50" t="s">
        <v>2</v>
      </c>
      <c r="V50" t="s">
        <v>26</v>
      </c>
      <c r="W50" t="s">
        <v>34</v>
      </c>
      <c r="X50" t="s">
        <v>90</v>
      </c>
      <c r="Y50" t="s">
        <v>0</v>
      </c>
      <c r="Z50" t="s">
        <v>7</v>
      </c>
      <c r="AA50" t="s">
        <v>22</v>
      </c>
    </row>
    <row r="51" spans="11:29" x14ac:dyDescent="0.35">
      <c r="K51" s="18" t="s">
        <v>205</v>
      </c>
      <c r="R51" t="s">
        <v>25</v>
      </c>
      <c r="S51" t="s">
        <v>50</v>
      </c>
      <c r="T51" t="s">
        <v>90</v>
      </c>
      <c r="U51" t="s">
        <v>10</v>
      </c>
      <c r="V51" t="s">
        <v>0</v>
      </c>
      <c r="W51" t="s">
        <v>3</v>
      </c>
      <c r="X51" t="s">
        <v>23</v>
      </c>
      <c r="Y51" t="s">
        <v>31</v>
      </c>
      <c r="Z51" t="s">
        <v>28</v>
      </c>
      <c r="AA51" t="s">
        <v>15</v>
      </c>
    </row>
    <row r="52" spans="11:29" x14ac:dyDescent="0.35">
      <c r="K52" s="18" t="s">
        <v>345</v>
      </c>
      <c r="R52" t="s">
        <v>90</v>
      </c>
      <c r="S52" t="s">
        <v>34</v>
      </c>
      <c r="T52" t="s">
        <v>29</v>
      </c>
      <c r="U52" t="s">
        <v>26</v>
      </c>
      <c r="V52" t="s">
        <v>2</v>
      </c>
      <c r="W52" t="s">
        <v>25</v>
      </c>
      <c r="X52" t="s">
        <v>26</v>
      </c>
      <c r="Y52" t="s">
        <v>28</v>
      </c>
      <c r="Z52" t="s">
        <v>63</v>
      </c>
      <c r="AA52" t="s">
        <v>0</v>
      </c>
    </row>
    <row r="53" spans="11:29" x14ac:dyDescent="0.35">
      <c r="K53" t="s">
        <v>301</v>
      </c>
    </row>
    <row r="54" spans="11:29" x14ac:dyDescent="0.35">
      <c r="K54" s="18" t="s">
        <v>357</v>
      </c>
    </row>
    <row r="55" spans="11:29" x14ac:dyDescent="0.35">
      <c r="K55" s="18" t="s">
        <v>246</v>
      </c>
    </row>
    <row r="56" spans="11:29" x14ac:dyDescent="0.35">
      <c r="K56" t="s">
        <v>114</v>
      </c>
      <c r="V56" s="1">
        <v>45552</v>
      </c>
      <c r="W56" s="1">
        <v>45552</v>
      </c>
      <c r="X56" s="1">
        <v>45554</v>
      </c>
      <c r="Y56" s="1">
        <v>45554</v>
      </c>
      <c r="Z56" s="1">
        <v>45559</v>
      </c>
      <c r="AA56" s="1">
        <v>45559</v>
      </c>
      <c r="AB56" s="1">
        <v>45561</v>
      </c>
      <c r="AC56" s="1">
        <v>45561</v>
      </c>
    </row>
    <row r="57" spans="11:29" x14ac:dyDescent="0.35">
      <c r="K57" s="18" t="s">
        <v>341</v>
      </c>
      <c r="V57" t="s">
        <v>13</v>
      </c>
      <c r="W57" t="s">
        <v>35</v>
      </c>
      <c r="X57" t="s">
        <v>22</v>
      </c>
      <c r="Y57" t="s">
        <v>7</v>
      </c>
      <c r="Z57" t="s">
        <v>0</v>
      </c>
      <c r="AA57" t="s">
        <v>129</v>
      </c>
      <c r="AB57" t="s">
        <v>0</v>
      </c>
      <c r="AC57" t="s">
        <v>0</v>
      </c>
    </row>
    <row r="58" spans="11:29" x14ac:dyDescent="0.35">
      <c r="K58" s="18" t="s">
        <v>311</v>
      </c>
      <c r="V58" t="s">
        <v>35</v>
      </c>
      <c r="W58" t="s">
        <v>4</v>
      </c>
      <c r="X58" t="s">
        <v>147</v>
      </c>
      <c r="Y58" t="s">
        <v>1</v>
      </c>
      <c r="Z58" t="s">
        <v>13</v>
      </c>
      <c r="AA58" t="s">
        <v>2</v>
      </c>
      <c r="AB58" t="s">
        <v>115</v>
      </c>
      <c r="AC58" t="s">
        <v>49</v>
      </c>
    </row>
    <row r="59" spans="11:29" x14ac:dyDescent="0.35">
      <c r="K59" s="18" t="s">
        <v>302</v>
      </c>
      <c r="V59" t="s">
        <v>31</v>
      </c>
      <c r="W59" t="s">
        <v>0</v>
      </c>
      <c r="X59" t="s">
        <v>129</v>
      </c>
      <c r="Y59" t="s">
        <v>15</v>
      </c>
      <c r="Z59" t="s">
        <v>104</v>
      </c>
      <c r="AA59" t="s">
        <v>31</v>
      </c>
      <c r="AB59" t="s">
        <v>129</v>
      </c>
      <c r="AC59" t="s">
        <v>13</v>
      </c>
    </row>
    <row r="60" spans="11:29" x14ac:dyDescent="0.35">
      <c r="K60" s="18" t="s">
        <v>351</v>
      </c>
      <c r="V60" t="s">
        <v>113</v>
      </c>
      <c r="W60" t="s">
        <v>27</v>
      </c>
      <c r="X60" t="s">
        <v>8</v>
      </c>
      <c r="Y60" t="s">
        <v>22</v>
      </c>
      <c r="Z60" t="s">
        <v>122</v>
      </c>
      <c r="AA60" t="s">
        <v>104</v>
      </c>
      <c r="AB60" t="s">
        <v>13</v>
      </c>
      <c r="AC60" t="s">
        <v>116</v>
      </c>
    </row>
    <row r="61" spans="11:29" x14ac:dyDescent="0.35">
      <c r="K61" s="18" t="s">
        <v>287</v>
      </c>
      <c r="V61" t="s">
        <v>4</v>
      </c>
      <c r="W61" t="s">
        <v>29</v>
      </c>
      <c r="X61" t="s">
        <v>90</v>
      </c>
      <c r="Y61" t="s">
        <v>25</v>
      </c>
      <c r="Z61" t="s">
        <v>35</v>
      </c>
      <c r="AA61" t="s">
        <v>13</v>
      </c>
      <c r="AB61" t="s">
        <v>1</v>
      </c>
      <c r="AC61" t="s">
        <v>15</v>
      </c>
    </row>
    <row r="62" spans="11:29" x14ac:dyDescent="0.35">
      <c r="K62" s="18" t="s">
        <v>356</v>
      </c>
      <c r="V62" t="s">
        <v>25</v>
      </c>
      <c r="W62" t="s">
        <v>13</v>
      </c>
      <c r="X62" t="s">
        <v>15</v>
      </c>
      <c r="Y62" t="s">
        <v>28</v>
      </c>
      <c r="Z62" t="s">
        <v>31</v>
      </c>
      <c r="AA62" t="s">
        <v>0</v>
      </c>
      <c r="AB62" t="s">
        <v>15</v>
      </c>
      <c r="AC62" t="s">
        <v>1</v>
      </c>
    </row>
    <row r="63" spans="11:29" x14ac:dyDescent="0.35">
      <c r="K63" s="18" t="s">
        <v>327</v>
      </c>
      <c r="V63" t="s">
        <v>0</v>
      </c>
      <c r="W63" t="s">
        <v>31</v>
      </c>
      <c r="X63" t="s">
        <v>124</v>
      </c>
      <c r="Y63" t="s">
        <v>124</v>
      </c>
      <c r="Z63" t="s">
        <v>79</v>
      </c>
      <c r="AA63" t="s">
        <v>122</v>
      </c>
      <c r="AB63" t="s">
        <v>49</v>
      </c>
      <c r="AC63" t="s">
        <v>11</v>
      </c>
    </row>
    <row r="64" spans="11:29" x14ac:dyDescent="0.35">
      <c r="K64" s="18" t="s">
        <v>343</v>
      </c>
      <c r="V64" t="s">
        <v>28</v>
      </c>
      <c r="W64" t="s">
        <v>25</v>
      </c>
      <c r="X64" t="s">
        <v>25</v>
      </c>
      <c r="Y64" t="s">
        <v>90</v>
      </c>
      <c r="Z64" t="s">
        <v>129</v>
      </c>
      <c r="AA64" t="s">
        <v>24</v>
      </c>
      <c r="AB64" t="s">
        <v>24</v>
      </c>
      <c r="AC64" t="s">
        <v>24</v>
      </c>
    </row>
    <row r="65" spans="11:31" x14ac:dyDescent="0.35">
      <c r="K65" s="18" t="s">
        <v>264</v>
      </c>
    </row>
    <row r="66" spans="11:31" x14ac:dyDescent="0.35">
      <c r="K66" s="18" t="s">
        <v>294</v>
      </c>
    </row>
    <row r="67" spans="11:31" x14ac:dyDescent="0.35">
      <c r="K67" s="18" t="s">
        <v>350</v>
      </c>
      <c r="R67" s="1">
        <v>45568</v>
      </c>
      <c r="S67" s="1">
        <v>45569</v>
      </c>
      <c r="T67" s="1">
        <v>45570</v>
      </c>
      <c r="U67" s="1">
        <v>45570</v>
      </c>
      <c r="V67" s="1">
        <v>45570</v>
      </c>
      <c r="X67" s="1">
        <v>45575</v>
      </c>
      <c r="Y67" s="1">
        <v>45575</v>
      </c>
      <c r="Z67" s="1">
        <v>45580</v>
      </c>
      <c r="AA67" s="1">
        <v>45580</v>
      </c>
      <c r="AB67" s="1">
        <v>45582</v>
      </c>
      <c r="AC67" s="1">
        <v>45582</v>
      </c>
      <c r="AD67" s="1">
        <v>45587</v>
      </c>
      <c r="AE67" s="1">
        <v>45587</v>
      </c>
    </row>
    <row r="68" spans="11:31" x14ac:dyDescent="0.35">
      <c r="K68" s="18" t="s">
        <v>270</v>
      </c>
      <c r="R68" t="s">
        <v>300</v>
      </c>
      <c r="S68" t="s">
        <v>116</v>
      </c>
      <c r="T68" t="s">
        <v>3</v>
      </c>
      <c r="U68" t="s">
        <v>35</v>
      </c>
      <c r="V68" t="s">
        <v>122</v>
      </c>
      <c r="X68" t="s">
        <v>138</v>
      </c>
      <c r="Y68" t="s">
        <v>137</v>
      </c>
      <c r="Z68" t="s">
        <v>31</v>
      </c>
      <c r="AA68" t="s">
        <v>31</v>
      </c>
      <c r="AB68" t="s">
        <v>22</v>
      </c>
      <c r="AC68" t="s">
        <v>24</v>
      </c>
      <c r="AD68" t="s">
        <v>0</v>
      </c>
      <c r="AE68" t="s">
        <v>122</v>
      </c>
    </row>
    <row r="69" spans="11:31" x14ac:dyDescent="0.35">
      <c r="K69">
        <v>8</v>
      </c>
      <c r="R69" t="s">
        <v>148</v>
      </c>
      <c r="S69" t="s">
        <v>63</v>
      </c>
      <c r="T69" t="s">
        <v>9</v>
      </c>
      <c r="U69" t="s">
        <v>104</v>
      </c>
      <c r="V69" t="s">
        <v>36</v>
      </c>
      <c r="X69" t="s">
        <v>24</v>
      </c>
      <c r="Y69" t="s">
        <v>24</v>
      </c>
      <c r="Z69" t="s">
        <v>81</v>
      </c>
      <c r="AA69" t="s">
        <v>81</v>
      </c>
      <c r="AB69" t="s">
        <v>0</v>
      </c>
      <c r="AC69" t="s">
        <v>22</v>
      </c>
      <c r="AD69" t="s">
        <v>15</v>
      </c>
      <c r="AE69" t="s">
        <v>104</v>
      </c>
    </row>
    <row r="70" spans="11:31" x14ac:dyDescent="0.35">
      <c r="K70" s="18" t="s">
        <v>256</v>
      </c>
      <c r="R70" t="s">
        <v>90</v>
      </c>
      <c r="S70" t="s">
        <v>8</v>
      </c>
      <c r="T70" t="s">
        <v>230</v>
      </c>
      <c r="U70" t="s">
        <v>22</v>
      </c>
      <c r="V70" t="s">
        <v>25</v>
      </c>
      <c r="X70" t="s">
        <v>26</v>
      </c>
      <c r="Y70" t="s">
        <v>122</v>
      </c>
      <c r="Z70" t="s">
        <v>63</v>
      </c>
      <c r="AA70" t="s">
        <v>20</v>
      </c>
      <c r="AB70" t="s">
        <v>15</v>
      </c>
      <c r="AC70" t="s">
        <v>3</v>
      </c>
      <c r="AD70" t="s">
        <v>104</v>
      </c>
      <c r="AE70" t="s">
        <v>8</v>
      </c>
    </row>
    <row r="71" spans="11:31" x14ac:dyDescent="0.35">
      <c r="K71" s="18" t="s">
        <v>278</v>
      </c>
      <c r="R71" t="s">
        <v>24</v>
      </c>
      <c r="S71" t="s">
        <v>0</v>
      </c>
      <c r="T71" t="s">
        <v>34</v>
      </c>
      <c r="U71" t="s">
        <v>116</v>
      </c>
      <c r="V71" t="s">
        <v>230</v>
      </c>
      <c r="X71" t="s">
        <v>36</v>
      </c>
      <c r="Y71" t="s">
        <v>1</v>
      </c>
      <c r="Z71" t="s">
        <v>230</v>
      </c>
      <c r="AA71" t="s">
        <v>0</v>
      </c>
      <c r="AB71" t="s">
        <v>115</v>
      </c>
      <c r="AC71" t="s">
        <v>122</v>
      </c>
      <c r="AD71" t="s">
        <v>31</v>
      </c>
      <c r="AE71" t="s">
        <v>31</v>
      </c>
    </row>
    <row r="72" spans="11:31" x14ac:dyDescent="0.35">
      <c r="K72" s="18" t="s">
        <v>310</v>
      </c>
      <c r="R72" t="s">
        <v>35</v>
      </c>
      <c r="S72" t="s">
        <v>300</v>
      </c>
      <c r="T72" t="s">
        <v>4</v>
      </c>
      <c r="U72" t="s">
        <v>24</v>
      </c>
      <c r="V72" t="s">
        <v>0</v>
      </c>
      <c r="X72" t="s">
        <v>1</v>
      </c>
      <c r="Y72" t="s">
        <v>36</v>
      </c>
      <c r="Z72" t="s">
        <v>20</v>
      </c>
      <c r="AA72" t="s">
        <v>50</v>
      </c>
      <c r="AB72" t="s">
        <v>24</v>
      </c>
      <c r="AC72" t="s">
        <v>7</v>
      </c>
      <c r="AD72" t="s">
        <v>29</v>
      </c>
      <c r="AE72" t="s">
        <v>0</v>
      </c>
    </row>
    <row r="73" spans="11:31" x14ac:dyDescent="0.35">
      <c r="K73" s="18" t="s">
        <v>314</v>
      </c>
      <c r="R73" t="s">
        <v>28</v>
      </c>
      <c r="S73" t="s">
        <v>82</v>
      </c>
      <c r="T73" t="s">
        <v>20</v>
      </c>
      <c r="U73" t="s">
        <v>30</v>
      </c>
      <c r="V73" t="s">
        <v>4</v>
      </c>
      <c r="X73" t="s">
        <v>137</v>
      </c>
      <c r="Y73" t="s">
        <v>15</v>
      </c>
      <c r="Z73" t="s">
        <v>35</v>
      </c>
      <c r="AA73" t="s">
        <v>230</v>
      </c>
      <c r="AB73" t="s">
        <v>90</v>
      </c>
      <c r="AC73" t="s">
        <v>0</v>
      </c>
      <c r="AD73" t="s">
        <v>121</v>
      </c>
      <c r="AE73" t="s">
        <v>121</v>
      </c>
    </row>
    <row r="74" spans="11:31" x14ac:dyDescent="0.35">
      <c r="K74" s="18" t="s">
        <v>277</v>
      </c>
      <c r="R74" t="s">
        <v>36</v>
      </c>
      <c r="S74" t="s">
        <v>81</v>
      </c>
      <c r="T74" t="s">
        <v>0</v>
      </c>
      <c r="U74" t="s">
        <v>81</v>
      </c>
      <c r="V74" t="s">
        <v>81</v>
      </c>
      <c r="X74" t="s">
        <v>15</v>
      </c>
      <c r="Y74" t="s">
        <v>51</v>
      </c>
      <c r="Z74" t="s">
        <v>360</v>
      </c>
      <c r="AA74" t="s">
        <v>35</v>
      </c>
      <c r="AB74" t="s">
        <v>87</v>
      </c>
      <c r="AC74" t="s">
        <v>104</v>
      </c>
      <c r="AD74" t="s">
        <v>8</v>
      </c>
      <c r="AE74" t="s">
        <v>29</v>
      </c>
    </row>
    <row r="75" spans="11:31" x14ac:dyDescent="0.35">
      <c r="K75" s="18" t="s">
        <v>309</v>
      </c>
      <c r="R75" t="s">
        <v>15</v>
      </c>
      <c r="S75" t="s">
        <v>24</v>
      </c>
      <c r="T75" t="s">
        <v>14</v>
      </c>
      <c r="U75" t="s">
        <v>27</v>
      </c>
      <c r="V75" t="s">
        <v>14</v>
      </c>
      <c r="X75" t="s">
        <v>117</v>
      </c>
      <c r="Y75" t="s">
        <v>117</v>
      </c>
      <c r="Z75" t="s">
        <v>0</v>
      </c>
      <c r="AA75" t="s">
        <v>63</v>
      </c>
      <c r="AB75" t="s">
        <v>3</v>
      </c>
      <c r="AC75" t="s">
        <v>15</v>
      </c>
      <c r="AD75" t="s">
        <v>122</v>
      </c>
      <c r="AE75" t="s">
        <v>361</v>
      </c>
    </row>
    <row r="76" spans="11:31" x14ac:dyDescent="0.35">
      <c r="K76">
        <v>2</v>
      </c>
    </row>
    <row r="77" spans="11:31" x14ac:dyDescent="0.35">
      <c r="K77" t="s">
        <v>252</v>
      </c>
      <c r="R77" s="1">
        <v>45594</v>
      </c>
      <c r="S77" s="1">
        <v>45594</v>
      </c>
      <c r="T77" s="1">
        <v>45596</v>
      </c>
      <c r="U77" s="1">
        <v>45596</v>
      </c>
      <c r="W77" s="1">
        <v>45603</v>
      </c>
      <c r="X77" s="1">
        <v>45603</v>
      </c>
      <c r="Y77" s="1">
        <v>45608</v>
      </c>
      <c r="Z77" s="1">
        <v>45608</v>
      </c>
      <c r="AA77" s="1">
        <v>45610</v>
      </c>
      <c r="AB77" s="1">
        <v>45610</v>
      </c>
      <c r="AC77" s="1">
        <v>45612</v>
      </c>
      <c r="AD77" s="1">
        <v>45612</v>
      </c>
      <c r="AE77" s="1">
        <v>45612</v>
      </c>
    </row>
    <row r="78" spans="11:31" x14ac:dyDescent="0.35">
      <c r="K78" t="s">
        <v>258</v>
      </c>
      <c r="R78" t="s">
        <v>22</v>
      </c>
      <c r="S78" t="s">
        <v>237</v>
      </c>
      <c r="T78" t="s">
        <v>232</v>
      </c>
      <c r="U78" t="s">
        <v>24</v>
      </c>
      <c r="W78" t="s">
        <v>90</v>
      </c>
      <c r="X78" t="s">
        <v>147</v>
      </c>
      <c r="Y78" t="s">
        <v>125</v>
      </c>
      <c r="Z78" t="s">
        <v>148</v>
      </c>
      <c r="AA78" t="s">
        <v>22</v>
      </c>
      <c r="AB78" t="s">
        <v>29</v>
      </c>
      <c r="AC78" t="s">
        <v>2</v>
      </c>
      <c r="AD78" t="s">
        <v>15</v>
      </c>
      <c r="AE78" t="s">
        <v>148</v>
      </c>
    </row>
    <row r="79" spans="11:31" x14ac:dyDescent="0.35">
      <c r="K79" t="s">
        <v>286</v>
      </c>
      <c r="R79" t="s">
        <v>237</v>
      </c>
      <c r="S79" t="s">
        <v>22</v>
      </c>
      <c r="T79" t="s">
        <v>24</v>
      </c>
      <c r="U79" t="s">
        <v>1</v>
      </c>
      <c r="W79" t="s">
        <v>29</v>
      </c>
      <c r="X79" t="s">
        <v>22</v>
      </c>
      <c r="Y79" t="s">
        <v>122</v>
      </c>
      <c r="Z79" t="s">
        <v>10</v>
      </c>
      <c r="AA79" t="s">
        <v>2</v>
      </c>
      <c r="AB79" t="s">
        <v>24</v>
      </c>
      <c r="AC79" t="s">
        <v>21</v>
      </c>
      <c r="AD79" t="s">
        <v>29</v>
      </c>
      <c r="AE79" t="s">
        <v>29</v>
      </c>
    </row>
    <row r="80" spans="11:31" x14ac:dyDescent="0.35">
      <c r="K80" s="18" t="s">
        <v>210</v>
      </c>
      <c r="R80" t="s">
        <v>0</v>
      </c>
      <c r="S80" t="s">
        <v>122</v>
      </c>
      <c r="T80" t="s">
        <v>0</v>
      </c>
      <c r="U80" t="s">
        <v>232</v>
      </c>
      <c r="W80" t="s">
        <v>36</v>
      </c>
      <c r="X80" t="s">
        <v>29</v>
      </c>
      <c r="Y80" t="s">
        <v>22</v>
      </c>
      <c r="Z80" t="s">
        <v>125</v>
      </c>
      <c r="AA80" t="s">
        <v>129</v>
      </c>
      <c r="AB80" t="s">
        <v>122</v>
      </c>
      <c r="AC80" t="s">
        <v>121</v>
      </c>
      <c r="AD80" t="s">
        <v>24</v>
      </c>
      <c r="AE80" t="s">
        <v>22</v>
      </c>
    </row>
    <row r="81" spans="11:31" x14ac:dyDescent="0.35">
      <c r="K81" s="18" t="s">
        <v>336</v>
      </c>
      <c r="R81" t="s">
        <v>87</v>
      </c>
      <c r="S81" t="s">
        <v>87</v>
      </c>
      <c r="T81" t="s">
        <v>129</v>
      </c>
      <c r="U81" t="s">
        <v>0</v>
      </c>
      <c r="W81" t="s">
        <v>104</v>
      </c>
      <c r="X81" t="s">
        <v>122</v>
      </c>
      <c r="Y81" t="s">
        <v>35</v>
      </c>
      <c r="Z81" t="s">
        <v>35</v>
      </c>
      <c r="AA81" t="s">
        <v>125</v>
      </c>
      <c r="AB81" t="s">
        <v>125</v>
      </c>
      <c r="AC81" t="s">
        <v>0</v>
      </c>
      <c r="AD81" t="s">
        <v>148</v>
      </c>
      <c r="AE81" t="s">
        <v>125</v>
      </c>
    </row>
    <row r="82" spans="11:31" x14ac:dyDescent="0.35">
      <c r="K82" s="18" t="s">
        <v>307</v>
      </c>
      <c r="R82" t="s">
        <v>37</v>
      </c>
      <c r="S82" t="s">
        <v>81</v>
      </c>
      <c r="T82" t="s">
        <v>1</v>
      </c>
      <c r="U82" t="s">
        <v>31</v>
      </c>
      <c r="W82" t="s">
        <v>15</v>
      </c>
      <c r="X82" t="s">
        <v>31</v>
      </c>
      <c r="Y82" t="s">
        <v>147</v>
      </c>
      <c r="Z82" t="s">
        <v>105</v>
      </c>
      <c r="AA82" t="s">
        <v>128</v>
      </c>
      <c r="AB82" t="s">
        <v>129</v>
      </c>
      <c r="AC82" t="s">
        <v>148</v>
      </c>
      <c r="AD82" t="s">
        <v>125</v>
      </c>
      <c r="AE82" t="s">
        <v>35</v>
      </c>
    </row>
    <row r="83" spans="11:31" x14ac:dyDescent="0.35">
      <c r="K83" s="18" t="s">
        <v>326</v>
      </c>
      <c r="R83" t="s">
        <v>82</v>
      </c>
      <c r="S83" t="s">
        <v>15</v>
      </c>
      <c r="T83" t="s">
        <v>29</v>
      </c>
      <c r="U83" t="s">
        <v>8</v>
      </c>
      <c r="W83" t="s">
        <v>27</v>
      </c>
      <c r="X83" t="s">
        <v>13</v>
      </c>
      <c r="Y83" t="s">
        <v>105</v>
      </c>
      <c r="Z83" t="s">
        <v>122</v>
      </c>
      <c r="AA83" t="s">
        <v>15</v>
      </c>
      <c r="AB83" t="s">
        <v>15</v>
      </c>
      <c r="AC83" t="s">
        <v>81</v>
      </c>
      <c r="AD83" t="s">
        <v>22</v>
      </c>
      <c r="AE83" t="s">
        <v>24</v>
      </c>
    </row>
    <row r="84" spans="11:31" x14ac:dyDescent="0.35">
      <c r="K84" s="18" t="s">
        <v>340</v>
      </c>
      <c r="R84" t="s">
        <v>15</v>
      </c>
      <c r="S84" t="s">
        <v>82</v>
      </c>
      <c r="T84" t="s">
        <v>31</v>
      </c>
      <c r="U84" t="s">
        <v>129</v>
      </c>
      <c r="W84" t="s">
        <v>24</v>
      </c>
      <c r="X84" t="s">
        <v>24</v>
      </c>
      <c r="Y84" t="s">
        <v>33</v>
      </c>
      <c r="Z84" t="s">
        <v>31</v>
      </c>
      <c r="AA84" t="s">
        <v>99</v>
      </c>
      <c r="AB84" t="s">
        <v>99</v>
      </c>
      <c r="AC84" t="s">
        <v>52</v>
      </c>
      <c r="AD84" t="s">
        <v>35</v>
      </c>
      <c r="AE84" t="s">
        <v>15</v>
      </c>
    </row>
    <row r="85" spans="11:31" x14ac:dyDescent="0.35">
      <c r="K85" s="18" t="s">
        <v>344</v>
      </c>
      <c r="R85" t="s">
        <v>81</v>
      </c>
      <c r="S85" t="s">
        <v>0</v>
      </c>
      <c r="T85" t="s">
        <v>8</v>
      </c>
      <c r="U85" t="s">
        <v>29</v>
      </c>
      <c r="W85" t="s">
        <v>361</v>
      </c>
      <c r="X85" t="s">
        <v>15</v>
      </c>
      <c r="Y85" t="s">
        <v>31</v>
      </c>
      <c r="Z85" t="s">
        <v>22</v>
      </c>
      <c r="AA85" t="s">
        <v>24</v>
      </c>
      <c r="AB85" t="s">
        <v>11</v>
      </c>
      <c r="AC85" t="s">
        <v>22</v>
      </c>
      <c r="AD85" t="s">
        <v>110</v>
      </c>
      <c r="AE85" t="s">
        <v>110</v>
      </c>
    </row>
    <row r="86" spans="11:31" x14ac:dyDescent="0.35">
      <c r="K86" s="18" t="s">
        <v>354</v>
      </c>
    </row>
    <row r="87" spans="11:31" x14ac:dyDescent="0.35">
      <c r="K87" s="18" t="s">
        <v>332</v>
      </c>
      <c r="R87" s="34">
        <v>45612</v>
      </c>
      <c r="S87" s="1">
        <v>45612</v>
      </c>
      <c r="T87" s="34">
        <v>45612</v>
      </c>
      <c r="U87" s="1">
        <v>45615</v>
      </c>
      <c r="V87" s="1">
        <v>45615</v>
      </c>
      <c r="W87" s="1">
        <v>45622</v>
      </c>
      <c r="X87" s="1">
        <v>45622</v>
      </c>
      <c r="Y87" s="1">
        <v>45631</v>
      </c>
      <c r="Z87" s="1">
        <v>45631</v>
      </c>
      <c r="AA87" s="1">
        <v>45633</v>
      </c>
      <c r="AB87" s="1">
        <v>45633</v>
      </c>
      <c r="AC87" s="34">
        <v>45633</v>
      </c>
    </row>
    <row r="88" spans="11:31" x14ac:dyDescent="0.35">
      <c r="K88" s="18" t="s">
        <v>337</v>
      </c>
      <c r="R88" t="s">
        <v>112</v>
      </c>
      <c r="S88" t="s">
        <v>24</v>
      </c>
      <c r="T88" t="s">
        <v>15</v>
      </c>
      <c r="U88" t="s">
        <v>122</v>
      </c>
      <c r="V88" t="s">
        <v>22</v>
      </c>
      <c r="W88" t="s">
        <v>22</v>
      </c>
      <c r="X88" t="s">
        <v>0</v>
      </c>
      <c r="Y88" t="s">
        <v>35</v>
      </c>
      <c r="Z88" t="s">
        <v>9</v>
      </c>
      <c r="AA88" t="s">
        <v>128</v>
      </c>
      <c r="AB88" t="s">
        <v>24</v>
      </c>
      <c r="AC88" t="s">
        <v>58</v>
      </c>
    </row>
    <row r="89" spans="11:31" x14ac:dyDescent="0.35">
      <c r="K89" s="18" t="s">
        <v>338</v>
      </c>
      <c r="R89" t="s">
        <v>29</v>
      </c>
      <c r="S89" t="s">
        <v>110</v>
      </c>
      <c r="T89" t="s">
        <v>22</v>
      </c>
      <c r="U89" t="s">
        <v>22</v>
      </c>
      <c r="V89" t="s">
        <v>122</v>
      </c>
      <c r="W89" t="s">
        <v>35</v>
      </c>
      <c r="X89" t="s">
        <v>35</v>
      </c>
      <c r="Y89" t="s">
        <v>79</v>
      </c>
      <c r="Z89" t="s">
        <v>35</v>
      </c>
      <c r="AA89" t="s">
        <v>52</v>
      </c>
      <c r="AB89" t="s">
        <v>58</v>
      </c>
      <c r="AC89" t="s">
        <v>15</v>
      </c>
    </row>
    <row r="90" spans="11:31" x14ac:dyDescent="0.35">
      <c r="K90" s="18" t="s">
        <v>276</v>
      </c>
      <c r="R90" t="s">
        <v>90</v>
      </c>
      <c r="S90" t="s">
        <v>125</v>
      </c>
      <c r="T90" t="s">
        <v>115</v>
      </c>
      <c r="U90" t="s">
        <v>19</v>
      </c>
      <c r="V90" t="s">
        <v>121</v>
      </c>
      <c r="W90" t="s">
        <v>50</v>
      </c>
      <c r="X90" t="s">
        <v>148</v>
      </c>
      <c r="Y90" t="s">
        <v>125</v>
      </c>
      <c r="Z90" t="s">
        <v>28</v>
      </c>
      <c r="AA90" t="s">
        <v>121</v>
      </c>
      <c r="AB90" t="s">
        <v>52</v>
      </c>
      <c r="AC90" t="s">
        <v>105</v>
      </c>
    </row>
    <row r="91" spans="11:31" x14ac:dyDescent="0.35">
      <c r="K91" s="18" t="s">
        <v>317</v>
      </c>
      <c r="R91" t="s">
        <v>27</v>
      </c>
      <c r="S91" t="s">
        <v>128</v>
      </c>
      <c r="T91" t="s">
        <v>33</v>
      </c>
      <c r="U91" t="s">
        <v>121</v>
      </c>
      <c r="V91" t="s">
        <v>147</v>
      </c>
      <c r="W91" t="s">
        <v>31</v>
      </c>
      <c r="X91" t="s">
        <v>24</v>
      </c>
      <c r="Y91" t="s">
        <v>29</v>
      </c>
      <c r="Z91" t="s">
        <v>22</v>
      </c>
      <c r="AA91" t="s">
        <v>58</v>
      </c>
      <c r="AB91" t="s">
        <v>128</v>
      </c>
      <c r="AC91" t="s">
        <v>56</v>
      </c>
    </row>
    <row r="92" spans="11:31" x14ac:dyDescent="0.35">
      <c r="K92" t="s">
        <v>169</v>
      </c>
      <c r="R92" t="s">
        <v>7</v>
      </c>
      <c r="S92" t="s">
        <v>15</v>
      </c>
      <c r="T92" t="s">
        <v>129</v>
      </c>
      <c r="U92" t="s">
        <v>360</v>
      </c>
      <c r="V92" t="s">
        <v>15</v>
      </c>
      <c r="W92" t="s">
        <v>0</v>
      </c>
      <c r="X92" t="s">
        <v>22</v>
      </c>
      <c r="Y92" t="s">
        <v>15</v>
      </c>
      <c r="Z92" t="s">
        <v>232</v>
      </c>
      <c r="AA92" t="s">
        <v>113</v>
      </c>
      <c r="AB92" t="s">
        <v>121</v>
      </c>
      <c r="AC92" t="s">
        <v>36</v>
      </c>
    </row>
    <row r="93" spans="11:31" x14ac:dyDescent="0.35">
      <c r="K93" s="18" t="s">
        <v>91</v>
      </c>
      <c r="R93" t="s">
        <v>32</v>
      </c>
      <c r="S93" t="s">
        <v>0</v>
      </c>
      <c r="T93" t="s">
        <v>63</v>
      </c>
      <c r="U93" t="s">
        <v>15</v>
      </c>
      <c r="V93" t="s">
        <v>31</v>
      </c>
      <c r="W93" t="s">
        <v>27</v>
      </c>
      <c r="X93" t="s">
        <v>28</v>
      </c>
      <c r="Y93" t="s">
        <v>22</v>
      </c>
      <c r="Z93" t="s">
        <v>148</v>
      </c>
      <c r="AA93" t="s">
        <v>56</v>
      </c>
      <c r="AB93" t="s">
        <v>124</v>
      </c>
      <c r="AC93" t="s">
        <v>25</v>
      </c>
    </row>
    <row r="94" spans="11:31" x14ac:dyDescent="0.35">
      <c r="K94" s="18" t="s">
        <v>328</v>
      </c>
      <c r="R94" t="s">
        <v>3</v>
      </c>
      <c r="S94" t="s">
        <v>139</v>
      </c>
      <c r="T94" t="s">
        <v>2</v>
      </c>
      <c r="U94" t="s">
        <v>33</v>
      </c>
      <c r="V94" t="s">
        <v>33</v>
      </c>
      <c r="W94" t="s">
        <v>15</v>
      </c>
      <c r="X94" t="s">
        <v>15</v>
      </c>
      <c r="Y94" t="s">
        <v>28</v>
      </c>
      <c r="Z94" t="s">
        <v>79</v>
      </c>
      <c r="AA94" t="s">
        <v>24</v>
      </c>
      <c r="AB94" t="s">
        <v>15</v>
      </c>
      <c r="AC94" t="s">
        <v>24</v>
      </c>
    </row>
    <row r="95" spans="11:31" x14ac:dyDescent="0.35">
      <c r="K95" t="s">
        <v>319</v>
      </c>
      <c r="R95" t="s">
        <v>33</v>
      </c>
      <c r="S95" t="s">
        <v>19</v>
      </c>
      <c r="T95" t="s">
        <v>8</v>
      </c>
      <c r="U95" t="s">
        <v>31</v>
      </c>
      <c r="V95" t="s">
        <v>148</v>
      </c>
      <c r="W95" t="s">
        <v>24</v>
      </c>
      <c r="X95" t="s">
        <v>31</v>
      </c>
      <c r="Y95" t="s">
        <v>49</v>
      </c>
      <c r="Z95" t="s">
        <v>125</v>
      </c>
      <c r="AA95" t="s">
        <v>15</v>
      </c>
      <c r="AB95" t="s">
        <v>147</v>
      </c>
      <c r="AC95" t="s">
        <v>89</v>
      </c>
    </row>
    <row r="96" spans="11:31" x14ac:dyDescent="0.35">
      <c r="K96" s="18" t="s">
        <v>299</v>
      </c>
    </row>
    <row r="97" spans="11:33" x14ac:dyDescent="0.35">
      <c r="K97" s="18" t="s">
        <v>330</v>
      </c>
    </row>
    <row r="98" spans="11:33" x14ac:dyDescent="0.35">
      <c r="K98" t="s">
        <v>206</v>
      </c>
    </row>
    <row r="99" spans="11:33" x14ac:dyDescent="0.35">
      <c r="K99" s="18" t="s">
        <v>353</v>
      </c>
    </row>
    <row r="100" spans="11:33" x14ac:dyDescent="0.35">
      <c r="K100" t="s">
        <v>288</v>
      </c>
    </row>
    <row r="101" spans="11:33" x14ac:dyDescent="0.35">
      <c r="K101" t="s">
        <v>209</v>
      </c>
    </row>
    <row r="102" spans="11:33" x14ac:dyDescent="0.35">
      <c r="K102" s="18" t="s">
        <v>329</v>
      </c>
      <c r="R102" s="1">
        <v>45638</v>
      </c>
      <c r="S102" s="1">
        <v>45638</v>
      </c>
      <c r="T102" s="34">
        <v>45638</v>
      </c>
      <c r="U102" s="1">
        <v>45640</v>
      </c>
      <c r="V102" s="1">
        <v>45640</v>
      </c>
      <c r="W102" s="1">
        <v>45640</v>
      </c>
      <c r="X102" s="1">
        <v>45640</v>
      </c>
      <c r="Y102" s="1">
        <v>45640</v>
      </c>
      <c r="Z102" s="34">
        <v>45640</v>
      </c>
      <c r="AB102" s="1">
        <v>45645</v>
      </c>
      <c r="AC102" s="1">
        <v>45645</v>
      </c>
      <c r="AD102" s="34">
        <v>45645</v>
      </c>
    </row>
    <row r="103" spans="11:33" x14ac:dyDescent="0.35">
      <c r="K103" s="18" t="s">
        <v>281</v>
      </c>
      <c r="R103" t="s">
        <v>49</v>
      </c>
      <c r="S103" t="s">
        <v>15</v>
      </c>
      <c r="T103" t="s">
        <v>148</v>
      </c>
      <c r="U103" t="s">
        <v>35</v>
      </c>
      <c r="V103" t="s">
        <v>121</v>
      </c>
      <c r="W103" t="s">
        <v>15</v>
      </c>
      <c r="X103" t="s">
        <v>128</v>
      </c>
      <c r="Y103" t="s">
        <v>15</v>
      </c>
      <c r="Z103" t="s">
        <v>123</v>
      </c>
      <c r="AB103" t="s">
        <v>1</v>
      </c>
      <c r="AC103" t="s">
        <v>1</v>
      </c>
      <c r="AD103" t="s">
        <v>15</v>
      </c>
    </row>
    <row r="104" spans="11:33" x14ac:dyDescent="0.35">
      <c r="K104" s="18" t="s">
        <v>127</v>
      </c>
      <c r="R104" t="s">
        <v>24</v>
      </c>
      <c r="S104" t="s">
        <v>29</v>
      </c>
      <c r="T104" t="s">
        <v>15</v>
      </c>
      <c r="U104" t="s">
        <v>31</v>
      </c>
      <c r="V104" t="s">
        <v>22</v>
      </c>
      <c r="W104" t="s">
        <v>19</v>
      </c>
      <c r="X104" t="s">
        <v>22</v>
      </c>
      <c r="Y104" t="s">
        <v>12</v>
      </c>
      <c r="Z104" t="s">
        <v>78</v>
      </c>
      <c r="AB104" t="s">
        <v>25</v>
      </c>
      <c r="AC104" t="s">
        <v>56</v>
      </c>
      <c r="AD104" t="s">
        <v>21</v>
      </c>
    </row>
    <row r="105" spans="11:33" x14ac:dyDescent="0.35">
      <c r="K105" s="18" t="s">
        <v>199</v>
      </c>
      <c r="R105" t="s">
        <v>35</v>
      </c>
      <c r="S105" t="s">
        <v>121</v>
      </c>
      <c r="T105" t="s">
        <v>81</v>
      </c>
      <c r="U105" t="s">
        <v>15</v>
      </c>
      <c r="V105" t="s">
        <v>128</v>
      </c>
      <c r="W105" t="s">
        <v>22</v>
      </c>
      <c r="X105" t="s">
        <v>12</v>
      </c>
      <c r="Y105" t="s">
        <v>21</v>
      </c>
      <c r="Z105" t="s">
        <v>147</v>
      </c>
      <c r="AB105" t="s">
        <v>82</v>
      </c>
      <c r="AC105" t="s">
        <v>82</v>
      </c>
      <c r="AD105" t="s">
        <v>63</v>
      </c>
    </row>
    <row r="106" spans="11:33" x14ac:dyDescent="0.35">
      <c r="K106" t="s">
        <v>352</v>
      </c>
      <c r="R106" t="s">
        <v>23</v>
      </c>
      <c r="S106" t="s">
        <v>35</v>
      </c>
      <c r="T106" t="s">
        <v>113</v>
      </c>
      <c r="U106" t="s">
        <v>25</v>
      </c>
      <c r="V106" t="s">
        <v>12</v>
      </c>
      <c r="W106" t="s">
        <v>21</v>
      </c>
      <c r="X106" t="s">
        <v>58</v>
      </c>
      <c r="Y106" t="s">
        <v>31</v>
      </c>
      <c r="Z106" t="s">
        <v>82</v>
      </c>
      <c r="AB106" t="s">
        <v>34</v>
      </c>
      <c r="AC106" t="s">
        <v>79</v>
      </c>
      <c r="AD106" t="s">
        <v>139</v>
      </c>
    </row>
    <row r="107" spans="11:33" x14ac:dyDescent="0.35">
      <c r="K107" s="18" t="s">
        <v>280</v>
      </c>
      <c r="R107" t="s">
        <v>15</v>
      </c>
      <c r="S107" t="s">
        <v>31</v>
      </c>
      <c r="T107" t="s">
        <v>402</v>
      </c>
      <c r="U107" t="s">
        <v>21</v>
      </c>
      <c r="V107" t="s">
        <v>116</v>
      </c>
      <c r="W107" t="s">
        <v>25</v>
      </c>
      <c r="X107" t="s">
        <v>26</v>
      </c>
      <c r="Y107" t="s">
        <v>122</v>
      </c>
      <c r="Z107" t="s">
        <v>112</v>
      </c>
      <c r="AB107" t="s">
        <v>22</v>
      </c>
      <c r="AC107" t="s">
        <v>22</v>
      </c>
      <c r="AD107" t="s">
        <v>79</v>
      </c>
    </row>
    <row r="108" spans="11:33" x14ac:dyDescent="0.35">
      <c r="K108" s="18" t="s">
        <v>331</v>
      </c>
      <c r="R108" t="s">
        <v>121</v>
      </c>
      <c r="S108" t="s">
        <v>89</v>
      </c>
      <c r="T108" t="s">
        <v>89</v>
      </c>
      <c r="U108" t="s">
        <v>4</v>
      </c>
      <c r="V108" t="s">
        <v>230</v>
      </c>
      <c r="W108" t="s">
        <v>31</v>
      </c>
      <c r="X108" t="s">
        <v>27</v>
      </c>
      <c r="Y108" t="s">
        <v>232</v>
      </c>
      <c r="Z108" t="s">
        <v>15</v>
      </c>
      <c r="AB108" t="s">
        <v>21</v>
      </c>
      <c r="AC108" t="s">
        <v>25</v>
      </c>
      <c r="AD108" t="s">
        <v>129</v>
      </c>
    </row>
    <row r="109" spans="11:33" x14ac:dyDescent="0.35">
      <c r="K109" s="18" t="s">
        <v>308</v>
      </c>
      <c r="R109" t="s">
        <v>89</v>
      </c>
      <c r="S109" t="s">
        <v>24</v>
      </c>
      <c r="T109" t="s">
        <v>105</v>
      </c>
      <c r="U109" t="s">
        <v>49</v>
      </c>
      <c r="V109" t="s">
        <v>27</v>
      </c>
      <c r="W109" t="s">
        <v>24</v>
      </c>
      <c r="X109" t="s">
        <v>121</v>
      </c>
      <c r="Y109" t="s">
        <v>25</v>
      </c>
      <c r="Z109" t="s">
        <v>21</v>
      </c>
      <c r="AB109" t="s">
        <v>56</v>
      </c>
      <c r="AC109" t="s">
        <v>21</v>
      </c>
      <c r="AD109" t="s">
        <v>17</v>
      </c>
    </row>
    <row r="110" spans="11:33" x14ac:dyDescent="0.35">
      <c r="K110" s="18" t="s">
        <v>335</v>
      </c>
      <c r="R110" t="s">
        <v>31</v>
      </c>
      <c r="S110" t="s">
        <v>49</v>
      </c>
      <c r="T110" t="s">
        <v>147</v>
      </c>
      <c r="U110" t="s">
        <v>22</v>
      </c>
      <c r="V110" t="s">
        <v>58</v>
      </c>
      <c r="W110" t="s">
        <v>20</v>
      </c>
      <c r="X110" t="s">
        <v>403</v>
      </c>
      <c r="Y110" t="s">
        <v>113</v>
      </c>
      <c r="Z110" t="s">
        <v>237</v>
      </c>
      <c r="AB110" t="s">
        <v>79</v>
      </c>
      <c r="AC110" t="s">
        <v>34</v>
      </c>
      <c r="AD110" t="s">
        <v>361</v>
      </c>
    </row>
    <row r="111" spans="11:33" x14ac:dyDescent="0.35">
      <c r="K111" s="18" t="s">
        <v>247</v>
      </c>
    </row>
    <row r="112" spans="11:33" x14ac:dyDescent="0.35">
      <c r="K112" s="18" t="s">
        <v>315</v>
      </c>
      <c r="R112" s="1">
        <v>45659</v>
      </c>
      <c r="S112" s="1">
        <v>45659</v>
      </c>
      <c r="T112" s="1">
        <v>45659</v>
      </c>
      <c r="U112" s="1">
        <v>45659</v>
      </c>
      <c r="V112" s="1">
        <v>45666</v>
      </c>
      <c r="W112" s="1">
        <v>45666</v>
      </c>
      <c r="Y112" s="1">
        <v>45668</v>
      </c>
      <c r="Z112" s="1">
        <v>45668</v>
      </c>
      <c r="AA112" s="1">
        <v>45668</v>
      </c>
      <c r="AB112" s="1">
        <v>45668</v>
      </c>
      <c r="AC112" s="1">
        <v>45668</v>
      </c>
      <c r="AD112" s="1">
        <v>45668</v>
      </c>
      <c r="AE112" s="1">
        <v>45668</v>
      </c>
      <c r="AF112" s="34">
        <v>45668</v>
      </c>
      <c r="AG112" s="1">
        <v>45668</v>
      </c>
    </row>
    <row r="113" spans="10:33" x14ac:dyDescent="0.35">
      <c r="K113" s="18" t="s">
        <v>159</v>
      </c>
      <c r="R113" t="s">
        <v>35</v>
      </c>
      <c r="S113" t="s">
        <v>147</v>
      </c>
      <c r="T113" t="s">
        <v>21</v>
      </c>
      <c r="U113" t="s">
        <v>147</v>
      </c>
      <c r="V113" t="s">
        <v>10</v>
      </c>
      <c r="W113" t="s">
        <v>121</v>
      </c>
      <c r="Y113" t="s">
        <v>15</v>
      </c>
      <c r="Z113" t="s">
        <v>61</v>
      </c>
      <c r="AA113" t="s">
        <v>22</v>
      </c>
      <c r="AB113" t="s">
        <v>33</v>
      </c>
      <c r="AC113" t="s">
        <v>116</v>
      </c>
      <c r="AD113" t="s">
        <v>104</v>
      </c>
      <c r="AE113" t="s">
        <v>128</v>
      </c>
      <c r="AF113" s="18" t="s">
        <v>21</v>
      </c>
      <c r="AG113" t="s">
        <v>90</v>
      </c>
    </row>
    <row r="114" spans="10:33" x14ac:dyDescent="0.35">
      <c r="K114" s="18" t="s">
        <v>269</v>
      </c>
      <c r="R114" t="s">
        <v>104</v>
      </c>
      <c r="S114" t="s">
        <v>29</v>
      </c>
      <c r="T114" t="s">
        <v>3</v>
      </c>
      <c r="U114" t="s">
        <v>29</v>
      </c>
      <c r="V114" t="s">
        <v>31</v>
      </c>
      <c r="W114" t="s">
        <v>37</v>
      </c>
      <c r="Y114" t="s">
        <v>90</v>
      </c>
      <c r="Z114" t="s">
        <v>147</v>
      </c>
      <c r="AA114" t="s">
        <v>147</v>
      </c>
      <c r="AB114" t="s">
        <v>104</v>
      </c>
      <c r="AC114" t="s">
        <v>139</v>
      </c>
      <c r="AD114" t="s">
        <v>33</v>
      </c>
      <c r="AE114" t="s">
        <v>79</v>
      </c>
      <c r="AF114" t="s">
        <v>403</v>
      </c>
      <c r="AG114" t="s">
        <v>33</v>
      </c>
    </row>
    <row r="115" spans="10:33" x14ac:dyDescent="0.35">
      <c r="K115" s="18" t="s">
        <v>279</v>
      </c>
      <c r="R115" t="s">
        <v>10</v>
      </c>
      <c r="S115" t="s">
        <v>1</v>
      </c>
      <c r="T115" t="s">
        <v>122</v>
      </c>
      <c r="U115" t="s">
        <v>113</v>
      </c>
      <c r="V115" t="s">
        <v>6</v>
      </c>
      <c r="W115" t="s">
        <v>148</v>
      </c>
      <c r="Y115" t="s">
        <v>33</v>
      </c>
      <c r="Z115" t="s">
        <v>1</v>
      </c>
      <c r="AA115" t="s">
        <v>35</v>
      </c>
      <c r="AB115" t="s">
        <v>8</v>
      </c>
      <c r="AC115" t="s">
        <v>1</v>
      </c>
      <c r="AD115" t="s">
        <v>81</v>
      </c>
      <c r="AE115" t="s">
        <v>125</v>
      </c>
      <c r="AF115" t="s">
        <v>104</v>
      </c>
      <c r="AG115" t="s">
        <v>21</v>
      </c>
    </row>
    <row r="116" spans="10:33" x14ac:dyDescent="0.35">
      <c r="K116" s="18" t="s">
        <v>325</v>
      </c>
      <c r="R116" t="s">
        <v>128</v>
      </c>
      <c r="S116" t="s">
        <v>31</v>
      </c>
      <c r="T116" t="s">
        <v>104</v>
      </c>
      <c r="U116" t="s">
        <v>29</v>
      </c>
      <c r="V116" t="s">
        <v>35</v>
      </c>
      <c r="W116" t="s">
        <v>237</v>
      </c>
      <c r="Y116" t="s">
        <v>104</v>
      </c>
      <c r="Z116" t="s">
        <v>12</v>
      </c>
      <c r="AA116" t="s">
        <v>90</v>
      </c>
      <c r="AB116" t="s">
        <v>15</v>
      </c>
      <c r="AC116" t="s">
        <v>197</v>
      </c>
      <c r="AD116" t="s">
        <v>21</v>
      </c>
      <c r="AE116" t="s">
        <v>31</v>
      </c>
      <c r="AF116" t="s">
        <v>175</v>
      </c>
      <c r="AG116" t="s">
        <v>8</v>
      </c>
    </row>
    <row r="117" spans="10:33" x14ac:dyDescent="0.35">
      <c r="K117" s="18" t="s">
        <v>262</v>
      </c>
      <c r="R117" t="s">
        <v>15</v>
      </c>
      <c r="S117" t="s">
        <v>22</v>
      </c>
      <c r="T117" t="s">
        <v>29</v>
      </c>
      <c r="U117" t="s">
        <v>14</v>
      </c>
      <c r="V117" t="s">
        <v>112</v>
      </c>
      <c r="W117" t="s">
        <v>35</v>
      </c>
      <c r="Y117" t="s">
        <v>113</v>
      </c>
      <c r="Z117" t="s">
        <v>58</v>
      </c>
      <c r="AA117" t="s">
        <v>31</v>
      </c>
      <c r="AB117" t="s">
        <v>56</v>
      </c>
      <c r="AC117" t="s">
        <v>37</v>
      </c>
      <c r="AD117" t="s">
        <v>49</v>
      </c>
      <c r="AE117" t="s">
        <v>30</v>
      </c>
      <c r="AF117" t="s">
        <v>15</v>
      </c>
      <c r="AG117" t="s">
        <v>99</v>
      </c>
    </row>
    <row r="118" spans="10:33" x14ac:dyDescent="0.35">
      <c r="R118" t="s">
        <v>3</v>
      </c>
      <c r="S118" t="s">
        <v>25</v>
      </c>
      <c r="T118" t="s">
        <v>8</v>
      </c>
      <c r="U118" t="s">
        <v>25</v>
      </c>
      <c r="V118" t="s">
        <v>121</v>
      </c>
      <c r="W118" t="s">
        <v>115</v>
      </c>
      <c r="Y118" t="s">
        <v>56</v>
      </c>
      <c r="Z118" t="s">
        <v>37</v>
      </c>
      <c r="AA118" t="s">
        <v>2</v>
      </c>
      <c r="AB118" t="s">
        <v>49</v>
      </c>
      <c r="AC118" t="s">
        <v>121</v>
      </c>
      <c r="AD118" t="s">
        <v>8</v>
      </c>
      <c r="AE118" t="s">
        <v>37</v>
      </c>
      <c r="AF118" t="s">
        <v>99</v>
      </c>
      <c r="AG118" t="s">
        <v>15</v>
      </c>
    </row>
    <row r="119" spans="10:33" x14ac:dyDescent="0.35">
      <c r="R119" t="s">
        <v>21</v>
      </c>
      <c r="S119" t="s">
        <v>29</v>
      </c>
      <c r="T119" t="s">
        <v>15</v>
      </c>
      <c r="U119" t="s">
        <v>22</v>
      </c>
      <c r="V119" t="s">
        <v>21</v>
      </c>
      <c r="W119" t="s">
        <v>81</v>
      </c>
      <c r="Y119" t="s">
        <v>81</v>
      </c>
      <c r="Z119" t="s">
        <v>121</v>
      </c>
      <c r="AA119" t="s">
        <v>30</v>
      </c>
      <c r="AB119" t="s">
        <v>21</v>
      </c>
      <c r="AC119" t="s">
        <v>12</v>
      </c>
      <c r="AD119" t="s">
        <v>361</v>
      </c>
      <c r="AE119" t="s">
        <v>22</v>
      </c>
      <c r="AF119" t="s">
        <v>253</v>
      </c>
      <c r="AG119" t="s">
        <v>253</v>
      </c>
    </row>
    <row r="120" spans="10:33" x14ac:dyDescent="0.35">
      <c r="R120" t="s">
        <v>33</v>
      </c>
      <c r="S120" t="s">
        <v>313</v>
      </c>
      <c r="T120" t="s">
        <v>35</v>
      </c>
      <c r="U120" t="s">
        <v>31</v>
      </c>
      <c r="V120" t="s">
        <v>17</v>
      </c>
      <c r="W120" t="s">
        <v>31</v>
      </c>
      <c r="Y120" t="s">
        <v>21</v>
      </c>
      <c r="Z120" t="s">
        <v>139</v>
      </c>
      <c r="AA120" t="s">
        <v>4</v>
      </c>
      <c r="AB120" t="s">
        <v>81</v>
      </c>
      <c r="AC120" t="s">
        <v>58</v>
      </c>
      <c r="AD120" t="s">
        <v>15</v>
      </c>
      <c r="AE120" t="s">
        <v>147</v>
      </c>
      <c r="AF120" t="s">
        <v>90</v>
      </c>
      <c r="AG120" t="s">
        <v>104</v>
      </c>
    </row>
    <row r="122" spans="10:33" x14ac:dyDescent="0.35">
      <c r="J122" s="1">
        <v>45673</v>
      </c>
      <c r="K122" s="1">
        <v>45673</v>
      </c>
      <c r="L122" s="1">
        <v>45680</v>
      </c>
      <c r="M122" s="1">
        <v>45680</v>
      </c>
      <c r="N122" s="1">
        <v>45680</v>
      </c>
      <c r="P122" s="1">
        <v>45687</v>
      </c>
      <c r="Q122" s="1">
        <v>45687</v>
      </c>
      <c r="R122" s="1">
        <v>45687</v>
      </c>
      <c r="S122" s="1">
        <v>45687</v>
      </c>
      <c r="U122" s="1">
        <v>45689</v>
      </c>
      <c r="V122" s="1">
        <v>45689</v>
      </c>
      <c r="W122" s="1">
        <v>45689</v>
      </c>
      <c r="X122" s="1">
        <v>45689</v>
      </c>
      <c r="Y122" s="1">
        <v>45689</v>
      </c>
      <c r="Z122" s="1">
        <v>45689</v>
      </c>
      <c r="AA122" s="1">
        <v>45689</v>
      </c>
      <c r="AC122" s="1">
        <v>45694</v>
      </c>
      <c r="AD122" s="1">
        <v>45701</v>
      </c>
      <c r="AE122" s="1">
        <v>45701</v>
      </c>
      <c r="AF122" s="1">
        <v>45715</v>
      </c>
      <c r="AG122" s="1">
        <v>45715</v>
      </c>
    </row>
    <row r="123" spans="10:33" x14ac:dyDescent="0.35">
      <c r="J123" t="s">
        <v>58</v>
      </c>
      <c r="K123" t="s">
        <v>81</v>
      </c>
      <c r="L123" t="s">
        <v>35</v>
      </c>
      <c r="M123" t="s">
        <v>116</v>
      </c>
      <c r="N123" t="s">
        <v>35</v>
      </c>
      <c r="P123" t="s">
        <v>121</v>
      </c>
      <c r="Q123" t="s">
        <v>29</v>
      </c>
      <c r="R123" t="s">
        <v>31</v>
      </c>
      <c r="S123" t="s">
        <v>21</v>
      </c>
      <c r="U123" t="s">
        <v>58</v>
      </c>
      <c r="V123" t="s">
        <v>0</v>
      </c>
      <c r="W123" t="s">
        <v>21</v>
      </c>
      <c r="X123" t="s">
        <v>128</v>
      </c>
      <c r="Y123" t="s">
        <v>112</v>
      </c>
      <c r="Z123" t="s">
        <v>148</v>
      </c>
      <c r="AA123" t="s">
        <v>21</v>
      </c>
      <c r="AC123" t="s">
        <v>15</v>
      </c>
      <c r="AD123" t="s">
        <v>128</v>
      </c>
      <c r="AE123" t="s">
        <v>115</v>
      </c>
      <c r="AF123" t="s">
        <v>122</v>
      </c>
      <c r="AG123" t="s">
        <v>15</v>
      </c>
    </row>
    <row r="124" spans="10:33" x14ac:dyDescent="0.35">
      <c r="J124" t="s">
        <v>147</v>
      </c>
      <c r="K124" t="s">
        <v>123</v>
      </c>
      <c r="L124" t="s">
        <v>147</v>
      </c>
      <c r="M124" t="s">
        <v>24</v>
      </c>
      <c r="N124" t="s">
        <v>1</v>
      </c>
      <c r="P124" t="s">
        <v>49</v>
      </c>
      <c r="Q124" t="s">
        <v>122</v>
      </c>
      <c r="R124" t="s">
        <v>122</v>
      </c>
      <c r="S124" t="s">
        <v>5</v>
      </c>
      <c r="U124" t="s">
        <v>148</v>
      </c>
      <c r="V124" t="s">
        <v>147</v>
      </c>
      <c r="W124" t="s">
        <v>22</v>
      </c>
      <c r="X124" t="s">
        <v>22</v>
      </c>
      <c r="Y124" t="s">
        <v>31</v>
      </c>
      <c r="Z124" t="s">
        <v>15</v>
      </c>
      <c r="AA124" t="s">
        <v>125</v>
      </c>
      <c r="AC124" t="s">
        <v>6</v>
      </c>
      <c r="AD124" t="s">
        <v>22</v>
      </c>
      <c r="AE124" t="s">
        <v>122</v>
      </c>
      <c r="AF124" t="s">
        <v>35</v>
      </c>
      <c r="AG124" t="s">
        <v>148</v>
      </c>
    </row>
    <row r="125" spans="10:33" x14ac:dyDescent="0.35">
      <c r="J125" t="s">
        <v>2</v>
      </c>
      <c r="K125" t="s">
        <v>128</v>
      </c>
      <c r="L125" t="s">
        <v>22</v>
      </c>
      <c r="M125" t="s">
        <v>175</v>
      </c>
      <c r="N125" t="s">
        <v>147</v>
      </c>
      <c r="P125" t="s">
        <v>117</v>
      </c>
      <c r="Q125" t="s">
        <v>21</v>
      </c>
      <c r="R125" t="s">
        <v>21</v>
      </c>
      <c r="S125" t="s">
        <v>15</v>
      </c>
      <c r="U125" t="s">
        <v>35</v>
      </c>
      <c r="V125" t="s">
        <v>135</v>
      </c>
      <c r="W125" t="s">
        <v>104</v>
      </c>
      <c r="X125" t="s">
        <v>21</v>
      </c>
      <c r="Y125" t="s">
        <v>81</v>
      </c>
      <c r="Z125" t="s">
        <v>21</v>
      </c>
      <c r="AA125" t="s">
        <v>147</v>
      </c>
      <c r="AC125" t="s">
        <v>7</v>
      </c>
      <c r="AD125" t="s">
        <v>35</v>
      </c>
      <c r="AE125" t="s">
        <v>22</v>
      </c>
      <c r="AF125" t="s">
        <v>123</v>
      </c>
      <c r="AG125" t="s">
        <v>123</v>
      </c>
    </row>
    <row r="126" spans="10:33" x14ac:dyDescent="0.35">
      <c r="J126" t="s">
        <v>112</v>
      </c>
      <c r="K126" t="s">
        <v>112</v>
      </c>
      <c r="L126" t="s">
        <v>31</v>
      </c>
      <c r="M126" t="s">
        <v>17</v>
      </c>
      <c r="N126" t="s">
        <v>122</v>
      </c>
      <c r="P126" t="s">
        <v>35</v>
      </c>
      <c r="Q126" t="s">
        <v>104</v>
      </c>
      <c r="R126" t="s">
        <v>1</v>
      </c>
      <c r="S126" t="s">
        <v>35</v>
      </c>
      <c r="U126" t="s">
        <v>29</v>
      </c>
      <c r="V126" t="s">
        <v>128</v>
      </c>
      <c r="W126" t="s">
        <v>29</v>
      </c>
      <c r="X126" t="s">
        <v>99</v>
      </c>
      <c r="Y126" t="s">
        <v>148</v>
      </c>
      <c r="Z126" t="s">
        <v>35</v>
      </c>
      <c r="AA126" t="s">
        <v>31</v>
      </c>
      <c r="AC126" t="s">
        <v>124</v>
      </c>
      <c r="AD126" t="s">
        <v>31</v>
      </c>
      <c r="AE126" t="s">
        <v>21</v>
      </c>
      <c r="AF126" t="s">
        <v>15</v>
      </c>
      <c r="AG126" t="s">
        <v>121</v>
      </c>
    </row>
    <row r="127" spans="10:33" x14ac:dyDescent="0.35">
      <c r="J127" t="s">
        <v>81</v>
      </c>
      <c r="K127" t="s">
        <v>58</v>
      </c>
      <c r="L127" t="s">
        <v>110</v>
      </c>
      <c r="M127" t="s">
        <v>122</v>
      </c>
      <c r="N127" t="s">
        <v>123</v>
      </c>
      <c r="P127" t="s">
        <v>22</v>
      </c>
      <c r="Q127" t="s">
        <v>17</v>
      </c>
      <c r="R127" t="s">
        <v>121</v>
      </c>
      <c r="S127" t="s">
        <v>104</v>
      </c>
      <c r="U127" t="s">
        <v>115</v>
      </c>
      <c r="V127" t="s">
        <v>21</v>
      </c>
      <c r="W127" t="s">
        <v>33</v>
      </c>
      <c r="X127" t="s">
        <v>19</v>
      </c>
      <c r="Y127" t="s">
        <v>29</v>
      </c>
      <c r="Z127" t="s">
        <v>0</v>
      </c>
      <c r="AA127" t="s">
        <v>0</v>
      </c>
      <c r="AC127" t="s">
        <v>119</v>
      </c>
      <c r="AD127" t="s">
        <v>115</v>
      </c>
      <c r="AE127" t="s">
        <v>1</v>
      </c>
      <c r="AF127" t="s">
        <v>49</v>
      </c>
      <c r="AG127" t="s">
        <v>122</v>
      </c>
    </row>
    <row r="128" spans="10:33" x14ac:dyDescent="0.35">
      <c r="J128" t="s">
        <v>78</v>
      </c>
      <c r="K128" t="s">
        <v>78</v>
      </c>
      <c r="L128" t="s">
        <v>49</v>
      </c>
      <c r="M128" t="s">
        <v>29</v>
      </c>
      <c r="N128" t="s">
        <v>31</v>
      </c>
      <c r="P128" t="s">
        <v>15</v>
      </c>
      <c r="Q128" t="s">
        <v>1</v>
      </c>
      <c r="R128" t="s">
        <v>116</v>
      </c>
      <c r="S128" t="s">
        <v>17</v>
      </c>
      <c r="U128" t="s">
        <v>135</v>
      </c>
      <c r="V128" t="s">
        <v>35</v>
      </c>
      <c r="W128" t="s">
        <v>18</v>
      </c>
      <c r="X128" t="s">
        <v>26</v>
      </c>
      <c r="Y128" t="s">
        <v>115</v>
      </c>
      <c r="Z128" t="s">
        <v>197</v>
      </c>
      <c r="AA128" t="s">
        <v>15</v>
      </c>
      <c r="AC128" t="s">
        <v>49</v>
      </c>
      <c r="AD128" t="s">
        <v>1</v>
      </c>
      <c r="AE128" t="s">
        <v>147</v>
      </c>
      <c r="AF128" t="s">
        <v>21</v>
      </c>
      <c r="AG128" t="s">
        <v>20</v>
      </c>
    </row>
    <row r="129" spans="10:37" x14ac:dyDescent="0.35">
      <c r="J129" t="s">
        <v>49</v>
      </c>
      <c r="K129" t="s">
        <v>147</v>
      </c>
      <c r="L129" t="s">
        <v>30</v>
      </c>
      <c r="M129" t="s">
        <v>253</v>
      </c>
      <c r="N129" t="s">
        <v>110</v>
      </c>
      <c r="P129" t="s">
        <v>116</v>
      </c>
      <c r="Q129" t="s">
        <v>128</v>
      </c>
      <c r="R129" t="s">
        <v>29</v>
      </c>
      <c r="S129" t="s">
        <v>128</v>
      </c>
      <c r="U129" t="s">
        <v>121</v>
      </c>
      <c r="V129" t="s">
        <v>142</v>
      </c>
      <c r="W129" t="s">
        <v>128</v>
      </c>
      <c r="X129" t="s">
        <v>33</v>
      </c>
      <c r="Y129" t="s">
        <v>117</v>
      </c>
      <c r="Z129" t="s">
        <v>147</v>
      </c>
      <c r="AA129" t="s">
        <v>148</v>
      </c>
      <c r="AC129" t="s">
        <v>29</v>
      </c>
      <c r="AD129" t="s">
        <v>122</v>
      </c>
      <c r="AE129" t="s">
        <v>35</v>
      </c>
      <c r="AF129" t="s">
        <v>121</v>
      </c>
      <c r="AG129" t="s">
        <v>49</v>
      </c>
    </row>
    <row r="130" spans="10:37" x14ac:dyDescent="0.35">
      <c r="J130" t="s">
        <v>128</v>
      </c>
      <c r="K130" t="s">
        <v>2</v>
      </c>
      <c r="L130" t="s">
        <v>1</v>
      </c>
      <c r="M130" t="s">
        <v>15</v>
      </c>
      <c r="N130" t="s">
        <v>14</v>
      </c>
      <c r="P130" t="s">
        <v>21</v>
      </c>
      <c r="Q130" t="s">
        <v>31</v>
      </c>
      <c r="R130" t="s">
        <v>35</v>
      </c>
      <c r="S130" t="s">
        <v>49</v>
      </c>
      <c r="U130" t="s">
        <v>173</v>
      </c>
      <c r="V130" t="s">
        <v>15</v>
      </c>
      <c r="W130" t="s">
        <v>99</v>
      </c>
      <c r="X130" t="s">
        <v>90</v>
      </c>
      <c r="Y130" t="s">
        <v>35</v>
      </c>
      <c r="Z130" t="s">
        <v>135</v>
      </c>
      <c r="AA130" t="s">
        <v>117</v>
      </c>
      <c r="AC130" t="s">
        <v>5</v>
      </c>
      <c r="AD130" t="s">
        <v>16</v>
      </c>
      <c r="AE130" t="s">
        <v>31</v>
      </c>
      <c r="AF130" t="s">
        <v>105</v>
      </c>
      <c r="AG130" t="s">
        <v>21</v>
      </c>
    </row>
    <row r="132" spans="10:37" x14ac:dyDescent="0.35">
      <c r="J132" s="1">
        <v>45716</v>
      </c>
      <c r="K132" s="1">
        <v>45716</v>
      </c>
      <c r="L132" s="1">
        <v>45722</v>
      </c>
      <c r="M132" s="1">
        <v>45722</v>
      </c>
      <c r="O132" s="1">
        <v>45724</v>
      </c>
      <c r="P132" s="1">
        <v>45724</v>
      </c>
      <c r="Q132" s="1">
        <v>45724</v>
      </c>
      <c r="R132" s="1">
        <v>45724</v>
      </c>
      <c r="S132" s="1">
        <v>45724</v>
      </c>
      <c r="T132" s="1">
        <v>45724</v>
      </c>
      <c r="U132" s="1">
        <v>45724</v>
      </c>
      <c r="V132" s="1">
        <v>45724</v>
      </c>
      <c r="W132" s="1">
        <v>45724</v>
      </c>
      <c r="X132" s="1">
        <v>45724</v>
      </c>
      <c r="Z132" s="1">
        <v>45729</v>
      </c>
      <c r="AA132" s="1">
        <v>45729</v>
      </c>
      <c r="AB132" s="1">
        <v>45736</v>
      </c>
      <c r="AC132" s="1">
        <v>45736</v>
      </c>
      <c r="AE132" s="1">
        <v>45750</v>
      </c>
      <c r="AF132" s="1">
        <v>45750</v>
      </c>
      <c r="AG132" s="1">
        <v>45750</v>
      </c>
      <c r="AH132" s="1">
        <v>45750</v>
      </c>
      <c r="AJ132" s="1">
        <v>45757</v>
      </c>
      <c r="AK132" s="1">
        <v>45757</v>
      </c>
    </row>
    <row r="133" spans="10:37" x14ac:dyDescent="0.35">
      <c r="J133" t="s">
        <v>10</v>
      </c>
      <c r="K133" t="s">
        <v>147</v>
      </c>
      <c r="L133" t="s">
        <v>21</v>
      </c>
      <c r="M133" t="s">
        <v>147</v>
      </c>
      <c r="O133" t="s">
        <v>21</v>
      </c>
      <c r="P133" t="s">
        <v>121</v>
      </c>
      <c r="Q133" t="s">
        <v>1</v>
      </c>
      <c r="R133" t="s">
        <v>121</v>
      </c>
      <c r="S133" t="s">
        <v>31</v>
      </c>
      <c r="T133" t="s">
        <v>10</v>
      </c>
      <c r="U133" t="s">
        <v>29</v>
      </c>
      <c r="V133" t="s">
        <v>10</v>
      </c>
      <c r="W133" t="s">
        <v>175</v>
      </c>
      <c r="X133" t="s">
        <v>21</v>
      </c>
      <c r="Z133" t="s">
        <v>22</v>
      </c>
      <c r="AA133" t="s">
        <v>35</v>
      </c>
      <c r="AB133" t="s">
        <v>35</v>
      </c>
      <c r="AC133" t="s">
        <v>35</v>
      </c>
      <c r="AE133" t="s">
        <v>21</v>
      </c>
      <c r="AF133" t="s">
        <v>29</v>
      </c>
      <c r="AG133" t="s">
        <v>147</v>
      </c>
      <c r="AH133" t="s">
        <v>87</v>
      </c>
      <c r="AJ133" t="s">
        <v>31</v>
      </c>
      <c r="AK133" t="s">
        <v>35</v>
      </c>
    </row>
    <row r="134" spans="10:37" x14ac:dyDescent="0.35">
      <c r="J134" t="s">
        <v>52</v>
      </c>
      <c r="K134" t="s">
        <v>79</v>
      </c>
      <c r="L134" t="s">
        <v>35</v>
      </c>
      <c r="M134" t="s">
        <v>116</v>
      </c>
      <c r="O134" t="s">
        <v>10</v>
      </c>
      <c r="P134" t="s">
        <v>3</v>
      </c>
      <c r="Q134" t="s">
        <v>78</v>
      </c>
      <c r="R134" t="s">
        <v>27</v>
      </c>
      <c r="S134" t="s">
        <v>1</v>
      </c>
      <c r="T134" t="s">
        <v>21</v>
      </c>
      <c r="U134" t="s">
        <v>31</v>
      </c>
      <c r="V134" t="s">
        <v>22</v>
      </c>
      <c r="W134" t="s">
        <v>81</v>
      </c>
      <c r="X134" t="s">
        <v>15</v>
      </c>
      <c r="Z134" t="s">
        <v>35</v>
      </c>
      <c r="AA134" t="s">
        <v>12</v>
      </c>
      <c r="AB134" t="s">
        <v>121</v>
      </c>
      <c r="AC134" t="s">
        <v>125</v>
      </c>
      <c r="AE134" t="s">
        <v>104</v>
      </c>
      <c r="AF134" t="s">
        <v>105</v>
      </c>
      <c r="AG134" t="s">
        <v>35</v>
      </c>
      <c r="AH134" t="s">
        <v>35</v>
      </c>
      <c r="AJ134" t="s">
        <v>128</v>
      </c>
      <c r="AK134" t="s">
        <v>122</v>
      </c>
    </row>
    <row r="135" spans="10:37" x14ac:dyDescent="0.35">
      <c r="J135" t="s">
        <v>128</v>
      </c>
      <c r="K135" t="s">
        <v>113</v>
      </c>
      <c r="L135" t="s">
        <v>124</v>
      </c>
      <c r="M135" t="s">
        <v>29</v>
      </c>
      <c r="O135" t="s">
        <v>147</v>
      </c>
      <c r="P135" t="s">
        <v>18</v>
      </c>
      <c r="Q135" t="s">
        <v>105</v>
      </c>
      <c r="R135" t="s">
        <v>50</v>
      </c>
      <c r="S135" t="s">
        <v>104</v>
      </c>
      <c r="T135" t="s">
        <v>147</v>
      </c>
      <c r="U135" t="s">
        <v>21</v>
      </c>
      <c r="V135" t="s">
        <v>51</v>
      </c>
      <c r="W135" t="s">
        <v>104</v>
      </c>
      <c r="X135" t="s">
        <v>105</v>
      </c>
      <c r="Z135" t="s">
        <v>99</v>
      </c>
      <c r="AA135" t="s">
        <v>147</v>
      </c>
      <c r="AB135" t="s">
        <v>21</v>
      </c>
      <c r="AC135" t="s">
        <v>128</v>
      </c>
      <c r="AE135" t="s">
        <v>49</v>
      </c>
      <c r="AF135" t="s">
        <v>29</v>
      </c>
      <c r="AG135" t="s">
        <v>29</v>
      </c>
      <c r="AH135" t="s">
        <v>21</v>
      </c>
      <c r="AJ135" t="s">
        <v>35</v>
      </c>
      <c r="AK135" t="s">
        <v>21</v>
      </c>
    </row>
    <row r="136" spans="10:37" x14ac:dyDescent="0.35">
      <c r="J136" t="s">
        <v>147</v>
      </c>
      <c r="K136" t="s">
        <v>10</v>
      </c>
      <c r="L136" t="s">
        <v>147</v>
      </c>
      <c r="M136" t="s">
        <v>129</v>
      </c>
      <c r="O136" t="s">
        <v>31</v>
      </c>
      <c r="P136" t="s">
        <v>22</v>
      </c>
      <c r="Q136" t="s">
        <v>104</v>
      </c>
      <c r="R136" t="s">
        <v>122</v>
      </c>
      <c r="S136" t="s">
        <v>21</v>
      </c>
      <c r="T136" t="s">
        <v>56</v>
      </c>
      <c r="U136" t="s">
        <v>37</v>
      </c>
      <c r="V136" t="s">
        <v>147</v>
      </c>
      <c r="W136" t="s">
        <v>21</v>
      </c>
      <c r="X136" t="s">
        <v>81</v>
      </c>
      <c r="Z136" t="s">
        <v>122</v>
      </c>
      <c r="AA136" t="s">
        <v>87</v>
      </c>
      <c r="AB136" t="s">
        <v>128</v>
      </c>
      <c r="AC136" t="s">
        <v>105</v>
      </c>
      <c r="AE136" t="s">
        <v>128</v>
      </c>
      <c r="AF136" t="s">
        <v>35</v>
      </c>
      <c r="AG136" t="s">
        <v>175</v>
      </c>
      <c r="AH136" t="s">
        <v>1</v>
      </c>
      <c r="AJ136" t="s">
        <v>1</v>
      </c>
      <c r="AK136" t="s">
        <v>31</v>
      </c>
    </row>
    <row r="137" spans="10:37" x14ac:dyDescent="0.35">
      <c r="J137" t="s">
        <v>0</v>
      </c>
      <c r="K137" t="s">
        <v>105</v>
      </c>
      <c r="L137" t="s">
        <v>10</v>
      </c>
      <c r="M137" t="s">
        <v>21</v>
      </c>
      <c r="O137" t="s">
        <v>26</v>
      </c>
      <c r="P137" t="s">
        <v>122</v>
      </c>
      <c r="Q137" t="s">
        <v>81</v>
      </c>
      <c r="R137" t="s">
        <v>105</v>
      </c>
      <c r="S137" t="s">
        <v>32</v>
      </c>
      <c r="T137" t="s">
        <v>1</v>
      </c>
      <c r="U137" t="s">
        <v>104</v>
      </c>
      <c r="V137" t="s">
        <v>30</v>
      </c>
      <c r="W137" t="s">
        <v>29</v>
      </c>
      <c r="X137" t="s">
        <v>10</v>
      </c>
      <c r="Z137" t="s">
        <v>1</v>
      </c>
      <c r="AA137" t="s">
        <v>10</v>
      </c>
      <c r="AB137" t="s">
        <v>31</v>
      </c>
      <c r="AC137" t="s">
        <v>31</v>
      </c>
      <c r="AE137" t="s">
        <v>361</v>
      </c>
      <c r="AF137" t="s">
        <v>1</v>
      </c>
      <c r="AG137" t="s">
        <v>30</v>
      </c>
      <c r="AH137" t="s">
        <v>15</v>
      </c>
      <c r="AJ137" t="s">
        <v>122</v>
      </c>
      <c r="AK137" t="s">
        <v>1</v>
      </c>
    </row>
    <row r="138" spans="10:37" x14ac:dyDescent="0.35">
      <c r="J138" t="s">
        <v>3</v>
      </c>
      <c r="K138" t="s">
        <v>22</v>
      </c>
      <c r="L138" t="s">
        <v>122</v>
      </c>
      <c r="M138" t="s">
        <v>15</v>
      </c>
      <c r="O138" t="s">
        <v>0</v>
      </c>
      <c r="P138" t="s">
        <v>50</v>
      </c>
      <c r="Q138" t="s">
        <v>31</v>
      </c>
      <c r="R138" t="s">
        <v>6</v>
      </c>
      <c r="S138" t="s">
        <v>148</v>
      </c>
      <c r="T138" t="s">
        <v>31</v>
      </c>
      <c r="U138" t="s">
        <v>105</v>
      </c>
      <c r="V138" t="s">
        <v>31</v>
      </c>
      <c r="W138" t="s">
        <v>105</v>
      </c>
      <c r="X138" t="s">
        <v>31</v>
      </c>
      <c r="Z138" t="s">
        <v>147</v>
      </c>
      <c r="AA138" t="s">
        <v>1</v>
      </c>
      <c r="AB138" t="s">
        <v>104</v>
      </c>
      <c r="AC138" t="s">
        <v>129</v>
      </c>
      <c r="AE138" t="s">
        <v>15</v>
      </c>
      <c r="AF138" t="s">
        <v>21</v>
      </c>
      <c r="AG138" t="s">
        <v>253</v>
      </c>
      <c r="AH138" t="s">
        <v>361</v>
      </c>
      <c r="AJ138" t="s">
        <v>33</v>
      </c>
      <c r="AK138" t="s">
        <v>56</v>
      </c>
    </row>
    <row r="139" spans="10:37" x14ac:dyDescent="0.35">
      <c r="J139" t="s">
        <v>22</v>
      </c>
      <c r="K139" t="s">
        <v>230</v>
      </c>
      <c r="L139" t="s">
        <v>49</v>
      </c>
      <c r="M139" t="s">
        <v>35</v>
      </c>
      <c r="O139" t="s">
        <v>30</v>
      </c>
      <c r="P139" t="s">
        <v>49</v>
      </c>
      <c r="Q139" t="s">
        <v>49</v>
      </c>
      <c r="R139" t="s">
        <v>18</v>
      </c>
      <c r="S139" t="s">
        <v>81</v>
      </c>
      <c r="T139" t="s">
        <v>30</v>
      </c>
      <c r="U139" t="s">
        <v>1</v>
      </c>
      <c r="V139" t="s">
        <v>148</v>
      </c>
      <c r="W139" t="s">
        <v>31</v>
      </c>
      <c r="X139" t="s">
        <v>29</v>
      </c>
      <c r="Z139" t="s">
        <v>112</v>
      </c>
      <c r="AA139" t="s">
        <v>31</v>
      </c>
      <c r="AB139" t="s">
        <v>52</v>
      </c>
      <c r="AC139" t="s">
        <v>104</v>
      </c>
      <c r="AE139" t="s">
        <v>31</v>
      </c>
      <c r="AF139" t="s">
        <v>147</v>
      </c>
      <c r="AG139" t="s">
        <v>21</v>
      </c>
      <c r="AH139" t="s">
        <v>49</v>
      </c>
      <c r="AJ139" t="s">
        <v>21</v>
      </c>
      <c r="AK139" t="s">
        <v>33</v>
      </c>
    </row>
    <row r="140" spans="10:37" x14ac:dyDescent="0.35">
      <c r="J140" t="s">
        <v>31</v>
      </c>
      <c r="K140" t="s">
        <v>31</v>
      </c>
      <c r="L140" t="s">
        <v>22</v>
      </c>
      <c r="M140" t="s">
        <v>87</v>
      </c>
      <c r="O140" t="s">
        <v>56</v>
      </c>
      <c r="P140" t="s">
        <v>27</v>
      </c>
      <c r="Q140" t="s">
        <v>32</v>
      </c>
      <c r="R140" t="s">
        <v>22</v>
      </c>
      <c r="S140" t="s">
        <v>139</v>
      </c>
      <c r="T140" t="s">
        <v>0</v>
      </c>
      <c r="U140" t="s">
        <v>81</v>
      </c>
      <c r="V140" t="s">
        <v>56</v>
      </c>
      <c r="W140" t="s">
        <v>253</v>
      </c>
      <c r="X140" t="s">
        <v>104</v>
      </c>
      <c r="Z140" t="s">
        <v>31</v>
      </c>
      <c r="AA140" t="s">
        <v>122</v>
      </c>
      <c r="AB140" t="s">
        <v>129</v>
      </c>
      <c r="AC140" t="s">
        <v>21</v>
      </c>
      <c r="AE140" t="s">
        <v>87</v>
      </c>
      <c r="AF140" t="s">
        <v>22</v>
      </c>
      <c r="AG140" t="s">
        <v>123</v>
      </c>
      <c r="AH140" t="s">
        <v>31</v>
      </c>
      <c r="AJ140" t="s">
        <v>87</v>
      </c>
      <c r="AK140" t="s">
        <v>87</v>
      </c>
    </row>
    <row r="142" spans="10:37" x14ac:dyDescent="0.35">
      <c r="J142" s="1">
        <v>45764</v>
      </c>
      <c r="K142" s="1">
        <v>45764</v>
      </c>
      <c r="L142" s="1">
        <v>45766</v>
      </c>
      <c r="M142" s="1">
        <v>45766</v>
      </c>
      <c r="N142" s="1">
        <v>45766</v>
      </c>
      <c r="O142" s="1">
        <v>45766</v>
      </c>
      <c r="P142" s="1">
        <v>45766</v>
      </c>
      <c r="Q142" s="1">
        <v>45766</v>
      </c>
      <c r="R142" s="1">
        <v>45766</v>
      </c>
      <c r="S142" s="1">
        <v>45766</v>
      </c>
      <c r="T142" s="1">
        <v>45766</v>
      </c>
      <c r="V142" s="1">
        <v>45771</v>
      </c>
      <c r="W142" s="1">
        <v>45771</v>
      </c>
      <c r="X142" s="1">
        <v>45778</v>
      </c>
      <c r="Y142" s="1">
        <v>45778</v>
      </c>
      <c r="Z142" s="1">
        <v>45778</v>
      </c>
      <c r="AA142" s="1">
        <v>45778</v>
      </c>
      <c r="AB142" s="1">
        <v>45778</v>
      </c>
    </row>
    <row r="143" spans="10:37" x14ac:dyDescent="0.35">
      <c r="J143" t="s">
        <v>29</v>
      </c>
      <c r="K143" t="s">
        <v>87</v>
      </c>
      <c r="L143" t="s">
        <v>3</v>
      </c>
      <c r="M143" t="s">
        <v>50</v>
      </c>
      <c r="N143" t="s">
        <v>232</v>
      </c>
      <c r="O143" t="s">
        <v>29</v>
      </c>
      <c r="P143" t="s">
        <v>10</v>
      </c>
      <c r="Q143" t="s">
        <v>128</v>
      </c>
      <c r="R143" t="s">
        <v>21</v>
      </c>
      <c r="S143" t="s">
        <v>31</v>
      </c>
      <c r="T143" t="s">
        <v>123</v>
      </c>
      <c r="V143" t="s">
        <v>121</v>
      </c>
      <c r="W143" t="s">
        <v>129</v>
      </c>
      <c r="X143" t="s">
        <v>122</v>
      </c>
      <c r="Y143" t="s">
        <v>15</v>
      </c>
      <c r="Z143" t="s">
        <v>232</v>
      </c>
      <c r="AA143" t="s">
        <v>175</v>
      </c>
      <c r="AB143" t="s">
        <v>361</v>
      </c>
    </row>
    <row r="144" spans="10:37" x14ac:dyDescent="0.35">
      <c r="J144" t="s">
        <v>147</v>
      </c>
      <c r="K144" t="s">
        <v>49</v>
      </c>
      <c r="L144" t="s">
        <v>21</v>
      </c>
      <c r="M144" t="s">
        <v>3</v>
      </c>
      <c r="N144" t="s">
        <v>141</v>
      </c>
      <c r="O144" t="s">
        <v>31</v>
      </c>
      <c r="P144" t="s">
        <v>128</v>
      </c>
      <c r="Q144" t="s">
        <v>147</v>
      </c>
      <c r="R144" t="s">
        <v>7</v>
      </c>
      <c r="S144" t="s">
        <v>361</v>
      </c>
      <c r="T144" t="s">
        <v>117</v>
      </c>
      <c r="V144" t="s">
        <v>24</v>
      </c>
      <c r="W144" t="s">
        <v>31</v>
      </c>
      <c r="X144" t="s">
        <v>104</v>
      </c>
      <c r="Y144" t="s">
        <v>29</v>
      </c>
      <c r="Z144" t="s">
        <v>122</v>
      </c>
      <c r="AA144" t="s">
        <v>29</v>
      </c>
      <c r="AB144" t="s">
        <v>147</v>
      </c>
    </row>
    <row r="145" spans="10:29" x14ac:dyDescent="0.35">
      <c r="J145" t="s">
        <v>35</v>
      </c>
      <c r="K145" t="s">
        <v>35</v>
      </c>
      <c r="L145" t="s">
        <v>22</v>
      </c>
      <c r="M145" t="s">
        <v>24</v>
      </c>
      <c r="N145" t="s">
        <v>20</v>
      </c>
      <c r="O145" t="s">
        <v>15</v>
      </c>
      <c r="P145" t="s">
        <v>141</v>
      </c>
      <c r="Q145" t="s">
        <v>24</v>
      </c>
      <c r="R145" t="s">
        <v>15</v>
      </c>
      <c r="S145" t="s">
        <v>1</v>
      </c>
      <c r="T145" t="s">
        <v>119</v>
      </c>
      <c r="V145" t="s">
        <v>35</v>
      </c>
      <c r="W145" t="s">
        <v>232</v>
      </c>
      <c r="X145" t="s">
        <v>22</v>
      </c>
      <c r="Y145" t="s">
        <v>147</v>
      </c>
      <c r="Z145" t="s">
        <v>112</v>
      </c>
      <c r="AA145" t="s">
        <v>21</v>
      </c>
      <c r="AB145" t="s">
        <v>21</v>
      </c>
    </row>
    <row r="146" spans="10:29" x14ac:dyDescent="0.35">
      <c r="J146" t="s">
        <v>49</v>
      </c>
      <c r="K146" t="s">
        <v>29</v>
      </c>
      <c r="L146" t="s">
        <v>4</v>
      </c>
      <c r="M146" t="s">
        <v>121</v>
      </c>
      <c r="N146" t="s">
        <v>16</v>
      </c>
      <c r="O146" t="s">
        <v>113</v>
      </c>
      <c r="P146" t="s">
        <v>23</v>
      </c>
      <c r="Q146" t="s">
        <v>58</v>
      </c>
      <c r="R146" t="s">
        <v>50</v>
      </c>
      <c r="S146" t="s">
        <v>87</v>
      </c>
      <c r="T146" t="s">
        <v>125</v>
      </c>
      <c r="V146" t="s">
        <v>31</v>
      </c>
      <c r="W146" t="s">
        <v>24</v>
      </c>
      <c r="X146" t="s">
        <v>361</v>
      </c>
      <c r="Y146" t="s">
        <v>19</v>
      </c>
      <c r="Z146" t="s">
        <v>22</v>
      </c>
      <c r="AA146" t="s">
        <v>22</v>
      </c>
      <c r="AB146" t="s">
        <v>175</v>
      </c>
    </row>
    <row r="147" spans="10:29" x14ac:dyDescent="0.35">
      <c r="J147" t="s">
        <v>33</v>
      </c>
      <c r="K147" t="s">
        <v>119</v>
      </c>
      <c r="L147" t="s">
        <v>49</v>
      </c>
      <c r="M147" t="s">
        <v>147</v>
      </c>
      <c r="N147" t="s">
        <v>128</v>
      </c>
      <c r="O147" t="s">
        <v>21</v>
      </c>
      <c r="P147" t="s">
        <v>22</v>
      </c>
      <c r="Q147" t="s">
        <v>1</v>
      </c>
      <c r="R147" t="s">
        <v>10</v>
      </c>
      <c r="S147" t="s">
        <v>24</v>
      </c>
      <c r="T147" t="s">
        <v>10</v>
      </c>
      <c r="V147" t="s">
        <v>21</v>
      </c>
      <c r="W147" t="s">
        <v>35</v>
      </c>
      <c r="X147" t="s">
        <v>33</v>
      </c>
      <c r="Y147" t="s">
        <v>128</v>
      </c>
      <c r="Z147" t="s">
        <v>104</v>
      </c>
      <c r="AA147" t="s">
        <v>15</v>
      </c>
      <c r="AB147" t="s">
        <v>49</v>
      </c>
    </row>
    <row r="148" spans="10:29" x14ac:dyDescent="0.35">
      <c r="J148" t="s">
        <v>22</v>
      </c>
      <c r="K148" t="s">
        <v>33</v>
      </c>
      <c r="L148" t="s">
        <v>1</v>
      </c>
      <c r="M148" t="s">
        <v>21</v>
      </c>
      <c r="N148" t="s">
        <v>33</v>
      </c>
      <c r="O148" t="s">
        <v>10</v>
      </c>
      <c r="P148" t="s">
        <v>232</v>
      </c>
      <c r="Q148" t="s">
        <v>21</v>
      </c>
      <c r="R148" t="s">
        <v>22</v>
      </c>
      <c r="S148" t="s">
        <v>175</v>
      </c>
      <c r="T148" t="s">
        <v>49</v>
      </c>
      <c r="V148" t="s">
        <v>3</v>
      </c>
      <c r="W148" t="s">
        <v>21</v>
      </c>
      <c r="X148" t="s">
        <v>16</v>
      </c>
      <c r="Y148" t="s">
        <v>49</v>
      </c>
      <c r="Z148" t="s">
        <v>87</v>
      </c>
      <c r="AA148" t="s">
        <v>49</v>
      </c>
      <c r="AB148" t="s">
        <v>19</v>
      </c>
    </row>
    <row r="149" spans="10:29" x14ac:dyDescent="0.35">
      <c r="J149" t="s">
        <v>21</v>
      </c>
      <c r="K149" t="s">
        <v>21</v>
      </c>
      <c r="L149" t="s">
        <v>15</v>
      </c>
      <c r="M149" t="s">
        <v>27</v>
      </c>
      <c r="N149" t="s">
        <v>22</v>
      </c>
      <c r="O149" t="s">
        <v>22</v>
      </c>
      <c r="P149" t="s">
        <v>31</v>
      </c>
      <c r="Q149" t="s">
        <v>15</v>
      </c>
      <c r="R149" t="s">
        <v>29</v>
      </c>
      <c r="S149" t="s">
        <v>147</v>
      </c>
      <c r="T149" t="s">
        <v>15</v>
      </c>
      <c r="V149" t="s">
        <v>129</v>
      </c>
      <c r="W149" t="s">
        <v>19</v>
      </c>
      <c r="X149" t="s">
        <v>32</v>
      </c>
      <c r="Y149" t="s">
        <v>21</v>
      </c>
      <c r="Z149" t="s">
        <v>32</v>
      </c>
      <c r="AA149" t="s">
        <v>253</v>
      </c>
      <c r="AB149" t="s">
        <v>15</v>
      </c>
    </row>
    <row r="150" spans="10:29" x14ac:dyDescent="0.35">
      <c r="J150" t="s">
        <v>31</v>
      </c>
      <c r="K150" t="s">
        <v>31</v>
      </c>
      <c r="L150" t="s">
        <v>31</v>
      </c>
      <c r="M150" t="s">
        <v>87</v>
      </c>
      <c r="N150" t="s">
        <v>31</v>
      </c>
      <c r="O150" t="s">
        <v>7</v>
      </c>
      <c r="P150" t="s">
        <v>33</v>
      </c>
      <c r="Q150" t="s">
        <v>3</v>
      </c>
      <c r="R150" t="s">
        <v>31</v>
      </c>
      <c r="S150" t="s">
        <v>6</v>
      </c>
      <c r="T150" t="s">
        <v>21</v>
      </c>
      <c r="V150" t="s">
        <v>232</v>
      </c>
      <c r="W150" t="s">
        <v>87</v>
      </c>
      <c r="X150" t="s">
        <v>232</v>
      </c>
      <c r="Y150" t="s">
        <v>89</v>
      </c>
      <c r="Z150" t="s">
        <v>33</v>
      </c>
      <c r="AA150" t="s">
        <v>89</v>
      </c>
      <c r="AB150" t="s">
        <v>253</v>
      </c>
    </row>
    <row r="152" spans="10:29" x14ac:dyDescent="0.35">
      <c r="J152" s="1">
        <v>45785</v>
      </c>
      <c r="K152" s="1">
        <v>45785</v>
      </c>
      <c r="L152" s="1">
        <v>45792</v>
      </c>
      <c r="M152" s="1">
        <v>45792</v>
      </c>
      <c r="O152" s="1">
        <v>45794</v>
      </c>
      <c r="P152" s="1">
        <v>45794</v>
      </c>
      <c r="Q152" s="1">
        <v>45794</v>
      </c>
      <c r="R152" s="1">
        <v>45794</v>
      </c>
      <c r="S152" s="1">
        <v>45794</v>
      </c>
      <c r="U152" s="1">
        <v>45799</v>
      </c>
      <c r="V152" s="1">
        <v>45799</v>
      </c>
      <c r="W152" s="1">
        <v>45799</v>
      </c>
      <c r="X152" s="1">
        <v>45799</v>
      </c>
      <c r="Z152" s="1">
        <v>45806</v>
      </c>
      <c r="AA152" s="1">
        <v>45806</v>
      </c>
      <c r="AB152" s="1">
        <v>45806</v>
      </c>
      <c r="AC152" s="1">
        <v>45806</v>
      </c>
    </row>
    <row r="153" spans="10:29" x14ac:dyDescent="0.35">
      <c r="J153" t="s">
        <v>21</v>
      </c>
      <c r="K153" t="s">
        <v>300</v>
      </c>
      <c r="L153" t="s">
        <v>128</v>
      </c>
      <c r="M153" t="s">
        <v>21</v>
      </c>
      <c r="O153" t="s">
        <v>33</v>
      </c>
      <c r="P153" t="s">
        <v>20</v>
      </c>
      <c r="Q153" t="s">
        <v>128</v>
      </c>
      <c r="R153" t="s">
        <v>232</v>
      </c>
      <c r="S153" t="s">
        <v>104</v>
      </c>
      <c r="U153" t="s">
        <v>63</v>
      </c>
      <c r="V153" t="s">
        <v>253</v>
      </c>
      <c r="W153" t="s">
        <v>300</v>
      </c>
      <c r="X153" t="s">
        <v>15</v>
      </c>
      <c r="Z153" t="s">
        <v>15</v>
      </c>
      <c r="AA153" t="s">
        <v>122</v>
      </c>
      <c r="AB153" t="s">
        <v>116</v>
      </c>
      <c r="AC153" t="s">
        <v>123</v>
      </c>
    </row>
    <row r="154" spans="10:29" x14ac:dyDescent="0.35">
      <c r="J154" t="s">
        <v>1</v>
      </c>
      <c r="K154" t="s">
        <v>1</v>
      </c>
      <c r="L154" t="s">
        <v>15</v>
      </c>
      <c r="M154" t="s">
        <v>87</v>
      </c>
      <c r="O154" t="s">
        <v>15</v>
      </c>
      <c r="P154" t="s">
        <v>21</v>
      </c>
      <c r="Q154" t="s">
        <v>29</v>
      </c>
      <c r="R154" t="s">
        <v>10</v>
      </c>
      <c r="S154" t="s">
        <v>20</v>
      </c>
      <c r="U154" t="s">
        <v>24</v>
      </c>
      <c r="V154" t="s">
        <v>128</v>
      </c>
      <c r="W154" t="s">
        <v>232</v>
      </c>
      <c r="X154" t="s">
        <v>29</v>
      </c>
      <c r="Z154" t="s">
        <v>147</v>
      </c>
      <c r="AA154" t="s">
        <v>137</v>
      </c>
      <c r="AB154" t="s">
        <v>26</v>
      </c>
      <c r="AC154" t="s">
        <v>137</v>
      </c>
    </row>
    <row r="155" spans="10:29" x14ac:dyDescent="0.35">
      <c r="J155" t="s">
        <v>15</v>
      </c>
      <c r="K155" t="s">
        <v>33</v>
      </c>
      <c r="L155" t="s">
        <v>31</v>
      </c>
      <c r="M155" t="s">
        <v>15</v>
      </c>
      <c r="O155" t="s">
        <v>1</v>
      </c>
      <c r="P155" t="s">
        <v>12</v>
      </c>
      <c r="Q155" t="s">
        <v>1</v>
      </c>
      <c r="R155" t="s">
        <v>137</v>
      </c>
      <c r="S155" t="s">
        <v>33</v>
      </c>
      <c r="U155" t="s">
        <v>112</v>
      </c>
      <c r="V155" t="s">
        <v>20</v>
      </c>
      <c r="W155" t="s">
        <v>112</v>
      </c>
      <c r="X155" t="s">
        <v>21</v>
      </c>
      <c r="Z155" t="s">
        <v>29</v>
      </c>
      <c r="AA155" t="s">
        <v>125</v>
      </c>
      <c r="AB155" t="s">
        <v>25</v>
      </c>
      <c r="AC155" t="s">
        <v>31</v>
      </c>
    </row>
    <row r="156" spans="10:29" x14ac:dyDescent="0.35">
      <c r="J156" t="s">
        <v>128</v>
      </c>
      <c r="K156" t="s">
        <v>15</v>
      </c>
      <c r="L156" t="s">
        <v>49</v>
      </c>
      <c r="M156" t="s">
        <v>147</v>
      </c>
      <c r="O156" t="s">
        <v>104</v>
      </c>
      <c r="P156" t="s">
        <v>232</v>
      </c>
      <c r="Q156" t="s">
        <v>58</v>
      </c>
      <c r="R156" t="s">
        <v>13</v>
      </c>
      <c r="S156" t="s">
        <v>31</v>
      </c>
      <c r="U156" t="s">
        <v>33</v>
      </c>
      <c r="V156" t="s">
        <v>29</v>
      </c>
      <c r="W156" t="s">
        <v>122</v>
      </c>
      <c r="X156" t="s">
        <v>112</v>
      </c>
      <c r="Z156" t="s">
        <v>21</v>
      </c>
      <c r="AA156" t="s">
        <v>31</v>
      </c>
      <c r="AB156" t="s">
        <v>49</v>
      </c>
      <c r="AC156" t="s">
        <v>10</v>
      </c>
    </row>
    <row r="157" spans="10:29" x14ac:dyDescent="0.35">
      <c r="J157" t="s">
        <v>49</v>
      </c>
      <c r="K157" t="s">
        <v>21</v>
      </c>
      <c r="L157" t="s">
        <v>24</v>
      </c>
      <c r="M157" t="s">
        <v>232</v>
      </c>
      <c r="O157" t="s">
        <v>87</v>
      </c>
      <c r="P157" t="s">
        <v>141</v>
      </c>
      <c r="Q157" t="s">
        <v>104</v>
      </c>
      <c r="R157" t="s">
        <v>81</v>
      </c>
      <c r="S157" t="s">
        <v>49</v>
      </c>
      <c r="U157" t="s">
        <v>1</v>
      </c>
      <c r="V157" t="s">
        <v>15</v>
      </c>
      <c r="W157" t="s">
        <v>1</v>
      </c>
      <c r="X157" t="s">
        <v>33</v>
      </c>
      <c r="Z157" t="s">
        <v>26</v>
      </c>
      <c r="AA157" t="s">
        <v>123</v>
      </c>
      <c r="AB157" t="s">
        <v>21</v>
      </c>
      <c r="AC157" t="s">
        <v>232</v>
      </c>
    </row>
    <row r="158" spans="10:29" x14ac:dyDescent="0.35">
      <c r="J158" t="s">
        <v>122</v>
      </c>
      <c r="K158" t="s">
        <v>122</v>
      </c>
      <c r="L158" t="s">
        <v>147</v>
      </c>
      <c r="M158" t="s">
        <v>121</v>
      </c>
      <c r="O158" t="s">
        <v>29</v>
      </c>
      <c r="P158" t="s">
        <v>119</v>
      </c>
      <c r="Q158" t="s">
        <v>15</v>
      </c>
      <c r="R158" t="s">
        <v>31</v>
      </c>
      <c r="S158" t="s">
        <v>15</v>
      </c>
      <c r="U158" t="s">
        <v>122</v>
      </c>
      <c r="V158" t="s">
        <v>175</v>
      </c>
      <c r="W158" t="s">
        <v>24</v>
      </c>
      <c r="X158" t="s">
        <v>19</v>
      </c>
      <c r="Z158" t="s">
        <v>30</v>
      </c>
      <c r="AA158" t="s">
        <v>24</v>
      </c>
      <c r="AB158" t="s">
        <v>30</v>
      </c>
      <c r="AC158" t="s">
        <v>24</v>
      </c>
    </row>
    <row r="159" spans="10:29" x14ac:dyDescent="0.35">
      <c r="J159" t="s">
        <v>33</v>
      </c>
      <c r="K159" t="s">
        <v>232</v>
      </c>
      <c r="L159" t="s">
        <v>121</v>
      </c>
      <c r="M159" t="s">
        <v>24</v>
      </c>
      <c r="O159" t="s">
        <v>31</v>
      </c>
      <c r="P159" t="s">
        <v>81</v>
      </c>
      <c r="Q159" t="s">
        <v>37</v>
      </c>
      <c r="R159" t="s">
        <v>49</v>
      </c>
      <c r="S159" t="s">
        <v>19</v>
      </c>
      <c r="U159" t="s">
        <v>121</v>
      </c>
      <c r="V159" t="s">
        <v>112</v>
      </c>
      <c r="W159" t="s">
        <v>63</v>
      </c>
      <c r="X159" t="s">
        <v>123</v>
      </c>
      <c r="Z159" t="s">
        <v>25</v>
      </c>
      <c r="AA159" t="s">
        <v>19</v>
      </c>
      <c r="AB159" t="s">
        <v>15</v>
      </c>
      <c r="AC159" t="s">
        <v>15</v>
      </c>
    </row>
    <row r="160" spans="10:29" x14ac:dyDescent="0.35">
      <c r="J160" t="s">
        <v>31</v>
      </c>
      <c r="K160" t="s">
        <v>31</v>
      </c>
      <c r="L160" t="s">
        <v>21</v>
      </c>
      <c r="M160" t="s">
        <v>31</v>
      </c>
      <c r="O160" t="s">
        <v>26</v>
      </c>
      <c r="P160" t="s">
        <v>31</v>
      </c>
      <c r="Q160" t="s">
        <v>33</v>
      </c>
      <c r="R160" t="s">
        <v>12</v>
      </c>
      <c r="S160" t="s">
        <v>6</v>
      </c>
      <c r="U160" t="s">
        <v>49</v>
      </c>
      <c r="V160" t="s">
        <v>49</v>
      </c>
      <c r="W160" t="s">
        <v>20</v>
      </c>
      <c r="X160" t="s">
        <v>49</v>
      </c>
      <c r="Z160" t="s">
        <v>49</v>
      </c>
      <c r="AA160" t="s">
        <v>15</v>
      </c>
      <c r="AB160" t="s">
        <v>147</v>
      </c>
      <c r="AC160" t="s">
        <v>300</v>
      </c>
    </row>
    <row r="162" spans="10:30" x14ac:dyDescent="0.35">
      <c r="J162" s="1">
        <v>45813</v>
      </c>
      <c r="K162" s="1">
        <v>45813</v>
      </c>
      <c r="L162" s="1">
        <v>45813</v>
      </c>
      <c r="M162" s="1">
        <v>45813</v>
      </c>
      <c r="N162" s="1">
        <v>45813</v>
      </c>
      <c r="O162" s="1">
        <v>45820</v>
      </c>
      <c r="P162" s="1">
        <v>45820</v>
      </c>
      <c r="Q162" s="1">
        <v>45820</v>
      </c>
      <c r="R162" s="1">
        <v>45820</v>
      </c>
      <c r="T162" s="1">
        <v>45834</v>
      </c>
      <c r="U162" s="1">
        <v>45834</v>
      </c>
      <c r="V162" s="1">
        <v>45834</v>
      </c>
      <c r="W162" s="1">
        <v>45834</v>
      </c>
      <c r="X162" s="1">
        <v>45834</v>
      </c>
      <c r="Y162" s="1">
        <v>45834</v>
      </c>
      <c r="Z162" s="1">
        <v>45834</v>
      </c>
      <c r="AA162" s="1">
        <v>45834</v>
      </c>
      <c r="AB162" s="1">
        <v>45841</v>
      </c>
      <c r="AC162" s="1">
        <v>45848</v>
      </c>
      <c r="AD162" s="1">
        <v>45848</v>
      </c>
    </row>
    <row r="163" spans="10:30" x14ac:dyDescent="0.35">
      <c r="J163" t="s">
        <v>175</v>
      </c>
      <c r="K163" t="s">
        <v>175</v>
      </c>
      <c r="L163" t="s">
        <v>147</v>
      </c>
      <c r="M163" t="s">
        <v>175</v>
      </c>
      <c r="N163" t="s">
        <v>22</v>
      </c>
      <c r="O163" t="s">
        <v>465</v>
      </c>
      <c r="P163" t="s">
        <v>147</v>
      </c>
      <c r="Q163" t="s">
        <v>29</v>
      </c>
      <c r="R163" t="s">
        <v>232</v>
      </c>
      <c r="T163" t="s">
        <v>117</v>
      </c>
      <c r="U163" t="s">
        <v>21</v>
      </c>
      <c r="V163" t="s">
        <v>361</v>
      </c>
      <c r="W163" t="s">
        <v>15</v>
      </c>
      <c r="X163" t="s">
        <v>361</v>
      </c>
      <c r="Y163" t="s">
        <v>33</v>
      </c>
      <c r="Z163" t="s">
        <v>24</v>
      </c>
      <c r="AA163" t="s">
        <v>122</v>
      </c>
      <c r="AB163" t="s">
        <v>232</v>
      </c>
      <c r="AC163" t="s">
        <v>33</v>
      </c>
      <c r="AD163" t="s">
        <v>128</v>
      </c>
    </row>
    <row r="164" spans="10:30" x14ac:dyDescent="0.35">
      <c r="J164" t="s">
        <v>128</v>
      </c>
      <c r="K164" t="s">
        <v>3</v>
      </c>
      <c r="L164" t="s">
        <v>35</v>
      </c>
      <c r="M164" t="s">
        <v>10</v>
      </c>
      <c r="N164" t="s">
        <v>3</v>
      </c>
      <c r="O164" t="s">
        <v>3</v>
      </c>
      <c r="P164" t="s">
        <v>122</v>
      </c>
      <c r="Q164" t="s">
        <v>3</v>
      </c>
      <c r="R164" t="s">
        <v>122</v>
      </c>
      <c r="T164" t="s">
        <v>122</v>
      </c>
      <c r="U164" t="s">
        <v>361</v>
      </c>
      <c r="V164" t="s">
        <v>25</v>
      </c>
      <c r="W164" t="s">
        <v>9</v>
      </c>
      <c r="X164" t="s">
        <v>15</v>
      </c>
      <c r="Y164" t="s">
        <v>123</v>
      </c>
      <c r="Z164" t="s">
        <v>29</v>
      </c>
      <c r="AA164" t="s">
        <v>25</v>
      </c>
      <c r="AB164" t="s">
        <v>33</v>
      </c>
      <c r="AC164" t="s">
        <v>1</v>
      </c>
      <c r="AD164" t="s">
        <v>1</v>
      </c>
    </row>
    <row r="165" spans="10:30" x14ac:dyDescent="0.35">
      <c r="J165" t="s">
        <v>21</v>
      </c>
      <c r="K165" t="s">
        <v>253</v>
      </c>
      <c r="L165" t="s">
        <v>104</v>
      </c>
      <c r="M165" t="s">
        <v>29</v>
      </c>
      <c r="N165" t="s">
        <v>29</v>
      </c>
      <c r="O165" t="s">
        <v>253</v>
      </c>
      <c r="P165" t="s">
        <v>21</v>
      </c>
      <c r="Q165" t="s">
        <v>253</v>
      </c>
      <c r="R165" t="s">
        <v>21</v>
      </c>
      <c r="T165" t="s">
        <v>32</v>
      </c>
      <c r="U165" t="s">
        <v>113</v>
      </c>
      <c r="V165" t="s">
        <v>175</v>
      </c>
      <c r="W165" t="s">
        <v>29</v>
      </c>
      <c r="X165" t="s">
        <v>35</v>
      </c>
      <c r="Y165" t="s">
        <v>51</v>
      </c>
      <c r="Z165" t="s">
        <v>8</v>
      </c>
      <c r="AA165" t="s">
        <v>56</v>
      </c>
      <c r="AB165" t="s">
        <v>56</v>
      </c>
      <c r="AC165" t="s">
        <v>35</v>
      </c>
      <c r="AD165" t="s">
        <v>122</v>
      </c>
    </row>
    <row r="166" spans="10:30" x14ac:dyDescent="0.35">
      <c r="J166" t="s">
        <v>253</v>
      </c>
      <c r="K166" t="s">
        <v>29</v>
      </c>
      <c r="L166" t="s">
        <v>1</v>
      </c>
      <c r="M166" t="s">
        <v>115</v>
      </c>
      <c r="N166" t="s">
        <v>175</v>
      </c>
      <c r="O166" t="s">
        <v>33</v>
      </c>
      <c r="P166" t="s">
        <v>1</v>
      </c>
      <c r="Q166" t="s">
        <v>10</v>
      </c>
      <c r="R166" t="s">
        <v>31</v>
      </c>
      <c r="T166" t="s">
        <v>15</v>
      </c>
      <c r="U166" t="s">
        <v>49</v>
      </c>
      <c r="V166" t="s">
        <v>123</v>
      </c>
      <c r="W166" t="s">
        <v>115</v>
      </c>
      <c r="X166" t="s">
        <v>6</v>
      </c>
      <c r="Y166" t="s">
        <v>99</v>
      </c>
      <c r="Z166" t="s">
        <v>15</v>
      </c>
      <c r="AA166" t="s">
        <v>87</v>
      </c>
      <c r="AB166" t="s">
        <v>81</v>
      </c>
      <c r="AC166" t="s">
        <v>128</v>
      </c>
      <c r="AD166" t="s">
        <v>31</v>
      </c>
    </row>
    <row r="167" spans="10:30" x14ac:dyDescent="0.35">
      <c r="J167" t="s">
        <v>15</v>
      </c>
      <c r="K167" t="s">
        <v>29</v>
      </c>
      <c r="L167" t="s">
        <v>15</v>
      </c>
      <c r="M167" t="s">
        <v>1</v>
      </c>
      <c r="N167" t="s">
        <v>31</v>
      </c>
      <c r="O167" t="s">
        <v>26</v>
      </c>
      <c r="P167" t="s">
        <v>20</v>
      </c>
      <c r="Q167" t="s">
        <v>33</v>
      </c>
      <c r="R167" t="s">
        <v>1</v>
      </c>
      <c r="T167" t="s">
        <v>51</v>
      </c>
      <c r="U167" t="s">
        <v>29</v>
      </c>
      <c r="V167" t="s">
        <v>1</v>
      </c>
      <c r="W167" t="s">
        <v>121</v>
      </c>
      <c r="X167" t="s">
        <v>121</v>
      </c>
      <c r="Y167" t="s">
        <v>15</v>
      </c>
      <c r="Z167" t="s">
        <v>49</v>
      </c>
      <c r="AA167" t="s">
        <v>81</v>
      </c>
      <c r="AB167" t="s">
        <v>87</v>
      </c>
      <c r="AC167" t="s">
        <v>87</v>
      </c>
      <c r="AD167" t="s">
        <v>33</v>
      </c>
    </row>
    <row r="168" spans="10:30" x14ac:dyDescent="0.35">
      <c r="J168" t="s">
        <v>115</v>
      </c>
      <c r="K168" t="s">
        <v>49</v>
      </c>
      <c r="L168" t="s">
        <v>21</v>
      </c>
      <c r="M168" t="s">
        <v>15</v>
      </c>
      <c r="N168" t="s">
        <v>253</v>
      </c>
      <c r="O168" t="s">
        <v>35</v>
      </c>
      <c r="P168" t="s">
        <v>31</v>
      </c>
      <c r="Q168" t="s">
        <v>26</v>
      </c>
      <c r="R168" t="s">
        <v>147</v>
      </c>
      <c r="T168" t="s">
        <v>33</v>
      </c>
      <c r="U168" t="s">
        <v>37</v>
      </c>
      <c r="V168" t="s">
        <v>230</v>
      </c>
      <c r="W168" t="s">
        <v>35</v>
      </c>
      <c r="X168" t="s">
        <v>122</v>
      </c>
      <c r="Y168" t="s">
        <v>232</v>
      </c>
      <c r="Z168" t="s">
        <v>19</v>
      </c>
      <c r="AA168" t="s">
        <v>1</v>
      </c>
      <c r="AB168" t="s">
        <v>15</v>
      </c>
      <c r="AC168" t="s">
        <v>25</v>
      </c>
      <c r="AD168" t="s">
        <v>232</v>
      </c>
    </row>
    <row r="169" spans="10:30" x14ac:dyDescent="0.35">
      <c r="J169" t="s">
        <v>19</v>
      </c>
      <c r="K169" t="s">
        <v>31</v>
      </c>
      <c r="L169" t="s">
        <v>51</v>
      </c>
      <c r="M169" t="s">
        <v>253</v>
      </c>
      <c r="N169" t="s">
        <v>22</v>
      </c>
      <c r="O169" t="s">
        <v>15</v>
      </c>
      <c r="P169" t="s">
        <v>123</v>
      </c>
      <c r="Q169" t="s">
        <v>147</v>
      </c>
      <c r="R169" t="s">
        <v>33</v>
      </c>
      <c r="T169" t="s">
        <v>99</v>
      </c>
      <c r="U169" t="s">
        <v>35</v>
      </c>
      <c r="V169" t="s">
        <v>33</v>
      </c>
      <c r="W169" t="s">
        <v>21</v>
      </c>
      <c r="X169" t="s">
        <v>51</v>
      </c>
      <c r="Y169" t="s">
        <v>35</v>
      </c>
      <c r="Z169" t="s">
        <v>31</v>
      </c>
      <c r="AA169" t="s">
        <v>31</v>
      </c>
      <c r="AB169" t="s">
        <v>147</v>
      </c>
      <c r="AC169" t="s">
        <v>31</v>
      </c>
      <c r="AD169" t="s">
        <v>87</v>
      </c>
    </row>
    <row r="170" spans="10:30" x14ac:dyDescent="0.35">
      <c r="J170" t="s">
        <v>1</v>
      </c>
      <c r="K170" t="s">
        <v>22</v>
      </c>
      <c r="L170" t="s">
        <v>33</v>
      </c>
      <c r="M170" t="s">
        <v>300</v>
      </c>
      <c r="N170" t="s">
        <v>49</v>
      </c>
      <c r="O170" t="s">
        <v>49</v>
      </c>
      <c r="P170" t="s">
        <v>33</v>
      </c>
      <c r="Q170" t="s">
        <v>15</v>
      </c>
      <c r="R170" t="s">
        <v>300</v>
      </c>
      <c r="T170" t="s">
        <v>31</v>
      </c>
      <c r="U170" t="s">
        <v>89</v>
      </c>
      <c r="V170" t="s">
        <v>81</v>
      </c>
      <c r="W170" t="s">
        <v>361</v>
      </c>
      <c r="X170" t="s">
        <v>87</v>
      </c>
      <c r="Y170" t="s">
        <v>32</v>
      </c>
      <c r="Z170" t="s">
        <v>361</v>
      </c>
      <c r="AA170" t="s">
        <v>123</v>
      </c>
      <c r="AB170" t="s">
        <v>31</v>
      </c>
      <c r="AC170" t="s">
        <v>122</v>
      </c>
      <c r="AD170" t="s">
        <v>25</v>
      </c>
    </row>
    <row r="172" spans="10:30" x14ac:dyDescent="0.35">
      <c r="J172" s="1">
        <v>45855</v>
      </c>
      <c r="K172" s="1">
        <v>45855</v>
      </c>
      <c r="L172" s="1">
        <v>45855</v>
      </c>
      <c r="M172" s="1">
        <v>45855</v>
      </c>
      <c r="O172" s="1">
        <v>45857</v>
      </c>
      <c r="P172" s="1">
        <v>45857</v>
      </c>
      <c r="Q172" s="1">
        <v>45857</v>
      </c>
      <c r="R172" s="1">
        <v>45857</v>
      </c>
      <c r="S172" s="1">
        <v>45857</v>
      </c>
      <c r="T172" s="1">
        <v>45857</v>
      </c>
      <c r="U172" s="1">
        <v>45857</v>
      </c>
      <c r="V172" s="1">
        <v>45857</v>
      </c>
      <c r="W172" s="1">
        <v>45857</v>
      </c>
      <c r="Y172" s="1">
        <v>45862</v>
      </c>
      <c r="Z172" s="1">
        <v>45862</v>
      </c>
      <c r="AA172" s="1">
        <v>45862</v>
      </c>
      <c r="AB172" s="1">
        <v>45869</v>
      </c>
      <c r="AC172" s="1">
        <v>45869</v>
      </c>
      <c r="AD172" s="1">
        <v>45869</v>
      </c>
    </row>
    <row r="173" spans="10:30" x14ac:dyDescent="0.35">
      <c r="J173" t="s">
        <v>147</v>
      </c>
      <c r="K173" t="s">
        <v>35</v>
      </c>
      <c r="L173" t="s">
        <v>3</v>
      </c>
      <c r="M173" t="s">
        <v>147</v>
      </c>
      <c r="O173" t="s">
        <v>15</v>
      </c>
      <c r="P173" t="s">
        <v>4</v>
      </c>
      <c r="Q173" t="s">
        <v>7</v>
      </c>
      <c r="R173" t="s">
        <v>52</v>
      </c>
      <c r="S173" t="s">
        <v>147</v>
      </c>
      <c r="T173" t="s">
        <v>232</v>
      </c>
      <c r="U173" t="s">
        <v>175</v>
      </c>
      <c r="V173" t="s">
        <v>21</v>
      </c>
      <c r="W173" t="s">
        <v>21</v>
      </c>
      <c r="Y173" t="s">
        <v>115</v>
      </c>
      <c r="Z173" t="s">
        <v>300</v>
      </c>
      <c r="AA173" t="s">
        <v>35</v>
      </c>
      <c r="AB173" t="s">
        <v>35</v>
      </c>
      <c r="AC173" t="s">
        <v>25</v>
      </c>
      <c r="AD173" t="s">
        <v>29</v>
      </c>
    </row>
    <row r="174" spans="10:30" x14ac:dyDescent="0.35">
      <c r="J174" t="s">
        <v>3</v>
      </c>
      <c r="K174" t="s">
        <v>89</v>
      </c>
      <c r="L174" t="s">
        <v>33</v>
      </c>
      <c r="M174" t="s">
        <v>8</v>
      </c>
      <c r="O174" t="s">
        <v>7</v>
      </c>
      <c r="P174" t="s">
        <v>81</v>
      </c>
      <c r="Q174" t="s">
        <v>32</v>
      </c>
      <c r="R174" t="s">
        <v>232</v>
      </c>
      <c r="S174" t="s">
        <v>128</v>
      </c>
      <c r="T174" t="s">
        <v>50</v>
      </c>
      <c r="U174" t="s">
        <v>253</v>
      </c>
      <c r="V174" t="s">
        <v>50</v>
      </c>
      <c r="W174" t="s">
        <v>128</v>
      </c>
      <c r="Y174" t="s">
        <v>35</v>
      </c>
      <c r="Z174" t="s">
        <v>12</v>
      </c>
      <c r="AA174" t="s">
        <v>21</v>
      </c>
      <c r="AB174" t="s">
        <v>52</v>
      </c>
      <c r="AC174" t="s">
        <v>300</v>
      </c>
      <c r="AD174" t="s">
        <v>35</v>
      </c>
    </row>
    <row r="175" spans="10:30" x14ac:dyDescent="0.35">
      <c r="J175" t="s">
        <v>10</v>
      </c>
      <c r="K175" t="s">
        <v>1</v>
      </c>
      <c r="L175" t="s">
        <v>21</v>
      </c>
      <c r="M175" t="s">
        <v>31</v>
      </c>
      <c r="O175" t="s">
        <v>21</v>
      </c>
      <c r="P175" t="s">
        <v>117</v>
      </c>
      <c r="Q175" t="s">
        <v>15</v>
      </c>
      <c r="R175" t="s">
        <v>0</v>
      </c>
      <c r="S175" t="s">
        <v>8</v>
      </c>
      <c r="T175" t="s">
        <v>31</v>
      </c>
      <c r="U175" t="s">
        <v>122</v>
      </c>
      <c r="V175" t="s">
        <v>104</v>
      </c>
      <c r="W175" t="s">
        <v>147</v>
      </c>
      <c r="Y175" t="s">
        <v>139</v>
      </c>
      <c r="Z175" t="s">
        <v>22</v>
      </c>
      <c r="AA175" t="s">
        <v>175</v>
      </c>
      <c r="AB175" t="s">
        <v>49</v>
      </c>
      <c r="AC175" t="s">
        <v>121</v>
      </c>
      <c r="AD175" t="s">
        <v>116</v>
      </c>
    </row>
    <row r="176" spans="10:30" x14ac:dyDescent="0.35">
      <c r="J176" t="s">
        <v>122</v>
      </c>
      <c r="K176" t="s">
        <v>15</v>
      </c>
      <c r="L176" t="s">
        <v>35</v>
      </c>
      <c r="M176" t="s">
        <v>232</v>
      </c>
      <c r="O176" t="s">
        <v>472</v>
      </c>
      <c r="P176" t="s">
        <v>232</v>
      </c>
      <c r="Q176" t="s">
        <v>104</v>
      </c>
      <c r="R176" t="s">
        <v>81</v>
      </c>
      <c r="S176" t="s">
        <v>10</v>
      </c>
      <c r="T176" t="s">
        <v>81</v>
      </c>
      <c r="U176" t="s">
        <v>104</v>
      </c>
      <c r="V176" t="s">
        <v>81</v>
      </c>
      <c r="W176" t="s">
        <v>12</v>
      </c>
      <c r="Y176" t="s">
        <v>122</v>
      </c>
      <c r="Z176" t="s">
        <v>115</v>
      </c>
      <c r="AA176" t="s">
        <v>15</v>
      </c>
      <c r="AB176" t="s">
        <v>122</v>
      </c>
      <c r="AC176" t="s">
        <v>1</v>
      </c>
      <c r="AD176" t="s">
        <v>52</v>
      </c>
    </row>
    <row r="177" spans="10:32" x14ac:dyDescent="0.35">
      <c r="J177" t="s">
        <v>31</v>
      </c>
      <c r="K177" t="s">
        <v>104</v>
      </c>
      <c r="L177" t="s">
        <v>104</v>
      </c>
      <c r="M177" t="s">
        <v>87</v>
      </c>
      <c r="O177" t="s">
        <v>31</v>
      </c>
      <c r="P177" t="s">
        <v>52</v>
      </c>
      <c r="Q177" t="s">
        <v>31</v>
      </c>
      <c r="R177" t="s">
        <v>4</v>
      </c>
      <c r="S177" t="s">
        <v>21</v>
      </c>
      <c r="T177" t="s">
        <v>122</v>
      </c>
      <c r="U177" t="s">
        <v>33</v>
      </c>
      <c r="V177" t="s">
        <v>122</v>
      </c>
      <c r="W177" t="s">
        <v>10</v>
      </c>
      <c r="Y177" t="s">
        <v>78</v>
      </c>
      <c r="Z177" t="s">
        <v>232</v>
      </c>
      <c r="AA177" t="s">
        <v>52</v>
      </c>
      <c r="AB177" t="s">
        <v>147</v>
      </c>
      <c r="AC177" t="s">
        <v>147</v>
      </c>
      <c r="AD177" t="s">
        <v>49</v>
      </c>
    </row>
    <row r="178" spans="10:32" x14ac:dyDescent="0.35">
      <c r="J178" t="s">
        <v>21</v>
      </c>
      <c r="K178" t="s">
        <v>50</v>
      </c>
      <c r="L178" t="s">
        <v>15</v>
      </c>
      <c r="M178" t="s">
        <v>81</v>
      </c>
      <c r="O178" t="s">
        <v>32</v>
      </c>
      <c r="P178" t="s">
        <v>27</v>
      </c>
      <c r="Q178" t="s">
        <v>28</v>
      </c>
      <c r="R178" t="s">
        <v>112</v>
      </c>
      <c r="S178" t="s">
        <v>122</v>
      </c>
      <c r="T178" t="s">
        <v>21</v>
      </c>
      <c r="U178" t="s">
        <v>81</v>
      </c>
      <c r="V178" t="s">
        <v>147</v>
      </c>
      <c r="W178" t="s">
        <v>10</v>
      </c>
      <c r="Y178" t="s">
        <v>15</v>
      </c>
      <c r="Z178" t="s">
        <v>35</v>
      </c>
      <c r="AA178" t="s">
        <v>128</v>
      </c>
      <c r="AB178" t="s">
        <v>29</v>
      </c>
      <c r="AC178" t="s">
        <v>31</v>
      </c>
      <c r="AD178" t="s">
        <v>30</v>
      </c>
    </row>
    <row r="179" spans="10:32" x14ac:dyDescent="0.35">
      <c r="J179" t="s">
        <v>56</v>
      </c>
      <c r="K179" t="s">
        <v>29</v>
      </c>
      <c r="L179" t="s">
        <v>122</v>
      </c>
      <c r="M179" t="s">
        <v>1</v>
      </c>
      <c r="O179" t="s">
        <v>33</v>
      </c>
      <c r="P179" t="s">
        <v>22</v>
      </c>
      <c r="Q179" t="s">
        <v>33</v>
      </c>
      <c r="R179" t="s">
        <v>31</v>
      </c>
      <c r="S179" t="s">
        <v>49</v>
      </c>
      <c r="T179" t="s">
        <v>147</v>
      </c>
      <c r="U179" t="s">
        <v>15</v>
      </c>
      <c r="V179" t="s">
        <v>15</v>
      </c>
      <c r="W179" t="s">
        <v>35</v>
      </c>
      <c r="Y179" t="s">
        <v>21</v>
      </c>
      <c r="Z179" t="s">
        <v>122</v>
      </c>
      <c r="AA179" t="s">
        <v>51</v>
      </c>
      <c r="AB179" t="s">
        <v>31</v>
      </c>
      <c r="AC179" t="s">
        <v>122</v>
      </c>
      <c r="AD179" t="s">
        <v>175</v>
      </c>
    </row>
    <row r="180" spans="10:32" x14ac:dyDescent="0.35">
      <c r="J180" t="s">
        <v>8</v>
      </c>
      <c r="K180" t="s">
        <v>33</v>
      </c>
      <c r="L180" t="s">
        <v>29</v>
      </c>
      <c r="M180" t="s">
        <v>33</v>
      </c>
      <c r="O180" t="s">
        <v>104</v>
      </c>
      <c r="P180" t="s">
        <v>122</v>
      </c>
      <c r="Q180" t="s">
        <v>21</v>
      </c>
      <c r="R180" t="s">
        <v>119</v>
      </c>
      <c r="S180" t="s">
        <v>26</v>
      </c>
      <c r="T180" t="s">
        <v>33</v>
      </c>
      <c r="U180" t="s">
        <v>21</v>
      </c>
      <c r="V180" t="s">
        <v>33</v>
      </c>
      <c r="W180" t="s">
        <v>26</v>
      </c>
      <c r="Y180" t="s">
        <v>121</v>
      </c>
      <c r="Z180" t="s">
        <v>56</v>
      </c>
      <c r="AA180" t="s">
        <v>253</v>
      </c>
      <c r="AB180" t="s">
        <v>25</v>
      </c>
      <c r="AC180" t="s">
        <v>232</v>
      </c>
      <c r="AD180" t="s">
        <v>253</v>
      </c>
    </row>
    <row r="182" spans="10:32" x14ac:dyDescent="0.35">
      <c r="J182" s="1">
        <v>45876</v>
      </c>
      <c r="K182" s="1">
        <v>45876</v>
      </c>
      <c r="L182" s="1">
        <v>45876</v>
      </c>
      <c r="M182" s="1">
        <v>45876</v>
      </c>
      <c r="N182" s="1">
        <v>45883</v>
      </c>
      <c r="O182" s="1">
        <v>45883</v>
      </c>
      <c r="P182" s="1">
        <v>45883</v>
      </c>
      <c r="R182" s="1">
        <v>45885</v>
      </c>
      <c r="S182" s="1">
        <v>45885</v>
      </c>
      <c r="T182" s="1">
        <v>45885</v>
      </c>
      <c r="U182" s="1">
        <v>45885</v>
      </c>
      <c r="V182" s="1">
        <v>45885</v>
      </c>
      <c r="W182" s="1">
        <v>45885</v>
      </c>
      <c r="X182" s="1">
        <v>45885</v>
      </c>
      <c r="Y182" s="1">
        <v>45885</v>
      </c>
      <c r="Z182" s="1">
        <v>45885</v>
      </c>
      <c r="AA182" s="1">
        <v>45885</v>
      </c>
      <c r="AC182" s="1">
        <v>45890</v>
      </c>
      <c r="AD182" s="1">
        <v>45890</v>
      </c>
      <c r="AE182" s="1">
        <v>45890</v>
      </c>
      <c r="AF182" s="1">
        <v>45890</v>
      </c>
    </row>
    <row r="183" spans="10:32" x14ac:dyDescent="0.35">
      <c r="J183" t="s">
        <v>10</v>
      </c>
      <c r="K183" t="s">
        <v>110</v>
      </c>
      <c r="L183" t="s">
        <v>51</v>
      </c>
      <c r="M183" t="s">
        <v>35</v>
      </c>
      <c r="N183" t="s">
        <v>31</v>
      </c>
      <c r="O183" t="s">
        <v>27</v>
      </c>
      <c r="P183" t="s">
        <v>21</v>
      </c>
      <c r="R183" t="s">
        <v>15</v>
      </c>
      <c r="S183" t="s">
        <v>0</v>
      </c>
      <c r="T183" s="1" t="s">
        <v>121</v>
      </c>
      <c r="U183" t="s">
        <v>87</v>
      </c>
      <c r="V183" t="s">
        <v>121</v>
      </c>
      <c r="W183" t="s">
        <v>232</v>
      </c>
      <c r="X183" t="s">
        <v>232</v>
      </c>
      <c r="Y183" t="s">
        <v>17</v>
      </c>
      <c r="Z183" t="s">
        <v>147</v>
      </c>
      <c r="AA183" t="s">
        <v>61</v>
      </c>
      <c r="AC183" t="s">
        <v>25</v>
      </c>
      <c r="AD183" t="s">
        <v>147</v>
      </c>
      <c r="AE183" t="s">
        <v>25</v>
      </c>
      <c r="AF183" t="s">
        <v>27</v>
      </c>
    </row>
    <row r="184" spans="10:32" x14ac:dyDescent="0.35">
      <c r="J184" t="s">
        <v>1</v>
      </c>
      <c r="K184" t="s">
        <v>29</v>
      </c>
      <c r="L184" t="s">
        <v>122</v>
      </c>
      <c r="M184" t="s">
        <v>15</v>
      </c>
      <c r="N184" t="s">
        <v>25</v>
      </c>
      <c r="O184" t="s">
        <v>175</v>
      </c>
      <c r="P184" t="s">
        <v>128</v>
      </c>
      <c r="R184" t="s">
        <v>21</v>
      </c>
      <c r="S184" t="s">
        <v>232</v>
      </c>
      <c r="T184" t="s">
        <v>27</v>
      </c>
      <c r="U184" t="s">
        <v>104</v>
      </c>
      <c r="V184" t="s">
        <v>30</v>
      </c>
      <c r="W184" t="s">
        <v>31</v>
      </c>
      <c r="X184" t="s">
        <v>253</v>
      </c>
      <c r="Y184" t="s">
        <v>49</v>
      </c>
      <c r="Z184" t="s">
        <v>17</v>
      </c>
      <c r="AA184" t="s">
        <v>17</v>
      </c>
      <c r="AC184" t="s">
        <v>10</v>
      </c>
      <c r="AD184" t="s">
        <v>49</v>
      </c>
      <c r="AE184" t="s">
        <v>9</v>
      </c>
      <c r="AF184" t="s">
        <v>147</v>
      </c>
    </row>
    <row r="185" spans="10:32" x14ac:dyDescent="0.35">
      <c r="J185" t="s">
        <v>35</v>
      </c>
      <c r="K185" t="s">
        <v>49</v>
      </c>
      <c r="L185" t="s">
        <v>232</v>
      </c>
      <c r="M185" t="s">
        <v>175</v>
      </c>
      <c r="N185" t="s">
        <v>1</v>
      </c>
      <c r="O185" t="s">
        <v>29</v>
      </c>
      <c r="P185" t="s">
        <v>31</v>
      </c>
      <c r="R185" t="s">
        <v>33</v>
      </c>
      <c r="S185" t="s">
        <v>63</v>
      </c>
      <c r="T185" t="s">
        <v>87</v>
      </c>
      <c r="U185" t="s">
        <v>33</v>
      </c>
      <c r="V185" t="s">
        <v>12</v>
      </c>
      <c r="W185" t="s">
        <v>147</v>
      </c>
      <c r="X185" t="s">
        <v>122</v>
      </c>
      <c r="Y185" t="s">
        <v>63</v>
      </c>
      <c r="Z185" t="s">
        <v>25</v>
      </c>
      <c r="AA185" t="s">
        <v>25</v>
      </c>
      <c r="AC185" t="s">
        <v>28</v>
      </c>
      <c r="AD185" t="s">
        <v>1</v>
      </c>
      <c r="AE185" t="s">
        <v>87</v>
      </c>
      <c r="AF185" t="s">
        <v>15</v>
      </c>
    </row>
    <row r="186" spans="10:32" x14ac:dyDescent="0.35">
      <c r="J186" t="s">
        <v>51</v>
      </c>
      <c r="K186" t="s">
        <v>15</v>
      </c>
      <c r="L186" t="s">
        <v>87</v>
      </c>
      <c r="M186" t="s">
        <v>253</v>
      </c>
      <c r="N186" t="s">
        <v>122</v>
      </c>
      <c r="O186" t="s">
        <v>30</v>
      </c>
      <c r="P186" t="s">
        <v>232</v>
      </c>
      <c r="R186" t="s">
        <v>87</v>
      </c>
      <c r="S186" t="s">
        <v>21</v>
      </c>
      <c r="T186" t="s">
        <v>49</v>
      </c>
      <c r="U186" t="s">
        <v>19</v>
      </c>
      <c r="V186" t="s">
        <v>148</v>
      </c>
      <c r="W186" t="s">
        <v>63</v>
      </c>
      <c r="X186" t="s">
        <v>21</v>
      </c>
      <c r="Y186" t="s">
        <v>27</v>
      </c>
      <c r="Z186" t="s">
        <v>122</v>
      </c>
      <c r="AA186" t="s">
        <v>147</v>
      </c>
      <c r="AC186" t="s">
        <v>22</v>
      </c>
      <c r="AD186" t="s">
        <v>19</v>
      </c>
      <c r="AE186" t="s">
        <v>31</v>
      </c>
      <c r="AF186" t="s">
        <v>29</v>
      </c>
    </row>
    <row r="187" spans="10:32" x14ac:dyDescent="0.35">
      <c r="J187" t="s">
        <v>31</v>
      </c>
      <c r="K187" t="s">
        <v>89</v>
      </c>
      <c r="L187" t="s">
        <v>28</v>
      </c>
      <c r="M187" t="s">
        <v>25</v>
      </c>
      <c r="N187" t="s">
        <v>49</v>
      </c>
      <c r="O187" t="s">
        <v>15</v>
      </c>
      <c r="P187" t="s">
        <v>1</v>
      </c>
      <c r="R187" t="s">
        <v>17</v>
      </c>
      <c r="S187" t="s">
        <v>31</v>
      </c>
      <c r="T187" t="s">
        <v>30</v>
      </c>
      <c r="U187" t="s">
        <v>32</v>
      </c>
      <c r="V187" t="s">
        <v>49</v>
      </c>
      <c r="W187" t="s">
        <v>58</v>
      </c>
      <c r="X187" t="s">
        <v>61</v>
      </c>
      <c r="Y187" t="s">
        <v>147</v>
      </c>
      <c r="Z187" t="s">
        <v>232</v>
      </c>
      <c r="AA187" t="s">
        <v>104</v>
      </c>
      <c r="AC187" t="s">
        <v>49</v>
      </c>
      <c r="AD187" t="s">
        <v>51</v>
      </c>
      <c r="AE187" t="s">
        <v>232</v>
      </c>
      <c r="AF187" t="s">
        <v>51</v>
      </c>
    </row>
    <row r="188" spans="10:32" x14ac:dyDescent="0.35">
      <c r="J188" t="s">
        <v>122</v>
      </c>
      <c r="K188" t="s">
        <v>22</v>
      </c>
      <c r="L188" t="s">
        <v>116</v>
      </c>
      <c r="M188" t="s">
        <v>110</v>
      </c>
      <c r="N188" t="s">
        <v>21</v>
      </c>
      <c r="O188" t="s">
        <v>89</v>
      </c>
      <c r="P188" t="s">
        <v>122</v>
      </c>
      <c r="R188" t="s">
        <v>31</v>
      </c>
      <c r="S188" t="s">
        <v>25</v>
      </c>
      <c r="T188" t="s">
        <v>148</v>
      </c>
      <c r="U188" t="s">
        <v>21</v>
      </c>
      <c r="V188" t="s">
        <v>25</v>
      </c>
      <c r="W188" t="s">
        <v>0</v>
      </c>
      <c r="X188" t="s">
        <v>87</v>
      </c>
      <c r="Y188" t="s">
        <v>58</v>
      </c>
      <c r="Z188" t="s">
        <v>104</v>
      </c>
      <c r="AA188" t="s">
        <v>33</v>
      </c>
      <c r="AC188" t="s">
        <v>26</v>
      </c>
      <c r="AD188" t="s">
        <v>15</v>
      </c>
      <c r="AE188" t="s">
        <v>10</v>
      </c>
      <c r="AF188" t="s">
        <v>32</v>
      </c>
    </row>
    <row r="189" spans="10:32" x14ac:dyDescent="0.35">
      <c r="J189" t="s">
        <v>112</v>
      </c>
      <c r="K189" t="s">
        <v>30</v>
      </c>
      <c r="L189" t="s">
        <v>21</v>
      </c>
      <c r="M189" t="s">
        <v>89</v>
      </c>
      <c r="N189" t="s">
        <v>300</v>
      </c>
      <c r="O189" t="s">
        <v>116</v>
      </c>
      <c r="P189" t="s">
        <v>300</v>
      </c>
      <c r="R189" t="s">
        <v>32</v>
      </c>
      <c r="S189" t="s">
        <v>122</v>
      </c>
      <c r="T189" t="s">
        <v>0</v>
      </c>
      <c r="U189" t="s">
        <v>15</v>
      </c>
      <c r="V189" t="s">
        <v>87</v>
      </c>
      <c r="W189" t="s">
        <v>122</v>
      </c>
      <c r="X189" t="s">
        <v>31</v>
      </c>
      <c r="Y189" t="s">
        <v>104</v>
      </c>
      <c r="Z189" t="s">
        <v>33</v>
      </c>
      <c r="AA189" t="s">
        <v>122</v>
      </c>
      <c r="AC189" t="s">
        <v>81</v>
      </c>
      <c r="AD189" t="s">
        <v>32</v>
      </c>
      <c r="AE189" t="s">
        <v>49</v>
      </c>
      <c r="AF189" t="s">
        <v>1</v>
      </c>
    </row>
    <row r="190" spans="10:32" x14ac:dyDescent="0.35">
      <c r="J190" t="s">
        <v>21</v>
      </c>
      <c r="K190" t="s">
        <v>25</v>
      </c>
      <c r="L190" t="s">
        <v>1</v>
      </c>
      <c r="M190" t="s">
        <v>49</v>
      </c>
      <c r="N190" t="s">
        <v>128</v>
      </c>
      <c r="O190" t="s">
        <v>253</v>
      </c>
      <c r="P190" t="s">
        <v>25</v>
      </c>
      <c r="R190" t="s">
        <v>104</v>
      </c>
      <c r="S190" t="s">
        <v>147</v>
      </c>
      <c r="T190" t="s">
        <v>230</v>
      </c>
      <c r="U190" t="s">
        <v>17</v>
      </c>
      <c r="V190" t="s">
        <v>27</v>
      </c>
      <c r="W190" t="s">
        <v>21</v>
      </c>
      <c r="X190" t="s">
        <v>25</v>
      </c>
      <c r="Y190" t="s">
        <v>33</v>
      </c>
      <c r="Z190" t="s">
        <v>21</v>
      </c>
      <c r="AA190" t="s">
        <v>253</v>
      </c>
      <c r="AC190" t="s">
        <v>31</v>
      </c>
      <c r="AD190" t="s">
        <v>31</v>
      </c>
      <c r="AE190" t="s">
        <v>28</v>
      </c>
      <c r="AF190" t="s">
        <v>26</v>
      </c>
    </row>
    <row r="192" spans="10:32" x14ac:dyDescent="0.35">
      <c r="J192" s="1">
        <v>45897</v>
      </c>
      <c r="K192" s="1">
        <v>45897</v>
      </c>
      <c r="L192" s="1">
        <v>45897</v>
      </c>
      <c r="M192" s="1">
        <v>45897</v>
      </c>
      <c r="N192" s="1">
        <v>45897</v>
      </c>
      <c r="O192" s="1">
        <v>45897</v>
      </c>
      <c r="P192" s="1">
        <v>45904</v>
      </c>
      <c r="Q192" s="1">
        <v>45904</v>
      </c>
      <c r="R192" s="1">
        <v>45904</v>
      </c>
      <c r="T192" s="1">
        <v>45911</v>
      </c>
      <c r="U192" s="1">
        <v>45911</v>
      </c>
      <c r="V192" s="1">
        <v>45911</v>
      </c>
      <c r="W192" s="1">
        <v>45911</v>
      </c>
      <c r="Y192" s="1">
        <v>45913</v>
      </c>
      <c r="Z192" s="1">
        <v>45913</v>
      </c>
      <c r="AA192" s="1">
        <v>45913</v>
      </c>
      <c r="AB192" s="1">
        <v>45913</v>
      </c>
      <c r="AC192" s="1">
        <v>45913</v>
      </c>
      <c r="AD192" s="1">
        <v>45913</v>
      </c>
      <c r="AE192" s="1">
        <v>45913</v>
      </c>
    </row>
    <row r="193" spans="10:32" x14ac:dyDescent="0.35">
      <c r="J193" t="s">
        <v>175</v>
      </c>
      <c r="K193" t="s">
        <v>175</v>
      </c>
      <c r="L193" t="s">
        <v>10</v>
      </c>
      <c r="M193" t="s">
        <v>10</v>
      </c>
      <c r="N193" t="s">
        <v>128</v>
      </c>
      <c r="O193" t="s">
        <v>147</v>
      </c>
      <c r="P193" t="s">
        <v>79</v>
      </c>
      <c r="Q193" t="s">
        <v>147</v>
      </c>
      <c r="R193" t="s">
        <v>25</v>
      </c>
      <c r="T193" t="s">
        <v>15</v>
      </c>
      <c r="U193" t="s">
        <v>123</v>
      </c>
      <c r="V193" t="s">
        <v>3</v>
      </c>
      <c r="W193" t="s">
        <v>35</v>
      </c>
      <c r="Y193" t="s">
        <v>35</v>
      </c>
      <c r="Z193" t="s">
        <v>472</v>
      </c>
      <c r="AA193" t="s">
        <v>15</v>
      </c>
      <c r="AB193" t="s">
        <v>4</v>
      </c>
      <c r="AC193" t="s">
        <v>232</v>
      </c>
      <c r="AD193" t="s">
        <v>128</v>
      </c>
      <c r="AE193" t="s">
        <v>4</v>
      </c>
    </row>
    <row r="194" spans="10:32" x14ac:dyDescent="0.35">
      <c r="J194" t="s">
        <v>147</v>
      </c>
      <c r="K194" t="s">
        <v>29</v>
      </c>
      <c r="L194" t="s">
        <v>31</v>
      </c>
      <c r="M194" t="s">
        <v>27</v>
      </c>
      <c r="N194" t="s">
        <v>175</v>
      </c>
      <c r="O194" t="s">
        <v>175</v>
      </c>
      <c r="P194" t="s">
        <v>31</v>
      </c>
      <c r="Q194" t="s">
        <v>1</v>
      </c>
      <c r="R194" t="s">
        <v>481</v>
      </c>
      <c r="T194" t="s">
        <v>147</v>
      </c>
      <c r="U194" t="s">
        <v>121</v>
      </c>
      <c r="V194" t="s">
        <v>147</v>
      </c>
      <c r="W194" t="s">
        <v>147</v>
      </c>
      <c r="Y194" t="s">
        <v>115</v>
      </c>
      <c r="Z194" t="s">
        <v>52</v>
      </c>
      <c r="AA194" t="s">
        <v>0</v>
      </c>
      <c r="AB194" t="s">
        <v>175</v>
      </c>
      <c r="AC194" t="s">
        <v>15</v>
      </c>
      <c r="AD194" t="s">
        <v>5</v>
      </c>
      <c r="AE194" t="s">
        <v>87</v>
      </c>
    </row>
    <row r="195" spans="10:32" x14ac:dyDescent="0.35">
      <c r="J195" t="s">
        <v>19</v>
      </c>
      <c r="K195" t="s">
        <v>30</v>
      </c>
      <c r="L195" t="s">
        <v>21</v>
      </c>
      <c r="M195" t="s">
        <v>21</v>
      </c>
      <c r="N195" t="s">
        <v>253</v>
      </c>
      <c r="O195" t="s">
        <v>35</v>
      </c>
      <c r="P195" t="s">
        <v>25</v>
      </c>
      <c r="Q195" t="s">
        <v>29</v>
      </c>
      <c r="R195" t="s">
        <v>112</v>
      </c>
      <c r="T195" t="s">
        <v>99</v>
      </c>
      <c r="U195" t="s">
        <v>230</v>
      </c>
      <c r="V195" t="s">
        <v>104</v>
      </c>
      <c r="W195" t="s">
        <v>31</v>
      </c>
      <c r="Y195" t="s">
        <v>175</v>
      </c>
      <c r="Z195" t="s">
        <v>128</v>
      </c>
      <c r="AA195" t="s">
        <v>232</v>
      </c>
      <c r="AB195" t="s">
        <v>82</v>
      </c>
      <c r="AC195" t="s">
        <v>10</v>
      </c>
      <c r="AD195" t="s">
        <v>52</v>
      </c>
      <c r="AE195" t="s">
        <v>117</v>
      </c>
    </row>
    <row r="196" spans="10:32" x14ac:dyDescent="0.35">
      <c r="J196" t="s">
        <v>32</v>
      </c>
      <c r="K196" t="s">
        <v>15</v>
      </c>
      <c r="L196" t="s">
        <v>3</v>
      </c>
      <c r="M196" t="s">
        <v>122</v>
      </c>
      <c r="N196" t="s">
        <v>30</v>
      </c>
      <c r="O196" t="s">
        <v>3</v>
      </c>
      <c r="P196" t="s">
        <v>27</v>
      </c>
      <c r="Q196" t="s">
        <v>30</v>
      </c>
      <c r="R196" t="s">
        <v>232</v>
      </c>
      <c r="T196" t="s">
        <v>29</v>
      </c>
      <c r="U196" t="s">
        <v>81</v>
      </c>
      <c r="V196" t="s">
        <v>112</v>
      </c>
      <c r="W196" t="s">
        <v>484</v>
      </c>
      <c r="Y196" t="s">
        <v>81</v>
      </c>
      <c r="Z196" t="s">
        <v>25</v>
      </c>
      <c r="AA196" t="s">
        <v>31</v>
      </c>
      <c r="AB196" t="s">
        <v>49</v>
      </c>
      <c r="AC196" t="s">
        <v>82</v>
      </c>
      <c r="AD196" t="s">
        <v>147</v>
      </c>
      <c r="AE196" t="s">
        <v>10</v>
      </c>
    </row>
    <row r="197" spans="10:32" x14ac:dyDescent="0.35">
      <c r="J197" t="s">
        <v>253</v>
      </c>
      <c r="K197" t="s">
        <v>128</v>
      </c>
      <c r="L197" t="s">
        <v>28</v>
      </c>
      <c r="M197" t="s">
        <v>232</v>
      </c>
      <c r="N197" t="s">
        <v>63</v>
      </c>
      <c r="O197" t="s">
        <v>253</v>
      </c>
      <c r="P197" t="s">
        <v>481</v>
      </c>
      <c r="Q197" t="s">
        <v>253</v>
      </c>
      <c r="R197" t="s">
        <v>21</v>
      </c>
      <c r="T197" t="s">
        <v>3</v>
      </c>
      <c r="U197" t="s">
        <v>35</v>
      </c>
      <c r="V197" t="s">
        <v>15</v>
      </c>
      <c r="W197" t="s">
        <v>79</v>
      </c>
      <c r="Y197" t="s">
        <v>82</v>
      </c>
      <c r="Z197" t="s">
        <v>10</v>
      </c>
      <c r="AA197" t="s">
        <v>10</v>
      </c>
      <c r="AB197" t="s">
        <v>26</v>
      </c>
      <c r="AC197" t="s">
        <v>148</v>
      </c>
      <c r="AD197" t="s">
        <v>10</v>
      </c>
      <c r="AE197" t="s">
        <v>0</v>
      </c>
    </row>
    <row r="198" spans="10:32" x14ac:dyDescent="0.35">
      <c r="J198" t="s">
        <v>104</v>
      </c>
      <c r="K198" t="s">
        <v>51</v>
      </c>
      <c r="L198" t="s">
        <v>27</v>
      </c>
      <c r="M198" t="s">
        <v>87</v>
      </c>
      <c r="N198" t="s">
        <v>29</v>
      </c>
      <c r="O198" t="s">
        <v>89</v>
      </c>
      <c r="P198" t="s">
        <v>21</v>
      </c>
      <c r="Q198" t="s">
        <v>15</v>
      </c>
      <c r="R198" t="s">
        <v>28</v>
      </c>
      <c r="T198" t="s">
        <v>30</v>
      </c>
      <c r="U198" t="s">
        <v>31</v>
      </c>
      <c r="V198" t="s">
        <v>21</v>
      </c>
      <c r="W198" t="s">
        <v>25</v>
      </c>
      <c r="Y198" t="s">
        <v>61</v>
      </c>
      <c r="Z198" t="s">
        <v>147</v>
      </c>
      <c r="AA198" t="s">
        <v>148</v>
      </c>
      <c r="AB198" t="s">
        <v>81</v>
      </c>
      <c r="AC198" t="s">
        <v>0</v>
      </c>
      <c r="AD198" t="s">
        <v>21</v>
      </c>
      <c r="AE198" t="s">
        <v>148</v>
      </c>
    </row>
    <row r="199" spans="10:32" x14ac:dyDescent="0.35">
      <c r="J199" t="s">
        <v>26</v>
      </c>
      <c r="K199" t="s">
        <v>63</v>
      </c>
      <c r="L199" t="s">
        <v>25</v>
      </c>
      <c r="M199" t="s">
        <v>25</v>
      </c>
      <c r="N199" t="s">
        <v>51</v>
      </c>
      <c r="O199" t="s">
        <v>104</v>
      </c>
      <c r="P199" t="s">
        <v>123</v>
      </c>
      <c r="Q199" t="s">
        <v>49</v>
      </c>
      <c r="R199" t="s">
        <v>79</v>
      </c>
      <c r="T199" t="s">
        <v>104</v>
      </c>
      <c r="U199" t="s">
        <v>21</v>
      </c>
      <c r="V199" t="s">
        <v>29</v>
      </c>
      <c r="W199" t="s">
        <v>81</v>
      </c>
      <c r="Y199" t="s">
        <v>49</v>
      </c>
      <c r="Z199" t="s">
        <v>21</v>
      </c>
      <c r="AA199" t="s">
        <v>79</v>
      </c>
      <c r="AB199" t="s">
        <v>35</v>
      </c>
      <c r="AC199" t="s">
        <v>79</v>
      </c>
      <c r="AD199" t="s">
        <v>25</v>
      </c>
      <c r="AE199" t="s">
        <v>232</v>
      </c>
    </row>
    <row r="200" spans="10:32" x14ac:dyDescent="0.35">
      <c r="J200" t="s">
        <v>35</v>
      </c>
      <c r="K200" t="s">
        <v>253</v>
      </c>
      <c r="L200" t="s">
        <v>49</v>
      </c>
      <c r="M200" t="s">
        <v>31</v>
      </c>
      <c r="N200" t="s">
        <v>15</v>
      </c>
      <c r="O200" t="s">
        <v>26</v>
      </c>
      <c r="P200" t="s">
        <v>81</v>
      </c>
      <c r="Q200" t="s">
        <v>61</v>
      </c>
      <c r="R200" t="s">
        <v>31</v>
      </c>
      <c r="T200" t="s">
        <v>21</v>
      </c>
      <c r="U200" t="s">
        <v>25</v>
      </c>
      <c r="V200" t="s">
        <v>28</v>
      </c>
      <c r="W200" t="s">
        <v>230</v>
      </c>
      <c r="Y200" t="s">
        <v>26</v>
      </c>
      <c r="Z200" t="s">
        <v>87</v>
      </c>
      <c r="AA200" t="s">
        <v>82</v>
      </c>
      <c r="AB200" t="s">
        <v>61</v>
      </c>
      <c r="AC200" t="s">
        <v>31</v>
      </c>
      <c r="AD200" t="s">
        <v>87</v>
      </c>
      <c r="AE200" t="s">
        <v>31</v>
      </c>
    </row>
    <row r="202" spans="10:32" x14ac:dyDescent="0.35">
      <c r="J202" s="1">
        <v>45918</v>
      </c>
      <c r="K202" s="1">
        <v>45918</v>
      </c>
      <c r="L202" s="1">
        <v>45918</v>
      </c>
      <c r="M202" s="1">
        <v>45918</v>
      </c>
      <c r="N202" s="1">
        <v>45925</v>
      </c>
      <c r="O202" s="1">
        <v>45925</v>
      </c>
      <c r="Q202" s="1">
        <v>45932</v>
      </c>
      <c r="R202" s="1">
        <v>45932</v>
      </c>
      <c r="S202" s="1">
        <v>45932</v>
      </c>
      <c r="T202" s="1">
        <v>45932</v>
      </c>
      <c r="U202" s="1">
        <v>45933</v>
      </c>
      <c r="V202" s="1">
        <v>45933</v>
      </c>
      <c r="X202" s="1">
        <v>45934</v>
      </c>
      <c r="Y202" s="1">
        <v>45934</v>
      </c>
      <c r="Z202" s="1">
        <v>45934</v>
      </c>
      <c r="AA202" s="1">
        <v>45934</v>
      </c>
      <c r="AB202" s="1">
        <v>45934</v>
      </c>
      <c r="AC202" s="1">
        <v>45934</v>
      </c>
      <c r="AD202" s="1">
        <v>45934</v>
      </c>
      <c r="AE202" s="1">
        <v>45934</v>
      </c>
      <c r="AF202" s="1">
        <v>45934</v>
      </c>
    </row>
    <row r="203" spans="10:32" x14ac:dyDescent="0.35">
      <c r="J203" t="s">
        <v>29</v>
      </c>
      <c r="K203" t="s">
        <v>104</v>
      </c>
      <c r="L203" t="s">
        <v>31</v>
      </c>
      <c r="M203" t="s">
        <v>87</v>
      </c>
      <c r="N203" t="s">
        <v>35</v>
      </c>
      <c r="O203" t="s">
        <v>49</v>
      </c>
      <c r="Q203" t="s">
        <v>147</v>
      </c>
      <c r="R203" t="s">
        <v>35</v>
      </c>
      <c r="S203" t="s">
        <v>21</v>
      </c>
      <c r="T203" t="s">
        <v>89</v>
      </c>
      <c r="U203" t="s">
        <v>232</v>
      </c>
      <c r="V203" t="s">
        <v>79</v>
      </c>
      <c r="X203" t="s">
        <v>22</v>
      </c>
      <c r="Y203" t="s">
        <v>79</v>
      </c>
      <c r="Z203" t="s">
        <v>25</v>
      </c>
      <c r="AA203" t="s">
        <v>121</v>
      </c>
      <c r="AB203" t="s">
        <v>49</v>
      </c>
      <c r="AC203" t="s">
        <v>49</v>
      </c>
      <c r="AD203" t="s">
        <v>128</v>
      </c>
      <c r="AE203" t="s">
        <v>79</v>
      </c>
      <c r="AF203" t="s">
        <v>148</v>
      </c>
    </row>
    <row r="204" spans="10:32" x14ac:dyDescent="0.35">
      <c r="J204" t="s">
        <v>15</v>
      </c>
      <c r="K204" t="s">
        <v>26</v>
      </c>
      <c r="L204" t="s">
        <v>79</v>
      </c>
      <c r="M204" t="s">
        <v>25</v>
      </c>
      <c r="N204" t="s">
        <v>49</v>
      </c>
      <c r="O204" t="s">
        <v>35</v>
      </c>
      <c r="Q204" t="s">
        <v>104</v>
      </c>
      <c r="R204" t="s">
        <v>232</v>
      </c>
      <c r="S204" t="s">
        <v>49</v>
      </c>
      <c r="T204" t="s">
        <v>147</v>
      </c>
      <c r="U204" t="s">
        <v>79</v>
      </c>
      <c r="V204" t="s">
        <v>31</v>
      </c>
      <c r="X204" t="s">
        <v>147</v>
      </c>
      <c r="Y204" t="s">
        <v>22</v>
      </c>
      <c r="Z204" t="s">
        <v>16</v>
      </c>
      <c r="AA204" t="s">
        <v>82</v>
      </c>
      <c r="AB204" t="s">
        <v>32</v>
      </c>
      <c r="AC204" t="s">
        <v>128</v>
      </c>
      <c r="AD204" t="s">
        <v>15</v>
      </c>
      <c r="AE204" t="s">
        <v>232</v>
      </c>
      <c r="AF204" t="s">
        <v>31</v>
      </c>
    </row>
    <row r="205" spans="10:32" x14ac:dyDescent="0.35">
      <c r="J205" t="s">
        <v>104</v>
      </c>
      <c r="K205" t="s">
        <v>29</v>
      </c>
      <c r="L205" t="s">
        <v>87</v>
      </c>
      <c r="M205" t="s">
        <v>31</v>
      </c>
      <c r="N205" t="s">
        <v>31</v>
      </c>
      <c r="O205" t="s">
        <v>232</v>
      </c>
      <c r="Q205" t="s">
        <v>35</v>
      </c>
      <c r="R205" t="s">
        <v>21</v>
      </c>
      <c r="S205" t="s">
        <v>26</v>
      </c>
      <c r="T205" t="s">
        <v>35</v>
      </c>
      <c r="U205" t="s">
        <v>31</v>
      </c>
      <c r="V205" t="s">
        <v>35</v>
      </c>
      <c r="X205" t="s">
        <v>79</v>
      </c>
      <c r="Y205" t="s">
        <v>232</v>
      </c>
      <c r="Z205" t="s">
        <v>87</v>
      </c>
      <c r="AA205" t="s">
        <v>115</v>
      </c>
      <c r="AB205" t="s">
        <v>128</v>
      </c>
      <c r="AC205" t="s">
        <v>104</v>
      </c>
      <c r="AD205" t="s">
        <v>49</v>
      </c>
      <c r="AE205" t="s">
        <v>147</v>
      </c>
      <c r="AF205" t="s">
        <v>25</v>
      </c>
    </row>
    <row r="206" spans="10:32" x14ac:dyDescent="0.35">
      <c r="J206" t="s">
        <v>115</v>
      </c>
      <c r="K206" t="s">
        <v>15</v>
      </c>
      <c r="L206" t="s">
        <v>10</v>
      </c>
      <c r="M206" t="s">
        <v>21</v>
      </c>
      <c r="N206" t="s">
        <v>15</v>
      </c>
      <c r="O206" t="s">
        <v>31</v>
      </c>
      <c r="Q206" t="s">
        <v>31</v>
      </c>
      <c r="R206" t="s">
        <v>25</v>
      </c>
      <c r="S206" t="s">
        <v>79</v>
      </c>
      <c r="T206" t="s">
        <v>29</v>
      </c>
      <c r="U206" t="s">
        <v>35</v>
      </c>
      <c r="V206" t="s">
        <v>3</v>
      </c>
      <c r="X206" t="s">
        <v>115</v>
      </c>
      <c r="Y206" t="s">
        <v>87</v>
      </c>
      <c r="Z206" t="s">
        <v>30</v>
      </c>
      <c r="AA206" t="s">
        <v>147</v>
      </c>
      <c r="AB206" t="s">
        <v>104</v>
      </c>
      <c r="AC206" t="s">
        <v>253</v>
      </c>
      <c r="AD206" t="s">
        <v>104</v>
      </c>
      <c r="AE206" t="s">
        <v>148</v>
      </c>
      <c r="AF206" t="s">
        <v>15</v>
      </c>
    </row>
    <row r="207" spans="10:32" x14ac:dyDescent="0.35">
      <c r="J207" t="s">
        <v>26</v>
      </c>
      <c r="K207" t="s">
        <v>147</v>
      </c>
      <c r="L207" t="s">
        <v>25</v>
      </c>
      <c r="M207" t="s">
        <v>1</v>
      </c>
      <c r="N207" t="s">
        <v>253</v>
      </c>
      <c r="O207" t="s">
        <v>7</v>
      </c>
      <c r="Q207" t="s">
        <v>81</v>
      </c>
      <c r="R207" t="s">
        <v>81</v>
      </c>
      <c r="S207" t="s">
        <v>29</v>
      </c>
      <c r="T207" t="s">
        <v>104</v>
      </c>
      <c r="U207" t="s">
        <v>87</v>
      </c>
      <c r="V207" t="s">
        <v>115</v>
      </c>
      <c r="X207" t="s">
        <v>31</v>
      </c>
      <c r="Y207" t="s">
        <v>31</v>
      </c>
      <c r="Z207" t="s">
        <v>9</v>
      </c>
      <c r="AA207" t="s">
        <v>81</v>
      </c>
      <c r="AB207" t="s">
        <v>9</v>
      </c>
      <c r="AC207" t="s">
        <v>26</v>
      </c>
      <c r="AD207" t="s">
        <v>29</v>
      </c>
      <c r="AE207" t="s">
        <v>25</v>
      </c>
      <c r="AF207" t="s">
        <v>79</v>
      </c>
    </row>
    <row r="208" spans="10:32" x14ac:dyDescent="0.35">
      <c r="J208" t="s">
        <v>30</v>
      </c>
      <c r="K208" t="s">
        <v>115</v>
      </c>
      <c r="L208" t="s">
        <v>21</v>
      </c>
      <c r="M208" t="s">
        <v>79</v>
      </c>
      <c r="N208" t="s">
        <v>175</v>
      </c>
      <c r="O208" t="s">
        <v>25</v>
      </c>
      <c r="Q208" t="s">
        <v>87</v>
      </c>
      <c r="R208" t="s">
        <v>79</v>
      </c>
      <c r="S208" t="s">
        <v>32</v>
      </c>
      <c r="T208" t="s">
        <v>26</v>
      </c>
      <c r="U208" t="s">
        <v>115</v>
      </c>
      <c r="V208" t="s">
        <v>232</v>
      </c>
      <c r="X208" t="s">
        <v>0</v>
      </c>
      <c r="Y208" t="s">
        <v>25</v>
      </c>
      <c r="Z208" t="s">
        <v>82</v>
      </c>
      <c r="AA208" t="s">
        <v>17</v>
      </c>
      <c r="AB208" t="s">
        <v>26</v>
      </c>
      <c r="AC208" t="s">
        <v>175</v>
      </c>
      <c r="AD208" t="s">
        <v>0</v>
      </c>
      <c r="AE208" t="s">
        <v>49</v>
      </c>
      <c r="AF208" t="s">
        <v>87</v>
      </c>
    </row>
    <row r="209" spans="10:32" x14ac:dyDescent="0.35">
      <c r="J209" t="s">
        <v>89</v>
      </c>
      <c r="K209" t="s">
        <v>49</v>
      </c>
      <c r="L209" t="s">
        <v>123</v>
      </c>
      <c r="M209" t="s">
        <v>232</v>
      </c>
      <c r="N209" t="s">
        <v>10</v>
      </c>
      <c r="O209" t="s">
        <v>10</v>
      </c>
      <c r="Q209" t="s">
        <v>89</v>
      </c>
      <c r="R209" t="s">
        <v>87</v>
      </c>
      <c r="S209" t="s">
        <v>128</v>
      </c>
      <c r="T209" t="s">
        <v>49</v>
      </c>
      <c r="U209" t="s">
        <v>25</v>
      </c>
      <c r="V209" t="s">
        <v>87</v>
      </c>
      <c r="X209" t="s">
        <v>15</v>
      </c>
      <c r="Y209" t="s">
        <v>0</v>
      </c>
      <c r="Z209" t="s">
        <v>121</v>
      </c>
      <c r="AA209" t="s">
        <v>9</v>
      </c>
      <c r="AB209" t="s">
        <v>16</v>
      </c>
      <c r="AC209" t="s">
        <v>16</v>
      </c>
      <c r="AD209" t="s">
        <v>115</v>
      </c>
      <c r="AE209" t="s">
        <v>31</v>
      </c>
      <c r="AF209" t="s">
        <v>0</v>
      </c>
    </row>
    <row r="210" spans="10:32" x14ac:dyDescent="0.35">
      <c r="J210" t="s">
        <v>49</v>
      </c>
      <c r="K210" t="s">
        <v>35</v>
      </c>
      <c r="L210" t="s">
        <v>1</v>
      </c>
      <c r="M210" t="s">
        <v>123</v>
      </c>
      <c r="N210" t="s">
        <v>12</v>
      </c>
      <c r="O210" t="s">
        <v>15</v>
      </c>
      <c r="Q210" t="s">
        <v>25</v>
      </c>
      <c r="R210" t="s">
        <v>31</v>
      </c>
      <c r="S210" t="s">
        <v>15</v>
      </c>
      <c r="T210" t="s">
        <v>15</v>
      </c>
      <c r="U210" t="s">
        <v>3</v>
      </c>
      <c r="V210" t="s">
        <v>25</v>
      </c>
      <c r="X210" t="s">
        <v>232</v>
      </c>
      <c r="Y210" t="s">
        <v>82</v>
      </c>
      <c r="Z210" t="s">
        <v>17</v>
      </c>
      <c r="AA210" t="s">
        <v>30</v>
      </c>
      <c r="AB210" t="s">
        <v>15</v>
      </c>
      <c r="AC210" t="s">
        <v>32</v>
      </c>
      <c r="AD210" t="s">
        <v>26</v>
      </c>
      <c r="AE210" t="s">
        <v>87</v>
      </c>
      <c r="AF210" t="s">
        <v>26</v>
      </c>
    </row>
    <row r="212" spans="10:32" x14ac:dyDescent="0.35">
      <c r="J212" s="1">
        <v>45939</v>
      </c>
      <c r="K212" s="1">
        <v>45939</v>
      </c>
      <c r="L212" s="1">
        <v>45939</v>
      </c>
      <c r="M212" s="1">
        <v>45939</v>
      </c>
      <c r="O212" s="1">
        <v>45946</v>
      </c>
      <c r="P212" s="1">
        <v>45946</v>
      </c>
      <c r="Q212" s="1">
        <v>45946</v>
      </c>
      <c r="R212" s="1">
        <v>45946</v>
      </c>
      <c r="T212" s="1">
        <v>45953</v>
      </c>
      <c r="U212" s="1">
        <v>45953</v>
      </c>
      <c r="V212" s="1">
        <v>45953</v>
      </c>
      <c r="W212" s="1">
        <v>45953</v>
      </c>
      <c r="X212" s="1">
        <v>45954</v>
      </c>
    </row>
    <row r="213" spans="10:32" x14ac:dyDescent="0.35">
      <c r="J213" t="s">
        <v>31</v>
      </c>
      <c r="K213" t="s">
        <v>31</v>
      </c>
      <c r="L213" t="s">
        <v>148</v>
      </c>
      <c r="M213" t="s">
        <v>148</v>
      </c>
      <c r="O213" t="s">
        <v>26</v>
      </c>
      <c r="P213" t="s">
        <v>147</v>
      </c>
      <c r="Q213" t="s">
        <v>35</v>
      </c>
      <c r="R213" t="s">
        <v>29</v>
      </c>
      <c r="T213" t="s">
        <v>79</v>
      </c>
      <c r="U213" t="s">
        <v>87</v>
      </c>
      <c r="V213" t="s">
        <v>29</v>
      </c>
      <c r="W213" t="s">
        <v>49</v>
      </c>
      <c r="X213" t="s">
        <v>0</v>
      </c>
    </row>
    <row r="214" spans="10:32" x14ac:dyDescent="0.35">
      <c r="J214" t="s">
        <v>21</v>
      </c>
      <c r="K214" t="s">
        <v>25</v>
      </c>
      <c r="L214" t="s">
        <v>115</v>
      </c>
      <c r="M214" t="s">
        <v>104</v>
      </c>
      <c r="O214" t="s">
        <v>31</v>
      </c>
      <c r="P214" t="s">
        <v>82</v>
      </c>
      <c r="Q214" t="s">
        <v>89</v>
      </c>
      <c r="R214" t="s">
        <v>21</v>
      </c>
      <c r="T214" t="s">
        <v>121</v>
      </c>
      <c r="U214" t="s">
        <v>147</v>
      </c>
      <c r="V214" t="s">
        <v>1</v>
      </c>
      <c r="W214" t="s">
        <v>148</v>
      </c>
      <c r="X214" t="s">
        <v>9</v>
      </c>
    </row>
    <row r="215" spans="10:32" x14ac:dyDescent="0.35">
      <c r="J215" t="s">
        <v>35</v>
      </c>
      <c r="K215" t="s">
        <v>123</v>
      </c>
      <c r="L215" t="s">
        <v>49</v>
      </c>
      <c r="M215" t="s">
        <v>81</v>
      </c>
      <c r="O215" t="s">
        <v>472</v>
      </c>
      <c r="P215" t="s">
        <v>472</v>
      </c>
      <c r="Q215" t="s">
        <v>29</v>
      </c>
      <c r="R215" t="s">
        <v>35</v>
      </c>
      <c r="T215" t="s">
        <v>21</v>
      </c>
      <c r="U215" t="s">
        <v>115</v>
      </c>
      <c r="V215" t="s">
        <v>51</v>
      </c>
      <c r="W215" t="s">
        <v>15</v>
      </c>
      <c r="X215" t="s">
        <v>113</v>
      </c>
    </row>
    <row r="216" spans="10:32" x14ac:dyDescent="0.35">
      <c r="J216" t="s">
        <v>25</v>
      </c>
      <c r="K216" t="s">
        <v>79</v>
      </c>
      <c r="L216" t="s">
        <v>104</v>
      </c>
      <c r="M216" t="s">
        <v>29</v>
      </c>
      <c r="O216" t="s">
        <v>21</v>
      </c>
      <c r="P216" t="s">
        <v>115</v>
      </c>
      <c r="Q216" t="s">
        <v>49</v>
      </c>
      <c r="R216" t="s">
        <v>232</v>
      </c>
      <c r="T216" t="s">
        <v>115</v>
      </c>
      <c r="U216" t="s">
        <v>31</v>
      </c>
      <c r="V216" t="s">
        <v>148</v>
      </c>
      <c r="W216" t="s">
        <v>29</v>
      </c>
      <c r="X216" t="s">
        <v>31</v>
      </c>
    </row>
    <row r="217" spans="10:32" x14ac:dyDescent="0.35">
      <c r="J217" t="s">
        <v>87</v>
      </c>
      <c r="K217" t="s">
        <v>1</v>
      </c>
      <c r="L217" t="s">
        <v>81</v>
      </c>
      <c r="M217" t="s">
        <v>15</v>
      </c>
      <c r="O217" t="s">
        <v>147</v>
      </c>
      <c r="P217" t="s">
        <v>25</v>
      </c>
      <c r="Q217" t="s">
        <v>79</v>
      </c>
      <c r="R217" t="s">
        <v>15</v>
      </c>
      <c r="T217" t="s">
        <v>25</v>
      </c>
      <c r="U217" t="s">
        <v>121</v>
      </c>
      <c r="V217" t="s">
        <v>147</v>
      </c>
      <c r="W217" t="s">
        <v>21</v>
      </c>
      <c r="X217" t="s">
        <v>16</v>
      </c>
    </row>
    <row r="218" spans="10:32" x14ac:dyDescent="0.35">
      <c r="J218" t="s">
        <v>79</v>
      </c>
      <c r="K218" t="s">
        <v>21</v>
      </c>
      <c r="L218" t="s">
        <v>29</v>
      </c>
      <c r="M218" t="s">
        <v>31</v>
      </c>
      <c r="O218" t="s">
        <v>121</v>
      </c>
      <c r="P218" t="s">
        <v>121</v>
      </c>
      <c r="Q218" t="s">
        <v>17</v>
      </c>
      <c r="R218" t="s">
        <v>49</v>
      </c>
      <c r="T218" t="s">
        <v>15</v>
      </c>
      <c r="U218" t="s">
        <v>79</v>
      </c>
      <c r="V218" t="s">
        <v>17</v>
      </c>
      <c r="W218" t="s">
        <v>31</v>
      </c>
      <c r="X218" t="s">
        <v>25</v>
      </c>
    </row>
    <row r="219" spans="10:32" x14ac:dyDescent="0.35">
      <c r="J219" t="s">
        <v>1</v>
      </c>
      <c r="K219" t="s">
        <v>232</v>
      </c>
      <c r="L219" t="s">
        <v>15</v>
      </c>
      <c r="M219" t="s">
        <v>35</v>
      </c>
      <c r="O219" t="s">
        <v>115</v>
      </c>
      <c r="P219" t="s">
        <v>87</v>
      </c>
      <c r="Q219" t="s">
        <v>9</v>
      </c>
      <c r="R219" t="s">
        <v>26</v>
      </c>
      <c r="T219" t="s">
        <v>49</v>
      </c>
      <c r="U219" t="s">
        <v>232</v>
      </c>
      <c r="V219" t="s">
        <v>89</v>
      </c>
      <c r="W219" t="s">
        <v>1</v>
      </c>
      <c r="X219" t="s">
        <v>15</v>
      </c>
    </row>
    <row r="220" spans="10:32" x14ac:dyDescent="0.35">
      <c r="J220" t="s">
        <v>123</v>
      </c>
      <c r="K220" t="s">
        <v>87</v>
      </c>
      <c r="L220" t="s">
        <v>30</v>
      </c>
      <c r="M220" t="s">
        <v>49</v>
      </c>
      <c r="O220" t="s">
        <v>25</v>
      </c>
      <c r="P220" t="s">
        <v>31</v>
      </c>
      <c r="Q220" t="s">
        <v>15</v>
      </c>
      <c r="R220" t="s">
        <v>79</v>
      </c>
      <c r="T220" t="s">
        <v>31</v>
      </c>
      <c r="U220" t="s">
        <v>25</v>
      </c>
      <c r="V220" t="s">
        <v>30</v>
      </c>
      <c r="W220" t="s">
        <v>51</v>
      </c>
      <c r="X220" t="s">
        <v>121</v>
      </c>
    </row>
    <row r="222" spans="10:32" x14ac:dyDescent="0.35">
      <c r="J222" s="1">
        <v>45960</v>
      </c>
      <c r="K222" s="1">
        <v>45960</v>
      </c>
      <c r="L222" s="1">
        <v>45960</v>
      </c>
      <c r="M222" s="1">
        <v>45960</v>
      </c>
      <c r="N222" s="1">
        <v>45961</v>
      </c>
      <c r="O222" s="1">
        <v>45961</v>
      </c>
      <c r="Q222" s="1">
        <v>45967</v>
      </c>
      <c r="R222" s="1">
        <v>45967</v>
      </c>
      <c r="S222" s="1">
        <v>45967</v>
      </c>
      <c r="T222" s="1">
        <v>45967</v>
      </c>
      <c r="U222" s="1">
        <v>45968</v>
      </c>
      <c r="V222" s="1">
        <v>45969</v>
      </c>
      <c r="W222" s="1">
        <v>45969</v>
      </c>
      <c r="X222" s="1">
        <v>45969</v>
      </c>
      <c r="Y222" s="1">
        <v>45969</v>
      </c>
      <c r="Z222" s="1">
        <v>45969</v>
      </c>
      <c r="AA222" s="1">
        <v>45969</v>
      </c>
    </row>
    <row r="223" spans="10:32" x14ac:dyDescent="0.35">
      <c r="J223" t="s">
        <v>147</v>
      </c>
      <c r="K223" t="s">
        <v>121</v>
      </c>
      <c r="L223" t="s">
        <v>148</v>
      </c>
      <c r="M223" t="s">
        <v>79</v>
      </c>
      <c r="N223" t="s">
        <v>115</v>
      </c>
      <c r="O223" t="s">
        <v>232</v>
      </c>
      <c r="Q223" t="s">
        <v>29</v>
      </c>
      <c r="R223" t="s">
        <v>87</v>
      </c>
      <c r="S223" t="s">
        <v>51</v>
      </c>
      <c r="T223" t="s">
        <v>35</v>
      </c>
      <c r="U223" t="s">
        <v>78</v>
      </c>
      <c r="V223" t="s">
        <v>32</v>
      </c>
      <c r="W223" t="s">
        <v>232</v>
      </c>
      <c r="X223" t="s">
        <v>21</v>
      </c>
      <c r="Y223" t="s">
        <v>25</v>
      </c>
      <c r="Z223" t="s">
        <v>19</v>
      </c>
      <c r="AA223" t="s">
        <v>300</v>
      </c>
    </row>
    <row r="224" spans="10:32" x14ac:dyDescent="0.35">
      <c r="J224" t="s">
        <v>31</v>
      </c>
      <c r="K224" t="s">
        <v>24</v>
      </c>
      <c r="L224" t="s">
        <v>89</v>
      </c>
      <c r="M224" t="s">
        <v>29</v>
      </c>
      <c r="N224" t="s">
        <v>232</v>
      </c>
      <c r="O224" t="s">
        <v>87</v>
      </c>
      <c r="Q224" t="s">
        <v>3</v>
      </c>
      <c r="R224" t="s">
        <v>79</v>
      </c>
      <c r="S224" t="s">
        <v>35</v>
      </c>
      <c r="T224" t="s">
        <v>26</v>
      </c>
      <c r="U224" t="s">
        <v>232</v>
      </c>
      <c r="V224" t="s">
        <v>232</v>
      </c>
      <c r="W224" t="s">
        <v>79</v>
      </c>
      <c r="X224" t="s">
        <v>25</v>
      </c>
      <c r="Y224" t="s">
        <v>78</v>
      </c>
      <c r="Z224" t="s">
        <v>49</v>
      </c>
      <c r="AA224" t="s">
        <v>15</v>
      </c>
    </row>
    <row r="225" spans="10:27" x14ac:dyDescent="0.35">
      <c r="J225" t="s">
        <v>25</v>
      </c>
      <c r="K225" t="s">
        <v>87</v>
      </c>
      <c r="L225" t="s">
        <v>104</v>
      </c>
      <c r="M225" t="s">
        <v>35</v>
      </c>
      <c r="N225" t="s">
        <v>87</v>
      </c>
      <c r="O225" t="s">
        <v>21</v>
      </c>
      <c r="Q225" t="s">
        <v>25</v>
      </c>
      <c r="R225" t="s">
        <v>3</v>
      </c>
      <c r="S225" t="s">
        <v>128</v>
      </c>
      <c r="T225" t="s">
        <v>51</v>
      </c>
      <c r="U225" t="s">
        <v>21</v>
      </c>
      <c r="V225" t="s">
        <v>26</v>
      </c>
      <c r="W225" t="s">
        <v>26</v>
      </c>
      <c r="X225" t="s">
        <v>113</v>
      </c>
      <c r="Y225" t="s">
        <v>5</v>
      </c>
      <c r="Z225" t="s">
        <v>26</v>
      </c>
      <c r="AA225" t="s">
        <v>147</v>
      </c>
    </row>
    <row r="226" spans="10:27" x14ac:dyDescent="0.35">
      <c r="J226" t="s">
        <v>1</v>
      </c>
      <c r="K226" t="s">
        <v>25</v>
      </c>
      <c r="L226" t="s">
        <v>35</v>
      </c>
      <c r="M226" t="s">
        <v>21</v>
      </c>
      <c r="N226" t="s">
        <v>147</v>
      </c>
      <c r="O226" t="s">
        <v>115</v>
      </c>
      <c r="Q226" t="s">
        <v>49</v>
      </c>
      <c r="R226" t="s">
        <v>49</v>
      </c>
      <c r="S226" t="s">
        <v>30</v>
      </c>
      <c r="T226" t="s">
        <v>147</v>
      </c>
      <c r="U226" t="s">
        <v>147</v>
      </c>
      <c r="V226" t="s">
        <v>0</v>
      </c>
      <c r="W226" t="s">
        <v>0</v>
      </c>
      <c r="X226" t="s">
        <v>300</v>
      </c>
      <c r="Y226" t="s">
        <v>36</v>
      </c>
      <c r="Z226" t="s">
        <v>15</v>
      </c>
      <c r="AA226" t="s">
        <v>232</v>
      </c>
    </row>
    <row r="227" spans="10:27" x14ac:dyDescent="0.35">
      <c r="J227" t="s">
        <v>79</v>
      </c>
      <c r="K227" t="s">
        <v>49</v>
      </c>
      <c r="L227" t="s">
        <v>21</v>
      </c>
      <c r="M227" t="s">
        <v>15</v>
      </c>
      <c r="N227" t="s">
        <v>21</v>
      </c>
      <c r="O227" t="s">
        <v>147</v>
      </c>
      <c r="Q227" t="s">
        <v>31</v>
      </c>
      <c r="R227" t="s">
        <v>25</v>
      </c>
      <c r="S227" t="s">
        <v>19</v>
      </c>
      <c r="T227" t="s">
        <v>21</v>
      </c>
      <c r="U227" t="s">
        <v>31</v>
      </c>
      <c r="V227" t="s">
        <v>79</v>
      </c>
      <c r="W227" t="s">
        <v>5</v>
      </c>
      <c r="X227" t="s">
        <v>5</v>
      </c>
      <c r="Y227" t="s">
        <v>300</v>
      </c>
      <c r="Z227" t="s">
        <v>31</v>
      </c>
      <c r="AA227" t="s">
        <v>21</v>
      </c>
    </row>
    <row r="228" spans="10:27" x14ac:dyDescent="0.35">
      <c r="J228" t="s">
        <v>121</v>
      </c>
      <c r="K228" t="s">
        <v>31</v>
      </c>
      <c r="L228" t="s">
        <v>15</v>
      </c>
      <c r="M228" t="s">
        <v>147</v>
      </c>
      <c r="N228" t="s">
        <v>24</v>
      </c>
      <c r="O228" t="s">
        <v>49</v>
      </c>
      <c r="Q228" t="s">
        <v>79</v>
      </c>
      <c r="R228" t="s">
        <v>472</v>
      </c>
      <c r="S228" t="s">
        <v>15</v>
      </c>
      <c r="T228" t="s">
        <v>19</v>
      </c>
      <c r="U228" t="s">
        <v>25</v>
      </c>
      <c r="V228" t="s">
        <v>15</v>
      </c>
      <c r="W228" t="s">
        <v>31</v>
      </c>
      <c r="X228" t="s">
        <v>36</v>
      </c>
      <c r="Y228" t="s">
        <v>113</v>
      </c>
      <c r="Z228" t="s">
        <v>5</v>
      </c>
      <c r="AA228" t="s">
        <v>29</v>
      </c>
    </row>
    <row r="229" spans="10:27" x14ac:dyDescent="0.35">
      <c r="J229" t="s">
        <v>24</v>
      </c>
      <c r="K229" t="s">
        <v>232</v>
      </c>
      <c r="L229" t="s">
        <v>26</v>
      </c>
      <c r="M229" t="s">
        <v>26</v>
      </c>
      <c r="N229" t="s">
        <v>49</v>
      </c>
      <c r="O229" t="s">
        <v>24</v>
      </c>
      <c r="Q229" t="s">
        <v>147</v>
      </c>
      <c r="R229" t="s">
        <v>232</v>
      </c>
      <c r="S229" t="s">
        <v>26</v>
      </c>
      <c r="T229" t="s">
        <v>472</v>
      </c>
      <c r="U229" t="s">
        <v>472</v>
      </c>
      <c r="V229" t="s">
        <v>49</v>
      </c>
      <c r="W229" t="s">
        <v>49</v>
      </c>
      <c r="X229" t="s">
        <v>34</v>
      </c>
      <c r="Y229" t="s">
        <v>21</v>
      </c>
      <c r="Z229" t="s">
        <v>29</v>
      </c>
      <c r="AA229" t="s">
        <v>5</v>
      </c>
    </row>
    <row r="230" spans="10:27" x14ac:dyDescent="0.35">
      <c r="J230" t="s">
        <v>115</v>
      </c>
      <c r="K230" t="s">
        <v>115</v>
      </c>
      <c r="L230" t="s">
        <v>49</v>
      </c>
      <c r="M230" t="s">
        <v>104</v>
      </c>
      <c r="N230" t="s">
        <v>16</v>
      </c>
      <c r="O230" t="s">
        <v>16</v>
      </c>
      <c r="Q230" t="s">
        <v>21</v>
      </c>
      <c r="R230" t="s">
        <v>31</v>
      </c>
      <c r="S230" t="s">
        <v>89</v>
      </c>
      <c r="T230" t="s">
        <v>31</v>
      </c>
      <c r="U230" t="s">
        <v>87</v>
      </c>
      <c r="V230" t="s">
        <v>31</v>
      </c>
      <c r="W230" t="s">
        <v>15</v>
      </c>
      <c r="X230" t="s">
        <v>78</v>
      </c>
      <c r="Y230" t="s">
        <v>147</v>
      </c>
      <c r="Z230" t="s">
        <v>232</v>
      </c>
      <c r="AA230" t="s">
        <v>31</v>
      </c>
    </row>
    <row r="232" spans="10:27" x14ac:dyDescent="0.35">
      <c r="J232" s="1">
        <v>45974</v>
      </c>
      <c r="K232" s="1">
        <v>45974</v>
      </c>
      <c r="L232" s="1">
        <v>45974</v>
      </c>
      <c r="M232" s="1">
        <v>45974</v>
      </c>
      <c r="N232" s="1">
        <v>45981</v>
      </c>
      <c r="O232" s="1">
        <v>45981</v>
      </c>
      <c r="Q232" s="1">
        <v>45987</v>
      </c>
      <c r="R232" s="1">
        <v>45987</v>
      </c>
      <c r="S232" s="1">
        <v>45987</v>
      </c>
      <c r="T232" s="1">
        <v>45995</v>
      </c>
      <c r="U232" s="1">
        <v>45995</v>
      </c>
      <c r="V232" s="1">
        <v>45995</v>
      </c>
      <c r="X232" s="1">
        <v>45998</v>
      </c>
      <c r="Y232" s="1">
        <v>45998</v>
      </c>
      <c r="Z232" s="1">
        <v>46002</v>
      </c>
      <c r="AA232" s="1">
        <v>46002</v>
      </c>
    </row>
    <row r="233" spans="10:27" x14ac:dyDescent="0.35">
      <c r="J233" t="s">
        <v>25</v>
      </c>
      <c r="K233" t="s">
        <v>31</v>
      </c>
      <c r="L233" t="s">
        <v>26</v>
      </c>
      <c r="M233" t="s">
        <v>15</v>
      </c>
      <c r="N233" t="s">
        <v>15</v>
      </c>
      <c r="O233" t="s">
        <v>128</v>
      </c>
      <c r="Q233" t="s">
        <v>87</v>
      </c>
      <c r="R233" t="s">
        <v>31</v>
      </c>
      <c r="S233" t="s">
        <v>22</v>
      </c>
      <c r="T233" t="s">
        <v>147</v>
      </c>
      <c r="U233" t="s">
        <v>35</v>
      </c>
      <c r="V233" t="s">
        <v>22</v>
      </c>
      <c r="X233" t="s">
        <v>21</v>
      </c>
      <c r="Y233" t="s">
        <v>21</v>
      </c>
      <c r="Z233" t="s">
        <v>232</v>
      </c>
      <c r="AA233" t="s">
        <v>49</v>
      </c>
    </row>
    <row r="234" spans="10:27" x14ac:dyDescent="0.35">
      <c r="J234" t="s">
        <v>147</v>
      </c>
      <c r="K234" t="s">
        <v>232</v>
      </c>
      <c r="L234" t="s">
        <v>175</v>
      </c>
      <c r="M234" t="s">
        <v>49</v>
      </c>
      <c r="N234" t="s">
        <v>123</v>
      </c>
      <c r="O234" t="s">
        <v>232</v>
      </c>
      <c r="Q234" t="s">
        <v>147</v>
      </c>
      <c r="R234" t="s">
        <v>122</v>
      </c>
      <c r="S234" t="s">
        <v>175</v>
      </c>
      <c r="T234" t="s">
        <v>36</v>
      </c>
      <c r="U234" t="s">
        <v>147</v>
      </c>
      <c r="V234" t="s">
        <v>175</v>
      </c>
      <c r="X234" t="s">
        <v>148</v>
      </c>
      <c r="Y234" t="s">
        <v>122</v>
      </c>
      <c r="Z234" t="s">
        <v>121</v>
      </c>
      <c r="AA234" t="s">
        <v>35</v>
      </c>
    </row>
    <row r="235" spans="10:27" x14ac:dyDescent="0.35">
      <c r="J235" t="s">
        <v>123</v>
      </c>
      <c r="K235" t="s">
        <v>25</v>
      </c>
      <c r="L235" t="s">
        <v>15</v>
      </c>
      <c r="M235" t="s">
        <v>147</v>
      </c>
      <c r="N235" t="s">
        <v>79</v>
      </c>
      <c r="O235" t="s">
        <v>35</v>
      </c>
      <c r="Q235" t="s">
        <v>24</v>
      </c>
      <c r="R235" t="s">
        <v>36</v>
      </c>
      <c r="S235" t="s">
        <v>25</v>
      </c>
      <c r="T235" t="s">
        <v>25</v>
      </c>
      <c r="U235" t="s">
        <v>87</v>
      </c>
      <c r="V235" t="s">
        <v>29</v>
      </c>
      <c r="X235" t="s">
        <v>147</v>
      </c>
      <c r="Y235" t="s">
        <v>232</v>
      </c>
      <c r="Z235" t="s">
        <v>35</v>
      </c>
      <c r="AA235" t="s">
        <v>15</v>
      </c>
    </row>
    <row r="236" spans="10:27" x14ac:dyDescent="0.35">
      <c r="J236" t="s">
        <v>31</v>
      </c>
      <c r="K236" t="s">
        <v>123</v>
      </c>
      <c r="L236" t="s">
        <v>36</v>
      </c>
      <c r="M236" t="s">
        <v>30</v>
      </c>
      <c r="N236" t="s">
        <v>25</v>
      </c>
      <c r="O236" t="s">
        <v>15</v>
      </c>
      <c r="Q236" t="s">
        <v>232</v>
      </c>
      <c r="R236" t="s">
        <v>87</v>
      </c>
      <c r="S236" t="s">
        <v>26</v>
      </c>
      <c r="T236" t="s">
        <v>21</v>
      </c>
      <c r="U236" t="s">
        <v>25</v>
      </c>
      <c r="V236" t="s">
        <v>35</v>
      </c>
      <c r="X236" t="s">
        <v>87</v>
      </c>
      <c r="Y236" t="s">
        <v>25</v>
      </c>
      <c r="Z236" t="s">
        <v>49</v>
      </c>
      <c r="AA236" t="s">
        <v>87</v>
      </c>
    </row>
    <row r="237" spans="10:27" x14ac:dyDescent="0.35">
      <c r="J237" t="s">
        <v>300</v>
      </c>
      <c r="K237" t="s">
        <v>300</v>
      </c>
      <c r="L237" t="s">
        <v>61</v>
      </c>
      <c r="M237" t="s">
        <v>110</v>
      </c>
      <c r="N237" t="s">
        <v>87</v>
      </c>
      <c r="O237" t="s">
        <v>49</v>
      </c>
      <c r="Q237" t="s">
        <v>32</v>
      </c>
      <c r="R237" t="s">
        <v>25</v>
      </c>
      <c r="S237" t="s">
        <v>122</v>
      </c>
      <c r="T237" t="s">
        <v>232</v>
      </c>
      <c r="U237" t="s">
        <v>31</v>
      </c>
      <c r="V237" t="s">
        <v>61</v>
      </c>
      <c r="X237" t="s">
        <v>122</v>
      </c>
      <c r="Y237" t="s">
        <v>147</v>
      </c>
      <c r="Z237" t="s">
        <v>15</v>
      </c>
      <c r="AA237" t="s">
        <v>31</v>
      </c>
    </row>
    <row r="238" spans="10:27" x14ac:dyDescent="0.35">
      <c r="J238" t="s">
        <v>1</v>
      </c>
      <c r="K238" t="s">
        <v>36</v>
      </c>
      <c r="L238" t="s">
        <v>30</v>
      </c>
      <c r="M238" t="s">
        <v>35</v>
      </c>
      <c r="N238" t="s">
        <v>49</v>
      </c>
      <c r="O238" t="s">
        <v>87</v>
      </c>
      <c r="Q238" t="s">
        <v>25</v>
      </c>
      <c r="R238" t="s">
        <v>232</v>
      </c>
      <c r="S238" t="s">
        <v>232</v>
      </c>
      <c r="T238" t="s">
        <v>122</v>
      </c>
      <c r="U238" t="s">
        <v>232</v>
      </c>
      <c r="V238" t="s">
        <v>32</v>
      </c>
      <c r="X238" t="s">
        <v>1</v>
      </c>
      <c r="Y238" t="s">
        <v>148</v>
      </c>
      <c r="Z238" t="s">
        <v>128</v>
      </c>
      <c r="AA238" t="s">
        <v>232</v>
      </c>
    </row>
    <row r="239" spans="10:27" x14ac:dyDescent="0.35">
      <c r="J239" t="s">
        <v>79</v>
      </c>
      <c r="K239" t="s">
        <v>79</v>
      </c>
      <c r="L239" t="s">
        <v>29</v>
      </c>
      <c r="M239" t="s">
        <v>26</v>
      </c>
      <c r="N239" t="s">
        <v>35</v>
      </c>
      <c r="O239" t="s">
        <v>79</v>
      </c>
      <c r="Q239" t="s">
        <v>122</v>
      </c>
      <c r="R239" t="s">
        <v>147</v>
      </c>
      <c r="S239" t="s">
        <v>147</v>
      </c>
      <c r="T239" t="s">
        <v>31</v>
      </c>
      <c r="U239" t="s">
        <v>21</v>
      </c>
      <c r="V239" t="s">
        <v>30</v>
      </c>
      <c r="X239" t="s">
        <v>232</v>
      </c>
      <c r="Y239" t="s">
        <v>87</v>
      </c>
      <c r="Z239" t="s">
        <v>31</v>
      </c>
      <c r="AA239" t="s">
        <v>122</v>
      </c>
    </row>
    <row r="240" spans="10:27" x14ac:dyDescent="0.35">
      <c r="J240" t="s">
        <v>35</v>
      </c>
      <c r="K240" t="s">
        <v>1</v>
      </c>
      <c r="L240" t="s">
        <v>49</v>
      </c>
      <c r="M240" t="s">
        <v>34</v>
      </c>
      <c r="N240" t="s">
        <v>36</v>
      </c>
      <c r="O240" t="s">
        <v>25</v>
      </c>
      <c r="Q240" t="s">
        <v>31</v>
      </c>
      <c r="R240" t="s">
        <v>24</v>
      </c>
      <c r="S240" t="s">
        <v>61</v>
      </c>
      <c r="T240" t="s">
        <v>128</v>
      </c>
      <c r="U240" t="s">
        <v>122</v>
      </c>
      <c r="V240" t="s">
        <v>15</v>
      </c>
      <c r="X240" t="s">
        <v>25</v>
      </c>
      <c r="Y240" t="s">
        <v>1</v>
      </c>
      <c r="Z240" t="s">
        <v>25</v>
      </c>
      <c r="AA240" t="s">
        <v>25</v>
      </c>
    </row>
    <row r="242" spans="10:29" x14ac:dyDescent="0.35">
      <c r="J242" s="1">
        <v>46004</v>
      </c>
      <c r="K242" s="1">
        <v>46004</v>
      </c>
      <c r="L242" s="1">
        <v>46004</v>
      </c>
      <c r="M242" s="1">
        <v>46004</v>
      </c>
      <c r="N242" s="1">
        <v>46004</v>
      </c>
      <c r="O242" s="1">
        <v>46004</v>
      </c>
      <c r="P242" s="1">
        <v>46004</v>
      </c>
      <c r="Q242" s="1">
        <v>46004</v>
      </c>
      <c r="R242" s="1">
        <v>46004</v>
      </c>
      <c r="S242" s="1">
        <v>46004</v>
      </c>
      <c r="U242" s="71">
        <v>46004</v>
      </c>
      <c r="V242" s="71">
        <v>46004</v>
      </c>
      <c r="W242" s="71">
        <v>46004</v>
      </c>
      <c r="X242" s="71">
        <v>46004</v>
      </c>
      <c r="Y242" s="71">
        <v>46004</v>
      </c>
      <c r="Z242" s="71">
        <v>46004</v>
      </c>
      <c r="AA242" s="71">
        <v>46004</v>
      </c>
      <c r="AB242" s="71">
        <v>46004</v>
      </c>
      <c r="AC242" s="71">
        <v>46004</v>
      </c>
    </row>
    <row r="243" spans="10:29" x14ac:dyDescent="0.35">
      <c r="J243" t="s">
        <v>121</v>
      </c>
      <c r="K243" t="s">
        <v>87</v>
      </c>
      <c r="L243" t="s">
        <v>61</v>
      </c>
      <c r="M243" t="s">
        <v>128</v>
      </c>
      <c r="N243" t="s">
        <v>22</v>
      </c>
      <c r="O243" t="s">
        <v>232</v>
      </c>
      <c r="P243" t="s">
        <v>230</v>
      </c>
      <c r="Q243" t="s">
        <v>147</v>
      </c>
      <c r="R243" t="s">
        <v>122</v>
      </c>
      <c r="S243" t="s">
        <v>232</v>
      </c>
      <c r="U243" t="s">
        <v>230</v>
      </c>
      <c r="V243" t="s">
        <v>403</v>
      </c>
      <c r="W243" t="s">
        <v>125</v>
      </c>
      <c r="X243" t="s">
        <v>24</v>
      </c>
      <c r="Y243" t="s">
        <v>104</v>
      </c>
      <c r="Z243" t="s">
        <v>128</v>
      </c>
      <c r="AA243" t="s">
        <v>22</v>
      </c>
      <c r="AB243" t="s">
        <v>128</v>
      </c>
      <c r="AC243" t="s">
        <v>58</v>
      </c>
    </row>
    <row r="244" spans="10:29" x14ac:dyDescent="0.35">
      <c r="J244" t="s">
        <v>24</v>
      </c>
      <c r="K244" t="s">
        <v>25</v>
      </c>
      <c r="L244" t="s">
        <v>110</v>
      </c>
      <c r="M244" t="s">
        <v>175</v>
      </c>
      <c r="N244" t="s">
        <v>35</v>
      </c>
      <c r="O244" t="s">
        <v>147</v>
      </c>
      <c r="P244" t="s">
        <v>49</v>
      </c>
      <c r="Q244" t="s">
        <v>124</v>
      </c>
      <c r="R244" t="s">
        <v>26</v>
      </c>
      <c r="S244" t="s">
        <v>117</v>
      </c>
      <c r="U244" t="s">
        <v>56</v>
      </c>
      <c r="V244" t="s">
        <v>30</v>
      </c>
      <c r="W244" t="s">
        <v>35</v>
      </c>
      <c r="X244" t="s">
        <v>122</v>
      </c>
      <c r="Y244" t="s">
        <v>30</v>
      </c>
      <c r="Z244" t="s">
        <v>147</v>
      </c>
      <c r="AA244" t="s">
        <v>58</v>
      </c>
      <c r="AB244" t="s">
        <v>122</v>
      </c>
      <c r="AC244" t="s">
        <v>35</v>
      </c>
    </row>
    <row r="245" spans="10:29" x14ac:dyDescent="0.35">
      <c r="J245" t="s">
        <v>30</v>
      </c>
      <c r="K245" t="s">
        <v>36</v>
      </c>
      <c r="L245" t="s">
        <v>26</v>
      </c>
      <c r="M245" t="s">
        <v>61</v>
      </c>
      <c r="N245" t="s">
        <v>122</v>
      </c>
      <c r="O245" t="s">
        <v>22</v>
      </c>
      <c r="P245" t="s">
        <v>26</v>
      </c>
      <c r="Q245" t="s">
        <v>58</v>
      </c>
      <c r="R245" t="s">
        <v>232</v>
      </c>
      <c r="S245" t="s">
        <v>25</v>
      </c>
      <c r="U245" t="s">
        <v>49</v>
      </c>
      <c r="V245" t="s">
        <v>49</v>
      </c>
      <c r="W245" t="s">
        <v>58</v>
      </c>
      <c r="X245" t="s">
        <v>15</v>
      </c>
      <c r="Y245" t="s">
        <v>110</v>
      </c>
      <c r="Z245" t="s">
        <v>121</v>
      </c>
      <c r="AA245" t="s">
        <v>35</v>
      </c>
      <c r="AB245" t="s">
        <v>87</v>
      </c>
      <c r="AC245" t="s">
        <v>24</v>
      </c>
    </row>
    <row r="246" spans="10:29" x14ac:dyDescent="0.35">
      <c r="J246" t="s">
        <v>25</v>
      </c>
      <c r="K246" t="s">
        <v>24</v>
      </c>
      <c r="L246" t="s">
        <v>49</v>
      </c>
      <c r="M246" t="s">
        <v>104</v>
      </c>
      <c r="N246" t="s">
        <v>232</v>
      </c>
      <c r="O246" t="s">
        <v>15</v>
      </c>
      <c r="P246" t="s">
        <v>104</v>
      </c>
      <c r="Q246" t="s">
        <v>25</v>
      </c>
      <c r="R246" t="s">
        <v>230</v>
      </c>
      <c r="S246" t="s">
        <v>124</v>
      </c>
      <c r="U246" t="s">
        <v>30</v>
      </c>
      <c r="V246" t="s">
        <v>110</v>
      </c>
      <c r="W246" t="s">
        <v>22</v>
      </c>
      <c r="X246" t="s">
        <v>25</v>
      </c>
      <c r="Y246" t="s">
        <v>87</v>
      </c>
      <c r="Z246" t="s">
        <v>87</v>
      </c>
      <c r="AA246" t="s">
        <v>15</v>
      </c>
      <c r="AB246" t="s">
        <v>24</v>
      </c>
      <c r="AC246" t="s">
        <v>22</v>
      </c>
    </row>
    <row r="247" spans="10:29" x14ac:dyDescent="0.35">
      <c r="J247" t="s">
        <v>31</v>
      </c>
      <c r="K247" t="s">
        <v>121</v>
      </c>
      <c r="L247" t="s">
        <v>104</v>
      </c>
      <c r="M247" t="s">
        <v>49</v>
      </c>
      <c r="N247" t="s">
        <v>25</v>
      </c>
      <c r="O247" t="s">
        <v>122</v>
      </c>
      <c r="P247" t="s">
        <v>122</v>
      </c>
      <c r="Q247" t="s">
        <v>232</v>
      </c>
      <c r="R247" t="s">
        <v>81</v>
      </c>
      <c r="S247" t="s">
        <v>122</v>
      </c>
      <c r="U247" t="s">
        <v>89</v>
      </c>
      <c r="V247" t="s">
        <v>26</v>
      </c>
      <c r="W247" t="s">
        <v>121</v>
      </c>
      <c r="X247" t="s">
        <v>78</v>
      </c>
      <c r="Y247" t="s">
        <v>78</v>
      </c>
      <c r="Z247" t="s">
        <v>104</v>
      </c>
      <c r="AA247" t="s">
        <v>25</v>
      </c>
      <c r="AB247" t="s">
        <v>147</v>
      </c>
      <c r="AC247" t="s">
        <v>122</v>
      </c>
    </row>
    <row r="248" spans="10:29" x14ac:dyDescent="0.35">
      <c r="J248" t="s">
        <v>36</v>
      </c>
      <c r="K248" t="s">
        <v>230</v>
      </c>
      <c r="L248" t="s">
        <v>175</v>
      </c>
      <c r="M248" t="s">
        <v>110</v>
      </c>
      <c r="N248" t="s">
        <v>34</v>
      </c>
      <c r="O248" t="s">
        <v>253</v>
      </c>
      <c r="P248" t="s">
        <v>29</v>
      </c>
      <c r="Q248" t="s">
        <v>31</v>
      </c>
      <c r="R248" t="s">
        <v>104</v>
      </c>
      <c r="S248" t="s">
        <v>104</v>
      </c>
      <c r="U248" t="s">
        <v>34</v>
      </c>
      <c r="V248" t="s">
        <v>56</v>
      </c>
      <c r="W248" t="s">
        <v>128</v>
      </c>
      <c r="X248" t="s">
        <v>21</v>
      </c>
      <c r="Y248" t="s">
        <v>403</v>
      </c>
      <c r="Z248" t="s">
        <v>232</v>
      </c>
      <c r="AA248" t="s">
        <v>24</v>
      </c>
      <c r="AB248" t="s">
        <v>125</v>
      </c>
      <c r="AC248" t="s">
        <v>87</v>
      </c>
    </row>
    <row r="249" spans="10:29" x14ac:dyDescent="0.35">
      <c r="J249" t="s">
        <v>87</v>
      </c>
      <c r="K249" t="s">
        <v>551</v>
      </c>
      <c r="L249" t="s">
        <v>81</v>
      </c>
      <c r="M249" t="s">
        <v>26</v>
      </c>
      <c r="N249" t="s">
        <v>15</v>
      </c>
      <c r="O249" t="s">
        <v>34</v>
      </c>
      <c r="P249" t="s">
        <v>15</v>
      </c>
      <c r="Q249" t="s">
        <v>24</v>
      </c>
      <c r="R249" t="s">
        <v>25</v>
      </c>
      <c r="S249" t="s">
        <v>26</v>
      </c>
      <c r="U249" t="s">
        <v>31</v>
      </c>
      <c r="V249" t="s">
        <v>81</v>
      </c>
      <c r="W249" t="s">
        <v>232</v>
      </c>
      <c r="X249" t="s">
        <v>104</v>
      </c>
      <c r="Y249" t="s">
        <v>21</v>
      </c>
      <c r="Z249" t="s">
        <v>110</v>
      </c>
      <c r="AA249" t="s">
        <v>125</v>
      </c>
      <c r="AB249" t="s">
        <v>121</v>
      </c>
      <c r="AC249" t="s">
        <v>15</v>
      </c>
    </row>
    <row r="250" spans="10:29" x14ac:dyDescent="0.35">
      <c r="J250" t="s">
        <v>113</v>
      </c>
      <c r="K250" t="s">
        <v>110</v>
      </c>
      <c r="L250" t="s">
        <v>128</v>
      </c>
      <c r="M250" t="s">
        <v>81</v>
      </c>
      <c r="N250" t="s">
        <v>147</v>
      </c>
      <c r="O250" t="s">
        <v>61</v>
      </c>
      <c r="P250" t="s">
        <v>81</v>
      </c>
      <c r="Q250" t="s">
        <v>87</v>
      </c>
      <c r="R250" t="s">
        <v>124</v>
      </c>
      <c r="S250" t="s">
        <v>81</v>
      </c>
      <c r="U250" t="s">
        <v>124</v>
      </c>
      <c r="V250" t="s">
        <v>230</v>
      </c>
      <c r="W250" t="s">
        <v>147</v>
      </c>
      <c r="X250" t="s">
        <v>87</v>
      </c>
      <c r="Y250" t="s">
        <v>49</v>
      </c>
      <c r="Z250" t="s">
        <v>30</v>
      </c>
      <c r="AA250" t="s">
        <v>122</v>
      </c>
      <c r="AB250" t="s">
        <v>25</v>
      </c>
      <c r="AC250" t="s">
        <v>128</v>
      </c>
    </row>
    <row r="252" spans="10:29" x14ac:dyDescent="0.35">
      <c r="J252" s="1">
        <v>46009</v>
      </c>
      <c r="K252" s="1">
        <v>46009</v>
      </c>
      <c r="L252" s="1">
        <v>46009</v>
      </c>
      <c r="M252" s="1">
        <v>46009</v>
      </c>
      <c r="N252" s="1">
        <v>46014</v>
      </c>
      <c r="O252" s="1">
        <v>46014</v>
      </c>
      <c r="P252" s="1">
        <v>46014</v>
      </c>
      <c r="R252" s="1">
        <v>46019</v>
      </c>
      <c r="S252" s="1">
        <v>46019</v>
      </c>
      <c r="T252" s="1">
        <v>45658</v>
      </c>
      <c r="U252" s="1">
        <v>45658</v>
      </c>
      <c r="V252" s="1">
        <v>45658</v>
      </c>
      <c r="W252" s="1">
        <v>45658</v>
      </c>
      <c r="X252" s="1">
        <v>45658</v>
      </c>
      <c r="Y252" s="1">
        <v>45658</v>
      </c>
      <c r="Z252" s="1">
        <v>45658</v>
      </c>
      <c r="AA252" s="1">
        <v>45658</v>
      </c>
    </row>
    <row r="253" spans="10:29" x14ac:dyDescent="0.35">
      <c r="J253" t="s">
        <v>122</v>
      </c>
      <c r="K253" t="s">
        <v>21</v>
      </c>
      <c r="L253" t="s">
        <v>81</v>
      </c>
      <c r="M253" t="s">
        <v>81</v>
      </c>
      <c r="N253" t="s">
        <v>19</v>
      </c>
      <c r="O253" t="s">
        <v>87</v>
      </c>
      <c r="P253" t="s">
        <v>29</v>
      </c>
      <c r="R253" t="s">
        <v>1</v>
      </c>
      <c r="S253" t="s">
        <v>552</v>
      </c>
      <c r="T253" t="s">
        <v>34</v>
      </c>
      <c r="U253" t="s">
        <v>139</v>
      </c>
      <c r="V253" t="s">
        <v>147</v>
      </c>
      <c r="W253" t="s">
        <v>25</v>
      </c>
      <c r="X253" t="s">
        <v>230</v>
      </c>
      <c r="Y253" t="s">
        <v>21</v>
      </c>
      <c r="Z253" t="s">
        <v>232</v>
      </c>
      <c r="AA253" t="s">
        <v>26</v>
      </c>
    </row>
    <row r="254" spans="10:29" x14ac:dyDescent="0.35">
      <c r="J254" t="s">
        <v>117</v>
      </c>
      <c r="K254" t="s">
        <v>122</v>
      </c>
      <c r="L254" t="s">
        <v>49</v>
      </c>
      <c r="M254" t="s">
        <v>104</v>
      </c>
      <c r="N254" t="s">
        <v>128</v>
      </c>
      <c r="O254" t="s">
        <v>21</v>
      </c>
      <c r="P254" t="s">
        <v>35</v>
      </c>
      <c r="R254" t="s">
        <v>122</v>
      </c>
      <c r="S254" t="s">
        <v>232</v>
      </c>
      <c r="T254" t="s">
        <v>21</v>
      </c>
      <c r="U254" t="s">
        <v>232</v>
      </c>
      <c r="V254" t="s">
        <v>139</v>
      </c>
      <c r="W254" t="s">
        <v>147</v>
      </c>
      <c r="X254" t="s">
        <v>81</v>
      </c>
      <c r="Y254" t="s">
        <v>29</v>
      </c>
      <c r="Z254" t="s">
        <v>230</v>
      </c>
      <c r="AA254" t="s">
        <v>124</v>
      </c>
    </row>
    <row r="255" spans="10:29" x14ac:dyDescent="0.35">
      <c r="J255" t="s">
        <v>1</v>
      </c>
      <c r="K255" t="s">
        <v>31</v>
      </c>
      <c r="L255" t="s">
        <v>15</v>
      </c>
      <c r="M255" t="s">
        <v>89</v>
      </c>
      <c r="N255" t="s">
        <v>232</v>
      </c>
      <c r="O255" t="s">
        <v>232</v>
      </c>
      <c r="P255" t="s">
        <v>78</v>
      </c>
      <c r="R255" t="s">
        <v>232</v>
      </c>
      <c r="S255" t="s">
        <v>553</v>
      </c>
      <c r="T255" t="s">
        <v>31</v>
      </c>
      <c r="U255" t="s">
        <v>124</v>
      </c>
      <c r="V255" t="s">
        <v>1</v>
      </c>
      <c r="W255" t="s">
        <v>1</v>
      </c>
      <c r="X255" t="s">
        <v>124</v>
      </c>
      <c r="Y255" t="s">
        <v>26</v>
      </c>
      <c r="Z255" t="s">
        <v>361</v>
      </c>
      <c r="AA255" t="s">
        <v>232</v>
      </c>
    </row>
    <row r="256" spans="10:29" x14ac:dyDescent="0.35">
      <c r="J256" t="s">
        <v>31</v>
      </c>
      <c r="K256" t="s">
        <v>1</v>
      </c>
      <c r="L256" t="s">
        <v>30</v>
      </c>
      <c r="M256" t="s">
        <v>35</v>
      </c>
      <c r="N256" t="s">
        <v>87</v>
      </c>
      <c r="O256" t="s">
        <v>25</v>
      </c>
      <c r="P256" t="s">
        <v>15</v>
      </c>
      <c r="R256" t="s">
        <v>148</v>
      </c>
      <c r="S256" t="s">
        <v>148</v>
      </c>
      <c r="T256" t="s">
        <v>25</v>
      </c>
      <c r="U256" t="s">
        <v>122</v>
      </c>
      <c r="V256" t="s">
        <v>87</v>
      </c>
      <c r="W256" t="s">
        <v>139</v>
      </c>
      <c r="X256" t="s">
        <v>104</v>
      </c>
      <c r="Y256" t="s">
        <v>49</v>
      </c>
      <c r="Z256" t="s">
        <v>29</v>
      </c>
      <c r="AA256" t="s">
        <v>29</v>
      </c>
    </row>
    <row r="257" spans="10:27" x14ac:dyDescent="0.35">
      <c r="J257" t="s">
        <v>21</v>
      </c>
      <c r="K257" t="s">
        <v>117</v>
      </c>
      <c r="L257" t="s">
        <v>3</v>
      </c>
      <c r="M257" t="s">
        <v>49</v>
      </c>
      <c r="N257" t="s">
        <v>21</v>
      </c>
      <c r="O257" t="s">
        <v>34</v>
      </c>
      <c r="P257" t="s">
        <v>22</v>
      </c>
      <c r="R257" t="s">
        <v>175</v>
      </c>
      <c r="S257" t="s">
        <v>87</v>
      </c>
      <c r="T257" t="s">
        <v>139</v>
      </c>
      <c r="U257" t="s">
        <v>87</v>
      </c>
      <c r="V257" t="s">
        <v>21</v>
      </c>
      <c r="W257" t="s">
        <v>122</v>
      </c>
      <c r="X257" t="s">
        <v>49</v>
      </c>
      <c r="Y257" t="s">
        <v>30</v>
      </c>
      <c r="Z257" t="s">
        <v>49</v>
      </c>
      <c r="AA257" t="s">
        <v>554</v>
      </c>
    </row>
    <row r="258" spans="10:27" x14ac:dyDescent="0.35">
      <c r="J258" t="s">
        <v>87</v>
      </c>
      <c r="K258" t="s">
        <v>25</v>
      </c>
      <c r="L258" t="s">
        <v>29</v>
      </c>
      <c r="M258" t="s">
        <v>15</v>
      </c>
      <c r="N258" t="s">
        <v>78</v>
      </c>
      <c r="O258" t="s">
        <v>31</v>
      </c>
      <c r="P258" t="s">
        <v>30</v>
      </c>
      <c r="R258" t="s">
        <v>25</v>
      </c>
      <c r="S258" t="s">
        <v>124</v>
      </c>
      <c r="T258" t="s">
        <v>122</v>
      </c>
      <c r="U258" t="s">
        <v>128</v>
      </c>
      <c r="V258" t="s">
        <v>31</v>
      </c>
      <c r="W258" t="s">
        <v>87</v>
      </c>
      <c r="X258" t="s">
        <v>30</v>
      </c>
      <c r="Y258" t="s">
        <v>104</v>
      </c>
      <c r="Z258" t="s">
        <v>26</v>
      </c>
      <c r="AA258" t="s">
        <v>24</v>
      </c>
    </row>
    <row r="259" spans="10:27" x14ac:dyDescent="0.35">
      <c r="J259" t="s">
        <v>123</v>
      </c>
      <c r="K259" t="s">
        <v>123</v>
      </c>
      <c r="L259" t="s">
        <v>232</v>
      </c>
      <c r="M259" t="s">
        <v>29</v>
      </c>
      <c r="N259" t="s">
        <v>25</v>
      </c>
      <c r="O259" t="s">
        <v>128</v>
      </c>
      <c r="P259" t="s">
        <v>34</v>
      </c>
      <c r="R259" t="s">
        <v>31</v>
      </c>
      <c r="S259" t="s">
        <v>31</v>
      </c>
      <c r="T259" t="s">
        <v>87</v>
      </c>
      <c r="U259" t="s">
        <v>25</v>
      </c>
      <c r="V259" t="s">
        <v>122</v>
      </c>
      <c r="W259" t="s">
        <v>21</v>
      </c>
      <c r="X259" t="s">
        <v>26</v>
      </c>
      <c r="Y259" t="s">
        <v>81</v>
      </c>
      <c r="Z259" t="s">
        <v>253</v>
      </c>
      <c r="AA259" t="s">
        <v>253</v>
      </c>
    </row>
    <row r="260" spans="10:27" x14ac:dyDescent="0.35">
      <c r="J260" t="s">
        <v>25</v>
      </c>
      <c r="K260" t="s">
        <v>87</v>
      </c>
      <c r="L260" t="s">
        <v>35</v>
      </c>
      <c r="M260" t="s">
        <v>3</v>
      </c>
      <c r="N260" t="s">
        <v>31</v>
      </c>
      <c r="O260" t="s">
        <v>78</v>
      </c>
      <c r="P260" t="s">
        <v>124</v>
      </c>
      <c r="R260" t="s">
        <v>87</v>
      </c>
      <c r="S260" t="s">
        <v>25</v>
      </c>
      <c r="T260" t="s">
        <v>124</v>
      </c>
      <c r="U260" t="s">
        <v>31</v>
      </c>
      <c r="V260" t="s">
        <v>25</v>
      </c>
      <c r="W260" t="s">
        <v>31</v>
      </c>
      <c r="X260" t="s">
        <v>232</v>
      </c>
      <c r="Y260" t="s">
        <v>124</v>
      </c>
      <c r="Z260" t="s">
        <v>24</v>
      </c>
      <c r="AA260" t="s">
        <v>34</v>
      </c>
    </row>
    <row r="262" spans="10:27" x14ac:dyDescent="0.35">
      <c r="J262" s="1">
        <v>46030</v>
      </c>
      <c r="K262" s="1">
        <v>46030</v>
      </c>
      <c r="L262" s="1">
        <v>46030</v>
      </c>
      <c r="M262" s="1">
        <v>46030</v>
      </c>
      <c r="O262" s="1">
        <v>46032</v>
      </c>
      <c r="P262" s="1">
        <v>46032</v>
      </c>
      <c r="Q262" s="1">
        <v>46032</v>
      </c>
      <c r="R262" s="1">
        <v>46032</v>
      </c>
      <c r="S262" s="1">
        <v>46032</v>
      </c>
      <c r="T262" s="1">
        <v>46032</v>
      </c>
      <c r="U262" s="1">
        <v>46032</v>
      </c>
      <c r="V262" s="1">
        <v>46032</v>
      </c>
      <c r="W262" s="1">
        <v>46032</v>
      </c>
      <c r="X262" s="1">
        <v>46032</v>
      </c>
    </row>
    <row r="263" spans="10:27" x14ac:dyDescent="0.35">
      <c r="J263" t="s">
        <v>21</v>
      </c>
      <c r="K263" t="s">
        <v>21</v>
      </c>
      <c r="L263" t="s">
        <v>147</v>
      </c>
      <c r="M263" t="s">
        <v>35</v>
      </c>
      <c r="O263" t="s">
        <v>403</v>
      </c>
      <c r="P263" t="s">
        <v>81</v>
      </c>
      <c r="Q263" t="s">
        <v>403</v>
      </c>
      <c r="R263" t="s">
        <v>403</v>
      </c>
      <c r="S263" t="s">
        <v>122</v>
      </c>
      <c r="T263" t="s">
        <v>122</v>
      </c>
      <c r="U263" t="s">
        <v>122</v>
      </c>
      <c r="V263" t="s">
        <v>121</v>
      </c>
      <c r="W263" t="s">
        <v>147</v>
      </c>
      <c r="X263" t="s">
        <v>58</v>
      </c>
    </row>
    <row r="264" spans="10:27" x14ac:dyDescent="0.35">
      <c r="J264" t="s">
        <v>230</v>
      </c>
      <c r="K264" t="s">
        <v>31</v>
      </c>
      <c r="L264" t="s">
        <v>104</v>
      </c>
      <c r="M264" t="s">
        <v>104</v>
      </c>
      <c r="O264" t="s">
        <v>125</v>
      </c>
      <c r="P264" t="s">
        <v>31</v>
      </c>
      <c r="Q264" t="s">
        <v>125</v>
      </c>
      <c r="R264" t="s">
        <v>232</v>
      </c>
      <c r="S264" t="s">
        <v>21</v>
      </c>
      <c r="T264" t="s">
        <v>125</v>
      </c>
      <c r="U264" t="s">
        <v>104</v>
      </c>
      <c r="V264" t="s">
        <v>87</v>
      </c>
      <c r="W264" t="s">
        <v>553</v>
      </c>
      <c r="X264" t="s">
        <v>31</v>
      </c>
    </row>
    <row r="265" spans="10:27" x14ac:dyDescent="0.35">
      <c r="J265" t="s">
        <v>122</v>
      </c>
      <c r="K265" t="s">
        <v>24</v>
      </c>
      <c r="L265" t="s">
        <v>34</v>
      </c>
      <c r="M265" t="s">
        <v>34</v>
      </c>
      <c r="O265" t="s">
        <v>26</v>
      </c>
      <c r="P265" t="s">
        <v>104</v>
      </c>
      <c r="Q265" t="s">
        <v>232</v>
      </c>
      <c r="R265" t="s">
        <v>31</v>
      </c>
      <c r="S265" t="s">
        <v>125</v>
      </c>
      <c r="T265" t="s">
        <v>87</v>
      </c>
      <c r="U265" t="s">
        <v>26</v>
      </c>
      <c r="V265" t="s">
        <v>232</v>
      </c>
      <c r="W265" t="s">
        <v>552</v>
      </c>
      <c r="X265" t="s">
        <v>232</v>
      </c>
    </row>
    <row r="266" spans="10:27" x14ac:dyDescent="0.35">
      <c r="J266" t="s">
        <v>25</v>
      </c>
      <c r="K266" t="s">
        <v>122</v>
      </c>
      <c r="L266" t="s">
        <v>35</v>
      </c>
      <c r="M266" t="s">
        <v>553</v>
      </c>
      <c r="O266" t="s">
        <v>49</v>
      </c>
      <c r="P266" t="s">
        <v>125</v>
      </c>
      <c r="Q266" t="s">
        <v>20</v>
      </c>
      <c r="R266" t="s">
        <v>52</v>
      </c>
      <c r="S266" t="s">
        <v>147</v>
      </c>
      <c r="T266" t="s">
        <v>105</v>
      </c>
      <c r="U266" t="s">
        <v>81</v>
      </c>
      <c r="V266" t="s">
        <v>31</v>
      </c>
      <c r="W266" t="s">
        <v>122</v>
      </c>
      <c r="X266" t="s">
        <v>552</v>
      </c>
    </row>
    <row r="267" spans="10:27" x14ac:dyDescent="0.35">
      <c r="J267" t="s">
        <v>31</v>
      </c>
      <c r="K267" t="s">
        <v>87</v>
      </c>
      <c r="L267" t="s">
        <v>128</v>
      </c>
      <c r="M267" t="s">
        <v>26</v>
      </c>
      <c r="O267" t="s">
        <v>15</v>
      </c>
      <c r="P267" t="s">
        <v>52</v>
      </c>
      <c r="Q267" t="s">
        <v>52</v>
      </c>
      <c r="R267" t="s">
        <v>125</v>
      </c>
      <c r="S267" t="s">
        <v>34</v>
      </c>
      <c r="T267" t="s">
        <v>21</v>
      </c>
      <c r="U267" t="s">
        <v>34</v>
      </c>
      <c r="V267" t="s">
        <v>20</v>
      </c>
      <c r="W267" t="s">
        <v>105</v>
      </c>
      <c r="X267" t="s">
        <v>10</v>
      </c>
    </row>
    <row r="268" spans="10:27" x14ac:dyDescent="0.35">
      <c r="J268" t="s">
        <v>87</v>
      </c>
      <c r="K268" t="s">
        <v>49</v>
      </c>
      <c r="L268" t="s">
        <v>26</v>
      </c>
      <c r="M268" t="s">
        <v>147</v>
      </c>
      <c r="O268" t="s">
        <v>31</v>
      </c>
      <c r="P268" t="s">
        <v>403</v>
      </c>
      <c r="Q268" t="s">
        <v>31</v>
      </c>
      <c r="R268" t="s">
        <v>230</v>
      </c>
      <c r="S268" t="s">
        <v>105</v>
      </c>
      <c r="T268" t="s">
        <v>34</v>
      </c>
      <c r="U268" t="s">
        <v>50</v>
      </c>
      <c r="V268" t="s">
        <v>25</v>
      </c>
      <c r="W268" t="s">
        <v>113</v>
      </c>
      <c r="X268" t="s">
        <v>25</v>
      </c>
    </row>
    <row r="269" spans="10:27" x14ac:dyDescent="0.35">
      <c r="J269" t="s">
        <v>121</v>
      </c>
      <c r="K269" t="s">
        <v>25</v>
      </c>
      <c r="L269" t="s">
        <v>90</v>
      </c>
      <c r="M269" t="s">
        <v>552</v>
      </c>
      <c r="O269" t="s">
        <v>90</v>
      </c>
      <c r="P269" t="s">
        <v>49</v>
      </c>
      <c r="Q269" t="s">
        <v>129</v>
      </c>
      <c r="R269" t="s">
        <v>129</v>
      </c>
      <c r="S269" t="s">
        <v>87</v>
      </c>
      <c r="T269" t="s">
        <v>147</v>
      </c>
      <c r="U269" t="s">
        <v>105</v>
      </c>
      <c r="V269" t="s">
        <v>21</v>
      </c>
      <c r="W269" t="s">
        <v>26</v>
      </c>
      <c r="X269" t="s">
        <v>553</v>
      </c>
    </row>
    <row r="270" spans="10:27" x14ac:dyDescent="0.35">
      <c r="J270" t="s">
        <v>49</v>
      </c>
      <c r="K270" t="s">
        <v>232</v>
      </c>
      <c r="L270" t="s">
        <v>125</v>
      </c>
      <c r="M270" t="s">
        <v>90</v>
      </c>
      <c r="O270" t="s">
        <v>81</v>
      </c>
      <c r="P270" t="s">
        <v>26</v>
      </c>
      <c r="Q270" t="s">
        <v>230</v>
      </c>
      <c r="R270" t="s">
        <v>20</v>
      </c>
      <c r="S270" t="s">
        <v>25</v>
      </c>
      <c r="T270" t="s">
        <v>25</v>
      </c>
      <c r="U270" t="s">
        <v>30</v>
      </c>
      <c r="V270" t="s">
        <v>34</v>
      </c>
      <c r="W270" t="s">
        <v>81</v>
      </c>
      <c r="X270" t="s">
        <v>87</v>
      </c>
    </row>
    <row r="272" spans="10:27" x14ac:dyDescent="0.35">
      <c r="J272" s="1">
        <v>46037</v>
      </c>
      <c r="K272" s="1">
        <v>46037</v>
      </c>
      <c r="L272" s="1">
        <v>46037</v>
      </c>
      <c r="M272" s="1">
        <v>46037</v>
      </c>
      <c r="N272" s="1">
        <v>46044</v>
      </c>
      <c r="O272" s="1">
        <v>46044</v>
      </c>
      <c r="P272" s="1">
        <v>46051</v>
      </c>
      <c r="Q272" s="1">
        <v>46051</v>
      </c>
      <c r="S272" s="1">
        <v>46058</v>
      </c>
      <c r="T272" s="1">
        <v>46058</v>
      </c>
      <c r="U272" s="1">
        <v>46058</v>
      </c>
      <c r="V272" s="1">
        <v>46060</v>
      </c>
      <c r="W272" s="1">
        <v>46060</v>
      </c>
    </row>
    <row r="273" spans="10:34" x14ac:dyDescent="0.35">
      <c r="J273" t="s">
        <v>122</v>
      </c>
      <c r="K273" t="s">
        <v>123</v>
      </c>
      <c r="L273" t="s">
        <v>147</v>
      </c>
      <c r="M273" t="s">
        <v>52</v>
      </c>
      <c r="N273" t="s">
        <v>87</v>
      </c>
      <c r="O273" t="s">
        <v>35</v>
      </c>
      <c r="P273" t="s">
        <v>147</v>
      </c>
      <c r="Q273" t="s">
        <v>1</v>
      </c>
      <c r="S273" t="s">
        <v>3</v>
      </c>
      <c r="T273" t="s">
        <v>232</v>
      </c>
      <c r="U273" t="s">
        <v>35</v>
      </c>
      <c r="V273" t="s">
        <v>552</v>
      </c>
      <c r="W273" t="s">
        <v>139</v>
      </c>
    </row>
    <row r="274" spans="10:34" x14ac:dyDescent="0.35">
      <c r="J274" t="s">
        <v>128</v>
      </c>
      <c r="K274" t="s">
        <v>122</v>
      </c>
      <c r="L274" t="s">
        <v>3</v>
      </c>
      <c r="M274" t="s">
        <v>147</v>
      </c>
      <c r="N274" t="s">
        <v>147</v>
      </c>
      <c r="O274" t="s">
        <v>87</v>
      </c>
      <c r="P274" t="s">
        <v>128</v>
      </c>
      <c r="Q274" t="s">
        <v>50</v>
      </c>
      <c r="S274" t="s">
        <v>50</v>
      </c>
      <c r="T274" t="s">
        <v>31</v>
      </c>
      <c r="U274" t="s">
        <v>32</v>
      </c>
      <c r="V274" t="s">
        <v>232</v>
      </c>
      <c r="W274" t="s">
        <v>232</v>
      </c>
    </row>
    <row r="275" spans="10:34" x14ac:dyDescent="0.35">
      <c r="J275" t="s">
        <v>87</v>
      </c>
      <c r="K275" t="s">
        <v>21</v>
      </c>
      <c r="L275" t="s">
        <v>26</v>
      </c>
      <c r="M275" t="s">
        <v>49</v>
      </c>
      <c r="N275" t="s">
        <v>50</v>
      </c>
      <c r="O275" t="s">
        <v>147</v>
      </c>
      <c r="P275" t="s">
        <v>35</v>
      </c>
      <c r="Q275" t="s">
        <v>35</v>
      </c>
      <c r="S275" t="s">
        <v>49</v>
      </c>
      <c r="T275" t="s">
        <v>50</v>
      </c>
      <c r="U275" t="s">
        <v>29</v>
      </c>
      <c r="V275" t="s">
        <v>30</v>
      </c>
      <c r="W275" t="s">
        <v>31</v>
      </c>
    </row>
    <row r="276" spans="10:34" x14ac:dyDescent="0.35">
      <c r="J276" t="s">
        <v>31</v>
      </c>
      <c r="K276" t="s">
        <v>87</v>
      </c>
      <c r="L276" t="s">
        <v>52</v>
      </c>
      <c r="M276" t="s">
        <v>1</v>
      </c>
      <c r="N276" t="s">
        <v>25</v>
      </c>
      <c r="O276" t="s">
        <v>122</v>
      </c>
      <c r="P276" t="s">
        <v>31</v>
      </c>
      <c r="Q276" t="s">
        <v>87</v>
      </c>
      <c r="S276" t="s">
        <v>121</v>
      </c>
      <c r="T276" t="s">
        <v>36</v>
      </c>
      <c r="U276" t="s">
        <v>30</v>
      </c>
      <c r="V276" t="s">
        <v>31</v>
      </c>
      <c r="W276" t="s">
        <v>34</v>
      </c>
    </row>
    <row r="277" spans="10:34" x14ac:dyDescent="0.35">
      <c r="J277" t="s">
        <v>25</v>
      </c>
      <c r="K277" t="s">
        <v>50</v>
      </c>
      <c r="L277" t="s">
        <v>49</v>
      </c>
      <c r="M277" t="s">
        <v>26</v>
      </c>
      <c r="N277" t="s">
        <v>122</v>
      </c>
      <c r="O277" t="s">
        <v>232</v>
      </c>
      <c r="P277" t="s">
        <v>15</v>
      </c>
      <c r="Q277" t="s">
        <v>122</v>
      </c>
      <c r="S277" t="s">
        <v>113</v>
      </c>
      <c r="T277" t="s">
        <v>25</v>
      </c>
      <c r="U277" t="s">
        <v>15</v>
      </c>
      <c r="V277" t="s">
        <v>1</v>
      </c>
      <c r="W277" t="s">
        <v>25</v>
      </c>
    </row>
    <row r="278" spans="10:34" x14ac:dyDescent="0.35">
      <c r="J278" t="s">
        <v>21</v>
      </c>
      <c r="K278" t="s">
        <v>35</v>
      </c>
      <c r="L278" t="s">
        <v>104</v>
      </c>
      <c r="M278" t="s">
        <v>81</v>
      </c>
      <c r="N278" t="s">
        <v>35</v>
      </c>
      <c r="O278" t="s">
        <v>31</v>
      </c>
      <c r="P278" t="s">
        <v>25</v>
      </c>
      <c r="Q278" t="s">
        <v>25</v>
      </c>
      <c r="S278" t="s">
        <v>31</v>
      </c>
      <c r="T278" t="s">
        <v>34</v>
      </c>
      <c r="U278" t="s">
        <v>51</v>
      </c>
      <c r="V278" t="s">
        <v>25</v>
      </c>
      <c r="W278" t="s">
        <v>1</v>
      </c>
    </row>
    <row r="279" spans="10:34" x14ac:dyDescent="0.35">
      <c r="J279" t="s">
        <v>35</v>
      </c>
      <c r="K279" t="s">
        <v>25</v>
      </c>
      <c r="L279" t="s">
        <v>20</v>
      </c>
      <c r="M279" t="s">
        <v>20</v>
      </c>
      <c r="N279" t="s">
        <v>34</v>
      </c>
      <c r="O279" t="s">
        <v>123</v>
      </c>
      <c r="P279" t="s">
        <v>121</v>
      </c>
      <c r="Q279" t="s">
        <v>15</v>
      </c>
      <c r="S279" t="s">
        <v>25</v>
      </c>
      <c r="T279" t="s">
        <v>49</v>
      </c>
      <c r="U279" t="s">
        <v>175</v>
      </c>
      <c r="V279" t="s">
        <v>15</v>
      </c>
      <c r="W279" t="s">
        <v>15</v>
      </c>
    </row>
    <row r="280" spans="10:34" x14ac:dyDescent="0.35">
      <c r="J280" t="s">
        <v>1</v>
      </c>
      <c r="K280" t="s">
        <v>31</v>
      </c>
      <c r="L280" t="s">
        <v>81</v>
      </c>
      <c r="M280" t="s">
        <v>104</v>
      </c>
      <c r="N280" t="s">
        <v>31</v>
      </c>
      <c r="O280" t="s">
        <v>25</v>
      </c>
      <c r="P280" t="s">
        <v>87</v>
      </c>
      <c r="Q280" t="s">
        <v>31</v>
      </c>
      <c r="S280" t="s">
        <v>19</v>
      </c>
      <c r="T280" t="s">
        <v>3</v>
      </c>
      <c r="U280" t="s">
        <v>571</v>
      </c>
      <c r="V280" t="s">
        <v>147</v>
      </c>
      <c r="W280" t="s">
        <v>147</v>
      </c>
    </row>
    <row r="282" spans="10:34" x14ac:dyDescent="0.35">
      <c r="J282" s="1">
        <v>46065</v>
      </c>
      <c r="K282" s="1">
        <v>46065</v>
      </c>
      <c r="L282" s="1">
        <v>46065</v>
      </c>
      <c r="M282" s="1">
        <v>46065</v>
      </c>
      <c r="N282" s="1">
        <v>46079</v>
      </c>
      <c r="O282" s="1">
        <v>46079</v>
      </c>
      <c r="P282" s="1">
        <v>46079</v>
      </c>
      <c r="Q282" s="1">
        <v>46079</v>
      </c>
      <c r="R282" s="1">
        <v>46080</v>
      </c>
      <c r="T282" s="1">
        <v>46081</v>
      </c>
      <c r="U282" s="1">
        <v>46081</v>
      </c>
      <c r="V282" s="1">
        <v>46081</v>
      </c>
      <c r="W282" s="1">
        <v>46081</v>
      </c>
      <c r="X282" s="1">
        <v>46081</v>
      </c>
      <c r="Y282" s="1">
        <v>46081</v>
      </c>
      <c r="Z282" s="1">
        <v>46081</v>
      </c>
      <c r="AA282" s="1">
        <v>46081</v>
      </c>
      <c r="AB282" s="1">
        <v>46081</v>
      </c>
      <c r="AC282" s="1">
        <v>46081</v>
      </c>
      <c r="AD282" s="1">
        <v>46081</v>
      </c>
      <c r="AE282" s="1">
        <v>46081</v>
      </c>
      <c r="AF282" s="1">
        <v>46086</v>
      </c>
      <c r="AG282" s="1">
        <v>46086</v>
      </c>
      <c r="AH282" s="1">
        <v>46086</v>
      </c>
    </row>
    <row r="283" spans="10:34" x14ac:dyDescent="0.35">
      <c r="J283" t="s">
        <v>25</v>
      </c>
      <c r="K283" t="s">
        <v>25</v>
      </c>
      <c r="L283" t="s">
        <v>35</v>
      </c>
      <c r="M283" t="s">
        <v>232</v>
      </c>
      <c r="N283" t="s">
        <v>122</v>
      </c>
      <c r="O283" t="s">
        <v>25</v>
      </c>
      <c r="P283" t="s">
        <v>128</v>
      </c>
      <c r="Q283" t="s">
        <v>15</v>
      </c>
      <c r="R283" t="s">
        <v>24</v>
      </c>
      <c r="T283" t="s">
        <v>121</v>
      </c>
      <c r="U283" t="s">
        <v>63</v>
      </c>
      <c r="V283" t="s">
        <v>112</v>
      </c>
      <c r="W283" t="s">
        <v>4</v>
      </c>
      <c r="X283" t="s">
        <v>572</v>
      </c>
      <c r="Y283" t="s">
        <v>552</v>
      </c>
      <c r="Z283" t="s">
        <v>31</v>
      </c>
      <c r="AA283" t="s">
        <v>104</v>
      </c>
      <c r="AB283" t="s">
        <v>104</v>
      </c>
      <c r="AC283" t="s">
        <v>25</v>
      </c>
      <c r="AD283" t="s">
        <v>552</v>
      </c>
      <c r="AE283" t="s">
        <v>552</v>
      </c>
      <c r="AF283" t="s">
        <v>123</v>
      </c>
      <c r="AG283" t="s">
        <v>25</v>
      </c>
      <c r="AH283" t="s">
        <v>30</v>
      </c>
    </row>
    <row r="284" spans="10:34" x14ac:dyDescent="0.35">
      <c r="J284" t="s">
        <v>121</v>
      </c>
      <c r="K284" t="s">
        <v>36</v>
      </c>
      <c r="L284" t="s">
        <v>49</v>
      </c>
      <c r="M284" t="s">
        <v>35</v>
      </c>
      <c r="N284" t="s">
        <v>121</v>
      </c>
      <c r="O284" t="s">
        <v>21</v>
      </c>
      <c r="P284" t="s">
        <v>15</v>
      </c>
      <c r="Q284" t="s">
        <v>175</v>
      </c>
      <c r="R284" t="s">
        <v>25</v>
      </c>
      <c r="T284" t="s">
        <v>36</v>
      </c>
      <c r="U284" t="s">
        <v>49</v>
      </c>
      <c r="V284" t="s">
        <v>21</v>
      </c>
      <c r="W284" t="s">
        <v>112</v>
      </c>
      <c r="X284" t="s">
        <v>104</v>
      </c>
      <c r="Y284" t="s">
        <v>104</v>
      </c>
      <c r="Z284" t="s">
        <v>4</v>
      </c>
      <c r="AA284" t="s">
        <v>4</v>
      </c>
      <c r="AB284" t="s">
        <v>232</v>
      </c>
      <c r="AC284" t="s">
        <v>124</v>
      </c>
      <c r="AD284" t="s">
        <v>232</v>
      </c>
      <c r="AE284" t="s">
        <v>553</v>
      </c>
      <c r="AF284" t="s">
        <v>128</v>
      </c>
      <c r="AG284" t="s">
        <v>21</v>
      </c>
      <c r="AH284" t="s">
        <v>122</v>
      </c>
    </row>
    <row r="285" spans="10:34" x14ac:dyDescent="0.35">
      <c r="J285" t="s">
        <v>19</v>
      </c>
      <c r="K285" t="s">
        <v>139</v>
      </c>
      <c r="L285" t="s">
        <v>29</v>
      </c>
      <c r="M285" t="s">
        <v>29</v>
      </c>
      <c r="N285" t="s">
        <v>21</v>
      </c>
      <c r="O285" t="s">
        <v>122</v>
      </c>
      <c r="P285" t="s">
        <v>32</v>
      </c>
      <c r="Q285" t="s">
        <v>51</v>
      </c>
      <c r="R285" t="s">
        <v>148</v>
      </c>
      <c r="T285" t="s">
        <v>78</v>
      </c>
      <c r="U285" t="s">
        <v>36</v>
      </c>
      <c r="V285" t="s">
        <v>63</v>
      </c>
      <c r="W285" t="s">
        <v>121</v>
      </c>
      <c r="X285" t="s">
        <v>26</v>
      </c>
      <c r="Y285" t="s">
        <v>32</v>
      </c>
      <c r="Z285" t="s">
        <v>122</v>
      </c>
      <c r="AA285" t="s">
        <v>26</v>
      </c>
      <c r="AB285" t="s">
        <v>4</v>
      </c>
      <c r="AC285" t="s">
        <v>87</v>
      </c>
      <c r="AD285" t="s">
        <v>28</v>
      </c>
      <c r="AE285" t="s">
        <v>124</v>
      </c>
      <c r="AF285" t="s">
        <v>35</v>
      </c>
      <c r="AG285" t="s">
        <v>87</v>
      </c>
      <c r="AH285" t="s">
        <v>49</v>
      </c>
    </row>
    <row r="286" spans="10:34" x14ac:dyDescent="0.35">
      <c r="J286" t="s">
        <v>36</v>
      </c>
      <c r="K286" t="s">
        <v>87</v>
      </c>
      <c r="L286" t="s">
        <v>51</v>
      </c>
      <c r="M286" t="s">
        <v>51</v>
      </c>
      <c r="N286" t="s">
        <v>25</v>
      </c>
      <c r="O286" t="s">
        <v>87</v>
      </c>
      <c r="P286" t="s">
        <v>175</v>
      </c>
      <c r="Q286" t="s">
        <v>49</v>
      </c>
      <c r="R286" t="s">
        <v>87</v>
      </c>
      <c r="T286" t="s">
        <v>87</v>
      </c>
      <c r="U286" t="s">
        <v>21</v>
      </c>
      <c r="V286" t="s">
        <v>122</v>
      </c>
      <c r="W286" t="s">
        <v>25</v>
      </c>
      <c r="X286" t="s">
        <v>253</v>
      </c>
      <c r="Y286" t="s">
        <v>572</v>
      </c>
      <c r="Z286" t="s">
        <v>87</v>
      </c>
      <c r="AA286" t="s">
        <v>81</v>
      </c>
      <c r="AB286" t="s">
        <v>15</v>
      </c>
      <c r="AC286" t="s">
        <v>21</v>
      </c>
      <c r="AD286" t="s">
        <v>574</v>
      </c>
      <c r="AE286" t="s">
        <v>31</v>
      </c>
      <c r="AF286" t="s">
        <v>121</v>
      </c>
      <c r="AG286" t="s">
        <v>122</v>
      </c>
      <c r="AH286" t="s">
        <v>51</v>
      </c>
    </row>
    <row r="287" spans="10:34" x14ac:dyDescent="0.35">
      <c r="J287" t="s">
        <v>147</v>
      </c>
      <c r="K287" t="s">
        <v>31</v>
      </c>
      <c r="L287" t="s">
        <v>15</v>
      </c>
      <c r="M287" t="s">
        <v>49</v>
      </c>
      <c r="N287" t="s">
        <v>50</v>
      </c>
      <c r="O287" t="s">
        <v>232</v>
      </c>
      <c r="P287" t="s">
        <v>571</v>
      </c>
      <c r="Q287" t="s">
        <v>29</v>
      </c>
      <c r="R287" t="s">
        <v>37</v>
      </c>
      <c r="T287" t="s">
        <v>112</v>
      </c>
      <c r="U287" t="s">
        <v>31</v>
      </c>
      <c r="V287" t="s">
        <v>232</v>
      </c>
      <c r="W287" t="s">
        <v>87</v>
      </c>
      <c r="X287" t="s">
        <v>32</v>
      </c>
      <c r="Y287" t="s">
        <v>81</v>
      </c>
      <c r="Z287" t="s">
        <v>21</v>
      </c>
      <c r="AA287" t="s">
        <v>36</v>
      </c>
      <c r="AB287" t="s">
        <v>63</v>
      </c>
      <c r="AC287" t="s">
        <v>574</v>
      </c>
      <c r="AD287" t="s">
        <v>15</v>
      </c>
      <c r="AE287" t="s">
        <v>122</v>
      </c>
      <c r="AF287" t="s">
        <v>25</v>
      </c>
      <c r="AG287" t="s">
        <v>35</v>
      </c>
      <c r="AH287" t="s">
        <v>29</v>
      </c>
    </row>
    <row r="288" spans="10:34" x14ac:dyDescent="0.35">
      <c r="J288" t="s">
        <v>50</v>
      </c>
      <c r="K288" t="s">
        <v>50</v>
      </c>
      <c r="L288" t="s">
        <v>30</v>
      </c>
      <c r="M288" t="s">
        <v>15</v>
      </c>
      <c r="N288" t="s">
        <v>31</v>
      </c>
      <c r="O288" t="s">
        <v>50</v>
      </c>
      <c r="P288" t="s">
        <v>104</v>
      </c>
      <c r="Q288" t="s">
        <v>35</v>
      </c>
      <c r="R288" t="s">
        <v>31</v>
      </c>
      <c r="T288" t="s">
        <v>25</v>
      </c>
      <c r="U288" t="s">
        <v>232</v>
      </c>
      <c r="V288" t="s">
        <v>49</v>
      </c>
      <c r="W288" t="s">
        <v>36</v>
      </c>
      <c r="X288" t="s">
        <v>81</v>
      </c>
      <c r="Y288" t="s">
        <v>36</v>
      </c>
      <c r="Z288" t="s">
        <v>25</v>
      </c>
      <c r="AA288" t="s">
        <v>63</v>
      </c>
      <c r="AB288" t="s">
        <v>574</v>
      </c>
      <c r="AC288" t="s">
        <v>122</v>
      </c>
      <c r="AD288" t="s">
        <v>4</v>
      </c>
      <c r="AE288" t="s">
        <v>28</v>
      </c>
      <c r="AF288" t="s">
        <v>21</v>
      </c>
      <c r="AG288" t="s">
        <v>232</v>
      </c>
      <c r="AH288" t="s">
        <v>15</v>
      </c>
    </row>
    <row r="289" spans="10:34" x14ac:dyDescent="0.35">
      <c r="J289" t="s">
        <v>31</v>
      </c>
      <c r="K289" t="s">
        <v>24</v>
      </c>
      <c r="L289" t="s">
        <v>26</v>
      </c>
      <c r="M289" t="s">
        <v>81</v>
      </c>
      <c r="N289" t="s">
        <v>230</v>
      </c>
      <c r="O289" t="s">
        <v>31</v>
      </c>
      <c r="P289" t="s">
        <v>35</v>
      </c>
      <c r="Q289" t="s">
        <v>26</v>
      </c>
      <c r="R289" t="s">
        <v>573</v>
      </c>
      <c r="T289" t="s">
        <v>28</v>
      </c>
      <c r="U289" t="s">
        <v>15</v>
      </c>
      <c r="V289" t="s">
        <v>36</v>
      </c>
      <c r="W289" t="s">
        <v>31</v>
      </c>
      <c r="X289" t="s">
        <v>36</v>
      </c>
      <c r="Y289" t="s">
        <v>26</v>
      </c>
      <c r="Z289" t="s">
        <v>28</v>
      </c>
      <c r="AA289" t="s">
        <v>15</v>
      </c>
      <c r="AB289" t="s">
        <v>553</v>
      </c>
      <c r="AC289" t="s">
        <v>572</v>
      </c>
      <c r="AD289" t="s">
        <v>26</v>
      </c>
      <c r="AE289" t="s">
        <v>87</v>
      </c>
      <c r="AF289" t="s">
        <v>87</v>
      </c>
      <c r="AG289" t="s">
        <v>49</v>
      </c>
      <c r="AH289" t="s">
        <v>112</v>
      </c>
    </row>
    <row r="290" spans="10:34" x14ac:dyDescent="0.35">
      <c r="J290" t="s">
        <v>87</v>
      </c>
      <c r="K290" t="s">
        <v>19</v>
      </c>
      <c r="L290" t="s">
        <v>81</v>
      </c>
      <c r="M290" t="s">
        <v>26</v>
      </c>
      <c r="N290" t="s">
        <v>87</v>
      </c>
      <c r="O290" t="s">
        <v>104</v>
      </c>
      <c r="P290" t="s">
        <v>49</v>
      </c>
      <c r="Q290" t="s">
        <v>571</v>
      </c>
      <c r="R290" t="s">
        <v>28</v>
      </c>
      <c r="T290" t="s">
        <v>4</v>
      </c>
      <c r="U290" t="s">
        <v>122</v>
      </c>
      <c r="V290" t="s">
        <v>15</v>
      </c>
      <c r="W290" t="s">
        <v>28</v>
      </c>
      <c r="X290" t="s">
        <v>4</v>
      </c>
      <c r="Y290" t="s">
        <v>4</v>
      </c>
      <c r="Z290" t="s">
        <v>232</v>
      </c>
      <c r="AA290" t="s">
        <v>49</v>
      </c>
      <c r="AB290" t="s">
        <v>26</v>
      </c>
      <c r="AC290" t="s">
        <v>31</v>
      </c>
      <c r="AD290" t="s">
        <v>572</v>
      </c>
      <c r="AE290" t="s">
        <v>25</v>
      </c>
      <c r="AF290" t="s">
        <v>28</v>
      </c>
      <c r="AG290" t="s">
        <v>28</v>
      </c>
      <c r="AH290" t="s">
        <v>26</v>
      </c>
    </row>
    <row r="292" spans="10:34" x14ac:dyDescent="0.35">
      <c r="J292" s="1">
        <v>46087</v>
      </c>
      <c r="K292" s="1">
        <v>46087</v>
      </c>
      <c r="L292" s="1">
        <v>46093</v>
      </c>
      <c r="M292" s="1">
        <v>46093</v>
      </c>
      <c r="N292" s="1">
        <v>46093</v>
      </c>
      <c r="O292" s="1">
        <v>46093</v>
      </c>
      <c r="P292" s="1">
        <v>46094</v>
      </c>
      <c r="Q292" s="1">
        <v>46094</v>
      </c>
      <c r="S292" s="1">
        <v>46095</v>
      </c>
      <c r="T292" s="1">
        <v>46095</v>
      </c>
      <c r="U292" s="1">
        <v>46095</v>
      </c>
      <c r="V292" s="1">
        <v>46095</v>
      </c>
      <c r="W292" s="1">
        <v>46095</v>
      </c>
      <c r="X292" s="1">
        <v>46095</v>
      </c>
      <c r="Y292" s="1">
        <v>46095</v>
      </c>
      <c r="Z292" s="1">
        <v>46095</v>
      </c>
    </row>
    <row r="293" spans="10:34" x14ac:dyDescent="0.35">
      <c r="J293" t="s">
        <v>87</v>
      </c>
      <c r="K293" t="s">
        <v>124</v>
      </c>
      <c r="L293" t="s">
        <v>21</v>
      </c>
      <c r="M293" t="s">
        <v>25</v>
      </c>
      <c r="N293" t="s">
        <v>78</v>
      </c>
      <c r="O293" t="s">
        <v>15</v>
      </c>
      <c r="P293" t="s">
        <v>121</v>
      </c>
      <c r="Q293" t="s">
        <v>31</v>
      </c>
      <c r="S293" t="s">
        <v>117</v>
      </c>
      <c r="T293" t="s">
        <v>15</v>
      </c>
      <c r="U293" t="s">
        <v>104</v>
      </c>
      <c r="V293" t="s">
        <v>31</v>
      </c>
      <c r="W293" t="s">
        <v>232</v>
      </c>
      <c r="X293" t="s">
        <v>585</v>
      </c>
      <c r="Y293" t="s">
        <v>26</v>
      </c>
      <c r="Z293" t="s">
        <v>585</v>
      </c>
    </row>
    <row r="294" spans="10:34" x14ac:dyDescent="0.35">
      <c r="J294" t="s">
        <v>124</v>
      </c>
      <c r="K294" t="s">
        <v>232</v>
      </c>
      <c r="L294" t="s">
        <v>122</v>
      </c>
      <c r="M294" t="s">
        <v>31</v>
      </c>
      <c r="N294" t="s">
        <v>49</v>
      </c>
      <c r="O294" t="s">
        <v>78</v>
      </c>
      <c r="P294" t="s">
        <v>232</v>
      </c>
      <c r="Q294" t="s">
        <v>232</v>
      </c>
      <c r="S294" t="s">
        <v>232</v>
      </c>
      <c r="T294" t="s">
        <v>21</v>
      </c>
      <c r="U294" t="s">
        <v>81</v>
      </c>
      <c r="V294" t="s">
        <v>32</v>
      </c>
      <c r="W294" t="s">
        <v>63</v>
      </c>
      <c r="X294" t="s">
        <v>28</v>
      </c>
      <c r="Y294" t="s">
        <v>113</v>
      </c>
      <c r="Z294" t="s">
        <v>122</v>
      </c>
    </row>
    <row r="295" spans="10:34" x14ac:dyDescent="0.35">
      <c r="J295" t="s">
        <v>28</v>
      </c>
      <c r="K295" t="s">
        <v>4</v>
      </c>
      <c r="L295" t="s">
        <v>35</v>
      </c>
      <c r="M295" t="s">
        <v>35</v>
      </c>
      <c r="N295" t="s">
        <v>26</v>
      </c>
      <c r="O295" t="s">
        <v>117</v>
      </c>
      <c r="P295" t="s">
        <v>28</v>
      </c>
      <c r="Q295" t="s">
        <v>87</v>
      </c>
      <c r="S295" t="s">
        <v>21</v>
      </c>
      <c r="T295" t="s">
        <v>232</v>
      </c>
      <c r="U295" t="s">
        <v>124</v>
      </c>
      <c r="V295" t="s">
        <v>58</v>
      </c>
      <c r="W295" t="s">
        <v>104</v>
      </c>
      <c r="X295" t="s">
        <v>122</v>
      </c>
      <c r="Y295" t="s">
        <v>81</v>
      </c>
      <c r="Z295" t="s">
        <v>232</v>
      </c>
    </row>
    <row r="296" spans="10:34" x14ac:dyDescent="0.35">
      <c r="J296" t="s">
        <v>4</v>
      </c>
      <c r="K296" t="s">
        <v>28</v>
      </c>
      <c r="L296" t="s">
        <v>25</v>
      </c>
      <c r="M296" t="s">
        <v>122</v>
      </c>
      <c r="N296" t="s">
        <v>15</v>
      </c>
      <c r="O296" t="s">
        <v>29</v>
      </c>
      <c r="P296" t="s">
        <v>31</v>
      </c>
      <c r="Q296" t="s">
        <v>29</v>
      </c>
      <c r="S296" t="s">
        <v>87</v>
      </c>
      <c r="T296" t="s">
        <v>87</v>
      </c>
      <c r="U296" t="s">
        <v>121</v>
      </c>
      <c r="V296" t="s">
        <v>121</v>
      </c>
      <c r="W296" t="s">
        <v>15</v>
      </c>
      <c r="X296" t="s">
        <v>31</v>
      </c>
      <c r="Y296" t="s">
        <v>104</v>
      </c>
      <c r="Z296" t="s">
        <v>15</v>
      </c>
    </row>
    <row r="297" spans="10:34" x14ac:dyDescent="0.35">
      <c r="J297" t="s">
        <v>63</v>
      </c>
      <c r="K297" t="s">
        <v>31</v>
      </c>
      <c r="L297" t="s">
        <v>31</v>
      </c>
      <c r="M297" t="s">
        <v>21</v>
      </c>
      <c r="N297" t="s">
        <v>104</v>
      </c>
      <c r="O297" t="s">
        <v>49</v>
      </c>
      <c r="P297" t="s">
        <v>87</v>
      </c>
      <c r="Q297" t="s">
        <v>25</v>
      </c>
      <c r="S297" t="s">
        <v>124</v>
      </c>
      <c r="T297" t="s">
        <v>25</v>
      </c>
      <c r="U297" t="s">
        <v>32</v>
      </c>
      <c r="V297" t="s">
        <v>26</v>
      </c>
      <c r="W297" t="s">
        <v>26</v>
      </c>
      <c r="X297" t="s">
        <v>21</v>
      </c>
      <c r="Y297" t="s">
        <v>585</v>
      </c>
      <c r="Z297" t="s">
        <v>28</v>
      </c>
    </row>
    <row r="298" spans="10:34" x14ac:dyDescent="0.35">
      <c r="J298" t="s">
        <v>121</v>
      </c>
      <c r="K298" t="s">
        <v>87</v>
      </c>
      <c r="L298" t="s">
        <v>117</v>
      </c>
      <c r="M298" t="s">
        <v>78</v>
      </c>
      <c r="N298" t="s">
        <v>29</v>
      </c>
      <c r="O298" t="s">
        <v>26</v>
      </c>
      <c r="P298" t="s">
        <v>472</v>
      </c>
      <c r="Q298" t="s">
        <v>124</v>
      </c>
      <c r="S298" t="s">
        <v>78</v>
      </c>
      <c r="T298" t="s">
        <v>117</v>
      </c>
      <c r="U298" t="s">
        <v>31</v>
      </c>
      <c r="V298" t="s">
        <v>104</v>
      </c>
      <c r="W298" t="s">
        <v>29</v>
      </c>
      <c r="X298" t="s">
        <v>25</v>
      </c>
      <c r="Y298" t="s">
        <v>15</v>
      </c>
      <c r="Z298" t="s">
        <v>25</v>
      </c>
    </row>
    <row r="299" spans="10:34" x14ac:dyDescent="0.35">
      <c r="J299" t="s">
        <v>31</v>
      </c>
      <c r="K299" t="s">
        <v>63</v>
      </c>
      <c r="L299" t="s">
        <v>87</v>
      </c>
      <c r="M299" t="s">
        <v>117</v>
      </c>
      <c r="N299" t="s">
        <v>117</v>
      </c>
      <c r="O299" t="s">
        <v>104</v>
      </c>
      <c r="P299" t="s">
        <v>25</v>
      </c>
      <c r="Q299" t="s">
        <v>472</v>
      </c>
      <c r="S299" t="s">
        <v>25</v>
      </c>
      <c r="T299" t="s">
        <v>124</v>
      </c>
      <c r="U299" t="s">
        <v>26</v>
      </c>
      <c r="V299" t="s">
        <v>113</v>
      </c>
      <c r="W299" t="s">
        <v>117</v>
      </c>
      <c r="X299" t="s">
        <v>1</v>
      </c>
      <c r="Y299" t="s">
        <v>232</v>
      </c>
      <c r="Z299" t="s">
        <v>26</v>
      </c>
    </row>
    <row r="300" spans="10:34" x14ac:dyDescent="0.35">
      <c r="J300" t="s">
        <v>25</v>
      </c>
      <c r="K300" t="s">
        <v>25</v>
      </c>
      <c r="L300" t="s">
        <v>78</v>
      </c>
      <c r="M300" t="s">
        <v>87</v>
      </c>
      <c r="N300" t="s">
        <v>51</v>
      </c>
      <c r="O300" t="s">
        <v>51</v>
      </c>
      <c r="P300" t="s">
        <v>21</v>
      </c>
      <c r="Q300" t="s">
        <v>21</v>
      </c>
      <c r="S300" t="s">
        <v>15</v>
      </c>
      <c r="T300" t="s">
        <v>78</v>
      </c>
      <c r="U300" t="s">
        <v>63</v>
      </c>
      <c r="V300" t="s">
        <v>81</v>
      </c>
      <c r="W300" t="s">
        <v>81</v>
      </c>
      <c r="X300" t="s">
        <v>87</v>
      </c>
      <c r="Y300" t="s">
        <v>29</v>
      </c>
      <c r="Z300" t="s">
        <v>21</v>
      </c>
    </row>
    <row r="302" spans="10:34" x14ac:dyDescent="0.35">
      <c r="J302" s="1">
        <v>46100</v>
      </c>
      <c r="K302" s="1">
        <v>46100</v>
      </c>
      <c r="L302" s="1">
        <v>46101</v>
      </c>
      <c r="M302" s="1">
        <v>46101</v>
      </c>
      <c r="N302" s="1">
        <v>46101</v>
      </c>
      <c r="O302" s="1">
        <v>46107</v>
      </c>
      <c r="P302" s="1">
        <v>46107</v>
      </c>
      <c r="Q302" s="1">
        <v>46107</v>
      </c>
      <c r="R302" s="1">
        <v>46107</v>
      </c>
      <c r="S302" s="1">
        <v>46108</v>
      </c>
      <c r="T302" s="1">
        <v>46108</v>
      </c>
      <c r="V302" s="1">
        <v>46109</v>
      </c>
      <c r="W302" s="1">
        <v>46109</v>
      </c>
      <c r="X302" s="1">
        <v>46114</v>
      </c>
      <c r="Y302" s="1">
        <v>46114</v>
      </c>
      <c r="Z302" s="1">
        <v>46114</v>
      </c>
      <c r="AA302" s="1">
        <v>46114</v>
      </c>
      <c r="AB302" s="1">
        <v>46115</v>
      </c>
      <c r="AC302" s="1">
        <v>46115</v>
      </c>
      <c r="AD302" s="1">
        <v>46115</v>
      </c>
    </row>
    <row r="303" spans="10:34" x14ac:dyDescent="0.35">
      <c r="J303" t="s">
        <v>117</v>
      </c>
      <c r="K303" t="s">
        <v>78</v>
      </c>
      <c r="L303" t="s">
        <v>8</v>
      </c>
      <c r="M303" t="s">
        <v>232</v>
      </c>
      <c r="N303" t="s">
        <v>585</v>
      </c>
      <c r="O303" t="s">
        <v>58</v>
      </c>
      <c r="P303" t="s">
        <v>9</v>
      </c>
      <c r="Q303" t="s">
        <v>572</v>
      </c>
      <c r="R303" t="s">
        <v>35</v>
      </c>
      <c r="S303" t="s">
        <v>232</v>
      </c>
      <c r="T303" t="s">
        <v>586</v>
      </c>
      <c r="V303" t="s">
        <v>31</v>
      </c>
      <c r="W303" t="s">
        <v>574</v>
      </c>
      <c r="X303" t="s">
        <v>128</v>
      </c>
      <c r="Y303" t="s">
        <v>116</v>
      </c>
      <c r="Z303" t="s">
        <v>122</v>
      </c>
      <c r="AA303" t="s">
        <v>29</v>
      </c>
      <c r="AB303" t="s">
        <v>25</v>
      </c>
      <c r="AC303" t="s">
        <v>232</v>
      </c>
      <c r="AD303" t="s">
        <v>117</v>
      </c>
    </row>
    <row r="304" spans="10:34" x14ac:dyDescent="0.35">
      <c r="J304" t="s">
        <v>25</v>
      </c>
      <c r="K304" t="s">
        <v>232</v>
      </c>
      <c r="L304" t="s">
        <v>35</v>
      </c>
      <c r="M304" t="s">
        <v>87</v>
      </c>
      <c r="N304" t="s">
        <v>56</v>
      </c>
      <c r="O304" t="s">
        <v>9</v>
      </c>
      <c r="P304" t="s">
        <v>586</v>
      </c>
      <c r="Q304" t="s">
        <v>122</v>
      </c>
      <c r="R304" t="s">
        <v>122</v>
      </c>
      <c r="S304" t="s">
        <v>123</v>
      </c>
      <c r="T304" t="s">
        <v>232</v>
      </c>
      <c r="V304" t="s">
        <v>232</v>
      </c>
      <c r="W304" t="s">
        <v>590</v>
      </c>
      <c r="X304" t="s">
        <v>35</v>
      </c>
      <c r="Y304" t="s">
        <v>31</v>
      </c>
      <c r="Z304" t="s">
        <v>9</v>
      </c>
      <c r="AA304" t="s">
        <v>104</v>
      </c>
      <c r="AB304" t="s">
        <v>232</v>
      </c>
      <c r="AC304" t="s">
        <v>117</v>
      </c>
      <c r="AD304" t="s">
        <v>10</v>
      </c>
    </row>
    <row r="305" spans="10:30" x14ac:dyDescent="0.35">
      <c r="J305" t="s">
        <v>116</v>
      </c>
      <c r="K305" t="s">
        <v>123</v>
      </c>
      <c r="L305" t="s">
        <v>31</v>
      </c>
      <c r="M305" t="s">
        <v>8</v>
      </c>
      <c r="N305" t="s">
        <v>175</v>
      </c>
      <c r="O305" t="s">
        <v>25</v>
      </c>
      <c r="P305" t="s">
        <v>28</v>
      </c>
      <c r="Q305" t="s">
        <v>35</v>
      </c>
      <c r="R305" t="s">
        <v>232</v>
      </c>
      <c r="S305" t="s">
        <v>28</v>
      </c>
      <c r="T305" t="s">
        <v>123</v>
      </c>
      <c r="V305" t="s">
        <v>589</v>
      </c>
      <c r="W305" t="s">
        <v>232</v>
      </c>
      <c r="X305" t="s">
        <v>10</v>
      </c>
      <c r="Y305" t="s">
        <v>122</v>
      </c>
      <c r="Z305" t="s">
        <v>49</v>
      </c>
      <c r="AA305" t="s">
        <v>122</v>
      </c>
      <c r="AB305" t="s">
        <v>31</v>
      </c>
      <c r="AC305" t="s">
        <v>588</v>
      </c>
      <c r="AD305" t="s">
        <v>574</v>
      </c>
    </row>
    <row r="306" spans="10:30" x14ac:dyDescent="0.35">
      <c r="J306" t="s">
        <v>78</v>
      </c>
      <c r="K306" t="s">
        <v>25</v>
      </c>
      <c r="L306" t="s">
        <v>121</v>
      </c>
      <c r="M306" t="s">
        <v>28</v>
      </c>
      <c r="N306" t="s">
        <v>232</v>
      </c>
      <c r="O306" t="s">
        <v>31</v>
      </c>
      <c r="P306" t="s">
        <v>129</v>
      </c>
      <c r="Q306" t="s">
        <v>104</v>
      </c>
      <c r="R306" t="s">
        <v>26</v>
      </c>
      <c r="S306" t="s">
        <v>588</v>
      </c>
      <c r="T306" t="s">
        <v>25</v>
      </c>
      <c r="V306" t="s">
        <v>124</v>
      </c>
      <c r="W306" t="s">
        <v>553</v>
      </c>
      <c r="X306" t="s">
        <v>25</v>
      </c>
      <c r="Y306" t="s">
        <v>19</v>
      </c>
      <c r="Z306" t="s">
        <v>116</v>
      </c>
      <c r="AA306" t="s">
        <v>49</v>
      </c>
      <c r="AB306" t="s">
        <v>28</v>
      </c>
      <c r="AC306" t="s">
        <v>587</v>
      </c>
      <c r="AD306" t="s">
        <v>553</v>
      </c>
    </row>
    <row r="307" spans="10:30" x14ac:dyDescent="0.35">
      <c r="J307" t="s">
        <v>28</v>
      </c>
      <c r="K307" t="s">
        <v>117</v>
      </c>
      <c r="L307" t="s">
        <v>28</v>
      </c>
      <c r="M307" t="s">
        <v>31</v>
      </c>
      <c r="N307" t="s">
        <v>31</v>
      </c>
      <c r="O307" t="s">
        <v>10</v>
      </c>
      <c r="P307" t="s">
        <v>10</v>
      </c>
      <c r="Q307" t="s">
        <v>26</v>
      </c>
      <c r="R307" t="s">
        <v>58</v>
      </c>
      <c r="S307" t="s">
        <v>25</v>
      </c>
      <c r="T307" t="s">
        <v>28</v>
      </c>
      <c r="V307" t="s">
        <v>28</v>
      </c>
      <c r="W307" t="s">
        <v>31</v>
      </c>
      <c r="X307" t="s">
        <v>586</v>
      </c>
      <c r="Y307" t="s">
        <v>35</v>
      </c>
      <c r="Z307" t="s">
        <v>30</v>
      </c>
      <c r="AA307" t="s">
        <v>26</v>
      </c>
      <c r="AB307" t="s">
        <v>586</v>
      </c>
      <c r="AC307" t="s">
        <v>10</v>
      </c>
      <c r="AD307" t="s">
        <v>28</v>
      </c>
    </row>
    <row r="308" spans="10:30" x14ac:dyDescent="0.35">
      <c r="J308" t="s">
        <v>31</v>
      </c>
      <c r="K308" t="s">
        <v>31</v>
      </c>
      <c r="L308" t="s">
        <v>232</v>
      </c>
      <c r="M308" t="s">
        <v>585</v>
      </c>
      <c r="N308" t="s">
        <v>28</v>
      </c>
      <c r="O308" t="s">
        <v>19</v>
      </c>
      <c r="P308" t="s">
        <v>116</v>
      </c>
      <c r="Q308" t="s">
        <v>29</v>
      </c>
      <c r="R308" t="s">
        <v>587</v>
      </c>
      <c r="S308" t="s">
        <v>403</v>
      </c>
      <c r="T308" t="s">
        <v>31</v>
      </c>
      <c r="V308" t="s">
        <v>116</v>
      </c>
      <c r="W308" t="s">
        <v>586</v>
      </c>
      <c r="X308" t="s">
        <v>31</v>
      </c>
      <c r="Y308" t="s">
        <v>25</v>
      </c>
      <c r="Z308" t="s">
        <v>29</v>
      </c>
      <c r="AA308" t="s">
        <v>9</v>
      </c>
      <c r="AB308" t="s">
        <v>587</v>
      </c>
      <c r="AC308" t="s">
        <v>28</v>
      </c>
      <c r="AD308" t="s">
        <v>31</v>
      </c>
    </row>
    <row r="309" spans="10:30" x14ac:dyDescent="0.35">
      <c r="J309" t="s">
        <v>87</v>
      </c>
      <c r="K309" t="s">
        <v>28</v>
      </c>
      <c r="L309" t="s">
        <v>87</v>
      </c>
      <c r="M309" t="s">
        <v>25</v>
      </c>
      <c r="N309" t="s">
        <v>25</v>
      </c>
      <c r="O309" t="s">
        <v>28</v>
      </c>
      <c r="P309" t="s">
        <v>31</v>
      </c>
      <c r="Q309" t="s">
        <v>587</v>
      </c>
      <c r="R309" t="s">
        <v>29</v>
      </c>
      <c r="S309" t="s">
        <v>586</v>
      </c>
      <c r="T309" t="s">
        <v>588</v>
      </c>
      <c r="V309" t="s">
        <v>8</v>
      </c>
      <c r="W309" t="s">
        <v>25</v>
      </c>
      <c r="X309" t="s">
        <v>116</v>
      </c>
      <c r="Y309" t="s">
        <v>586</v>
      </c>
      <c r="Z309" t="s">
        <v>26</v>
      </c>
      <c r="AA309" t="s">
        <v>30</v>
      </c>
      <c r="AB309" t="s">
        <v>10</v>
      </c>
      <c r="AC309" t="s">
        <v>591</v>
      </c>
      <c r="AD309" t="s">
        <v>12</v>
      </c>
    </row>
    <row r="310" spans="10:30" x14ac:dyDescent="0.35">
      <c r="J310" t="s">
        <v>128</v>
      </c>
      <c r="K310" t="s">
        <v>87</v>
      </c>
      <c r="L310" t="s">
        <v>25</v>
      </c>
      <c r="M310" t="s">
        <v>35</v>
      </c>
      <c r="N310" t="s">
        <v>571</v>
      </c>
      <c r="O310" t="s">
        <v>586</v>
      </c>
      <c r="P310" t="s">
        <v>25</v>
      </c>
      <c r="Q310" t="s">
        <v>574</v>
      </c>
      <c r="R310" t="s">
        <v>104</v>
      </c>
      <c r="S310" t="s">
        <v>31</v>
      </c>
      <c r="T310" t="s">
        <v>403</v>
      </c>
      <c r="V310" t="s">
        <v>586</v>
      </c>
      <c r="W310" t="s">
        <v>28</v>
      </c>
      <c r="X310" t="s">
        <v>28</v>
      </c>
      <c r="Y310" t="s">
        <v>28</v>
      </c>
      <c r="Z310" t="s">
        <v>104</v>
      </c>
      <c r="AA310" t="s">
        <v>116</v>
      </c>
      <c r="AB310" t="s">
        <v>588</v>
      </c>
      <c r="AC310" t="s">
        <v>31</v>
      </c>
      <c r="AD310" t="s">
        <v>591</v>
      </c>
    </row>
    <row r="312" spans="10:30" x14ac:dyDescent="0.35">
      <c r="J312" s="1">
        <v>46116</v>
      </c>
      <c r="K312" s="1">
        <v>46116</v>
      </c>
      <c r="L312" s="1">
        <v>46121</v>
      </c>
      <c r="M312" s="1">
        <v>46121</v>
      </c>
      <c r="N312" s="1">
        <v>46121</v>
      </c>
      <c r="O312" s="1">
        <v>46121</v>
      </c>
      <c r="P312" s="1">
        <v>46122</v>
      </c>
      <c r="Q312" s="1">
        <v>46122</v>
      </c>
      <c r="S312" s="1">
        <v>46123</v>
      </c>
      <c r="T312" s="1">
        <v>46123</v>
      </c>
      <c r="U312" s="1">
        <v>46123</v>
      </c>
      <c r="V312" s="1">
        <v>46123</v>
      </c>
      <c r="W312" s="1">
        <v>46123</v>
      </c>
      <c r="X312" s="1">
        <v>46123</v>
      </c>
      <c r="Y312" s="1">
        <v>46123</v>
      </c>
      <c r="Z312" s="1">
        <v>46123</v>
      </c>
      <c r="AA312" s="1">
        <v>46123</v>
      </c>
    </row>
    <row r="313" spans="10:30" x14ac:dyDescent="0.35">
      <c r="J313" t="s">
        <v>12</v>
      </c>
      <c r="K313" t="s">
        <v>122</v>
      </c>
      <c r="L313" t="s">
        <v>128</v>
      </c>
      <c r="M313" t="s">
        <v>122</v>
      </c>
      <c r="N313" t="s">
        <v>29</v>
      </c>
      <c r="O313" t="s">
        <v>232</v>
      </c>
      <c r="P313" t="s">
        <v>28</v>
      </c>
      <c r="Q313" t="s">
        <v>585</v>
      </c>
      <c r="S313" t="s">
        <v>31</v>
      </c>
      <c r="T313" t="s">
        <v>31</v>
      </c>
      <c r="U313" t="s">
        <v>63</v>
      </c>
      <c r="V313" t="s">
        <v>585</v>
      </c>
      <c r="W313" t="s">
        <v>81</v>
      </c>
      <c r="X313" t="s">
        <v>16</v>
      </c>
      <c r="Y313" t="s">
        <v>574</v>
      </c>
      <c r="Z313" t="s">
        <v>232</v>
      </c>
      <c r="AA313" t="s">
        <v>232</v>
      </c>
    </row>
    <row r="314" spans="10:30" x14ac:dyDescent="0.35">
      <c r="J314" t="s">
        <v>35</v>
      </c>
      <c r="K314" t="s">
        <v>553</v>
      </c>
      <c r="L314" t="s">
        <v>116</v>
      </c>
      <c r="M314" t="s">
        <v>116</v>
      </c>
      <c r="N314" t="s">
        <v>116</v>
      </c>
      <c r="O314" t="s">
        <v>58</v>
      </c>
      <c r="P314" t="s">
        <v>232</v>
      </c>
      <c r="Q314" t="s">
        <v>21</v>
      </c>
      <c r="S314" t="s">
        <v>232</v>
      </c>
      <c r="T314" t="s">
        <v>9</v>
      </c>
      <c r="U314" t="s">
        <v>9</v>
      </c>
      <c r="V314" t="s">
        <v>16</v>
      </c>
      <c r="W314" t="s">
        <v>104</v>
      </c>
      <c r="X314" t="s">
        <v>12</v>
      </c>
      <c r="Y314" t="s">
        <v>81</v>
      </c>
      <c r="Z314" t="s">
        <v>593</v>
      </c>
      <c r="AA314" t="s">
        <v>553</v>
      </c>
    </row>
    <row r="315" spans="10:30" x14ac:dyDescent="0.35">
      <c r="J315" t="s">
        <v>16</v>
      </c>
      <c r="K315" t="s">
        <v>28</v>
      </c>
      <c r="L315" t="s">
        <v>586</v>
      </c>
      <c r="M315" t="s">
        <v>28</v>
      </c>
      <c r="N315" t="s">
        <v>587</v>
      </c>
      <c r="O315" t="s">
        <v>9</v>
      </c>
      <c r="P315" t="s">
        <v>1</v>
      </c>
      <c r="Q315" t="s">
        <v>1</v>
      </c>
      <c r="S315" t="s">
        <v>9</v>
      </c>
      <c r="T315" t="s">
        <v>28</v>
      </c>
      <c r="U315" t="s">
        <v>49</v>
      </c>
      <c r="V315" t="s">
        <v>17</v>
      </c>
      <c r="W315" t="s">
        <v>26</v>
      </c>
      <c r="X315" t="s">
        <v>104</v>
      </c>
      <c r="Y315" t="s">
        <v>585</v>
      </c>
      <c r="Z315" t="s">
        <v>31</v>
      </c>
      <c r="AA315" t="s">
        <v>17</v>
      </c>
    </row>
    <row r="316" spans="10:30" x14ac:dyDescent="0.35">
      <c r="J316" t="s">
        <v>122</v>
      </c>
      <c r="K316" t="s">
        <v>591</v>
      </c>
      <c r="L316" t="s">
        <v>31</v>
      </c>
      <c r="M316" t="s">
        <v>123</v>
      </c>
      <c r="N316" t="s">
        <v>26</v>
      </c>
      <c r="O316" t="s">
        <v>587</v>
      </c>
      <c r="P316" t="s">
        <v>17</v>
      </c>
      <c r="Q316" t="s">
        <v>232</v>
      </c>
      <c r="S316" t="s">
        <v>28</v>
      </c>
      <c r="T316" t="s">
        <v>1</v>
      </c>
      <c r="U316" t="s">
        <v>22</v>
      </c>
      <c r="V316" t="s">
        <v>9</v>
      </c>
      <c r="W316" t="s">
        <v>17</v>
      </c>
      <c r="X316" t="s">
        <v>81</v>
      </c>
      <c r="Y316" t="s">
        <v>17</v>
      </c>
      <c r="Z316" t="s">
        <v>17</v>
      </c>
      <c r="AA316" t="s">
        <v>593</v>
      </c>
    </row>
    <row r="317" spans="10:30" x14ac:dyDescent="0.35">
      <c r="J317" t="s">
        <v>29</v>
      </c>
      <c r="K317" t="s">
        <v>232</v>
      </c>
      <c r="L317" t="s">
        <v>591</v>
      </c>
      <c r="M317" t="s">
        <v>31</v>
      </c>
      <c r="N317" t="s">
        <v>104</v>
      </c>
      <c r="O317" t="s">
        <v>26</v>
      </c>
      <c r="P317" t="s">
        <v>585</v>
      </c>
      <c r="Q317" t="s">
        <v>33</v>
      </c>
      <c r="S317" t="s">
        <v>573</v>
      </c>
      <c r="T317" t="s">
        <v>122</v>
      </c>
      <c r="U317" t="s">
        <v>17</v>
      </c>
      <c r="V317" t="s">
        <v>113</v>
      </c>
      <c r="W317" t="s">
        <v>16</v>
      </c>
      <c r="X317" t="s">
        <v>26</v>
      </c>
      <c r="Y317" t="s">
        <v>553</v>
      </c>
      <c r="Z317" t="s">
        <v>49</v>
      </c>
      <c r="AA317" t="s">
        <v>552</v>
      </c>
    </row>
    <row r="318" spans="10:30" x14ac:dyDescent="0.35">
      <c r="J318" t="s">
        <v>591</v>
      </c>
      <c r="K318" t="s">
        <v>35</v>
      </c>
      <c r="L318" t="s">
        <v>589</v>
      </c>
      <c r="M318" t="s">
        <v>1</v>
      </c>
      <c r="N318" t="s">
        <v>49</v>
      </c>
      <c r="O318" t="s">
        <v>104</v>
      </c>
      <c r="P318" t="s">
        <v>31</v>
      </c>
      <c r="Q318" t="s">
        <v>586</v>
      </c>
      <c r="S318" t="s">
        <v>592</v>
      </c>
      <c r="T318" t="s">
        <v>232</v>
      </c>
      <c r="U318" t="s">
        <v>585</v>
      </c>
      <c r="V318" t="s">
        <v>22</v>
      </c>
      <c r="W318" t="s">
        <v>9</v>
      </c>
      <c r="X318" t="s">
        <v>17</v>
      </c>
      <c r="Y318" t="s">
        <v>104</v>
      </c>
      <c r="Z318" t="s">
        <v>586</v>
      </c>
      <c r="AA318" t="s">
        <v>28</v>
      </c>
    </row>
    <row r="319" spans="10:30" x14ac:dyDescent="0.35">
      <c r="J319" t="s">
        <v>28</v>
      </c>
      <c r="K319" t="s">
        <v>574</v>
      </c>
      <c r="L319" t="s">
        <v>28</v>
      </c>
      <c r="M319" t="s">
        <v>591</v>
      </c>
      <c r="N319" t="s">
        <v>58</v>
      </c>
      <c r="O319" t="s">
        <v>29</v>
      </c>
      <c r="P319" t="s">
        <v>33</v>
      </c>
      <c r="Q319" t="s">
        <v>31</v>
      </c>
      <c r="S319" t="s">
        <v>587</v>
      </c>
      <c r="T319" t="s">
        <v>587</v>
      </c>
      <c r="U319" t="s">
        <v>16</v>
      </c>
      <c r="V319" t="s">
        <v>30</v>
      </c>
      <c r="W319" t="s">
        <v>32</v>
      </c>
      <c r="X319" t="s">
        <v>110</v>
      </c>
      <c r="Y319" t="s">
        <v>110</v>
      </c>
      <c r="Z319" t="s">
        <v>1</v>
      </c>
      <c r="AA319" t="s">
        <v>110</v>
      </c>
    </row>
    <row r="320" spans="10:30" x14ac:dyDescent="0.35">
      <c r="J320" t="s">
        <v>232</v>
      </c>
      <c r="K320" t="s">
        <v>16</v>
      </c>
      <c r="L320" t="s">
        <v>122</v>
      </c>
      <c r="M320" t="s">
        <v>586</v>
      </c>
      <c r="N320" t="s">
        <v>30</v>
      </c>
      <c r="O320" t="s">
        <v>49</v>
      </c>
      <c r="P320" t="s">
        <v>586</v>
      </c>
      <c r="Q320" t="s">
        <v>28</v>
      </c>
      <c r="S320" t="s">
        <v>300</v>
      </c>
      <c r="T320" t="s">
        <v>586</v>
      </c>
      <c r="U320" t="s">
        <v>30</v>
      </c>
      <c r="V320" t="s">
        <v>49</v>
      </c>
      <c r="W320" t="s">
        <v>12</v>
      </c>
      <c r="X320" t="s">
        <v>32</v>
      </c>
      <c r="Y320" t="s">
        <v>26</v>
      </c>
      <c r="Z320" t="s">
        <v>28</v>
      </c>
      <c r="AA320" t="s">
        <v>26</v>
      </c>
    </row>
    <row r="322" spans="10:27" x14ac:dyDescent="0.35">
      <c r="J322" s="1">
        <v>46128</v>
      </c>
      <c r="K322" s="1">
        <v>46128</v>
      </c>
      <c r="L322" s="1">
        <v>46128</v>
      </c>
      <c r="M322" s="1">
        <v>46128</v>
      </c>
      <c r="N322" s="1">
        <v>46135</v>
      </c>
      <c r="O322" s="1">
        <v>46135</v>
      </c>
      <c r="P322" s="1">
        <v>46135</v>
      </c>
      <c r="Q322" s="1">
        <v>46136</v>
      </c>
      <c r="R322" s="1">
        <v>46136</v>
      </c>
      <c r="S322" s="1">
        <v>46140</v>
      </c>
      <c r="T322" s="1">
        <v>46140</v>
      </c>
      <c r="V322" s="1">
        <v>46149</v>
      </c>
      <c r="W322" s="1">
        <v>46149</v>
      </c>
      <c r="X322" s="1">
        <v>46149</v>
      </c>
      <c r="Y322" s="1">
        <v>46149</v>
      </c>
      <c r="Z322" s="1">
        <v>46150</v>
      </c>
      <c r="AA322" s="1">
        <v>46150</v>
      </c>
    </row>
    <row r="323" spans="10:27" x14ac:dyDescent="0.35">
      <c r="J323" t="s">
        <v>586</v>
      </c>
      <c r="K323" t="s">
        <v>586</v>
      </c>
      <c r="L323" t="s">
        <v>49</v>
      </c>
      <c r="M323" t="s">
        <v>553</v>
      </c>
      <c r="N323" t="s">
        <v>593</v>
      </c>
      <c r="O323" t="s">
        <v>232</v>
      </c>
      <c r="P323" t="s">
        <v>147</v>
      </c>
      <c r="Q323" t="s">
        <v>51</v>
      </c>
      <c r="R323" t="s">
        <v>591</v>
      </c>
      <c r="S323" t="s">
        <v>232</v>
      </c>
      <c r="T323" t="s">
        <v>147</v>
      </c>
      <c r="V323" t="s">
        <v>28</v>
      </c>
      <c r="W323" t="s">
        <v>129</v>
      </c>
      <c r="X323" t="s">
        <v>552</v>
      </c>
      <c r="Y323" t="s">
        <v>49</v>
      </c>
      <c r="Z323" t="s">
        <v>232</v>
      </c>
      <c r="AA323" t="s">
        <v>25</v>
      </c>
    </row>
    <row r="324" spans="10:27" x14ac:dyDescent="0.35">
      <c r="J324" t="s">
        <v>113</v>
      </c>
      <c r="K324" t="s">
        <v>16</v>
      </c>
      <c r="L324" t="s">
        <v>553</v>
      </c>
      <c r="M324" t="s">
        <v>51</v>
      </c>
      <c r="N324" t="s">
        <v>121</v>
      </c>
      <c r="O324" t="s">
        <v>19</v>
      </c>
      <c r="P324" t="s">
        <v>110</v>
      </c>
      <c r="Q324" t="s">
        <v>5</v>
      </c>
      <c r="R324" t="s">
        <v>5</v>
      </c>
      <c r="S324" t="s">
        <v>147</v>
      </c>
      <c r="T324" t="s">
        <v>232</v>
      </c>
      <c r="V324" t="s">
        <v>19</v>
      </c>
      <c r="W324" t="s">
        <v>28</v>
      </c>
      <c r="X324" t="s">
        <v>29</v>
      </c>
      <c r="Y324" t="s">
        <v>99</v>
      </c>
      <c r="Z324" t="s">
        <v>472</v>
      </c>
      <c r="AA324" t="s">
        <v>31</v>
      </c>
    </row>
    <row r="325" spans="10:27" x14ac:dyDescent="0.35">
      <c r="J325" t="s">
        <v>122</v>
      </c>
      <c r="K325" t="s">
        <v>113</v>
      </c>
      <c r="L325" t="s">
        <v>587</v>
      </c>
      <c r="M325" t="s">
        <v>26</v>
      </c>
      <c r="N325" t="s">
        <v>35</v>
      </c>
      <c r="O325" t="s">
        <v>35</v>
      </c>
      <c r="P325" t="s">
        <v>587</v>
      </c>
      <c r="Q325" t="s">
        <v>28</v>
      </c>
      <c r="R325" t="s">
        <v>232</v>
      </c>
      <c r="S325" t="s">
        <v>586</v>
      </c>
      <c r="T325" t="s">
        <v>110</v>
      </c>
      <c r="V325" t="s">
        <v>35</v>
      </c>
      <c r="W325" t="s">
        <v>122</v>
      </c>
      <c r="X325" t="s">
        <v>15</v>
      </c>
      <c r="Y325" t="s">
        <v>29</v>
      </c>
      <c r="Z325" t="s">
        <v>31</v>
      </c>
      <c r="AA325" t="s">
        <v>232</v>
      </c>
    </row>
    <row r="326" spans="10:27" x14ac:dyDescent="0.35">
      <c r="J326" t="s">
        <v>139</v>
      </c>
      <c r="K326" t="s">
        <v>591</v>
      </c>
      <c r="L326" t="s">
        <v>104</v>
      </c>
      <c r="M326" t="s">
        <v>110</v>
      </c>
      <c r="N326" t="s">
        <v>19</v>
      </c>
      <c r="O326" t="s">
        <v>16</v>
      </c>
      <c r="P326" t="s">
        <v>26</v>
      </c>
      <c r="Q326" t="s">
        <v>31</v>
      </c>
      <c r="R326" t="s">
        <v>51</v>
      </c>
      <c r="S326" t="s">
        <v>472</v>
      </c>
      <c r="T326" t="s">
        <v>31</v>
      </c>
      <c r="V326" t="s">
        <v>147</v>
      </c>
      <c r="W326" t="s">
        <v>232</v>
      </c>
      <c r="X326" t="s">
        <v>253</v>
      </c>
      <c r="Y326" t="s">
        <v>21</v>
      </c>
      <c r="Z326" t="s">
        <v>37</v>
      </c>
      <c r="AA326" t="s">
        <v>121</v>
      </c>
    </row>
    <row r="327" spans="10:27" x14ac:dyDescent="0.35">
      <c r="J327" t="s">
        <v>16</v>
      </c>
      <c r="K327" t="s">
        <v>110</v>
      </c>
      <c r="L327" t="s">
        <v>110</v>
      </c>
      <c r="M327" t="s">
        <v>49</v>
      </c>
      <c r="N327" t="s">
        <v>128</v>
      </c>
      <c r="O327" t="s">
        <v>110</v>
      </c>
      <c r="P327" t="s">
        <v>30</v>
      </c>
      <c r="Q327" t="s">
        <v>82</v>
      </c>
      <c r="R327" t="s">
        <v>37</v>
      </c>
      <c r="S327" t="s">
        <v>28</v>
      </c>
      <c r="T327" t="s">
        <v>28</v>
      </c>
      <c r="V327" t="s">
        <v>99</v>
      </c>
      <c r="W327" t="s">
        <v>19</v>
      </c>
      <c r="X327" t="s">
        <v>21</v>
      </c>
      <c r="Y327" t="s">
        <v>25</v>
      </c>
      <c r="Z327" t="s">
        <v>25</v>
      </c>
      <c r="AA327" t="s">
        <v>26</v>
      </c>
    </row>
    <row r="328" spans="10:27" x14ac:dyDescent="0.35">
      <c r="J328" t="s">
        <v>25</v>
      </c>
      <c r="K328" t="s">
        <v>122</v>
      </c>
      <c r="L328" t="s">
        <v>574</v>
      </c>
      <c r="M328" t="s">
        <v>3</v>
      </c>
      <c r="N328" t="s">
        <v>16</v>
      </c>
      <c r="O328" t="s">
        <v>147</v>
      </c>
      <c r="P328" t="s">
        <v>552</v>
      </c>
      <c r="Q328" t="s">
        <v>232</v>
      </c>
      <c r="R328" t="s">
        <v>31</v>
      </c>
      <c r="S328" t="s">
        <v>591</v>
      </c>
      <c r="T328" t="s">
        <v>591</v>
      </c>
      <c r="V328" t="s">
        <v>25</v>
      </c>
      <c r="W328" t="s">
        <v>87</v>
      </c>
      <c r="X328" t="s">
        <v>30</v>
      </c>
      <c r="Y328" t="s">
        <v>147</v>
      </c>
      <c r="Z328" t="s">
        <v>28</v>
      </c>
      <c r="AA328" t="s">
        <v>37</v>
      </c>
    </row>
    <row r="329" spans="10:27" x14ac:dyDescent="0.35">
      <c r="J329" t="s">
        <v>110</v>
      </c>
      <c r="K329" t="s">
        <v>139</v>
      </c>
      <c r="L329" t="s">
        <v>3</v>
      </c>
      <c r="M329" t="s">
        <v>587</v>
      </c>
      <c r="N329" t="s">
        <v>17</v>
      </c>
      <c r="O329" t="s">
        <v>591</v>
      </c>
      <c r="P329" t="s">
        <v>49</v>
      </c>
      <c r="Q329" t="s">
        <v>591</v>
      </c>
      <c r="R329" t="s">
        <v>28</v>
      </c>
      <c r="S329" t="s">
        <v>31</v>
      </c>
      <c r="T329" t="s">
        <v>472</v>
      </c>
      <c r="V329" t="s">
        <v>87</v>
      </c>
      <c r="W329" t="s">
        <v>35</v>
      </c>
      <c r="X329" t="s">
        <v>99</v>
      </c>
      <c r="Y329" t="s">
        <v>82</v>
      </c>
      <c r="Z329" t="s">
        <v>121</v>
      </c>
      <c r="AA329" t="s">
        <v>472</v>
      </c>
    </row>
    <row r="330" spans="10:27" x14ac:dyDescent="0.35">
      <c r="J330" t="s">
        <v>28</v>
      </c>
      <c r="K330" t="s">
        <v>28</v>
      </c>
      <c r="L330" t="s">
        <v>129</v>
      </c>
      <c r="M330" t="s">
        <v>574</v>
      </c>
      <c r="N330" t="s">
        <v>25</v>
      </c>
      <c r="O330" t="s">
        <v>593</v>
      </c>
      <c r="P330" t="s">
        <v>574</v>
      </c>
      <c r="Q330" t="s">
        <v>37</v>
      </c>
      <c r="R330" t="s">
        <v>82</v>
      </c>
      <c r="S330" t="s">
        <v>17</v>
      </c>
      <c r="T330" t="s">
        <v>586</v>
      </c>
      <c r="V330" t="s">
        <v>122</v>
      </c>
      <c r="W330" t="s">
        <v>15</v>
      </c>
      <c r="X330" t="s">
        <v>49</v>
      </c>
      <c r="Y330" t="s">
        <v>12</v>
      </c>
      <c r="Z330" t="s">
        <v>26</v>
      </c>
      <c r="AA330" t="s">
        <v>28</v>
      </c>
    </row>
    <row r="332" spans="10:27" x14ac:dyDescent="0.35">
      <c r="J332" s="1">
        <v>46156</v>
      </c>
      <c r="K332" s="1">
        <v>46156</v>
      </c>
      <c r="L332" s="1">
        <v>46156</v>
      </c>
      <c r="M332" s="1">
        <v>46156</v>
      </c>
      <c r="N332" s="1">
        <v>46157</v>
      </c>
      <c r="O332" s="1">
        <v>46157</v>
      </c>
      <c r="Q332" s="1">
        <v>46158</v>
      </c>
      <c r="R332" s="1">
        <v>46158</v>
      </c>
      <c r="S332" s="1">
        <v>46158</v>
      </c>
      <c r="T332" s="1">
        <v>46158</v>
      </c>
      <c r="U332" s="1">
        <v>46158</v>
      </c>
      <c r="V332" s="1">
        <v>46158</v>
      </c>
      <c r="W332" s="1">
        <v>46158</v>
      </c>
      <c r="X332" s="1">
        <v>46158</v>
      </c>
    </row>
    <row r="333" spans="10:27" x14ac:dyDescent="0.35">
      <c r="J333" t="s">
        <v>122</v>
      </c>
      <c r="K333" t="s">
        <v>87</v>
      </c>
      <c r="L333" t="s">
        <v>30</v>
      </c>
      <c r="M333" t="s">
        <v>35</v>
      </c>
      <c r="N333" t="s">
        <v>552</v>
      </c>
      <c r="O333" t="s">
        <v>232</v>
      </c>
      <c r="Q333" t="s">
        <v>82</v>
      </c>
      <c r="R333" t="s">
        <v>232</v>
      </c>
      <c r="S333" t="s">
        <v>15</v>
      </c>
      <c r="T333" t="s">
        <v>2</v>
      </c>
      <c r="U333" t="s">
        <v>7</v>
      </c>
      <c r="V333" t="s">
        <v>7</v>
      </c>
      <c r="W333" t="s">
        <v>87</v>
      </c>
      <c r="X333" t="s">
        <v>232</v>
      </c>
    </row>
    <row r="334" spans="10:27" x14ac:dyDescent="0.35">
      <c r="J334" t="s">
        <v>25</v>
      </c>
      <c r="K334" t="s">
        <v>122</v>
      </c>
      <c r="L334" t="s">
        <v>232</v>
      </c>
      <c r="M334" t="s">
        <v>2</v>
      </c>
      <c r="N334" t="s">
        <v>113</v>
      </c>
      <c r="O334" t="s">
        <v>7</v>
      </c>
      <c r="Q334" t="s">
        <v>147</v>
      </c>
      <c r="R334" t="s">
        <v>147</v>
      </c>
      <c r="S334" t="s">
        <v>25</v>
      </c>
      <c r="T334" t="s">
        <v>122</v>
      </c>
      <c r="U334" t="s">
        <v>32</v>
      </c>
      <c r="V334" t="s">
        <v>104</v>
      </c>
      <c r="W334" t="s">
        <v>122</v>
      </c>
      <c r="X334" t="s">
        <v>25</v>
      </c>
    </row>
    <row r="335" spans="10:27" x14ac:dyDescent="0.35">
      <c r="J335" t="s">
        <v>31</v>
      </c>
      <c r="K335" t="s">
        <v>31</v>
      </c>
      <c r="L335" t="s">
        <v>82</v>
      </c>
      <c r="M335" t="s">
        <v>232</v>
      </c>
      <c r="N335" t="s">
        <v>25</v>
      </c>
      <c r="O335" t="s">
        <v>37</v>
      </c>
      <c r="Q335" t="s">
        <v>12</v>
      </c>
      <c r="R335" t="s">
        <v>99</v>
      </c>
      <c r="S335" t="s">
        <v>552</v>
      </c>
      <c r="T335" t="s">
        <v>129</v>
      </c>
      <c r="U335" t="s">
        <v>12</v>
      </c>
      <c r="V335" t="s">
        <v>32</v>
      </c>
      <c r="W335" t="s">
        <v>25</v>
      </c>
      <c r="X335" t="s">
        <v>26</v>
      </c>
    </row>
    <row r="336" spans="10:27" x14ac:dyDescent="0.35">
      <c r="J336" t="s">
        <v>21</v>
      </c>
      <c r="K336" t="s">
        <v>82</v>
      </c>
      <c r="L336" t="s">
        <v>574</v>
      </c>
      <c r="M336" t="s">
        <v>99</v>
      </c>
      <c r="N336" t="s">
        <v>7</v>
      </c>
      <c r="O336" t="s">
        <v>552</v>
      </c>
      <c r="Q336" t="s">
        <v>589</v>
      </c>
      <c r="R336" t="s">
        <v>586</v>
      </c>
      <c r="S336" t="s">
        <v>49</v>
      </c>
      <c r="T336" t="s">
        <v>25</v>
      </c>
      <c r="U336" t="s">
        <v>56</v>
      </c>
      <c r="V336" t="s">
        <v>35</v>
      </c>
      <c r="W336" t="s">
        <v>31</v>
      </c>
      <c r="X336" t="s">
        <v>31</v>
      </c>
    </row>
    <row r="337" spans="10:32" x14ac:dyDescent="0.35">
      <c r="J337" t="s">
        <v>99</v>
      </c>
      <c r="K337" t="s">
        <v>21</v>
      </c>
      <c r="L337" t="s">
        <v>35</v>
      </c>
      <c r="M337" t="s">
        <v>104</v>
      </c>
      <c r="N337" t="s">
        <v>232</v>
      </c>
      <c r="O337" t="s">
        <v>12</v>
      </c>
      <c r="Q337" t="s">
        <v>232</v>
      </c>
      <c r="R337" t="s">
        <v>82</v>
      </c>
      <c r="S337" t="s">
        <v>31</v>
      </c>
      <c r="T337" t="s">
        <v>552</v>
      </c>
      <c r="U337" t="s">
        <v>81</v>
      </c>
      <c r="V337" t="s">
        <v>56</v>
      </c>
      <c r="W337" t="s">
        <v>574</v>
      </c>
      <c r="X337" t="s">
        <v>122</v>
      </c>
    </row>
    <row r="338" spans="10:32" x14ac:dyDescent="0.35">
      <c r="J338" t="s">
        <v>82</v>
      </c>
      <c r="K338" t="s">
        <v>25</v>
      </c>
      <c r="L338" t="s">
        <v>553</v>
      </c>
      <c r="M338" t="s">
        <v>553</v>
      </c>
      <c r="N338" t="s">
        <v>37</v>
      </c>
      <c r="O338" t="s">
        <v>25</v>
      </c>
      <c r="Q338" t="s">
        <v>586</v>
      </c>
      <c r="R338" t="s">
        <v>12</v>
      </c>
      <c r="S338" t="s">
        <v>99</v>
      </c>
      <c r="T338" t="s">
        <v>31</v>
      </c>
      <c r="U338" t="s">
        <v>35</v>
      </c>
      <c r="V338" t="s">
        <v>26</v>
      </c>
      <c r="W338" t="s">
        <v>232</v>
      </c>
      <c r="X338" t="s">
        <v>7</v>
      </c>
    </row>
    <row r="339" spans="10:32" x14ac:dyDescent="0.35">
      <c r="J339" t="s">
        <v>87</v>
      </c>
      <c r="K339" t="s">
        <v>139</v>
      </c>
      <c r="L339" t="s">
        <v>99</v>
      </c>
      <c r="M339" t="s">
        <v>82</v>
      </c>
      <c r="N339" t="s">
        <v>586</v>
      </c>
      <c r="O339" t="s">
        <v>574</v>
      </c>
      <c r="Q339" t="s">
        <v>122</v>
      </c>
      <c r="R339" t="s">
        <v>1</v>
      </c>
      <c r="S339" t="s">
        <v>82</v>
      </c>
      <c r="T339" t="s">
        <v>574</v>
      </c>
      <c r="U339" t="s">
        <v>26</v>
      </c>
      <c r="V339" t="s">
        <v>81</v>
      </c>
      <c r="W339" t="s">
        <v>552</v>
      </c>
      <c r="X339" t="s">
        <v>87</v>
      </c>
    </row>
    <row r="340" spans="10:32" x14ac:dyDescent="0.35">
      <c r="J340" t="s">
        <v>139</v>
      </c>
      <c r="K340" t="s">
        <v>99</v>
      </c>
      <c r="L340" t="s">
        <v>587</v>
      </c>
      <c r="M340" t="s">
        <v>574</v>
      </c>
      <c r="N340" t="s">
        <v>574</v>
      </c>
      <c r="O340" t="s">
        <v>113</v>
      </c>
      <c r="Q340" t="s">
        <v>99</v>
      </c>
      <c r="R340" t="s">
        <v>49</v>
      </c>
      <c r="S340" t="s">
        <v>574</v>
      </c>
      <c r="T340" t="s">
        <v>15</v>
      </c>
      <c r="U340" t="s">
        <v>104</v>
      </c>
      <c r="V340" t="s">
        <v>12</v>
      </c>
      <c r="W340" t="s">
        <v>147</v>
      </c>
      <c r="X340" t="s">
        <v>147</v>
      </c>
    </row>
    <row r="342" spans="10:32" x14ac:dyDescent="0.35">
      <c r="J342" s="1">
        <v>46163</v>
      </c>
      <c r="K342" s="1">
        <v>46163</v>
      </c>
      <c r="L342" s="1">
        <v>46163</v>
      </c>
      <c r="M342" s="1">
        <v>46163</v>
      </c>
      <c r="N342" s="1">
        <v>46164</v>
      </c>
      <c r="O342" s="1">
        <v>46164</v>
      </c>
      <c r="P342" s="1">
        <v>46170</v>
      </c>
      <c r="Q342" s="1">
        <v>46170</v>
      </c>
      <c r="R342" s="1">
        <v>46170</v>
      </c>
      <c r="S342" s="1">
        <v>46170</v>
      </c>
      <c r="U342" s="1">
        <v>46178</v>
      </c>
      <c r="V342" s="1">
        <v>46178</v>
      </c>
      <c r="W342" s="1">
        <v>46179</v>
      </c>
      <c r="X342" s="1">
        <v>46179</v>
      </c>
      <c r="Y342" s="1">
        <v>46179</v>
      </c>
      <c r="Z342" s="1">
        <v>46179</v>
      </c>
      <c r="AA342" s="1">
        <v>46179</v>
      </c>
      <c r="AB342" s="1">
        <v>46179</v>
      </c>
      <c r="AC342" s="1">
        <v>46179</v>
      </c>
      <c r="AD342" s="1">
        <v>46179</v>
      </c>
      <c r="AE342" s="1">
        <v>46179</v>
      </c>
      <c r="AF342" s="1">
        <v>46179</v>
      </c>
    </row>
    <row r="343" spans="10:32" x14ac:dyDescent="0.35">
      <c r="J343" t="s">
        <v>121</v>
      </c>
      <c r="K343" t="s">
        <v>28</v>
      </c>
      <c r="L343" t="s">
        <v>128</v>
      </c>
      <c r="M343" t="s">
        <v>15</v>
      </c>
      <c r="N343" t="s">
        <v>232</v>
      </c>
      <c r="O343" t="s">
        <v>7</v>
      </c>
      <c r="P343" t="s">
        <v>128</v>
      </c>
      <c r="Q343" t="s">
        <v>28</v>
      </c>
      <c r="R343" t="s">
        <v>574</v>
      </c>
      <c r="S343" t="s">
        <v>553</v>
      </c>
      <c r="U343" t="s">
        <v>586</v>
      </c>
      <c r="V343" t="s">
        <v>28</v>
      </c>
      <c r="W343" t="s">
        <v>403</v>
      </c>
      <c r="X343" t="s">
        <v>552</v>
      </c>
      <c r="Y343" t="s">
        <v>113</v>
      </c>
      <c r="Z343" t="s">
        <v>31</v>
      </c>
      <c r="AA343" t="s">
        <v>105</v>
      </c>
      <c r="AB343" t="s">
        <v>34</v>
      </c>
      <c r="AC343" t="s">
        <v>36</v>
      </c>
      <c r="AD343" t="s">
        <v>31</v>
      </c>
      <c r="AE343" t="s">
        <v>572</v>
      </c>
      <c r="AF343" t="s">
        <v>28</v>
      </c>
    </row>
    <row r="344" spans="10:32" x14ac:dyDescent="0.35">
      <c r="J344" t="s">
        <v>7</v>
      </c>
      <c r="K344" t="s">
        <v>232</v>
      </c>
      <c r="L344" t="s">
        <v>56</v>
      </c>
      <c r="M344" t="s">
        <v>7</v>
      </c>
      <c r="N344" t="s">
        <v>123</v>
      </c>
      <c r="O344" t="s">
        <v>117</v>
      </c>
      <c r="P344" t="s">
        <v>121</v>
      </c>
      <c r="Q344" t="s">
        <v>104</v>
      </c>
      <c r="R344" t="s">
        <v>122</v>
      </c>
      <c r="S344" t="s">
        <v>56</v>
      </c>
      <c r="U344" t="s">
        <v>56</v>
      </c>
      <c r="V344" t="s">
        <v>31</v>
      </c>
      <c r="W344" t="s">
        <v>90</v>
      </c>
      <c r="X344" t="s">
        <v>90</v>
      </c>
      <c r="Y344" t="s">
        <v>593</v>
      </c>
      <c r="Z344" t="s">
        <v>593</v>
      </c>
      <c r="AA344" t="s">
        <v>232</v>
      </c>
      <c r="AB344" t="s">
        <v>49</v>
      </c>
      <c r="AC344" t="s">
        <v>104</v>
      </c>
      <c r="AD344" t="s">
        <v>25</v>
      </c>
      <c r="AE344" t="s">
        <v>112</v>
      </c>
      <c r="AF344" t="s">
        <v>112</v>
      </c>
    </row>
    <row r="345" spans="10:32" x14ac:dyDescent="0.35">
      <c r="J345" t="s">
        <v>25</v>
      </c>
      <c r="K345" t="s">
        <v>35</v>
      </c>
      <c r="L345" t="s">
        <v>553</v>
      </c>
      <c r="M345" t="s">
        <v>21</v>
      </c>
      <c r="N345" t="s">
        <v>553</v>
      </c>
      <c r="O345" t="s">
        <v>113</v>
      </c>
      <c r="P345" t="s">
        <v>28</v>
      </c>
      <c r="Q345" t="s">
        <v>52</v>
      </c>
      <c r="R345" t="s">
        <v>52</v>
      </c>
      <c r="S345" t="s">
        <v>122</v>
      </c>
      <c r="U345" t="s">
        <v>31</v>
      </c>
      <c r="V345" t="s">
        <v>232</v>
      </c>
      <c r="W345" t="s">
        <v>588</v>
      </c>
      <c r="X345" t="s">
        <v>553</v>
      </c>
      <c r="Y345" t="s">
        <v>28</v>
      </c>
      <c r="Z345" t="s">
        <v>113</v>
      </c>
      <c r="AA345" t="s">
        <v>121</v>
      </c>
      <c r="AB345" t="s">
        <v>25</v>
      </c>
      <c r="AC345" t="s">
        <v>81</v>
      </c>
      <c r="AD345" t="s">
        <v>56</v>
      </c>
      <c r="AE345" t="s">
        <v>29</v>
      </c>
      <c r="AF345" t="s">
        <v>26</v>
      </c>
    </row>
    <row r="346" spans="10:32" x14ac:dyDescent="0.35">
      <c r="J346" t="s">
        <v>35</v>
      </c>
      <c r="K346" t="s">
        <v>7</v>
      </c>
      <c r="L346" t="s">
        <v>122</v>
      </c>
      <c r="M346" t="s">
        <v>49</v>
      </c>
      <c r="N346" t="s">
        <v>28</v>
      </c>
      <c r="O346" t="s">
        <v>28</v>
      </c>
      <c r="P346" t="s">
        <v>25</v>
      </c>
      <c r="Q346" t="s">
        <v>35</v>
      </c>
      <c r="R346" t="s">
        <v>104</v>
      </c>
      <c r="S346" t="s">
        <v>49</v>
      </c>
      <c r="U346" t="s">
        <v>25</v>
      </c>
      <c r="V346" t="s">
        <v>34</v>
      </c>
      <c r="W346" t="s">
        <v>81</v>
      </c>
      <c r="X346" t="s">
        <v>104</v>
      </c>
      <c r="Y346" t="s">
        <v>128</v>
      </c>
      <c r="Z346" t="s">
        <v>28</v>
      </c>
      <c r="AA346" t="s">
        <v>34</v>
      </c>
      <c r="AB346" t="s">
        <v>121</v>
      </c>
      <c r="AC346" t="s">
        <v>27</v>
      </c>
      <c r="AD346" t="s">
        <v>112</v>
      </c>
      <c r="AE346" t="s">
        <v>552</v>
      </c>
      <c r="AF346" t="s">
        <v>113</v>
      </c>
    </row>
    <row r="347" spans="10:32" x14ac:dyDescent="0.35">
      <c r="J347" t="s">
        <v>31</v>
      </c>
      <c r="K347" t="s">
        <v>31</v>
      </c>
      <c r="L347" t="s">
        <v>21</v>
      </c>
      <c r="M347" t="s">
        <v>56</v>
      </c>
      <c r="N347" t="s">
        <v>253</v>
      </c>
      <c r="O347" t="s">
        <v>31</v>
      </c>
      <c r="P347" t="s">
        <v>87</v>
      </c>
      <c r="Q347" t="s">
        <v>31</v>
      </c>
      <c r="R347" t="s">
        <v>20</v>
      </c>
      <c r="S347" t="s">
        <v>21</v>
      </c>
      <c r="U347" t="s">
        <v>121</v>
      </c>
      <c r="V347" t="s">
        <v>25</v>
      </c>
      <c r="W347" t="s">
        <v>104</v>
      </c>
      <c r="X347" t="s">
        <v>105</v>
      </c>
      <c r="Y347" t="s">
        <v>31</v>
      </c>
      <c r="Z347" t="s">
        <v>147</v>
      </c>
      <c r="AA347" t="s">
        <v>90</v>
      </c>
      <c r="AB347" t="s">
        <v>232</v>
      </c>
      <c r="AC347" t="s">
        <v>113</v>
      </c>
      <c r="AD347" t="s">
        <v>28</v>
      </c>
      <c r="AE347" t="s">
        <v>104</v>
      </c>
      <c r="AF347" t="s">
        <v>34</v>
      </c>
    </row>
    <row r="348" spans="10:32" x14ac:dyDescent="0.35">
      <c r="J348" t="s">
        <v>28</v>
      </c>
      <c r="K348" t="s">
        <v>15</v>
      </c>
      <c r="L348" t="s">
        <v>49</v>
      </c>
      <c r="M348" t="s">
        <v>122</v>
      </c>
      <c r="N348" t="s">
        <v>20</v>
      </c>
      <c r="O348" t="s">
        <v>232</v>
      </c>
      <c r="P348" t="s">
        <v>230</v>
      </c>
      <c r="Q348" t="s">
        <v>25</v>
      </c>
      <c r="R348" t="s">
        <v>21</v>
      </c>
      <c r="S348" t="s">
        <v>574</v>
      </c>
      <c r="U348" t="s">
        <v>232</v>
      </c>
      <c r="V348" t="s">
        <v>56</v>
      </c>
      <c r="W348" t="s">
        <v>26</v>
      </c>
      <c r="X348" t="s">
        <v>588</v>
      </c>
      <c r="Y348" t="s">
        <v>588</v>
      </c>
      <c r="Z348" t="s">
        <v>588</v>
      </c>
      <c r="AA348" t="s">
        <v>25</v>
      </c>
      <c r="AB348" t="s">
        <v>105</v>
      </c>
      <c r="AC348" t="s">
        <v>34</v>
      </c>
      <c r="AD348" t="s">
        <v>123</v>
      </c>
      <c r="AE348" t="s">
        <v>81</v>
      </c>
      <c r="AF348" t="s">
        <v>25</v>
      </c>
    </row>
    <row r="349" spans="10:32" x14ac:dyDescent="0.35">
      <c r="J349" t="s">
        <v>87</v>
      </c>
      <c r="K349" t="s">
        <v>87</v>
      </c>
      <c r="L349" t="s">
        <v>574</v>
      </c>
      <c r="M349" t="s">
        <v>29</v>
      </c>
      <c r="N349" t="s">
        <v>31</v>
      </c>
      <c r="O349" t="s">
        <v>37</v>
      </c>
      <c r="P349" t="s">
        <v>35</v>
      </c>
      <c r="Q349" t="s">
        <v>87</v>
      </c>
      <c r="R349" t="s">
        <v>553</v>
      </c>
      <c r="S349" t="s">
        <v>20</v>
      </c>
      <c r="U349" t="s">
        <v>28</v>
      </c>
      <c r="V349" t="s">
        <v>147</v>
      </c>
      <c r="W349" t="s">
        <v>34</v>
      </c>
      <c r="X349" t="s">
        <v>26</v>
      </c>
      <c r="Y349" t="s">
        <v>147</v>
      </c>
      <c r="Z349" t="s">
        <v>128</v>
      </c>
      <c r="AA349" t="s">
        <v>56</v>
      </c>
      <c r="AB349" t="s">
        <v>56</v>
      </c>
      <c r="AC349" t="s">
        <v>29</v>
      </c>
      <c r="AD349" t="s">
        <v>232</v>
      </c>
      <c r="AE349" t="s">
        <v>113</v>
      </c>
      <c r="AF349" t="s">
        <v>232</v>
      </c>
    </row>
    <row r="350" spans="10:32" x14ac:dyDescent="0.35">
      <c r="J350" t="s">
        <v>123</v>
      </c>
      <c r="K350" t="s">
        <v>25</v>
      </c>
      <c r="L350" t="s">
        <v>7</v>
      </c>
      <c r="M350" t="s">
        <v>19</v>
      </c>
      <c r="N350" t="s">
        <v>87</v>
      </c>
      <c r="O350" t="s">
        <v>87</v>
      </c>
      <c r="P350" t="s">
        <v>31</v>
      </c>
      <c r="Q350" t="s">
        <v>232</v>
      </c>
      <c r="R350" t="s">
        <v>56</v>
      </c>
      <c r="S350" t="s">
        <v>52</v>
      </c>
      <c r="U350" t="s">
        <v>147</v>
      </c>
      <c r="V350" t="s">
        <v>586</v>
      </c>
      <c r="W350" t="s">
        <v>15</v>
      </c>
      <c r="X350" t="s">
        <v>81</v>
      </c>
      <c r="Y350" t="s">
        <v>586</v>
      </c>
      <c r="Z350" t="s">
        <v>34</v>
      </c>
      <c r="AA350" t="s">
        <v>49</v>
      </c>
      <c r="AB350" t="s">
        <v>90</v>
      </c>
      <c r="AC350" t="s">
        <v>26</v>
      </c>
      <c r="AD350" t="s">
        <v>593</v>
      </c>
      <c r="AE350" t="s">
        <v>26</v>
      </c>
      <c r="AF350" t="s">
        <v>593</v>
      </c>
    </row>
    <row r="352" spans="10:32" x14ac:dyDescent="0.35">
      <c r="J352" s="1">
        <v>46184</v>
      </c>
      <c r="K352" s="1">
        <v>46184</v>
      </c>
      <c r="L352" s="1">
        <v>46185</v>
      </c>
      <c r="M352" s="1">
        <v>46185</v>
      </c>
      <c r="N352" s="1">
        <v>46186</v>
      </c>
      <c r="O352" s="1">
        <v>46186</v>
      </c>
      <c r="P352" s="1">
        <v>46191</v>
      </c>
      <c r="Q352" s="1">
        <v>46191</v>
      </c>
      <c r="R352" s="1">
        <v>46191</v>
      </c>
      <c r="T352" s="1">
        <v>46192</v>
      </c>
      <c r="U352" s="1">
        <v>46192</v>
      </c>
      <c r="V352" s="1">
        <v>46198</v>
      </c>
      <c r="W352" s="1">
        <v>46198</v>
      </c>
      <c r="X352" s="1">
        <v>46198</v>
      </c>
      <c r="Y352" s="1">
        <v>46198</v>
      </c>
      <c r="Z352" s="1">
        <v>46199</v>
      </c>
      <c r="AA352" s="1">
        <v>46199</v>
      </c>
      <c r="AB352" s="1">
        <v>46205</v>
      </c>
      <c r="AC352" s="1">
        <v>46205</v>
      </c>
      <c r="AD352" s="1">
        <v>46205</v>
      </c>
    </row>
    <row r="353" spans="10:37" x14ac:dyDescent="0.35">
      <c r="J353" t="s">
        <v>586</v>
      </c>
      <c r="K353" t="s">
        <v>31</v>
      </c>
      <c r="L353" t="s">
        <v>552</v>
      </c>
      <c r="M353" t="s">
        <v>591</v>
      </c>
      <c r="N353" t="s">
        <v>232</v>
      </c>
      <c r="O353" t="s">
        <v>35</v>
      </c>
      <c r="P353" t="s">
        <v>35</v>
      </c>
      <c r="Q353" t="s">
        <v>128</v>
      </c>
      <c r="R353" t="s">
        <v>232</v>
      </c>
      <c r="T353" t="s">
        <v>87</v>
      </c>
      <c r="U353" t="s">
        <v>25</v>
      </c>
      <c r="V353" t="s">
        <v>28</v>
      </c>
      <c r="W353" t="s">
        <v>31</v>
      </c>
      <c r="X353" t="s">
        <v>552</v>
      </c>
      <c r="Y353" t="s">
        <v>29</v>
      </c>
      <c r="Z353" t="s">
        <v>572</v>
      </c>
      <c r="AA353" t="s">
        <v>112</v>
      </c>
      <c r="AB353" t="s">
        <v>35</v>
      </c>
      <c r="AC353" t="s">
        <v>232</v>
      </c>
      <c r="AD353" t="s">
        <v>52</v>
      </c>
    </row>
    <row r="354" spans="10:37" x14ac:dyDescent="0.35">
      <c r="J354" t="s">
        <v>28</v>
      </c>
      <c r="K354" t="s">
        <v>593</v>
      </c>
      <c r="L354" t="s">
        <v>586</v>
      </c>
      <c r="M354" t="s">
        <v>553</v>
      </c>
      <c r="N354" t="s">
        <v>28</v>
      </c>
      <c r="O354" t="s">
        <v>232</v>
      </c>
      <c r="P354" t="s">
        <v>28</v>
      </c>
      <c r="Q354" t="s">
        <v>90</v>
      </c>
      <c r="R354" t="s">
        <v>35</v>
      </c>
      <c r="T354" t="s">
        <v>122</v>
      </c>
      <c r="U354" t="s">
        <v>89</v>
      </c>
      <c r="V354" t="s">
        <v>90</v>
      </c>
      <c r="W354" t="s">
        <v>25</v>
      </c>
      <c r="X354" t="s">
        <v>116</v>
      </c>
      <c r="Y354" t="s">
        <v>105</v>
      </c>
      <c r="Z354" t="s">
        <v>232</v>
      </c>
      <c r="AA354" t="s">
        <v>403</v>
      </c>
      <c r="AB354" t="s">
        <v>122</v>
      </c>
      <c r="AC354" t="s">
        <v>35</v>
      </c>
      <c r="AD354" t="s">
        <v>20</v>
      </c>
    </row>
    <row r="355" spans="10:37" x14ac:dyDescent="0.35">
      <c r="J355" t="s">
        <v>593</v>
      </c>
      <c r="K355" t="s">
        <v>21</v>
      </c>
      <c r="L355" t="s">
        <v>31</v>
      </c>
      <c r="M355" t="s">
        <v>586</v>
      </c>
      <c r="N355" t="s">
        <v>35</v>
      </c>
      <c r="O355" t="s">
        <v>552</v>
      </c>
      <c r="P355" t="s">
        <v>403</v>
      </c>
      <c r="Q355" t="s">
        <v>56</v>
      </c>
      <c r="R355" t="s">
        <v>25</v>
      </c>
      <c r="T355" t="s">
        <v>232</v>
      </c>
      <c r="U355" t="s">
        <v>122</v>
      </c>
      <c r="V355" t="s">
        <v>128</v>
      </c>
      <c r="W355" t="s">
        <v>90</v>
      </c>
      <c r="X355" t="s">
        <v>35</v>
      </c>
      <c r="Y355" t="s">
        <v>50</v>
      </c>
      <c r="Z355" t="s">
        <v>552</v>
      </c>
      <c r="AA355" t="s">
        <v>121</v>
      </c>
      <c r="AB355" t="s">
        <v>28</v>
      </c>
      <c r="AC355" t="s">
        <v>87</v>
      </c>
      <c r="AD355" t="s">
        <v>49</v>
      </c>
    </row>
    <row r="356" spans="10:37" x14ac:dyDescent="0.35">
      <c r="J356" t="s">
        <v>31</v>
      </c>
      <c r="K356" t="s">
        <v>586</v>
      </c>
      <c r="L356" t="s">
        <v>34</v>
      </c>
      <c r="M356" t="s">
        <v>28</v>
      </c>
      <c r="N356" t="s">
        <v>24</v>
      </c>
      <c r="O356" t="s">
        <v>593</v>
      </c>
      <c r="P356" t="s">
        <v>121</v>
      </c>
      <c r="Q356" t="s">
        <v>3</v>
      </c>
      <c r="R356" t="s">
        <v>31</v>
      </c>
      <c r="T356" t="s">
        <v>25</v>
      </c>
      <c r="U356" t="s">
        <v>87</v>
      </c>
      <c r="V356" t="s">
        <v>31</v>
      </c>
      <c r="W356" t="s">
        <v>56</v>
      </c>
      <c r="X356" t="s">
        <v>122</v>
      </c>
      <c r="Y356" t="s">
        <v>122</v>
      </c>
      <c r="Z356" t="s">
        <v>28</v>
      </c>
      <c r="AA356" t="s">
        <v>232</v>
      </c>
      <c r="AB356" t="s">
        <v>1</v>
      </c>
      <c r="AC356" t="s">
        <v>591</v>
      </c>
      <c r="AD356" t="s">
        <v>553</v>
      </c>
    </row>
    <row r="357" spans="10:37" x14ac:dyDescent="0.35">
      <c r="J357" t="s">
        <v>139</v>
      </c>
      <c r="K357" t="s">
        <v>139</v>
      </c>
      <c r="L357" t="s">
        <v>232</v>
      </c>
      <c r="M357" t="s">
        <v>232</v>
      </c>
      <c r="N357" t="s">
        <v>34</v>
      </c>
      <c r="O357" t="s">
        <v>553</v>
      </c>
      <c r="P357" t="s">
        <v>122</v>
      </c>
      <c r="Q357" t="s">
        <v>20</v>
      </c>
      <c r="R357" t="s">
        <v>87</v>
      </c>
      <c r="T357" t="s">
        <v>121</v>
      </c>
      <c r="U357" t="s">
        <v>63</v>
      </c>
      <c r="V357" t="s">
        <v>87</v>
      </c>
      <c r="W357" t="s">
        <v>105</v>
      </c>
      <c r="X357" t="s">
        <v>52</v>
      </c>
      <c r="Y357" t="s">
        <v>117</v>
      </c>
      <c r="Z357" t="s">
        <v>586</v>
      </c>
      <c r="AA357" t="s">
        <v>17</v>
      </c>
      <c r="AB357" t="s">
        <v>128</v>
      </c>
      <c r="AC357" t="s">
        <v>593</v>
      </c>
      <c r="AD357" t="s">
        <v>26</v>
      </c>
    </row>
    <row r="358" spans="10:37" x14ac:dyDescent="0.35">
      <c r="J358" t="s">
        <v>25</v>
      </c>
      <c r="K358" t="s">
        <v>123</v>
      </c>
      <c r="L358" t="s">
        <v>553</v>
      </c>
      <c r="M358" t="s">
        <v>34</v>
      </c>
      <c r="N358" t="s">
        <v>553</v>
      </c>
      <c r="O358" t="s">
        <v>90</v>
      </c>
      <c r="P358" t="s">
        <v>87</v>
      </c>
      <c r="Q358" t="s">
        <v>22</v>
      </c>
      <c r="R358" t="s">
        <v>36</v>
      </c>
      <c r="T358" t="s">
        <v>28</v>
      </c>
      <c r="U358" t="s">
        <v>28</v>
      </c>
      <c r="V358" t="s">
        <v>1</v>
      </c>
      <c r="W358" t="s">
        <v>28</v>
      </c>
      <c r="X358" t="s">
        <v>20</v>
      </c>
      <c r="Y358" t="s">
        <v>49</v>
      </c>
      <c r="Z358" t="s">
        <v>25</v>
      </c>
      <c r="AA358" t="s">
        <v>113</v>
      </c>
      <c r="AB358" t="s">
        <v>87</v>
      </c>
      <c r="AC358" t="s">
        <v>26</v>
      </c>
      <c r="AD358" t="s">
        <v>33</v>
      </c>
    </row>
    <row r="359" spans="10:37" x14ac:dyDescent="0.35">
      <c r="J359" t="s">
        <v>123</v>
      </c>
      <c r="K359" t="s">
        <v>25</v>
      </c>
      <c r="L359" t="s">
        <v>25</v>
      </c>
      <c r="M359" t="s">
        <v>552</v>
      </c>
      <c r="N359" t="s">
        <v>87</v>
      </c>
      <c r="O359" t="s">
        <v>28</v>
      </c>
      <c r="P359" t="s">
        <v>25</v>
      </c>
      <c r="Q359" t="s">
        <v>122</v>
      </c>
      <c r="R359" t="s">
        <v>56</v>
      </c>
      <c r="T359" t="s">
        <v>89</v>
      </c>
      <c r="U359" t="s">
        <v>232</v>
      </c>
      <c r="V359" t="s">
        <v>25</v>
      </c>
      <c r="W359" t="s">
        <v>87</v>
      </c>
      <c r="X359" t="s">
        <v>105</v>
      </c>
      <c r="Y359" t="s">
        <v>15</v>
      </c>
      <c r="Z359" t="s">
        <v>17</v>
      </c>
      <c r="AA359" t="s">
        <v>87</v>
      </c>
      <c r="AB359" t="s">
        <v>129</v>
      </c>
      <c r="AC359" t="s">
        <v>573</v>
      </c>
      <c r="AD359" t="s">
        <v>552</v>
      </c>
    </row>
    <row r="360" spans="10:37" x14ac:dyDescent="0.35">
      <c r="J360" t="s">
        <v>588</v>
      </c>
      <c r="K360" t="s">
        <v>28</v>
      </c>
      <c r="L360" t="s">
        <v>28</v>
      </c>
      <c r="M360" t="s">
        <v>31</v>
      </c>
      <c r="N360" t="s">
        <v>552</v>
      </c>
      <c r="O360" t="s">
        <v>87</v>
      </c>
      <c r="P360" t="s">
        <v>31</v>
      </c>
      <c r="Q360" t="s">
        <v>52</v>
      </c>
      <c r="R360" t="s">
        <v>28</v>
      </c>
      <c r="T360" t="s">
        <v>63</v>
      </c>
      <c r="U360" t="s">
        <v>3</v>
      </c>
      <c r="V360" t="s">
        <v>403</v>
      </c>
      <c r="W360" t="s">
        <v>573</v>
      </c>
      <c r="X360" t="s">
        <v>574</v>
      </c>
      <c r="Y360" t="s">
        <v>35</v>
      </c>
      <c r="Z360" t="s">
        <v>113</v>
      </c>
      <c r="AA360" t="s">
        <v>591</v>
      </c>
      <c r="AB360" t="s">
        <v>591</v>
      </c>
      <c r="AC360" t="s">
        <v>28</v>
      </c>
      <c r="AD360" t="s">
        <v>606</v>
      </c>
    </row>
    <row r="362" spans="10:37" x14ac:dyDescent="0.35">
      <c r="J362" s="1">
        <v>46206</v>
      </c>
      <c r="K362" s="1">
        <v>46206</v>
      </c>
      <c r="L362" s="1">
        <v>46206</v>
      </c>
      <c r="M362" s="1">
        <v>46207</v>
      </c>
      <c r="N362" s="1">
        <v>46207</v>
      </c>
      <c r="O362" s="1">
        <v>46207</v>
      </c>
      <c r="P362" s="1">
        <v>46207</v>
      </c>
      <c r="R362" s="1">
        <v>46212</v>
      </c>
      <c r="S362" s="1">
        <v>46212</v>
      </c>
      <c r="T362" s="1">
        <v>46212</v>
      </c>
      <c r="V362" s="1">
        <v>46219</v>
      </c>
      <c r="W362" s="1">
        <v>46219</v>
      </c>
      <c r="X362" s="1">
        <v>46219</v>
      </c>
      <c r="Y362" s="1">
        <v>46219</v>
      </c>
      <c r="Z362" s="1">
        <v>46226</v>
      </c>
      <c r="AA362" s="1">
        <v>46226</v>
      </c>
      <c r="AC362" s="1">
        <v>46233</v>
      </c>
      <c r="AD362" s="1">
        <v>46233</v>
      </c>
      <c r="AE362" s="1">
        <v>46233</v>
      </c>
      <c r="AF362" s="1">
        <v>46234</v>
      </c>
      <c r="AG362" s="1">
        <v>46234</v>
      </c>
      <c r="AH362" s="1">
        <v>46235</v>
      </c>
      <c r="AI362" s="1">
        <v>46235</v>
      </c>
      <c r="AJ362" s="1">
        <v>46235</v>
      </c>
      <c r="AK362" s="1">
        <v>46235</v>
      </c>
    </row>
    <row r="363" spans="10:37" x14ac:dyDescent="0.35">
      <c r="J363" t="s">
        <v>121</v>
      </c>
      <c r="K363" t="s">
        <v>147</v>
      </c>
      <c r="L363" t="s">
        <v>232</v>
      </c>
      <c r="M363" t="s">
        <v>112</v>
      </c>
      <c r="N363" t="s">
        <v>50</v>
      </c>
      <c r="O363" t="s">
        <v>232</v>
      </c>
      <c r="P363" t="s">
        <v>50</v>
      </c>
      <c r="R363" t="s">
        <v>50</v>
      </c>
      <c r="S363" t="s">
        <v>593</v>
      </c>
      <c r="T363" t="s">
        <v>52</v>
      </c>
      <c r="V363" t="s">
        <v>121</v>
      </c>
      <c r="W363" t="s">
        <v>232</v>
      </c>
      <c r="X363" t="s">
        <v>52</v>
      </c>
      <c r="Y363" t="s">
        <v>2</v>
      </c>
      <c r="Z363" t="s">
        <v>128</v>
      </c>
      <c r="AA363" t="s">
        <v>232</v>
      </c>
      <c r="AC363" t="s">
        <v>28</v>
      </c>
      <c r="AD363" t="s">
        <v>586</v>
      </c>
      <c r="AE363" t="s">
        <v>553</v>
      </c>
      <c r="AF363" t="s">
        <v>36</v>
      </c>
      <c r="AG363" t="s">
        <v>232</v>
      </c>
      <c r="AH363" t="s">
        <v>117</v>
      </c>
      <c r="AI363" t="s">
        <v>232</v>
      </c>
      <c r="AJ363" t="s">
        <v>2</v>
      </c>
      <c r="AK363" t="s">
        <v>2</v>
      </c>
    </row>
    <row r="364" spans="10:37" x14ac:dyDescent="0.35">
      <c r="J364" t="s">
        <v>552</v>
      </c>
      <c r="K364" t="s">
        <v>113</v>
      </c>
      <c r="L364" t="s">
        <v>403</v>
      </c>
      <c r="M364" t="s">
        <v>26</v>
      </c>
      <c r="N364" t="s">
        <v>112</v>
      </c>
      <c r="O364" t="s">
        <v>122</v>
      </c>
      <c r="P364" t="s">
        <v>122</v>
      </c>
      <c r="R364" t="s">
        <v>112</v>
      </c>
      <c r="S364" t="s">
        <v>49</v>
      </c>
      <c r="T364" t="s">
        <v>29</v>
      </c>
      <c r="V364" t="s">
        <v>35</v>
      </c>
      <c r="W364" t="s">
        <v>123</v>
      </c>
      <c r="X364" t="s">
        <v>15</v>
      </c>
      <c r="Y364" t="s">
        <v>29</v>
      </c>
      <c r="Z364" t="s">
        <v>593</v>
      </c>
      <c r="AA364" t="s">
        <v>116</v>
      </c>
      <c r="AC364" t="s">
        <v>52</v>
      </c>
      <c r="AD364" t="s">
        <v>36</v>
      </c>
      <c r="AE364" t="s">
        <v>36</v>
      </c>
      <c r="AF364" t="s">
        <v>28</v>
      </c>
      <c r="AG364" t="s">
        <v>105</v>
      </c>
      <c r="AH364" t="s">
        <v>78</v>
      </c>
      <c r="AI364" t="s">
        <v>116</v>
      </c>
      <c r="AJ364" t="s">
        <v>593</v>
      </c>
      <c r="AK364" t="s">
        <v>116</v>
      </c>
    </row>
    <row r="365" spans="10:37" x14ac:dyDescent="0.35">
      <c r="J365" t="s">
        <v>87</v>
      </c>
      <c r="K365" t="s">
        <v>31</v>
      </c>
      <c r="L365" t="s">
        <v>552</v>
      </c>
      <c r="M365" t="s">
        <v>15</v>
      </c>
      <c r="N365" t="s">
        <v>26</v>
      </c>
      <c r="O365" t="s">
        <v>28</v>
      </c>
      <c r="P365" t="s">
        <v>112</v>
      </c>
      <c r="R365" t="s">
        <v>28</v>
      </c>
      <c r="S365" t="s">
        <v>112</v>
      </c>
      <c r="T365" t="s">
        <v>35</v>
      </c>
      <c r="V365" t="s">
        <v>87</v>
      </c>
      <c r="W365" t="s">
        <v>112</v>
      </c>
      <c r="X365" t="s">
        <v>29</v>
      </c>
      <c r="Y365" t="s">
        <v>122</v>
      </c>
      <c r="Z365" t="s">
        <v>123</v>
      </c>
      <c r="AA365" t="s">
        <v>593</v>
      </c>
      <c r="AC365" t="s">
        <v>30</v>
      </c>
      <c r="AD365" t="s">
        <v>25</v>
      </c>
      <c r="AE365" t="s">
        <v>35</v>
      </c>
      <c r="AF365" t="s">
        <v>121</v>
      </c>
      <c r="AG365" t="s">
        <v>1</v>
      </c>
      <c r="AH365" t="s">
        <v>129</v>
      </c>
      <c r="AI365" t="s">
        <v>2</v>
      </c>
      <c r="AJ365" t="s">
        <v>25</v>
      </c>
      <c r="AK365" t="s">
        <v>25</v>
      </c>
    </row>
    <row r="366" spans="10:37" x14ac:dyDescent="0.35">
      <c r="J366" t="s">
        <v>113</v>
      </c>
      <c r="K366" t="s">
        <v>87</v>
      </c>
      <c r="L366" t="s">
        <v>147</v>
      </c>
      <c r="M366" t="s">
        <v>50</v>
      </c>
      <c r="N366" t="s">
        <v>15</v>
      </c>
      <c r="O366" t="s">
        <v>31</v>
      </c>
      <c r="P366" t="s">
        <v>28</v>
      </c>
      <c r="R366" t="s">
        <v>49</v>
      </c>
      <c r="S366" t="s">
        <v>50</v>
      </c>
      <c r="T366" t="s">
        <v>112</v>
      </c>
      <c r="V366" t="s">
        <v>122</v>
      </c>
      <c r="W366" t="s">
        <v>28</v>
      </c>
      <c r="X366" t="s">
        <v>3</v>
      </c>
      <c r="Y366" t="s">
        <v>15</v>
      </c>
      <c r="Z366" t="s">
        <v>13</v>
      </c>
      <c r="AA366" t="s">
        <v>573</v>
      </c>
      <c r="AC366" t="s">
        <v>20</v>
      </c>
      <c r="AD366" t="s">
        <v>232</v>
      </c>
      <c r="AE366" t="s">
        <v>117</v>
      </c>
      <c r="AF366" t="s">
        <v>232</v>
      </c>
      <c r="AG366" t="s">
        <v>117</v>
      </c>
      <c r="AH366" t="s">
        <v>116</v>
      </c>
      <c r="AI366" t="s">
        <v>129</v>
      </c>
      <c r="AJ366" t="s">
        <v>28</v>
      </c>
      <c r="AK366" t="s">
        <v>31</v>
      </c>
    </row>
    <row r="367" spans="10:37" x14ac:dyDescent="0.35">
      <c r="J367" t="s">
        <v>232</v>
      </c>
      <c r="K367" t="s">
        <v>28</v>
      </c>
      <c r="L367" t="s">
        <v>50</v>
      </c>
      <c r="M367" t="s">
        <v>104</v>
      </c>
      <c r="N367" t="s">
        <v>29</v>
      </c>
      <c r="O367" t="s">
        <v>50</v>
      </c>
      <c r="P367" t="s">
        <v>27</v>
      </c>
      <c r="R367" t="s">
        <v>122</v>
      </c>
      <c r="S367" t="s">
        <v>28</v>
      </c>
      <c r="T367" t="s">
        <v>15</v>
      </c>
      <c r="V367" t="s">
        <v>4</v>
      </c>
      <c r="W367" t="s">
        <v>78</v>
      </c>
      <c r="X367" t="s">
        <v>79</v>
      </c>
      <c r="Y367" t="s">
        <v>175</v>
      </c>
      <c r="Z367" t="s">
        <v>1</v>
      </c>
      <c r="AA367" t="s">
        <v>87</v>
      </c>
      <c r="AC367" t="s">
        <v>15</v>
      </c>
      <c r="AD367" t="s">
        <v>31</v>
      </c>
      <c r="AE367" t="s">
        <v>29</v>
      </c>
      <c r="AF367" t="s">
        <v>25</v>
      </c>
      <c r="AG367" t="s">
        <v>36</v>
      </c>
      <c r="AH367" t="s">
        <v>2</v>
      </c>
      <c r="AI367" t="s">
        <v>78</v>
      </c>
      <c r="AJ367" t="s">
        <v>116</v>
      </c>
      <c r="AK367" t="s">
        <v>1</v>
      </c>
    </row>
    <row r="368" spans="10:37" x14ac:dyDescent="0.35">
      <c r="J368" t="s">
        <v>147</v>
      </c>
      <c r="K368" t="s">
        <v>232</v>
      </c>
      <c r="L368" t="s">
        <v>553</v>
      </c>
      <c r="M368" t="s">
        <v>29</v>
      </c>
      <c r="N368" t="s">
        <v>104</v>
      </c>
      <c r="O368" t="s">
        <v>112</v>
      </c>
      <c r="P368" t="s">
        <v>147</v>
      </c>
      <c r="R368" t="s">
        <v>573</v>
      </c>
      <c r="S368" t="s">
        <v>573</v>
      </c>
      <c r="T368" t="s">
        <v>50</v>
      </c>
      <c r="V368" t="s">
        <v>28</v>
      </c>
      <c r="W368" t="s">
        <v>87</v>
      </c>
      <c r="X368" t="s">
        <v>30</v>
      </c>
      <c r="Y368" t="s">
        <v>49</v>
      </c>
      <c r="Z368" t="s">
        <v>31</v>
      </c>
      <c r="AA368" t="s">
        <v>13</v>
      </c>
      <c r="AC368" t="s">
        <v>122</v>
      </c>
      <c r="AD368" t="s">
        <v>4</v>
      </c>
      <c r="AE368" t="s">
        <v>175</v>
      </c>
      <c r="AF368" t="s">
        <v>63</v>
      </c>
      <c r="AG368" t="s">
        <v>28</v>
      </c>
      <c r="AH368" t="s">
        <v>124</v>
      </c>
      <c r="AI368" t="s">
        <v>4</v>
      </c>
      <c r="AJ368" t="s">
        <v>1</v>
      </c>
      <c r="AK368" t="s">
        <v>593</v>
      </c>
    </row>
    <row r="369" spans="10:40" x14ac:dyDescent="0.35">
      <c r="J369" t="s">
        <v>28</v>
      </c>
      <c r="K369" t="s">
        <v>36</v>
      </c>
      <c r="L369" t="s">
        <v>28</v>
      </c>
      <c r="M369" t="s">
        <v>27</v>
      </c>
      <c r="N369" t="s">
        <v>27</v>
      </c>
      <c r="O369" t="s">
        <v>147</v>
      </c>
      <c r="P369" t="s">
        <v>31</v>
      </c>
      <c r="R369" t="s">
        <v>121</v>
      </c>
      <c r="S369" t="s">
        <v>232</v>
      </c>
      <c r="T369" t="s">
        <v>7</v>
      </c>
      <c r="V369" t="s">
        <v>25</v>
      </c>
      <c r="W369" t="s">
        <v>25</v>
      </c>
      <c r="X369" t="s">
        <v>49</v>
      </c>
      <c r="Y369" t="s">
        <v>3</v>
      </c>
      <c r="Z369" t="s">
        <v>25</v>
      </c>
      <c r="AA369" t="s">
        <v>31</v>
      </c>
      <c r="AC369" t="s">
        <v>25</v>
      </c>
      <c r="AD369" t="s">
        <v>117</v>
      </c>
      <c r="AE369" t="s">
        <v>122</v>
      </c>
      <c r="AF369" t="s">
        <v>117</v>
      </c>
      <c r="AG369" t="s">
        <v>586</v>
      </c>
      <c r="AH369" t="s">
        <v>232</v>
      </c>
      <c r="AI369" t="s">
        <v>117</v>
      </c>
      <c r="AJ369" t="s">
        <v>87</v>
      </c>
      <c r="AK369" t="s">
        <v>87</v>
      </c>
    </row>
    <row r="370" spans="10:40" x14ac:dyDescent="0.35">
      <c r="J370" t="s">
        <v>553</v>
      </c>
      <c r="K370" t="s">
        <v>50</v>
      </c>
      <c r="L370" t="s">
        <v>31</v>
      </c>
      <c r="M370" t="s">
        <v>81</v>
      </c>
      <c r="N370" t="s">
        <v>81</v>
      </c>
      <c r="O370" t="s">
        <v>607</v>
      </c>
      <c r="P370" t="s">
        <v>119</v>
      </c>
      <c r="R370" t="s">
        <v>31</v>
      </c>
      <c r="S370" t="s">
        <v>31</v>
      </c>
      <c r="T370" t="s">
        <v>20</v>
      </c>
      <c r="V370" t="s">
        <v>90</v>
      </c>
      <c r="W370" t="s">
        <v>4</v>
      </c>
      <c r="X370" t="s">
        <v>20</v>
      </c>
      <c r="Y370" t="s">
        <v>553</v>
      </c>
      <c r="Z370" t="s">
        <v>115</v>
      </c>
      <c r="AA370" t="s">
        <v>25</v>
      </c>
      <c r="AC370" t="s">
        <v>31</v>
      </c>
      <c r="AD370" t="s">
        <v>28</v>
      </c>
      <c r="AE370" t="s">
        <v>15</v>
      </c>
      <c r="AF370" t="s">
        <v>1</v>
      </c>
      <c r="AG370" t="s">
        <v>25</v>
      </c>
      <c r="AH370" t="s">
        <v>4</v>
      </c>
      <c r="AI370" t="s">
        <v>124</v>
      </c>
      <c r="AJ370" t="s">
        <v>31</v>
      </c>
      <c r="AK370" t="s">
        <v>28</v>
      </c>
    </row>
    <row r="372" spans="10:40" x14ac:dyDescent="0.35">
      <c r="J372" s="1">
        <v>46240</v>
      </c>
      <c r="K372" s="1">
        <v>46240</v>
      </c>
      <c r="L372" s="1">
        <v>46240</v>
      </c>
      <c r="M372" s="1">
        <v>46240</v>
      </c>
      <c r="N372" s="1">
        <v>46241</v>
      </c>
      <c r="O372" s="1">
        <v>46247</v>
      </c>
      <c r="P372" s="1">
        <v>46247</v>
      </c>
      <c r="Q372" s="1">
        <v>46247</v>
      </c>
      <c r="R372" s="1">
        <v>46247</v>
      </c>
      <c r="T372" s="1">
        <v>46268</v>
      </c>
      <c r="U372" s="1">
        <v>46268</v>
      </c>
      <c r="V372" s="1">
        <v>46268</v>
      </c>
      <c r="W372" s="1">
        <v>46268</v>
      </c>
      <c r="X372" s="1">
        <v>46269</v>
      </c>
      <c r="Y372" s="1">
        <v>46269</v>
      </c>
      <c r="Z372" s="1">
        <v>46269</v>
      </c>
      <c r="AA372" s="1">
        <v>46270</v>
      </c>
      <c r="AB372" s="1">
        <v>46270</v>
      </c>
      <c r="AC372" s="1">
        <v>46270</v>
      </c>
      <c r="AD372" s="1">
        <v>46270</v>
      </c>
      <c r="AE372" s="1">
        <v>46270</v>
      </c>
      <c r="AF372" s="1">
        <v>46270</v>
      </c>
      <c r="AG372" s="1">
        <v>46270</v>
      </c>
      <c r="AH372" s="1">
        <v>46270</v>
      </c>
      <c r="AJ372" s="1">
        <v>46275</v>
      </c>
      <c r="AK372" s="1">
        <v>46275</v>
      </c>
      <c r="AL372" s="1">
        <v>46275</v>
      </c>
      <c r="AM372" s="1">
        <v>46276</v>
      </c>
      <c r="AN372" s="1">
        <v>46276</v>
      </c>
    </row>
    <row r="373" spans="10:40" x14ac:dyDescent="0.35">
      <c r="J373" t="s">
        <v>121</v>
      </c>
      <c r="K373" t="s">
        <v>4</v>
      </c>
      <c r="L373" t="s">
        <v>36</v>
      </c>
      <c r="M373" t="s">
        <v>29</v>
      </c>
      <c r="N373" t="s">
        <v>121</v>
      </c>
      <c r="O373" t="s">
        <v>7</v>
      </c>
      <c r="P373" t="s">
        <v>31</v>
      </c>
      <c r="Q373" t="s">
        <v>572</v>
      </c>
      <c r="R373" t="s">
        <v>9</v>
      </c>
      <c r="T373" t="s">
        <v>123</v>
      </c>
      <c r="U373" t="s">
        <v>2</v>
      </c>
      <c r="V373" t="s">
        <v>552</v>
      </c>
      <c r="W373" t="s">
        <v>26</v>
      </c>
      <c r="X373" t="s">
        <v>1</v>
      </c>
      <c r="Y373" t="s">
        <v>552</v>
      </c>
      <c r="Z373" t="s">
        <v>552</v>
      </c>
      <c r="AA373" t="s">
        <v>572</v>
      </c>
      <c r="AB373" t="s">
        <v>104</v>
      </c>
      <c r="AC373" t="s">
        <v>99</v>
      </c>
      <c r="AD373" t="s">
        <v>122</v>
      </c>
      <c r="AE373" t="s">
        <v>21</v>
      </c>
      <c r="AF373" t="s">
        <v>28</v>
      </c>
      <c r="AG373" t="s">
        <v>58</v>
      </c>
      <c r="AH373" t="s">
        <v>232</v>
      </c>
      <c r="AJ373" t="s">
        <v>8</v>
      </c>
      <c r="AK373" t="s">
        <v>585</v>
      </c>
      <c r="AL373" t="s">
        <v>49</v>
      </c>
      <c r="AM373" t="s">
        <v>612</v>
      </c>
      <c r="AN373" t="s">
        <v>23</v>
      </c>
    </row>
    <row r="374" spans="10:40" x14ac:dyDescent="0.35">
      <c r="J374" t="s">
        <v>593</v>
      </c>
      <c r="K374" t="s">
        <v>31</v>
      </c>
      <c r="L374" t="s">
        <v>49</v>
      </c>
      <c r="M374" t="s">
        <v>608</v>
      </c>
      <c r="N374" t="s">
        <v>403</v>
      </c>
      <c r="O374" t="s">
        <v>4</v>
      </c>
      <c r="P374" t="s">
        <v>87</v>
      </c>
      <c r="Q374" t="s">
        <v>122</v>
      </c>
      <c r="R374" t="s">
        <v>15</v>
      </c>
      <c r="T374" t="s">
        <v>7</v>
      </c>
      <c r="U374" t="s">
        <v>232</v>
      </c>
      <c r="V374" t="s">
        <v>35</v>
      </c>
      <c r="W374" t="s">
        <v>34</v>
      </c>
      <c r="X374" t="s">
        <v>232</v>
      </c>
      <c r="Y374" t="s">
        <v>585</v>
      </c>
      <c r="Z374" t="s">
        <v>553</v>
      </c>
      <c r="AA374" t="s">
        <v>104</v>
      </c>
      <c r="AB374" t="s">
        <v>552</v>
      </c>
      <c r="AC374" t="s">
        <v>15</v>
      </c>
      <c r="AD374" t="s">
        <v>1</v>
      </c>
      <c r="AE374" t="s">
        <v>232</v>
      </c>
      <c r="AF374" t="s">
        <v>232</v>
      </c>
      <c r="AG374" t="s">
        <v>552</v>
      </c>
      <c r="AH374" t="s">
        <v>403</v>
      </c>
      <c r="AJ374" t="s">
        <v>21</v>
      </c>
      <c r="AK374" t="s">
        <v>27</v>
      </c>
      <c r="AL374" t="s">
        <v>52</v>
      </c>
      <c r="AM374" t="s">
        <v>121</v>
      </c>
      <c r="AN374" t="s">
        <v>82</v>
      </c>
    </row>
    <row r="375" spans="10:40" x14ac:dyDescent="0.35">
      <c r="J375" t="s">
        <v>3</v>
      </c>
      <c r="K375" t="s">
        <v>36</v>
      </c>
      <c r="L375" t="s">
        <v>33</v>
      </c>
      <c r="M375" t="s">
        <v>49</v>
      </c>
      <c r="N375" t="s">
        <v>232</v>
      </c>
      <c r="O375" t="s">
        <v>116</v>
      </c>
      <c r="P375" t="s">
        <v>116</v>
      </c>
      <c r="Q375" t="s">
        <v>104</v>
      </c>
      <c r="R375" t="s">
        <v>122</v>
      </c>
      <c r="T375" t="s">
        <v>116</v>
      </c>
      <c r="U375" t="s">
        <v>87</v>
      </c>
      <c r="V375" t="s">
        <v>15</v>
      </c>
      <c r="W375" t="s">
        <v>35</v>
      </c>
      <c r="X375" t="s">
        <v>8</v>
      </c>
      <c r="Y375" t="s">
        <v>87</v>
      </c>
      <c r="Z375" t="s">
        <v>9</v>
      </c>
      <c r="AA375" t="s">
        <v>2</v>
      </c>
      <c r="AB375" t="s">
        <v>553</v>
      </c>
      <c r="AC375" t="s">
        <v>37</v>
      </c>
      <c r="AD375" t="s">
        <v>553</v>
      </c>
      <c r="AE375" t="s">
        <v>49</v>
      </c>
      <c r="AF375" t="s">
        <v>8</v>
      </c>
      <c r="AG375" t="s">
        <v>12</v>
      </c>
      <c r="AH375" t="s">
        <v>21</v>
      </c>
      <c r="AJ375" t="s">
        <v>585</v>
      </c>
      <c r="AK375" t="s">
        <v>21</v>
      </c>
      <c r="AL375" t="s">
        <v>20</v>
      </c>
      <c r="AM375" t="s">
        <v>232</v>
      </c>
      <c r="AN375" t="s">
        <v>232</v>
      </c>
    </row>
    <row r="376" spans="10:40" x14ac:dyDescent="0.35">
      <c r="J376" t="s">
        <v>78</v>
      </c>
      <c r="K376" t="s">
        <v>3</v>
      </c>
      <c r="L376" t="s">
        <v>128</v>
      </c>
      <c r="M376" t="s">
        <v>232</v>
      </c>
      <c r="N376" t="s">
        <v>147</v>
      </c>
      <c r="O376" t="s">
        <v>28</v>
      </c>
      <c r="P376" t="s">
        <v>7</v>
      </c>
      <c r="Q376" t="s">
        <v>552</v>
      </c>
      <c r="R376" t="s">
        <v>552</v>
      </c>
      <c r="T376" t="s">
        <v>28</v>
      </c>
      <c r="U376" t="s">
        <v>7</v>
      </c>
      <c r="V376" t="s">
        <v>572</v>
      </c>
      <c r="W376" t="s">
        <v>122</v>
      </c>
      <c r="X376" t="s">
        <v>123</v>
      </c>
      <c r="Y376" t="s">
        <v>553</v>
      </c>
      <c r="Z376" t="s">
        <v>28</v>
      </c>
      <c r="AA376" t="s">
        <v>552</v>
      </c>
      <c r="AB376" t="s">
        <v>99</v>
      </c>
      <c r="AC376" t="s">
        <v>124</v>
      </c>
      <c r="AD376" t="s">
        <v>37</v>
      </c>
      <c r="AE376" t="s">
        <v>31</v>
      </c>
      <c r="AF376" t="s">
        <v>21</v>
      </c>
      <c r="AG376" t="s">
        <v>15</v>
      </c>
      <c r="AH376" t="s">
        <v>15</v>
      </c>
      <c r="AJ376" t="s">
        <v>22</v>
      </c>
      <c r="AK376" t="s">
        <v>31</v>
      </c>
      <c r="AL376" t="s">
        <v>29</v>
      </c>
      <c r="AM376" t="s">
        <v>28</v>
      </c>
      <c r="AN376" t="s">
        <v>27</v>
      </c>
    </row>
    <row r="377" spans="10:40" x14ac:dyDescent="0.35">
      <c r="J377" t="s">
        <v>4</v>
      </c>
      <c r="K377" t="s">
        <v>230</v>
      </c>
      <c r="L377" t="s">
        <v>15</v>
      </c>
      <c r="M377" t="s">
        <v>33</v>
      </c>
      <c r="N377" t="s">
        <v>113</v>
      </c>
      <c r="O377" t="s">
        <v>31</v>
      </c>
      <c r="P377" t="s">
        <v>4</v>
      </c>
      <c r="Q377" t="s">
        <v>35</v>
      </c>
      <c r="R377" t="s">
        <v>232</v>
      </c>
      <c r="T377" t="s">
        <v>2</v>
      </c>
      <c r="U377" t="s">
        <v>31</v>
      </c>
      <c r="V377" t="s">
        <v>49</v>
      </c>
      <c r="W377" t="s">
        <v>33</v>
      </c>
      <c r="X377" t="s">
        <v>0</v>
      </c>
      <c r="Y377" t="s">
        <v>9</v>
      </c>
      <c r="Z377" t="s">
        <v>123</v>
      </c>
      <c r="AA377" t="s">
        <v>78</v>
      </c>
      <c r="AB377" t="s">
        <v>124</v>
      </c>
      <c r="AC377" t="s">
        <v>129</v>
      </c>
      <c r="AD377" t="s">
        <v>129</v>
      </c>
      <c r="AE377" t="s">
        <v>28</v>
      </c>
      <c r="AF377" t="s">
        <v>49</v>
      </c>
      <c r="AG377" t="s">
        <v>61</v>
      </c>
      <c r="AH377" t="s">
        <v>61</v>
      </c>
      <c r="AJ377" t="s">
        <v>28</v>
      </c>
      <c r="AK377" t="s">
        <v>28</v>
      </c>
      <c r="AL377" t="s">
        <v>51</v>
      </c>
      <c r="AM377" t="s">
        <v>63</v>
      </c>
      <c r="AN377" t="s">
        <v>119</v>
      </c>
    </row>
    <row r="378" spans="10:40" x14ac:dyDescent="0.35">
      <c r="J378" t="s">
        <v>31</v>
      </c>
      <c r="K378" t="s">
        <v>593</v>
      </c>
      <c r="L378" t="s">
        <v>12</v>
      </c>
      <c r="M378" t="s">
        <v>15</v>
      </c>
      <c r="N378" t="s">
        <v>608</v>
      </c>
      <c r="O378" t="s">
        <v>63</v>
      </c>
      <c r="P378" t="s">
        <v>2</v>
      </c>
      <c r="Q378" t="s">
        <v>4</v>
      </c>
      <c r="R378" t="s">
        <v>33</v>
      </c>
      <c r="T378" t="s">
        <v>31</v>
      </c>
      <c r="U378" t="s">
        <v>116</v>
      </c>
      <c r="V378" t="s">
        <v>26</v>
      </c>
      <c r="W378" t="s">
        <v>572</v>
      </c>
      <c r="X378" t="s">
        <v>28</v>
      </c>
      <c r="Y378" t="s">
        <v>232</v>
      </c>
      <c r="Z378" t="s">
        <v>8</v>
      </c>
      <c r="AA378" t="s">
        <v>99</v>
      </c>
      <c r="AB378" t="s">
        <v>15</v>
      </c>
      <c r="AC378" t="s">
        <v>122</v>
      </c>
      <c r="AD378" t="s">
        <v>99</v>
      </c>
      <c r="AE378" t="s">
        <v>87</v>
      </c>
      <c r="AF378" t="s">
        <v>31</v>
      </c>
      <c r="AG378" t="s">
        <v>9</v>
      </c>
      <c r="AH378" t="s">
        <v>9</v>
      </c>
      <c r="AJ378" t="s">
        <v>27</v>
      </c>
      <c r="AK378" t="s">
        <v>122</v>
      </c>
      <c r="AL378" t="s">
        <v>585</v>
      </c>
      <c r="AM378" t="s">
        <v>230</v>
      </c>
      <c r="AN378" t="s">
        <v>123</v>
      </c>
    </row>
    <row r="379" spans="10:40" x14ac:dyDescent="0.35">
      <c r="J379" t="s">
        <v>36</v>
      </c>
      <c r="K379" t="s">
        <v>78</v>
      </c>
      <c r="L379" t="s">
        <v>78</v>
      </c>
      <c r="M379" t="s">
        <v>78</v>
      </c>
      <c r="N379" t="s">
        <v>63</v>
      </c>
      <c r="O379" t="s">
        <v>2</v>
      </c>
      <c r="P379" t="s">
        <v>124</v>
      </c>
      <c r="Q379" t="s">
        <v>58</v>
      </c>
      <c r="R379" t="s">
        <v>553</v>
      </c>
      <c r="T379" t="s">
        <v>82</v>
      </c>
      <c r="U379" t="s">
        <v>28</v>
      </c>
      <c r="V379" t="s">
        <v>33</v>
      </c>
      <c r="W379" t="s">
        <v>15</v>
      </c>
      <c r="X379" t="s">
        <v>21</v>
      </c>
      <c r="Y379" t="s">
        <v>63</v>
      </c>
      <c r="Z379" t="s">
        <v>12</v>
      </c>
      <c r="AA379" t="s">
        <v>124</v>
      </c>
      <c r="AB379" t="s">
        <v>26</v>
      </c>
      <c r="AC379" t="s">
        <v>1</v>
      </c>
      <c r="AD379" t="s">
        <v>552</v>
      </c>
      <c r="AE379" t="s">
        <v>82</v>
      </c>
      <c r="AF379" t="s">
        <v>87</v>
      </c>
      <c r="AG379" t="s">
        <v>26</v>
      </c>
      <c r="AH379" t="s">
        <v>610</v>
      </c>
      <c r="AJ379" t="s">
        <v>31</v>
      </c>
      <c r="AK379" t="s">
        <v>237</v>
      </c>
      <c r="AL379" t="s">
        <v>15</v>
      </c>
      <c r="AM379" t="s">
        <v>119</v>
      </c>
      <c r="AN379" t="s">
        <v>28</v>
      </c>
    </row>
    <row r="380" spans="10:40" x14ac:dyDescent="0.35">
      <c r="J380" t="s">
        <v>230</v>
      </c>
      <c r="K380" t="s">
        <v>586</v>
      </c>
      <c r="L380" t="s">
        <v>29</v>
      </c>
      <c r="M380" t="s">
        <v>24</v>
      </c>
      <c r="N380" t="s">
        <v>28</v>
      </c>
      <c r="O380" t="s">
        <v>124</v>
      </c>
      <c r="P380" t="s">
        <v>28</v>
      </c>
      <c r="Q380" t="s">
        <v>15</v>
      </c>
      <c r="R380" t="s">
        <v>104</v>
      </c>
      <c r="T380" t="s">
        <v>87</v>
      </c>
      <c r="U380" t="s">
        <v>4</v>
      </c>
      <c r="V380" t="s">
        <v>122</v>
      </c>
      <c r="W380" t="s">
        <v>552</v>
      </c>
      <c r="X380" t="s">
        <v>87</v>
      </c>
      <c r="Y380" t="s">
        <v>21</v>
      </c>
      <c r="Z380" t="s">
        <v>589</v>
      </c>
      <c r="AA380" t="s">
        <v>26</v>
      </c>
      <c r="AB380" t="s">
        <v>78</v>
      </c>
      <c r="AC380" t="s">
        <v>16</v>
      </c>
      <c r="AD380" t="s">
        <v>16</v>
      </c>
      <c r="AE380" t="s">
        <v>609</v>
      </c>
      <c r="AF380" t="s">
        <v>9</v>
      </c>
      <c r="AG380" t="s">
        <v>63</v>
      </c>
      <c r="AH380" t="s">
        <v>552</v>
      </c>
      <c r="AJ380" t="s">
        <v>122</v>
      </c>
      <c r="AK380" t="s">
        <v>8</v>
      </c>
      <c r="AL380" t="s">
        <v>30</v>
      </c>
      <c r="AM380" t="s">
        <v>123</v>
      </c>
      <c r="AN380" t="s">
        <v>230</v>
      </c>
    </row>
    <row r="382" spans="10:40" x14ac:dyDescent="0.35">
      <c r="J382" s="1">
        <v>46282</v>
      </c>
      <c r="K382" s="1">
        <v>46282</v>
      </c>
      <c r="L382" s="1">
        <v>46282</v>
      </c>
      <c r="M382" s="1">
        <v>46282</v>
      </c>
      <c r="N382" s="1">
        <v>46283</v>
      </c>
      <c r="O382" s="1">
        <v>46283</v>
      </c>
      <c r="Q382" s="1">
        <v>46289</v>
      </c>
      <c r="R382" s="1">
        <v>46289</v>
      </c>
      <c r="S382" s="1">
        <v>46289</v>
      </c>
      <c r="T382" s="1">
        <v>46289</v>
      </c>
      <c r="U382" s="1">
        <v>46289</v>
      </c>
      <c r="V382" s="1">
        <v>46289</v>
      </c>
      <c r="X382" s="1">
        <v>46290</v>
      </c>
      <c r="Y382" s="1">
        <v>46290</v>
      </c>
      <c r="Z382" s="1">
        <v>46296</v>
      </c>
      <c r="AA382" s="1">
        <v>46296</v>
      </c>
      <c r="AB382" s="1">
        <v>46296</v>
      </c>
      <c r="AC382" s="1">
        <v>46296</v>
      </c>
      <c r="AE382" s="1">
        <v>46297</v>
      </c>
      <c r="AF382" s="1">
        <v>46297</v>
      </c>
      <c r="AG382" s="1">
        <v>46298</v>
      </c>
      <c r="AH382" s="1">
        <v>46298</v>
      </c>
      <c r="AI382" s="1">
        <v>46298</v>
      </c>
      <c r="AJ382" s="1">
        <v>46298</v>
      </c>
      <c r="AK382" s="1">
        <v>46298</v>
      </c>
      <c r="AL382" s="1">
        <v>46298</v>
      </c>
      <c r="AM382" s="1">
        <v>46298</v>
      </c>
      <c r="AN382" s="1">
        <v>46298</v>
      </c>
    </row>
    <row r="383" spans="10:40" x14ac:dyDescent="0.35">
      <c r="J383" t="s">
        <v>121</v>
      </c>
      <c r="K383" t="s">
        <v>123</v>
      </c>
      <c r="L383" t="s">
        <v>15</v>
      </c>
      <c r="M383" t="s">
        <v>232</v>
      </c>
      <c r="N383" t="s">
        <v>232</v>
      </c>
      <c r="O383" t="s">
        <v>28</v>
      </c>
      <c r="Q383" t="s">
        <v>122</v>
      </c>
      <c r="R383" t="s">
        <v>472</v>
      </c>
      <c r="S383" t="s">
        <v>552</v>
      </c>
      <c r="T383" t="s">
        <v>115</v>
      </c>
      <c r="U383" t="s">
        <v>49</v>
      </c>
      <c r="V383" t="s">
        <v>129</v>
      </c>
      <c r="X383" t="s">
        <v>553</v>
      </c>
      <c r="Y383" t="s">
        <v>232</v>
      </c>
      <c r="Z383" t="s">
        <v>1</v>
      </c>
      <c r="AA383" t="s">
        <v>1</v>
      </c>
      <c r="AB383" t="s">
        <v>49</v>
      </c>
      <c r="AC383" t="s">
        <v>232</v>
      </c>
      <c r="AE383" t="s">
        <v>31</v>
      </c>
      <c r="AF383" t="s">
        <v>552</v>
      </c>
      <c r="AG383" t="s">
        <v>232</v>
      </c>
      <c r="AH383" t="s">
        <v>129</v>
      </c>
      <c r="AI383" t="s">
        <v>17</v>
      </c>
      <c r="AJ383" t="s">
        <v>552</v>
      </c>
      <c r="AK383" t="s">
        <v>1</v>
      </c>
      <c r="AL383" t="s">
        <v>31</v>
      </c>
      <c r="AM383" t="s">
        <v>15</v>
      </c>
      <c r="AN383" t="s">
        <v>12</v>
      </c>
    </row>
    <row r="384" spans="10:40" x14ac:dyDescent="0.35">
      <c r="J384" t="s">
        <v>87</v>
      </c>
      <c r="K384" t="s">
        <v>585</v>
      </c>
      <c r="L384" t="s">
        <v>63</v>
      </c>
      <c r="M384" t="s">
        <v>552</v>
      </c>
      <c r="N384" t="s">
        <v>1</v>
      </c>
      <c r="O384" t="s">
        <v>230</v>
      </c>
      <c r="Q384" t="s">
        <v>27</v>
      </c>
      <c r="R384" t="s">
        <v>552</v>
      </c>
      <c r="S384" t="s">
        <v>553</v>
      </c>
      <c r="T384" t="s">
        <v>553</v>
      </c>
      <c r="U384" t="s">
        <v>26</v>
      </c>
      <c r="V384" t="s">
        <v>110</v>
      </c>
      <c r="X384" t="s">
        <v>58</v>
      </c>
      <c r="Y384" t="s">
        <v>12</v>
      </c>
      <c r="Z384" t="s">
        <v>122</v>
      </c>
      <c r="AA384" t="s">
        <v>123</v>
      </c>
      <c r="AB384" t="s">
        <v>12</v>
      </c>
      <c r="AC384" t="s">
        <v>552</v>
      </c>
      <c r="AE384" t="s">
        <v>10</v>
      </c>
      <c r="AF384" t="s">
        <v>1</v>
      </c>
      <c r="AG384" t="s">
        <v>58</v>
      </c>
      <c r="AH384" t="s">
        <v>99</v>
      </c>
      <c r="AI384" t="s">
        <v>5</v>
      </c>
      <c r="AJ384" t="s">
        <v>16</v>
      </c>
      <c r="AK384" t="s">
        <v>230</v>
      </c>
      <c r="AL384" t="s">
        <v>105</v>
      </c>
      <c r="AM384" t="s">
        <v>58</v>
      </c>
      <c r="AN384" t="s">
        <v>26</v>
      </c>
    </row>
    <row r="385" spans="10:40" x14ac:dyDescent="0.35">
      <c r="J385" t="s">
        <v>35</v>
      </c>
      <c r="K385" t="s">
        <v>27</v>
      </c>
      <c r="L385" t="s">
        <v>20</v>
      </c>
      <c r="M385" t="s">
        <v>585</v>
      </c>
      <c r="N385" t="s">
        <v>21</v>
      </c>
      <c r="O385" t="s">
        <v>232</v>
      </c>
      <c r="Q385" t="s">
        <v>35</v>
      </c>
      <c r="R385" t="s">
        <v>122</v>
      </c>
      <c r="S385" t="s">
        <v>3</v>
      </c>
      <c r="T385" t="s">
        <v>3</v>
      </c>
      <c r="U385" t="s">
        <v>15</v>
      </c>
      <c r="V385" t="s">
        <v>33</v>
      </c>
      <c r="X385" t="s">
        <v>552</v>
      </c>
      <c r="Y385" t="s">
        <v>553</v>
      </c>
      <c r="Z385" t="s">
        <v>612</v>
      </c>
      <c r="AA385" t="s">
        <v>122</v>
      </c>
      <c r="AB385" t="s">
        <v>63</v>
      </c>
      <c r="AC385" t="s">
        <v>49</v>
      </c>
      <c r="AE385" t="s">
        <v>232</v>
      </c>
      <c r="AF385" t="s">
        <v>31</v>
      </c>
      <c r="AG385" t="s">
        <v>7</v>
      </c>
      <c r="AH385" t="s">
        <v>58</v>
      </c>
      <c r="AI385" t="s">
        <v>612</v>
      </c>
      <c r="AJ385" t="s">
        <v>1</v>
      </c>
      <c r="AK385" t="s">
        <v>31</v>
      </c>
      <c r="AL385" t="s">
        <v>30</v>
      </c>
      <c r="AM385" t="s">
        <v>232</v>
      </c>
      <c r="AN385" t="s">
        <v>37</v>
      </c>
    </row>
    <row r="386" spans="10:40" x14ac:dyDescent="0.35">
      <c r="J386" t="s">
        <v>472</v>
      </c>
      <c r="K386" t="s">
        <v>35</v>
      </c>
      <c r="L386" t="s">
        <v>29</v>
      </c>
      <c r="M386" t="s">
        <v>2</v>
      </c>
      <c r="N386" t="s">
        <v>121</v>
      </c>
      <c r="O386" t="s">
        <v>1</v>
      </c>
      <c r="Q386" t="s">
        <v>472</v>
      </c>
      <c r="R386" t="s">
        <v>27</v>
      </c>
      <c r="S386" t="s">
        <v>63</v>
      </c>
      <c r="T386" t="s">
        <v>58</v>
      </c>
      <c r="U386" t="s">
        <v>30</v>
      </c>
      <c r="V386" t="s">
        <v>26</v>
      </c>
      <c r="X386" t="s">
        <v>232</v>
      </c>
      <c r="Y386" t="s">
        <v>1</v>
      </c>
      <c r="Z386" t="s">
        <v>123</v>
      </c>
      <c r="AA386" t="s">
        <v>21</v>
      </c>
      <c r="AB386" t="s">
        <v>35</v>
      </c>
      <c r="AC386" t="s">
        <v>33</v>
      </c>
      <c r="AE386" t="s">
        <v>1</v>
      </c>
      <c r="AF386" t="s">
        <v>232</v>
      </c>
      <c r="AG386" t="s">
        <v>15</v>
      </c>
      <c r="AH386" t="s">
        <v>26</v>
      </c>
      <c r="AI386" t="s">
        <v>28</v>
      </c>
      <c r="AJ386" t="s">
        <v>553</v>
      </c>
      <c r="AK386" t="s">
        <v>30</v>
      </c>
      <c r="AL386" t="s">
        <v>1</v>
      </c>
      <c r="AM386" t="s">
        <v>17</v>
      </c>
      <c r="AN386" t="s">
        <v>17</v>
      </c>
    </row>
    <row r="387" spans="10:40" x14ac:dyDescent="0.35">
      <c r="J387" t="s">
        <v>122</v>
      </c>
      <c r="K387" t="s">
        <v>122</v>
      </c>
      <c r="L387" t="s">
        <v>52</v>
      </c>
      <c r="M387" t="s">
        <v>15</v>
      </c>
      <c r="N387" t="s">
        <v>16</v>
      </c>
      <c r="O387" t="s">
        <v>21</v>
      </c>
      <c r="Q387" t="s">
        <v>31</v>
      </c>
      <c r="R387" t="s">
        <v>28</v>
      </c>
      <c r="S387" t="s">
        <v>139</v>
      </c>
      <c r="T387" t="s">
        <v>123</v>
      </c>
      <c r="U387" t="s">
        <v>129</v>
      </c>
      <c r="V387" t="s">
        <v>29</v>
      </c>
      <c r="X387" t="s">
        <v>1</v>
      </c>
      <c r="Y387" t="s">
        <v>28</v>
      </c>
      <c r="Z387" t="s">
        <v>121</v>
      </c>
      <c r="AA387" t="s">
        <v>82</v>
      </c>
      <c r="AB387" t="s">
        <v>15</v>
      </c>
      <c r="AC387" t="s">
        <v>9</v>
      </c>
      <c r="AE387" t="s">
        <v>17</v>
      </c>
      <c r="AF387" t="s">
        <v>553</v>
      </c>
      <c r="AG387" t="s">
        <v>82</v>
      </c>
      <c r="AH387" t="s">
        <v>232</v>
      </c>
      <c r="AI387" t="s">
        <v>16</v>
      </c>
      <c r="AJ387" t="s">
        <v>28</v>
      </c>
      <c r="AK387" t="s">
        <v>4</v>
      </c>
      <c r="AL387" t="s">
        <v>123</v>
      </c>
      <c r="AM387" t="s">
        <v>12</v>
      </c>
      <c r="AN387" t="s">
        <v>15</v>
      </c>
    </row>
    <row r="388" spans="10:40" x14ac:dyDescent="0.35">
      <c r="J388" t="s">
        <v>28</v>
      </c>
      <c r="K388" t="s">
        <v>121</v>
      </c>
      <c r="L388" t="s">
        <v>26</v>
      </c>
      <c r="M388" t="s">
        <v>553</v>
      </c>
      <c r="N388" t="s">
        <v>230</v>
      </c>
      <c r="O388" t="s">
        <v>33</v>
      </c>
      <c r="Q388" t="s">
        <v>28</v>
      </c>
      <c r="R388" t="s">
        <v>553</v>
      </c>
      <c r="S388" t="s">
        <v>58</v>
      </c>
      <c r="T388" t="s">
        <v>552</v>
      </c>
      <c r="U388" t="s">
        <v>33</v>
      </c>
      <c r="V388" t="s">
        <v>15</v>
      </c>
      <c r="X388" t="s">
        <v>37</v>
      </c>
      <c r="Y388" t="s">
        <v>37</v>
      </c>
      <c r="Z388" t="s">
        <v>28</v>
      </c>
      <c r="AA388" t="s">
        <v>28</v>
      </c>
      <c r="AB388" t="s">
        <v>33</v>
      </c>
      <c r="AC388" t="s">
        <v>15</v>
      </c>
      <c r="AE388" t="s">
        <v>28</v>
      </c>
      <c r="AF388" t="s">
        <v>28</v>
      </c>
      <c r="AG388" t="s">
        <v>26</v>
      </c>
      <c r="AH388" t="s">
        <v>7</v>
      </c>
      <c r="AI388" t="s">
        <v>122</v>
      </c>
      <c r="AJ388" t="s">
        <v>122</v>
      </c>
      <c r="AK388" t="s">
        <v>25</v>
      </c>
      <c r="AL388" t="s">
        <v>17</v>
      </c>
      <c r="AM388" t="s">
        <v>37</v>
      </c>
      <c r="AN388" t="s">
        <v>7</v>
      </c>
    </row>
    <row r="389" spans="10:40" x14ac:dyDescent="0.35">
      <c r="J389" t="s">
        <v>123</v>
      </c>
      <c r="K389" t="s">
        <v>28</v>
      </c>
      <c r="L389" t="s">
        <v>30</v>
      </c>
      <c r="M389" t="s">
        <v>29</v>
      </c>
      <c r="N389" t="s">
        <v>33</v>
      </c>
      <c r="O389" t="s">
        <v>16</v>
      </c>
      <c r="Q389" t="s">
        <v>99</v>
      </c>
      <c r="R389" t="s">
        <v>35</v>
      </c>
      <c r="S389" t="s">
        <v>123</v>
      </c>
      <c r="T389" t="s">
        <v>82</v>
      </c>
      <c r="U389" t="s">
        <v>29</v>
      </c>
      <c r="V389" t="s">
        <v>232</v>
      </c>
      <c r="X389" t="s">
        <v>121</v>
      </c>
      <c r="Y389" t="s">
        <v>552</v>
      </c>
      <c r="Z389" t="s">
        <v>21</v>
      </c>
      <c r="AA389" t="s">
        <v>612</v>
      </c>
      <c r="AB389" t="s">
        <v>82</v>
      </c>
      <c r="AC389" t="s">
        <v>35</v>
      </c>
      <c r="AE389" t="s">
        <v>113</v>
      </c>
      <c r="AF389" t="s">
        <v>17</v>
      </c>
      <c r="AG389" t="s">
        <v>99</v>
      </c>
      <c r="AH389" t="s">
        <v>82</v>
      </c>
      <c r="AI389" t="s">
        <v>37</v>
      </c>
      <c r="AJ389" t="s">
        <v>5</v>
      </c>
      <c r="AK389" t="s">
        <v>17</v>
      </c>
      <c r="AL389" t="s">
        <v>25</v>
      </c>
      <c r="AM389" t="s">
        <v>113</v>
      </c>
      <c r="AN389" t="s">
        <v>58</v>
      </c>
    </row>
    <row r="390" spans="10:40" x14ac:dyDescent="0.35">
      <c r="J390" t="s">
        <v>585</v>
      </c>
      <c r="K390" t="s">
        <v>472</v>
      </c>
      <c r="L390" t="s">
        <v>0</v>
      </c>
      <c r="M390" t="s">
        <v>26</v>
      </c>
      <c r="N390" t="s">
        <v>113</v>
      </c>
      <c r="O390" t="s">
        <v>612</v>
      </c>
      <c r="Q390" t="s">
        <v>121</v>
      </c>
      <c r="R390" t="s">
        <v>31</v>
      </c>
      <c r="S390" t="s">
        <v>110</v>
      </c>
      <c r="T390" t="s">
        <v>110</v>
      </c>
      <c r="U390" t="s">
        <v>110</v>
      </c>
      <c r="V390" t="s">
        <v>49</v>
      </c>
      <c r="X390" t="s">
        <v>28</v>
      </c>
      <c r="Y390" t="s">
        <v>58</v>
      </c>
      <c r="Z390" t="s">
        <v>31</v>
      </c>
      <c r="AA390" t="s">
        <v>31</v>
      </c>
      <c r="AB390" t="s">
        <v>51</v>
      </c>
      <c r="AC390" t="s">
        <v>553</v>
      </c>
      <c r="AE390" t="s">
        <v>27</v>
      </c>
      <c r="AF390" t="s">
        <v>27</v>
      </c>
      <c r="AG390" t="s">
        <v>129</v>
      </c>
      <c r="AH390" t="s">
        <v>15</v>
      </c>
      <c r="AI390" t="s">
        <v>1</v>
      </c>
      <c r="AJ390" t="s">
        <v>37</v>
      </c>
      <c r="AK390" t="s">
        <v>50</v>
      </c>
      <c r="AL390" t="s">
        <v>612</v>
      </c>
      <c r="AM390" t="s">
        <v>26</v>
      </c>
      <c r="AN390" t="s">
        <v>104</v>
      </c>
    </row>
    <row r="392" spans="10:40" x14ac:dyDescent="0.35">
      <c r="J392" s="1">
        <v>46303</v>
      </c>
      <c r="K392" s="1">
        <v>46303</v>
      </c>
      <c r="L392" s="1">
        <v>46303</v>
      </c>
      <c r="M392" s="1">
        <v>46303</v>
      </c>
      <c r="N392" s="1">
        <v>46304</v>
      </c>
      <c r="O392" s="1">
        <v>46304</v>
      </c>
      <c r="Q392" s="1">
        <v>46310</v>
      </c>
      <c r="R392" s="1">
        <v>46310</v>
      </c>
      <c r="S392" s="1">
        <v>46310</v>
      </c>
      <c r="T392" s="1">
        <v>46310</v>
      </c>
      <c r="U392" s="1">
        <v>46311</v>
      </c>
      <c r="V392" s="1">
        <v>46311</v>
      </c>
      <c r="W392" s="1">
        <v>46311</v>
      </c>
      <c r="X392" s="1">
        <v>46311</v>
      </c>
      <c r="Y392" s="1">
        <v>46313</v>
      </c>
    </row>
    <row r="393" spans="10:40" x14ac:dyDescent="0.35">
      <c r="J393" t="s">
        <v>10</v>
      </c>
      <c r="K393" t="s">
        <v>16</v>
      </c>
      <c r="L393" t="s">
        <v>122</v>
      </c>
      <c r="M393" t="s">
        <v>15</v>
      </c>
      <c r="N393" t="s">
        <v>232</v>
      </c>
      <c r="O393" t="s">
        <v>232</v>
      </c>
      <c r="Q393" t="s">
        <v>35</v>
      </c>
      <c r="R393" t="s">
        <v>122</v>
      </c>
      <c r="S393" t="s">
        <v>89</v>
      </c>
      <c r="T393" t="s">
        <v>3</v>
      </c>
      <c r="U393" t="s">
        <v>4</v>
      </c>
      <c r="V393" t="s">
        <v>1</v>
      </c>
      <c r="W393" t="s">
        <v>4</v>
      </c>
      <c r="X393" t="s">
        <v>232</v>
      </c>
      <c r="Y393" t="s">
        <v>173</v>
      </c>
    </row>
    <row r="394" spans="10:40" x14ac:dyDescent="0.35">
      <c r="J394" t="s">
        <v>121</v>
      </c>
      <c r="K394" t="s">
        <v>4</v>
      </c>
      <c r="L394" t="s">
        <v>117</v>
      </c>
      <c r="M394" t="s">
        <v>553</v>
      </c>
      <c r="N394" t="s">
        <v>37</v>
      </c>
      <c r="O394" t="s">
        <v>27</v>
      </c>
      <c r="Q394" t="s">
        <v>27</v>
      </c>
      <c r="R394" t="s">
        <v>110</v>
      </c>
      <c r="S394" t="s">
        <v>3</v>
      </c>
      <c r="T394" t="s">
        <v>49</v>
      </c>
      <c r="U394" t="s">
        <v>232</v>
      </c>
      <c r="V394" t="s">
        <v>110</v>
      </c>
      <c r="W394" t="s">
        <v>25</v>
      </c>
      <c r="X394" t="s">
        <v>110</v>
      </c>
      <c r="Y394" t="s">
        <v>148</v>
      </c>
    </row>
    <row r="395" spans="10:40" x14ac:dyDescent="0.35">
      <c r="J395" t="s">
        <v>27</v>
      </c>
      <c r="K395" t="s">
        <v>63</v>
      </c>
      <c r="L395" t="s">
        <v>29</v>
      </c>
      <c r="M395" t="s">
        <v>122</v>
      </c>
      <c r="N395" t="s">
        <v>27</v>
      </c>
      <c r="O395" t="s">
        <v>589</v>
      </c>
      <c r="Q395" t="s">
        <v>110</v>
      </c>
      <c r="R395" t="s">
        <v>25</v>
      </c>
      <c r="S395" t="s">
        <v>29</v>
      </c>
      <c r="T395" t="s">
        <v>232</v>
      </c>
      <c r="U395" t="s">
        <v>37</v>
      </c>
      <c r="V395" t="s">
        <v>28</v>
      </c>
      <c r="W395" t="s">
        <v>9</v>
      </c>
      <c r="X395" t="s">
        <v>4</v>
      </c>
      <c r="Y395" t="s">
        <v>99</v>
      </c>
    </row>
    <row r="396" spans="10:40" x14ac:dyDescent="0.35">
      <c r="J396" t="s">
        <v>110</v>
      </c>
      <c r="K396" t="s">
        <v>27</v>
      </c>
      <c r="L396" t="s">
        <v>21</v>
      </c>
      <c r="M396" t="s">
        <v>21</v>
      </c>
      <c r="N396" t="s">
        <v>4</v>
      </c>
      <c r="O396" t="s">
        <v>472</v>
      </c>
      <c r="Q396" t="s">
        <v>7</v>
      </c>
      <c r="R396" t="s">
        <v>7</v>
      </c>
      <c r="S396" t="s">
        <v>15</v>
      </c>
      <c r="T396" t="s">
        <v>15</v>
      </c>
      <c r="U396" t="s">
        <v>175</v>
      </c>
      <c r="V396" t="s">
        <v>9</v>
      </c>
      <c r="W396" t="s">
        <v>232</v>
      </c>
      <c r="X396" t="s">
        <v>25</v>
      </c>
      <c r="Y396" t="s">
        <v>1</v>
      </c>
    </row>
    <row r="397" spans="10:40" x14ac:dyDescent="0.35">
      <c r="J397" t="s">
        <v>113</v>
      </c>
      <c r="K397" t="s">
        <v>31</v>
      </c>
      <c r="L397" t="s">
        <v>35</v>
      </c>
      <c r="M397" t="s">
        <v>35</v>
      </c>
      <c r="N397" t="s">
        <v>12</v>
      </c>
      <c r="O397" t="s">
        <v>122</v>
      </c>
      <c r="Q397" t="s">
        <v>25</v>
      </c>
      <c r="R397" t="s">
        <v>27</v>
      </c>
      <c r="S397" t="s">
        <v>110</v>
      </c>
      <c r="T397" t="s">
        <v>104</v>
      </c>
      <c r="U397" t="s">
        <v>8</v>
      </c>
      <c r="V397" t="s">
        <v>31</v>
      </c>
      <c r="W397" t="s">
        <v>1</v>
      </c>
      <c r="X397" t="s">
        <v>28</v>
      </c>
      <c r="Y397" t="s">
        <v>10</v>
      </c>
    </row>
    <row r="398" spans="10:40" x14ac:dyDescent="0.35">
      <c r="J398" t="s">
        <v>28</v>
      </c>
      <c r="K398" t="s">
        <v>232</v>
      </c>
      <c r="L398" t="s">
        <v>12</v>
      </c>
      <c r="M398" t="s">
        <v>552</v>
      </c>
      <c r="N398" t="s">
        <v>589</v>
      </c>
      <c r="O398" t="s">
        <v>12</v>
      </c>
      <c r="Q398" t="s">
        <v>21</v>
      </c>
      <c r="R398" t="s">
        <v>28</v>
      </c>
      <c r="S398" t="s">
        <v>104</v>
      </c>
      <c r="T398" t="s">
        <v>81</v>
      </c>
      <c r="U398" t="s">
        <v>25</v>
      </c>
      <c r="V398" t="s">
        <v>27</v>
      </c>
      <c r="W398" t="s">
        <v>37</v>
      </c>
      <c r="X398" t="s">
        <v>1</v>
      </c>
      <c r="Y398" t="s">
        <v>232</v>
      </c>
    </row>
    <row r="399" spans="10:40" x14ac:dyDescent="0.35">
      <c r="J399" t="s">
        <v>4</v>
      </c>
      <c r="K399" t="s">
        <v>10</v>
      </c>
      <c r="L399" t="s">
        <v>49</v>
      </c>
      <c r="M399" t="s">
        <v>49</v>
      </c>
      <c r="N399" t="s">
        <v>31</v>
      </c>
      <c r="O399" t="s">
        <v>31</v>
      </c>
      <c r="Q399" t="s">
        <v>122</v>
      </c>
      <c r="R399" t="s">
        <v>35</v>
      </c>
      <c r="S399" t="s">
        <v>49</v>
      </c>
      <c r="T399" t="s">
        <v>29</v>
      </c>
      <c r="U399" t="s">
        <v>61</v>
      </c>
      <c r="V399" t="s">
        <v>61</v>
      </c>
      <c r="W399" t="s">
        <v>28</v>
      </c>
      <c r="X399" t="s">
        <v>61</v>
      </c>
      <c r="Y399" t="s">
        <v>27</v>
      </c>
    </row>
    <row r="400" spans="10:40" x14ac:dyDescent="0.35">
      <c r="J400" t="s">
        <v>31</v>
      </c>
      <c r="K400" t="s">
        <v>28</v>
      </c>
      <c r="L400" t="s">
        <v>15</v>
      </c>
      <c r="M400" t="s">
        <v>29</v>
      </c>
      <c r="N400" t="s">
        <v>122</v>
      </c>
      <c r="O400" t="s">
        <v>37</v>
      </c>
      <c r="Q400" t="s">
        <v>28</v>
      </c>
      <c r="R400" t="s">
        <v>21</v>
      </c>
      <c r="S400" t="s">
        <v>81</v>
      </c>
      <c r="T400" t="s">
        <v>129</v>
      </c>
      <c r="U400" t="s">
        <v>123</v>
      </c>
      <c r="V400" t="s">
        <v>175</v>
      </c>
      <c r="W400" t="s">
        <v>31</v>
      </c>
      <c r="X400" t="s">
        <v>175</v>
      </c>
      <c r="Y400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15"/>
  <sheetViews>
    <sheetView topLeftCell="A733" workbookViewId="0">
      <selection activeCell="H886" sqref="H886"/>
    </sheetView>
  </sheetViews>
  <sheetFormatPr defaultRowHeight="14.5" x14ac:dyDescent="0.35"/>
  <sheetData>
    <row r="1" spans="1:35" x14ac:dyDescent="0.35">
      <c r="A1" t="s">
        <v>42</v>
      </c>
      <c r="B1" t="s">
        <v>38</v>
      </c>
      <c r="C1" t="s">
        <v>39</v>
      </c>
      <c r="D1" t="s">
        <v>40</v>
      </c>
      <c r="G1" t="s">
        <v>42</v>
      </c>
      <c r="H1" t="s">
        <v>38</v>
      </c>
      <c r="I1" t="s">
        <v>39</v>
      </c>
      <c r="J1" t="s">
        <v>40</v>
      </c>
      <c r="M1" t="s">
        <v>42</v>
      </c>
      <c r="N1" t="s">
        <v>38</v>
      </c>
      <c r="O1" t="s">
        <v>39</v>
      </c>
      <c r="P1" t="s">
        <v>40</v>
      </c>
      <c r="S1" s="4" t="s">
        <v>42</v>
      </c>
      <c r="T1" s="4" t="s">
        <v>38</v>
      </c>
      <c r="U1" s="4" t="s">
        <v>39</v>
      </c>
      <c r="V1" s="4" t="s">
        <v>40</v>
      </c>
      <c r="Y1" s="4" t="s">
        <v>42</v>
      </c>
      <c r="Z1" s="4" t="s">
        <v>38</v>
      </c>
      <c r="AA1" s="4" t="s">
        <v>39</v>
      </c>
      <c r="AB1" s="4" t="s">
        <v>40</v>
      </c>
      <c r="AE1" s="4" t="s">
        <v>42</v>
      </c>
      <c r="AF1" s="4" t="s">
        <v>38</v>
      </c>
      <c r="AG1" s="4" t="s">
        <v>39</v>
      </c>
      <c r="AH1" s="4" t="s">
        <v>40</v>
      </c>
    </row>
    <row r="2" spans="1:35" x14ac:dyDescent="0.35">
      <c r="A2" t="s">
        <v>14</v>
      </c>
      <c r="B2">
        <v>9</v>
      </c>
      <c r="C2">
        <v>2</v>
      </c>
      <c r="D2">
        <v>2.33</v>
      </c>
      <c r="E2" s="2" t="s">
        <v>44</v>
      </c>
      <c r="G2" t="s">
        <v>10</v>
      </c>
      <c r="H2">
        <v>6</v>
      </c>
      <c r="I2">
        <v>1</v>
      </c>
      <c r="J2">
        <v>2.67</v>
      </c>
      <c r="K2" s="2" t="s">
        <v>44</v>
      </c>
      <c r="M2" t="s">
        <v>77</v>
      </c>
      <c r="N2">
        <v>9</v>
      </c>
      <c r="O2" t="s">
        <v>65</v>
      </c>
      <c r="P2">
        <v>2.89</v>
      </c>
      <c r="S2" t="s">
        <v>10</v>
      </c>
      <c r="T2">
        <v>10</v>
      </c>
      <c r="U2" t="s">
        <v>65</v>
      </c>
      <c r="V2">
        <v>3.2</v>
      </c>
      <c r="Y2" t="s">
        <v>10</v>
      </c>
      <c r="Z2">
        <v>10</v>
      </c>
      <c r="AA2" t="s">
        <v>65</v>
      </c>
      <c r="AB2">
        <v>3.2</v>
      </c>
      <c r="AE2" t="s">
        <v>52</v>
      </c>
      <c r="AF2">
        <v>3</v>
      </c>
      <c r="AG2">
        <v>0</v>
      </c>
      <c r="AH2">
        <v>3.33</v>
      </c>
      <c r="AI2" t="s">
        <v>92</v>
      </c>
    </row>
    <row r="3" spans="1:35" x14ac:dyDescent="0.35">
      <c r="A3" t="s">
        <v>10</v>
      </c>
      <c r="B3">
        <v>6</v>
      </c>
      <c r="C3">
        <v>1</v>
      </c>
      <c r="D3">
        <v>2.67</v>
      </c>
      <c r="E3" s="3" t="s">
        <v>46</v>
      </c>
      <c r="G3" t="s">
        <v>14</v>
      </c>
      <c r="H3">
        <v>13</v>
      </c>
      <c r="I3">
        <v>2</v>
      </c>
      <c r="J3">
        <v>3.31</v>
      </c>
      <c r="K3" s="3" t="s">
        <v>46</v>
      </c>
      <c r="M3" t="s">
        <v>0</v>
      </c>
      <c r="N3">
        <v>5</v>
      </c>
      <c r="O3" t="s">
        <v>64</v>
      </c>
      <c r="P3">
        <v>3.6</v>
      </c>
      <c r="Q3" s="2" t="s">
        <v>44</v>
      </c>
      <c r="S3" t="s">
        <v>0</v>
      </c>
      <c r="T3">
        <v>5</v>
      </c>
      <c r="U3" t="s">
        <v>64</v>
      </c>
      <c r="V3">
        <v>3.6</v>
      </c>
      <c r="Y3" t="s">
        <v>0</v>
      </c>
      <c r="Z3">
        <v>5</v>
      </c>
      <c r="AA3" t="s">
        <v>64</v>
      </c>
      <c r="AB3">
        <v>3.6</v>
      </c>
      <c r="AE3" t="s">
        <v>10</v>
      </c>
      <c r="AF3">
        <v>12</v>
      </c>
      <c r="AG3">
        <v>3</v>
      </c>
      <c r="AH3">
        <v>3.58</v>
      </c>
      <c r="AI3" s="3" t="s">
        <v>46</v>
      </c>
    </row>
    <row r="4" spans="1:35" x14ac:dyDescent="0.35">
      <c r="A4" t="s">
        <v>0</v>
      </c>
      <c r="B4">
        <v>5</v>
      </c>
      <c r="C4">
        <v>1</v>
      </c>
      <c r="D4">
        <v>3.6</v>
      </c>
      <c r="E4" s="2" t="s">
        <v>44</v>
      </c>
      <c r="G4" t="s">
        <v>0</v>
      </c>
      <c r="H4">
        <v>5</v>
      </c>
      <c r="I4">
        <v>1</v>
      </c>
      <c r="J4">
        <v>3.6</v>
      </c>
      <c r="K4" s="2"/>
      <c r="M4" t="s">
        <v>14</v>
      </c>
      <c r="N4">
        <v>17</v>
      </c>
      <c r="O4" t="s">
        <v>66</v>
      </c>
      <c r="P4">
        <v>3.65</v>
      </c>
      <c r="Q4" s="3" t="s">
        <v>46</v>
      </c>
      <c r="S4" t="s">
        <v>14</v>
      </c>
      <c r="T4">
        <v>18</v>
      </c>
      <c r="U4" t="s">
        <v>66</v>
      </c>
      <c r="V4">
        <v>3.83</v>
      </c>
      <c r="Y4" t="s">
        <v>14</v>
      </c>
      <c r="Z4">
        <v>19</v>
      </c>
      <c r="AA4" t="s">
        <v>66</v>
      </c>
      <c r="AB4">
        <v>3.84</v>
      </c>
      <c r="AE4" t="s">
        <v>0</v>
      </c>
      <c r="AF4">
        <v>5</v>
      </c>
      <c r="AG4">
        <v>1</v>
      </c>
      <c r="AH4">
        <v>3.6</v>
      </c>
      <c r="AI4" s="3" t="s">
        <v>46</v>
      </c>
    </row>
    <row r="5" spans="1:35" x14ac:dyDescent="0.35">
      <c r="A5" t="s">
        <v>15</v>
      </c>
      <c r="B5">
        <v>10</v>
      </c>
      <c r="C5">
        <v>3</v>
      </c>
      <c r="D5">
        <v>3.7</v>
      </c>
      <c r="E5" s="3" t="s">
        <v>46</v>
      </c>
      <c r="G5" t="s">
        <v>22</v>
      </c>
      <c r="H5">
        <v>4</v>
      </c>
      <c r="I5">
        <v>0</v>
      </c>
      <c r="J5">
        <v>3.75</v>
      </c>
      <c r="K5" s="2" t="s">
        <v>47</v>
      </c>
      <c r="M5" t="s">
        <v>51</v>
      </c>
      <c r="N5">
        <v>3</v>
      </c>
      <c r="O5">
        <v>0</v>
      </c>
      <c r="P5">
        <v>3.67</v>
      </c>
      <c r="Q5" t="s">
        <v>53</v>
      </c>
      <c r="S5" t="s">
        <v>8</v>
      </c>
      <c r="T5">
        <v>13</v>
      </c>
      <c r="U5" t="s">
        <v>83</v>
      </c>
      <c r="V5">
        <v>4</v>
      </c>
      <c r="W5" s="2" t="s">
        <v>44</v>
      </c>
      <c r="Y5" t="s">
        <v>8</v>
      </c>
      <c r="Z5">
        <v>13</v>
      </c>
      <c r="AA5" t="s">
        <v>83</v>
      </c>
      <c r="AB5">
        <v>4</v>
      </c>
      <c r="AE5" t="s">
        <v>14</v>
      </c>
      <c r="AF5">
        <v>23</v>
      </c>
      <c r="AG5">
        <v>2</v>
      </c>
      <c r="AH5">
        <v>3.83</v>
      </c>
      <c r="AI5" s="3" t="s">
        <v>46</v>
      </c>
    </row>
    <row r="6" spans="1:35" x14ac:dyDescent="0.35">
      <c r="A6" t="s">
        <v>8</v>
      </c>
      <c r="B6">
        <v>8</v>
      </c>
      <c r="C6">
        <v>3</v>
      </c>
      <c r="D6">
        <v>3.75</v>
      </c>
      <c r="G6" t="s">
        <v>27</v>
      </c>
      <c r="H6">
        <v>4</v>
      </c>
      <c r="I6">
        <v>0</v>
      </c>
      <c r="J6">
        <v>3.75</v>
      </c>
      <c r="K6" s="2" t="s">
        <v>47</v>
      </c>
      <c r="M6" t="s">
        <v>8</v>
      </c>
      <c r="N6">
        <v>10</v>
      </c>
      <c r="O6" t="s">
        <v>65</v>
      </c>
      <c r="P6">
        <v>3.9</v>
      </c>
      <c r="Q6" s="2" t="s">
        <v>44</v>
      </c>
      <c r="S6" t="s">
        <v>58</v>
      </c>
      <c r="T6">
        <v>3</v>
      </c>
      <c r="U6">
        <v>0</v>
      </c>
      <c r="V6">
        <v>4</v>
      </c>
      <c r="W6" s="2" t="s">
        <v>44</v>
      </c>
      <c r="Y6" t="s">
        <v>15</v>
      </c>
      <c r="Z6">
        <v>16</v>
      </c>
      <c r="AA6" t="s">
        <v>65</v>
      </c>
      <c r="AB6">
        <v>4</v>
      </c>
      <c r="AC6" s="2" t="s">
        <v>44</v>
      </c>
      <c r="AE6" t="s">
        <v>8</v>
      </c>
      <c r="AF6">
        <v>14</v>
      </c>
      <c r="AG6">
        <v>4</v>
      </c>
      <c r="AH6">
        <v>3.86</v>
      </c>
      <c r="AI6" s="3" t="s">
        <v>46</v>
      </c>
    </row>
    <row r="7" spans="1:35" x14ac:dyDescent="0.35">
      <c r="A7" t="s">
        <v>22</v>
      </c>
      <c r="B7">
        <v>4</v>
      </c>
      <c r="C7">
        <v>0</v>
      </c>
      <c r="D7">
        <v>3.75</v>
      </c>
      <c r="E7" s="2" t="s">
        <v>47</v>
      </c>
      <c r="G7" t="s">
        <v>8</v>
      </c>
      <c r="H7">
        <v>10</v>
      </c>
      <c r="I7">
        <v>3</v>
      </c>
      <c r="J7">
        <v>3.9</v>
      </c>
      <c r="K7" s="3" t="s">
        <v>46</v>
      </c>
      <c r="M7" t="s">
        <v>58</v>
      </c>
      <c r="N7">
        <v>3</v>
      </c>
      <c r="O7">
        <v>0</v>
      </c>
      <c r="P7">
        <v>4</v>
      </c>
      <c r="Q7" t="s">
        <v>53</v>
      </c>
      <c r="S7" t="s">
        <v>15</v>
      </c>
      <c r="T7">
        <v>15</v>
      </c>
      <c r="U7" t="s">
        <v>65</v>
      </c>
      <c r="V7">
        <v>4.07</v>
      </c>
      <c r="W7" s="2" t="s">
        <v>44</v>
      </c>
      <c r="Y7" t="s">
        <v>58</v>
      </c>
      <c r="Z7">
        <v>3</v>
      </c>
      <c r="AA7">
        <v>0</v>
      </c>
      <c r="AB7">
        <v>4</v>
      </c>
      <c r="AC7" s="3" t="s">
        <v>46</v>
      </c>
      <c r="AE7" t="s">
        <v>15</v>
      </c>
      <c r="AF7">
        <v>16</v>
      </c>
      <c r="AG7">
        <v>3</v>
      </c>
      <c r="AH7">
        <v>4</v>
      </c>
      <c r="AI7" s="3" t="s">
        <v>46</v>
      </c>
    </row>
    <row r="8" spans="1:35" x14ac:dyDescent="0.35">
      <c r="A8" t="s">
        <v>27</v>
      </c>
      <c r="B8">
        <v>4</v>
      </c>
      <c r="C8">
        <v>0</v>
      </c>
      <c r="D8">
        <v>3.75</v>
      </c>
      <c r="E8" t="s">
        <v>53</v>
      </c>
      <c r="G8" t="s">
        <v>15</v>
      </c>
      <c r="H8">
        <v>12</v>
      </c>
      <c r="I8">
        <v>3</v>
      </c>
      <c r="J8">
        <v>4</v>
      </c>
      <c r="K8" s="3" t="s">
        <v>54</v>
      </c>
      <c r="M8" t="s">
        <v>76</v>
      </c>
      <c r="N8">
        <v>14</v>
      </c>
      <c r="O8" t="s">
        <v>65</v>
      </c>
      <c r="P8">
        <v>4.07</v>
      </c>
      <c r="S8" t="s">
        <v>1</v>
      </c>
      <c r="T8">
        <v>8</v>
      </c>
      <c r="U8">
        <v>0</v>
      </c>
      <c r="V8">
        <v>4.13</v>
      </c>
      <c r="W8" s="2" t="s">
        <v>44</v>
      </c>
      <c r="Y8" t="s">
        <v>1</v>
      </c>
      <c r="Z8">
        <v>8</v>
      </c>
      <c r="AA8">
        <v>0</v>
      </c>
      <c r="AB8">
        <v>4.13</v>
      </c>
      <c r="AE8" t="s">
        <v>58</v>
      </c>
      <c r="AF8">
        <v>3</v>
      </c>
      <c r="AG8">
        <v>0</v>
      </c>
      <c r="AH8">
        <v>4</v>
      </c>
      <c r="AI8" s="3" t="s">
        <v>46</v>
      </c>
    </row>
    <row r="9" spans="1:35" x14ac:dyDescent="0.35">
      <c r="A9" t="s">
        <v>7</v>
      </c>
      <c r="B9">
        <v>3</v>
      </c>
      <c r="C9">
        <v>1</v>
      </c>
      <c r="D9">
        <v>4</v>
      </c>
      <c r="E9" s="3" t="s">
        <v>45</v>
      </c>
      <c r="G9" t="s">
        <v>7</v>
      </c>
      <c r="H9">
        <v>3</v>
      </c>
      <c r="I9">
        <v>1</v>
      </c>
      <c r="J9">
        <v>4</v>
      </c>
      <c r="K9" s="3"/>
      <c r="M9" t="s">
        <v>1</v>
      </c>
      <c r="N9">
        <v>8</v>
      </c>
      <c r="O9">
        <v>0</v>
      </c>
      <c r="P9">
        <v>4.13</v>
      </c>
      <c r="Q9" s="2" t="s">
        <v>44</v>
      </c>
      <c r="S9" t="s">
        <v>7</v>
      </c>
      <c r="T9">
        <v>4</v>
      </c>
      <c r="U9" t="s">
        <v>64</v>
      </c>
      <c r="V9">
        <v>4.25</v>
      </c>
      <c r="W9" s="2" t="s">
        <v>44</v>
      </c>
      <c r="Y9" t="s">
        <v>51</v>
      </c>
      <c r="Z9">
        <v>5</v>
      </c>
      <c r="AA9">
        <v>0</v>
      </c>
      <c r="AB9">
        <v>4.2</v>
      </c>
      <c r="AC9" s="2" t="s">
        <v>88</v>
      </c>
      <c r="AE9" t="s">
        <v>24</v>
      </c>
      <c r="AF9">
        <v>5</v>
      </c>
      <c r="AG9">
        <v>1</v>
      </c>
      <c r="AH9">
        <v>4</v>
      </c>
      <c r="AI9" s="5" t="s">
        <v>93</v>
      </c>
    </row>
    <row r="10" spans="1:35" x14ac:dyDescent="0.35">
      <c r="A10" t="s">
        <v>1</v>
      </c>
      <c r="B10">
        <v>8</v>
      </c>
      <c r="C10">
        <v>0</v>
      </c>
      <c r="D10">
        <v>4.13</v>
      </c>
      <c r="E10" s="3" t="s">
        <v>45</v>
      </c>
      <c r="G10" t="s">
        <v>1</v>
      </c>
      <c r="H10">
        <v>8</v>
      </c>
      <c r="I10">
        <v>0</v>
      </c>
      <c r="J10">
        <v>4.13</v>
      </c>
      <c r="K10" s="3"/>
      <c r="M10" t="s">
        <v>7</v>
      </c>
      <c r="N10">
        <v>4</v>
      </c>
      <c r="O10" t="s">
        <v>64</v>
      </c>
      <c r="P10">
        <v>4.25</v>
      </c>
      <c r="Q10" s="3" t="s">
        <v>46</v>
      </c>
      <c r="S10" t="s">
        <v>28</v>
      </c>
      <c r="T10">
        <v>3</v>
      </c>
      <c r="U10">
        <v>0</v>
      </c>
      <c r="V10">
        <v>4.33</v>
      </c>
      <c r="W10" s="2" t="s">
        <v>44</v>
      </c>
      <c r="Y10" t="s">
        <v>7</v>
      </c>
      <c r="Z10">
        <v>4</v>
      </c>
      <c r="AA10" t="s">
        <v>64</v>
      </c>
      <c r="AB10">
        <v>4.25</v>
      </c>
      <c r="AC10" s="3" t="s">
        <v>46</v>
      </c>
      <c r="AE10" t="s">
        <v>1</v>
      </c>
      <c r="AF10">
        <v>10</v>
      </c>
      <c r="AG10">
        <v>0</v>
      </c>
      <c r="AH10">
        <v>4.0999999999999996</v>
      </c>
      <c r="AI10" s="3" t="s">
        <v>45</v>
      </c>
    </row>
    <row r="11" spans="1:35" x14ac:dyDescent="0.35">
      <c r="A11" t="s">
        <v>25</v>
      </c>
      <c r="B11">
        <v>4</v>
      </c>
      <c r="C11">
        <v>1</v>
      </c>
      <c r="D11">
        <v>5</v>
      </c>
      <c r="E11" t="s">
        <v>53</v>
      </c>
      <c r="G11" t="s">
        <v>6</v>
      </c>
      <c r="H11">
        <v>16</v>
      </c>
      <c r="I11">
        <v>2</v>
      </c>
      <c r="J11">
        <v>4.9400000000000004</v>
      </c>
      <c r="K11" s="2" t="s">
        <v>44</v>
      </c>
      <c r="M11" t="s">
        <v>28</v>
      </c>
      <c r="N11">
        <v>3</v>
      </c>
      <c r="O11">
        <v>0</v>
      </c>
      <c r="P11">
        <v>4.33</v>
      </c>
      <c r="Q11" t="s">
        <v>53</v>
      </c>
      <c r="S11" t="s">
        <v>17</v>
      </c>
      <c r="T11">
        <v>4</v>
      </c>
      <c r="U11" t="s">
        <v>64</v>
      </c>
      <c r="V11">
        <v>4.5</v>
      </c>
      <c r="W11" s="2" t="s">
        <v>44</v>
      </c>
      <c r="Y11" t="s">
        <v>28</v>
      </c>
      <c r="Z11">
        <v>3</v>
      </c>
      <c r="AA11">
        <v>0</v>
      </c>
      <c r="AB11">
        <v>4.33</v>
      </c>
      <c r="AC11" s="3" t="s">
        <v>46</v>
      </c>
      <c r="AE11" t="s">
        <v>79</v>
      </c>
      <c r="AF11">
        <v>5</v>
      </c>
      <c r="AG11">
        <v>0</v>
      </c>
      <c r="AH11">
        <v>4.2</v>
      </c>
      <c r="AI11" s="5" t="s">
        <v>93</v>
      </c>
    </row>
    <row r="12" spans="1:35" x14ac:dyDescent="0.35">
      <c r="A12" t="s">
        <v>6</v>
      </c>
      <c r="B12">
        <v>14</v>
      </c>
      <c r="C12">
        <v>1</v>
      </c>
      <c r="D12">
        <v>5.14</v>
      </c>
      <c r="E12" s="3" t="s">
        <v>45</v>
      </c>
      <c r="G12" t="s">
        <v>25</v>
      </c>
      <c r="H12">
        <v>4</v>
      </c>
      <c r="I12">
        <v>1</v>
      </c>
      <c r="J12">
        <v>5</v>
      </c>
      <c r="K12" s="3" t="s">
        <v>46</v>
      </c>
      <c r="M12" t="s">
        <v>17</v>
      </c>
      <c r="N12">
        <v>4</v>
      </c>
      <c r="O12" t="s">
        <v>64</v>
      </c>
      <c r="P12">
        <v>4.5</v>
      </c>
      <c r="Q12" s="2" t="s">
        <v>59</v>
      </c>
      <c r="S12" t="s">
        <v>22</v>
      </c>
      <c r="T12">
        <v>5</v>
      </c>
      <c r="U12">
        <v>0</v>
      </c>
      <c r="V12">
        <v>4.5999999999999996</v>
      </c>
      <c r="W12" s="2" t="s">
        <v>44</v>
      </c>
      <c r="Y12" t="s">
        <v>22</v>
      </c>
      <c r="Z12">
        <v>5</v>
      </c>
      <c r="AA12">
        <v>0</v>
      </c>
      <c r="AB12">
        <v>4.5999999999999996</v>
      </c>
      <c r="AE12" t="s">
        <v>7</v>
      </c>
      <c r="AF12">
        <v>4</v>
      </c>
      <c r="AG12">
        <v>1</v>
      </c>
      <c r="AH12">
        <v>4.25</v>
      </c>
      <c r="AI12" s="3" t="s">
        <v>45</v>
      </c>
    </row>
    <row r="13" spans="1:35" x14ac:dyDescent="0.35">
      <c r="A13" t="s">
        <v>37</v>
      </c>
      <c r="B13">
        <v>4</v>
      </c>
      <c r="C13">
        <v>1</v>
      </c>
      <c r="D13">
        <v>5.5</v>
      </c>
      <c r="E13" t="s">
        <v>53</v>
      </c>
      <c r="G13" t="s">
        <v>13</v>
      </c>
      <c r="H13">
        <v>8</v>
      </c>
      <c r="I13">
        <v>1</v>
      </c>
      <c r="J13">
        <v>5.38</v>
      </c>
      <c r="K13" s="2" t="s">
        <v>59</v>
      </c>
      <c r="M13" t="s">
        <v>22</v>
      </c>
      <c r="N13">
        <v>5</v>
      </c>
      <c r="O13">
        <v>0</v>
      </c>
      <c r="P13">
        <v>4.5999999999999996</v>
      </c>
      <c r="Q13" s="3" t="s">
        <v>67</v>
      </c>
      <c r="S13" t="s">
        <v>37</v>
      </c>
      <c r="T13">
        <v>5</v>
      </c>
      <c r="U13" t="s">
        <v>66</v>
      </c>
      <c r="V13">
        <v>4.5999999999999996</v>
      </c>
      <c r="W13" s="2" t="s">
        <v>44</v>
      </c>
      <c r="Y13" t="s">
        <v>37</v>
      </c>
      <c r="Z13">
        <v>5</v>
      </c>
      <c r="AA13" t="s">
        <v>66</v>
      </c>
      <c r="AB13">
        <v>4.5999999999999996</v>
      </c>
      <c r="AE13" t="s">
        <v>35</v>
      </c>
      <c r="AF13">
        <v>4</v>
      </c>
      <c r="AG13">
        <v>1</v>
      </c>
      <c r="AH13">
        <v>4.25</v>
      </c>
      <c r="AI13" s="2" t="s">
        <v>98</v>
      </c>
    </row>
    <row r="14" spans="1:35" x14ac:dyDescent="0.35">
      <c r="A14" t="s">
        <v>17</v>
      </c>
      <c r="B14">
        <v>3</v>
      </c>
      <c r="C14">
        <v>0</v>
      </c>
      <c r="D14">
        <v>5.67</v>
      </c>
      <c r="E14" s="3" t="s">
        <v>54</v>
      </c>
      <c r="G14" t="s">
        <v>37</v>
      </c>
      <c r="H14">
        <v>4</v>
      </c>
      <c r="I14">
        <v>1</v>
      </c>
      <c r="J14">
        <v>5.5</v>
      </c>
      <c r="K14" s="3" t="s">
        <v>46</v>
      </c>
      <c r="M14" t="s">
        <v>37</v>
      </c>
      <c r="N14">
        <v>5</v>
      </c>
      <c r="O14" t="s">
        <v>66</v>
      </c>
      <c r="P14">
        <v>4.5999999999999996</v>
      </c>
      <c r="S14" t="s">
        <v>51</v>
      </c>
      <c r="T14">
        <v>4</v>
      </c>
      <c r="U14">
        <v>0</v>
      </c>
      <c r="V14">
        <v>4.75</v>
      </c>
      <c r="W14" s="3" t="s">
        <v>84</v>
      </c>
      <c r="Y14" t="s">
        <v>17</v>
      </c>
      <c r="Z14">
        <v>5</v>
      </c>
      <c r="AA14" t="s">
        <v>64</v>
      </c>
      <c r="AB14">
        <v>4.8</v>
      </c>
      <c r="AC14" s="3" t="s">
        <v>54</v>
      </c>
      <c r="AE14" t="s">
        <v>28</v>
      </c>
      <c r="AF14">
        <v>3</v>
      </c>
      <c r="AG14">
        <v>0</v>
      </c>
      <c r="AH14">
        <v>4.33</v>
      </c>
      <c r="AI14" s="3" t="s">
        <v>54</v>
      </c>
    </row>
    <row r="15" spans="1:35" x14ac:dyDescent="0.35">
      <c r="A15" t="s">
        <v>3</v>
      </c>
      <c r="B15">
        <v>5</v>
      </c>
      <c r="C15">
        <v>0</v>
      </c>
      <c r="D15">
        <v>6</v>
      </c>
      <c r="E15" s="3" t="s">
        <v>54</v>
      </c>
      <c r="G15" t="s">
        <v>17</v>
      </c>
      <c r="H15">
        <v>3</v>
      </c>
      <c r="I15">
        <v>0</v>
      </c>
      <c r="J15">
        <v>5.67</v>
      </c>
      <c r="K15" s="3" t="s">
        <v>46</v>
      </c>
      <c r="M15" t="s">
        <v>3</v>
      </c>
      <c r="N15">
        <v>10</v>
      </c>
      <c r="O15" t="s">
        <v>64</v>
      </c>
      <c r="P15">
        <v>4.8</v>
      </c>
      <c r="Q15" s="2" t="s">
        <v>44</v>
      </c>
      <c r="S15" t="s">
        <v>3</v>
      </c>
      <c r="T15">
        <v>10</v>
      </c>
      <c r="U15" t="s">
        <v>64</v>
      </c>
      <c r="V15">
        <v>4.8</v>
      </c>
      <c r="Y15" t="s">
        <v>3</v>
      </c>
      <c r="Z15">
        <v>10</v>
      </c>
      <c r="AA15" t="s">
        <v>64</v>
      </c>
      <c r="AB15">
        <v>4.8</v>
      </c>
      <c r="AE15" t="s">
        <v>21</v>
      </c>
      <c r="AF15">
        <v>3</v>
      </c>
      <c r="AG15">
        <v>0</v>
      </c>
      <c r="AH15">
        <v>4.33</v>
      </c>
      <c r="AI15" s="5" t="s">
        <v>93</v>
      </c>
    </row>
    <row r="16" spans="1:35" x14ac:dyDescent="0.35">
      <c r="A16" t="s">
        <v>13</v>
      </c>
      <c r="B16">
        <v>6</v>
      </c>
      <c r="C16">
        <v>0</v>
      </c>
      <c r="D16">
        <v>6</v>
      </c>
      <c r="E16" s="3" t="s">
        <v>45</v>
      </c>
      <c r="G16" t="s">
        <v>3</v>
      </c>
      <c r="H16">
        <v>5</v>
      </c>
      <c r="I16">
        <v>0</v>
      </c>
      <c r="J16">
        <v>6</v>
      </c>
      <c r="K16" s="3" t="s">
        <v>46</v>
      </c>
      <c r="M16" t="s">
        <v>75</v>
      </c>
      <c r="N16">
        <v>7</v>
      </c>
      <c r="O16" t="s">
        <v>64</v>
      </c>
      <c r="P16">
        <v>5.14</v>
      </c>
      <c r="Q16" s="3" t="s">
        <v>55</v>
      </c>
      <c r="S16" t="s">
        <v>25</v>
      </c>
      <c r="T16">
        <v>8</v>
      </c>
      <c r="U16" t="s">
        <v>64</v>
      </c>
      <c r="V16">
        <v>5.13</v>
      </c>
      <c r="Y16" t="s">
        <v>12</v>
      </c>
      <c r="Z16">
        <v>3</v>
      </c>
      <c r="AA16">
        <v>0</v>
      </c>
      <c r="AB16">
        <v>5</v>
      </c>
      <c r="AC16" t="s">
        <v>85</v>
      </c>
      <c r="AE16" t="s">
        <v>51</v>
      </c>
      <c r="AF16">
        <v>7</v>
      </c>
      <c r="AG16">
        <v>0</v>
      </c>
      <c r="AH16">
        <v>4.57</v>
      </c>
      <c r="AI16" s="3" t="s">
        <v>69</v>
      </c>
    </row>
    <row r="17" spans="1:36" x14ac:dyDescent="0.35">
      <c r="A17" t="s">
        <v>29</v>
      </c>
      <c r="B17">
        <v>4</v>
      </c>
      <c r="C17">
        <v>0</v>
      </c>
      <c r="D17">
        <v>6.25</v>
      </c>
      <c r="E17" s="3" t="s">
        <v>55</v>
      </c>
      <c r="G17" t="s">
        <v>29</v>
      </c>
      <c r="H17">
        <v>4</v>
      </c>
      <c r="I17">
        <v>0</v>
      </c>
      <c r="J17">
        <v>6.25</v>
      </c>
      <c r="K17" s="3"/>
      <c r="M17" t="s">
        <v>74</v>
      </c>
      <c r="N17">
        <v>6</v>
      </c>
      <c r="O17">
        <v>0</v>
      </c>
      <c r="P17">
        <v>5.17</v>
      </c>
      <c r="Q17" s="3" t="s">
        <v>68</v>
      </c>
      <c r="S17" t="s">
        <v>27</v>
      </c>
      <c r="T17">
        <v>6</v>
      </c>
      <c r="U17">
        <v>0</v>
      </c>
      <c r="V17">
        <v>5.17</v>
      </c>
      <c r="Y17" t="s">
        <v>25</v>
      </c>
      <c r="Z17">
        <v>8</v>
      </c>
      <c r="AA17" t="s">
        <v>64</v>
      </c>
      <c r="AB17">
        <v>5.13</v>
      </c>
      <c r="AC17" s="3" t="s">
        <v>46</v>
      </c>
      <c r="AE17" t="s">
        <v>22</v>
      </c>
      <c r="AF17">
        <v>5</v>
      </c>
      <c r="AG17">
        <v>0</v>
      </c>
      <c r="AH17">
        <v>4.5999999999999996</v>
      </c>
      <c r="AI17" s="3" t="s">
        <v>94</v>
      </c>
    </row>
    <row r="18" spans="1:36" x14ac:dyDescent="0.35">
      <c r="M18" t="s">
        <v>70</v>
      </c>
      <c r="N18">
        <v>20</v>
      </c>
      <c r="O18" t="s">
        <v>66</v>
      </c>
      <c r="P18">
        <v>5.2</v>
      </c>
      <c r="Q18" s="3" t="s">
        <v>69</v>
      </c>
      <c r="S18" t="s">
        <v>6</v>
      </c>
      <c r="T18">
        <v>22</v>
      </c>
      <c r="U18" t="s">
        <v>66</v>
      </c>
      <c r="V18">
        <v>5.27</v>
      </c>
      <c r="Y18" t="s">
        <v>27</v>
      </c>
      <c r="Z18">
        <v>6</v>
      </c>
      <c r="AA18">
        <v>0</v>
      </c>
      <c r="AB18">
        <v>5.17</v>
      </c>
      <c r="AC18" s="3" t="s">
        <v>46</v>
      </c>
      <c r="AE18" t="s">
        <v>37</v>
      </c>
      <c r="AF18">
        <v>5</v>
      </c>
      <c r="AG18">
        <v>2</v>
      </c>
      <c r="AH18">
        <v>4.5999999999999996</v>
      </c>
      <c r="AI18" s="3" t="s">
        <v>94</v>
      </c>
    </row>
    <row r="19" spans="1:36" x14ac:dyDescent="0.35">
      <c r="M19" t="s">
        <v>72</v>
      </c>
      <c r="N19">
        <v>8</v>
      </c>
      <c r="O19" t="s">
        <v>64</v>
      </c>
      <c r="P19">
        <v>5.38</v>
      </c>
      <c r="Q19" s="3" t="s">
        <v>71</v>
      </c>
      <c r="S19" t="s">
        <v>35</v>
      </c>
      <c r="T19">
        <v>3</v>
      </c>
      <c r="U19">
        <v>0</v>
      </c>
      <c r="V19">
        <v>5.33</v>
      </c>
      <c r="W19" t="s">
        <v>85</v>
      </c>
      <c r="Y19" t="s">
        <v>6</v>
      </c>
      <c r="Z19">
        <v>22</v>
      </c>
      <c r="AA19" t="s">
        <v>66</v>
      </c>
      <c r="AB19">
        <v>5.27</v>
      </c>
      <c r="AC19" s="3" t="s">
        <v>46</v>
      </c>
      <c r="AE19" t="s">
        <v>3</v>
      </c>
      <c r="AF19">
        <v>10</v>
      </c>
      <c r="AG19">
        <v>1</v>
      </c>
      <c r="AH19">
        <v>4.8</v>
      </c>
      <c r="AI19" s="3" t="s">
        <v>55</v>
      </c>
    </row>
    <row r="20" spans="1:36" x14ac:dyDescent="0.35">
      <c r="M20" t="s">
        <v>73</v>
      </c>
      <c r="N20">
        <v>6</v>
      </c>
      <c r="O20">
        <v>0</v>
      </c>
      <c r="P20">
        <v>5.67</v>
      </c>
      <c r="Q20" s="3" t="s">
        <v>54</v>
      </c>
      <c r="S20" t="s">
        <v>13</v>
      </c>
      <c r="T20">
        <v>8</v>
      </c>
      <c r="U20" t="s">
        <v>64</v>
      </c>
      <c r="V20">
        <v>5.38</v>
      </c>
      <c r="W20" s="3" t="s">
        <v>46</v>
      </c>
      <c r="Y20" t="s">
        <v>35</v>
      </c>
      <c r="Z20">
        <v>3</v>
      </c>
      <c r="AA20">
        <v>0</v>
      </c>
      <c r="AB20">
        <v>5.33</v>
      </c>
      <c r="AC20" s="3" t="s">
        <v>46</v>
      </c>
      <c r="AE20" t="s">
        <v>95</v>
      </c>
      <c r="AF20">
        <v>3</v>
      </c>
      <c r="AG20">
        <v>0</v>
      </c>
      <c r="AH20">
        <v>5</v>
      </c>
      <c r="AI20" s="3" t="s">
        <v>55</v>
      </c>
    </row>
    <row r="21" spans="1:36" x14ac:dyDescent="0.35">
      <c r="S21" t="s">
        <v>29</v>
      </c>
      <c r="T21">
        <v>6</v>
      </c>
      <c r="U21">
        <v>0</v>
      </c>
      <c r="V21">
        <v>5.67</v>
      </c>
      <c r="W21" s="3" t="s">
        <v>46</v>
      </c>
      <c r="Y21" t="s">
        <v>13</v>
      </c>
      <c r="Z21">
        <v>8</v>
      </c>
      <c r="AA21" t="s">
        <v>64</v>
      </c>
      <c r="AB21">
        <v>5.38</v>
      </c>
      <c r="AC21" s="3" t="s">
        <v>46</v>
      </c>
      <c r="AE21" t="s">
        <v>75</v>
      </c>
      <c r="AF21">
        <v>8</v>
      </c>
      <c r="AG21">
        <v>1</v>
      </c>
      <c r="AH21">
        <v>5.13</v>
      </c>
      <c r="AI21" s="3" t="s">
        <v>55</v>
      </c>
    </row>
    <row r="22" spans="1:36" x14ac:dyDescent="0.35">
      <c r="S22" t="s">
        <v>20</v>
      </c>
      <c r="T22">
        <v>3</v>
      </c>
      <c r="U22">
        <v>0</v>
      </c>
      <c r="V22">
        <v>7.33</v>
      </c>
      <c r="W22" t="s">
        <v>85</v>
      </c>
      <c r="Y22" t="s">
        <v>29</v>
      </c>
      <c r="Z22">
        <v>6</v>
      </c>
      <c r="AA22">
        <v>0</v>
      </c>
      <c r="AB22">
        <v>5.67</v>
      </c>
      <c r="AC22" s="3" t="s">
        <v>46</v>
      </c>
      <c r="AE22" t="s">
        <v>74</v>
      </c>
      <c r="AF22">
        <v>6</v>
      </c>
      <c r="AG22">
        <v>0</v>
      </c>
      <c r="AH22">
        <v>5.17</v>
      </c>
      <c r="AI22" s="3" t="s">
        <v>55</v>
      </c>
    </row>
    <row r="23" spans="1:36" x14ac:dyDescent="0.35">
      <c r="Y23" t="s">
        <v>20</v>
      </c>
      <c r="Z23">
        <v>3</v>
      </c>
      <c r="AA23">
        <v>0</v>
      </c>
      <c r="AB23">
        <v>7.33</v>
      </c>
      <c r="AC23" s="3" t="s">
        <v>46</v>
      </c>
      <c r="AE23" t="s">
        <v>96</v>
      </c>
      <c r="AF23">
        <v>6</v>
      </c>
      <c r="AG23">
        <v>1</v>
      </c>
      <c r="AH23">
        <v>5.17</v>
      </c>
      <c r="AI23" s="3" t="s">
        <v>84</v>
      </c>
    </row>
    <row r="24" spans="1:36" x14ac:dyDescent="0.35">
      <c r="AE24" t="s">
        <v>70</v>
      </c>
      <c r="AF24">
        <v>22</v>
      </c>
      <c r="AG24">
        <v>2</v>
      </c>
      <c r="AH24">
        <v>5.27</v>
      </c>
      <c r="AI24" s="3" t="s">
        <v>94</v>
      </c>
    </row>
    <row r="25" spans="1:36" x14ac:dyDescent="0.35">
      <c r="AE25" t="s">
        <v>72</v>
      </c>
      <c r="AF25">
        <v>8</v>
      </c>
      <c r="AG25">
        <v>1</v>
      </c>
      <c r="AH25">
        <v>5.38</v>
      </c>
      <c r="AI25" s="3" t="s">
        <v>55</v>
      </c>
    </row>
    <row r="26" spans="1:36" x14ac:dyDescent="0.35">
      <c r="AE26" t="s">
        <v>73</v>
      </c>
      <c r="AF26">
        <v>6</v>
      </c>
      <c r="AG26">
        <v>0</v>
      </c>
      <c r="AH26">
        <v>5.67</v>
      </c>
      <c r="AI26" s="3" t="s">
        <v>55</v>
      </c>
    </row>
    <row r="27" spans="1:36" x14ac:dyDescent="0.35">
      <c r="AE27" t="s">
        <v>97</v>
      </c>
      <c r="AF27">
        <v>4</v>
      </c>
      <c r="AG27">
        <v>0</v>
      </c>
      <c r="AH27">
        <v>7.5</v>
      </c>
      <c r="AI27" s="3" t="s">
        <v>55</v>
      </c>
    </row>
    <row r="31" spans="1:36" x14ac:dyDescent="0.35">
      <c r="A31" s="4" t="s">
        <v>42</v>
      </c>
      <c r="B31" s="4" t="s">
        <v>38</v>
      </c>
      <c r="C31" s="4" t="s">
        <v>39</v>
      </c>
      <c r="D31" s="4" t="s">
        <v>40</v>
      </c>
      <c r="G31" s="4" t="s">
        <v>42</v>
      </c>
      <c r="H31" s="4" t="s">
        <v>38</v>
      </c>
      <c r="I31" s="4" t="s">
        <v>39</v>
      </c>
      <c r="J31" s="4" t="s">
        <v>40</v>
      </c>
      <c r="M31" s="4" t="s">
        <v>42</v>
      </c>
      <c r="N31" s="4" t="s">
        <v>38</v>
      </c>
      <c r="O31" s="4" t="s">
        <v>39</v>
      </c>
      <c r="P31" s="4" t="s">
        <v>40</v>
      </c>
      <c r="Q31" s="4" t="s">
        <v>111</v>
      </c>
      <c r="S31" s="4" t="s">
        <v>42</v>
      </c>
      <c r="T31" s="4" t="s">
        <v>38</v>
      </c>
      <c r="U31" s="4" t="s">
        <v>39</v>
      </c>
      <c r="V31" s="4" t="s">
        <v>40</v>
      </c>
      <c r="W31" s="4" t="s">
        <v>111</v>
      </c>
      <c r="Z31" s="4" t="s">
        <v>42</v>
      </c>
      <c r="AA31" s="4" t="s">
        <v>38</v>
      </c>
      <c r="AB31" s="4" t="s">
        <v>39</v>
      </c>
      <c r="AC31" s="4" t="s">
        <v>40</v>
      </c>
      <c r="AD31" s="4" t="s">
        <v>111</v>
      </c>
      <c r="AF31" s="4" t="s">
        <v>42</v>
      </c>
      <c r="AG31" s="4" t="s">
        <v>38</v>
      </c>
      <c r="AH31" s="4" t="s">
        <v>39</v>
      </c>
      <c r="AI31" s="4" t="s">
        <v>40</v>
      </c>
      <c r="AJ31" s="4" t="s">
        <v>111</v>
      </c>
    </row>
    <row r="32" spans="1:36" x14ac:dyDescent="0.35">
      <c r="A32" t="s">
        <v>52</v>
      </c>
      <c r="B32">
        <v>4</v>
      </c>
      <c r="C32">
        <v>0</v>
      </c>
      <c r="D32">
        <v>3</v>
      </c>
      <c r="G32" t="s">
        <v>52</v>
      </c>
      <c r="H32">
        <v>4</v>
      </c>
      <c r="I32">
        <v>0</v>
      </c>
      <c r="J32">
        <v>3</v>
      </c>
      <c r="M32" t="s">
        <v>52</v>
      </c>
      <c r="N32">
        <v>4</v>
      </c>
      <c r="O32">
        <v>0</v>
      </c>
      <c r="P32" s="7">
        <v>3</v>
      </c>
      <c r="Q32">
        <v>0</v>
      </c>
      <c r="S32" t="s">
        <v>52</v>
      </c>
      <c r="T32">
        <v>4</v>
      </c>
      <c r="U32">
        <v>0</v>
      </c>
      <c r="V32">
        <v>3</v>
      </c>
      <c r="W32">
        <v>0</v>
      </c>
      <c r="Z32" t="s">
        <v>52</v>
      </c>
      <c r="AA32">
        <v>4</v>
      </c>
      <c r="AB32">
        <v>0</v>
      </c>
      <c r="AC32">
        <v>3</v>
      </c>
      <c r="AD32">
        <v>0</v>
      </c>
      <c r="AF32" t="s">
        <v>52</v>
      </c>
      <c r="AG32">
        <v>4</v>
      </c>
      <c r="AH32">
        <v>0</v>
      </c>
      <c r="AI32">
        <v>3</v>
      </c>
      <c r="AJ32">
        <v>0</v>
      </c>
    </row>
    <row r="33" spans="1:37" x14ac:dyDescent="0.35">
      <c r="A33" t="s">
        <v>81</v>
      </c>
      <c r="B33">
        <v>3</v>
      </c>
      <c r="C33">
        <v>1</v>
      </c>
      <c r="D33">
        <v>3.33</v>
      </c>
      <c r="E33" t="s">
        <v>92</v>
      </c>
      <c r="G33" t="s">
        <v>81</v>
      </c>
      <c r="H33">
        <v>3</v>
      </c>
      <c r="I33">
        <v>1</v>
      </c>
      <c r="J33">
        <v>3.33</v>
      </c>
      <c r="M33" t="s">
        <v>63</v>
      </c>
      <c r="N33" s="6">
        <v>3</v>
      </c>
      <c r="O33">
        <v>1</v>
      </c>
      <c r="P33" s="7">
        <v>3</v>
      </c>
      <c r="Q33" s="7">
        <v>0.33</v>
      </c>
      <c r="R33" t="s">
        <v>53</v>
      </c>
      <c r="S33" t="s">
        <v>63</v>
      </c>
      <c r="T33">
        <v>3</v>
      </c>
      <c r="U33">
        <v>1</v>
      </c>
      <c r="V33">
        <v>3</v>
      </c>
      <c r="W33" s="7">
        <v>0.33</v>
      </c>
      <c r="Z33" t="s">
        <v>63</v>
      </c>
      <c r="AA33">
        <v>3</v>
      </c>
      <c r="AB33">
        <v>1</v>
      </c>
      <c r="AC33">
        <v>3</v>
      </c>
      <c r="AD33" s="7">
        <v>0.33</v>
      </c>
      <c r="AF33" t="s">
        <v>63</v>
      </c>
      <c r="AG33">
        <v>3</v>
      </c>
      <c r="AH33">
        <v>1</v>
      </c>
      <c r="AI33">
        <v>3</v>
      </c>
      <c r="AJ33" s="7">
        <v>0.33</v>
      </c>
    </row>
    <row r="34" spans="1:37" x14ac:dyDescent="0.35">
      <c r="A34" t="s">
        <v>10</v>
      </c>
      <c r="B34">
        <v>12</v>
      </c>
      <c r="C34">
        <v>3</v>
      </c>
      <c r="D34">
        <v>3.58</v>
      </c>
      <c r="E34" s="3" t="s">
        <v>46</v>
      </c>
      <c r="G34" t="s">
        <v>10</v>
      </c>
      <c r="H34">
        <v>12</v>
      </c>
      <c r="I34">
        <v>3</v>
      </c>
      <c r="J34">
        <v>3.58</v>
      </c>
      <c r="M34" t="s">
        <v>81</v>
      </c>
      <c r="N34">
        <v>3</v>
      </c>
      <c r="O34">
        <v>1</v>
      </c>
      <c r="P34">
        <v>3.33</v>
      </c>
      <c r="Q34" s="7">
        <v>0.33</v>
      </c>
      <c r="R34" s="3" t="s">
        <v>46</v>
      </c>
      <c r="S34" t="s">
        <v>81</v>
      </c>
      <c r="T34">
        <v>3</v>
      </c>
      <c r="U34">
        <v>1</v>
      </c>
      <c r="V34">
        <v>3.33</v>
      </c>
      <c r="W34" s="7">
        <v>0.33</v>
      </c>
      <c r="Z34" t="s">
        <v>81</v>
      </c>
      <c r="AA34">
        <v>3</v>
      </c>
      <c r="AB34">
        <v>1</v>
      </c>
      <c r="AC34">
        <v>3.33</v>
      </c>
      <c r="AD34" s="7">
        <v>0.33</v>
      </c>
      <c r="AF34" t="s">
        <v>81</v>
      </c>
      <c r="AG34">
        <v>3</v>
      </c>
      <c r="AH34">
        <v>1</v>
      </c>
      <c r="AI34">
        <v>3.33</v>
      </c>
      <c r="AJ34" s="7">
        <v>0.33</v>
      </c>
    </row>
    <row r="35" spans="1:37" x14ac:dyDescent="0.35">
      <c r="A35" t="s">
        <v>0</v>
      </c>
      <c r="B35">
        <v>5</v>
      </c>
      <c r="C35">
        <v>1</v>
      </c>
      <c r="D35">
        <v>3.6</v>
      </c>
      <c r="E35" s="3" t="s">
        <v>46</v>
      </c>
      <c r="G35" t="s">
        <v>0</v>
      </c>
      <c r="H35">
        <v>5</v>
      </c>
      <c r="I35">
        <v>1</v>
      </c>
      <c r="J35">
        <v>3.6</v>
      </c>
      <c r="M35" t="s">
        <v>10</v>
      </c>
      <c r="N35">
        <v>12</v>
      </c>
      <c r="O35">
        <v>3</v>
      </c>
      <c r="P35">
        <v>3.58</v>
      </c>
      <c r="Q35">
        <v>0.25</v>
      </c>
      <c r="R35" s="3" t="s">
        <v>46</v>
      </c>
      <c r="S35" t="s">
        <v>15</v>
      </c>
      <c r="T35" s="8">
        <v>24</v>
      </c>
      <c r="U35" s="8">
        <v>7</v>
      </c>
      <c r="V35">
        <v>3.5</v>
      </c>
      <c r="W35">
        <v>0.28999999999999998</v>
      </c>
      <c r="X35" s="2" t="s">
        <v>47</v>
      </c>
      <c r="Z35" t="s">
        <v>15</v>
      </c>
      <c r="AA35">
        <v>24</v>
      </c>
      <c r="AB35" s="7">
        <v>7</v>
      </c>
      <c r="AC35">
        <v>3.5</v>
      </c>
      <c r="AD35">
        <v>0.28999999999999998</v>
      </c>
      <c r="AF35" t="s">
        <v>15</v>
      </c>
      <c r="AG35" s="8">
        <v>26</v>
      </c>
      <c r="AH35" s="8">
        <v>8</v>
      </c>
      <c r="AI35">
        <v>3.35</v>
      </c>
      <c r="AJ35" s="6">
        <v>0.31</v>
      </c>
    </row>
    <row r="36" spans="1:37" x14ac:dyDescent="0.35">
      <c r="A36" t="s">
        <v>15</v>
      </c>
      <c r="B36">
        <v>17</v>
      </c>
      <c r="C36">
        <v>4</v>
      </c>
      <c r="D36">
        <v>3.82</v>
      </c>
      <c r="E36" s="2" t="s">
        <v>44</v>
      </c>
      <c r="G36" t="s">
        <v>15</v>
      </c>
      <c r="H36" s="6">
        <v>19</v>
      </c>
      <c r="I36" s="4">
        <v>5</v>
      </c>
      <c r="J36">
        <v>3.63</v>
      </c>
      <c r="M36" t="s">
        <v>0</v>
      </c>
      <c r="N36">
        <v>5</v>
      </c>
      <c r="O36">
        <v>1</v>
      </c>
      <c r="P36">
        <v>3.6</v>
      </c>
      <c r="Q36">
        <v>0.2</v>
      </c>
      <c r="R36" s="3" t="s">
        <v>46</v>
      </c>
      <c r="S36" t="s">
        <v>10</v>
      </c>
      <c r="T36" s="6">
        <v>13</v>
      </c>
      <c r="U36">
        <v>3</v>
      </c>
      <c r="V36">
        <v>3.54</v>
      </c>
      <c r="W36">
        <v>0.23</v>
      </c>
      <c r="X36" s="3" t="s">
        <v>46</v>
      </c>
      <c r="Z36" t="s">
        <v>10</v>
      </c>
      <c r="AA36">
        <v>13</v>
      </c>
      <c r="AB36">
        <v>3</v>
      </c>
      <c r="AC36">
        <v>3.54</v>
      </c>
      <c r="AD36">
        <v>0.23</v>
      </c>
      <c r="AF36" t="s">
        <v>0</v>
      </c>
      <c r="AG36">
        <v>5</v>
      </c>
      <c r="AH36">
        <v>1</v>
      </c>
      <c r="AI36">
        <v>3.6</v>
      </c>
      <c r="AJ36">
        <v>0.2</v>
      </c>
      <c r="AK36" s="2" t="s">
        <v>44</v>
      </c>
    </row>
    <row r="37" spans="1:37" x14ac:dyDescent="0.35">
      <c r="A37" t="s">
        <v>14</v>
      </c>
      <c r="B37">
        <v>23</v>
      </c>
      <c r="C37">
        <v>2</v>
      </c>
      <c r="D37">
        <v>3.83</v>
      </c>
      <c r="E37" s="3" t="s">
        <v>45</v>
      </c>
      <c r="G37" t="s">
        <v>14</v>
      </c>
      <c r="H37" s="4">
        <v>23</v>
      </c>
      <c r="I37">
        <v>2</v>
      </c>
      <c r="J37">
        <v>3.83</v>
      </c>
      <c r="M37" t="s">
        <v>15</v>
      </c>
      <c r="N37" s="8">
        <v>23</v>
      </c>
      <c r="O37" s="7">
        <v>6</v>
      </c>
      <c r="P37">
        <v>3.61</v>
      </c>
      <c r="Q37">
        <v>0.26</v>
      </c>
      <c r="R37" s="3" t="s">
        <v>46</v>
      </c>
      <c r="S37" t="s">
        <v>0</v>
      </c>
      <c r="T37">
        <v>5</v>
      </c>
      <c r="U37">
        <v>1</v>
      </c>
      <c r="V37">
        <v>3.6</v>
      </c>
      <c r="W37">
        <v>0.2</v>
      </c>
      <c r="X37" s="3" t="s">
        <v>46</v>
      </c>
      <c r="Z37" t="s">
        <v>0</v>
      </c>
      <c r="AA37">
        <v>5</v>
      </c>
      <c r="AB37">
        <v>1</v>
      </c>
      <c r="AC37">
        <v>3.6</v>
      </c>
      <c r="AD37">
        <v>0.2</v>
      </c>
      <c r="AF37" t="s">
        <v>22</v>
      </c>
      <c r="AG37">
        <v>9</v>
      </c>
      <c r="AH37">
        <v>1</v>
      </c>
      <c r="AI37">
        <v>3.78</v>
      </c>
      <c r="AJ37">
        <v>0.11</v>
      </c>
      <c r="AK37" s="2" t="s">
        <v>44</v>
      </c>
    </row>
    <row r="38" spans="1:37" x14ac:dyDescent="0.35">
      <c r="A38" t="s">
        <v>58</v>
      </c>
      <c r="B38">
        <v>3</v>
      </c>
      <c r="C38">
        <v>0</v>
      </c>
      <c r="D38">
        <v>4</v>
      </c>
      <c r="E38" s="3"/>
      <c r="G38" t="s">
        <v>22</v>
      </c>
      <c r="H38" s="6">
        <v>8</v>
      </c>
      <c r="I38">
        <v>1</v>
      </c>
      <c r="J38">
        <v>3.88</v>
      </c>
      <c r="K38" s="2" t="s">
        <v>106</v>
      </c>
      <c r="M38" t="s">
        <v>14</v>
      </c>
      <c r="N38" s="7">
        <v>23</v>
      </c>
      <c r="O38">
        <v>2</v>
      </c>
      <c r="P38">
        <v>3.83</v>
      </c>
      <c r="Q38">
        <v>0.09</v>
      </c>
      <c r="R38" s="3" t="s">
        <v>46</v>
      </c>
      <c r="S38" t="s">
        <v>14</v>
      </c>
      <c r="T38" s="8">
        <v>24</v>
      </c>
      <c r="U38">
        <v>2</v>
      </c>
      <c r="V38">
        <v>3.75</v>
      </c>
      <c r="W38">
        <v>0.08</v>
      </c>
      <c r="Z38" t="s">
        <v>22</v>
      </c>
      <c r="AA38" s="6">
        <v>9</v>
      </c>
      <c r="AB38">
        <v>1</v>
      </c>
      <c r="AC38">
        <v>3.78</v>
      </c>
      <c r="AD38">
        <v>0.11</v>
      </c>
      <c r="AE38" s="2" t="s">
        <v>44</v>
      </c>
      <c r="AF38" t="s">
        <v>10</v>
      </c>
      <c r="AG38" s="6">
        <v>14</v>
      </c>
      <c r="AH38">
        <v>3</v>
      </c>
      <c r="AI38">
        <v>3.86</v>
      </c>
      <c r="AJ38" s="6">
        <v>0.21</v>
      </c>
      <c r="AK38" s="3" t="s">
        <v>45</v>
      </c>
    </row>
    <row r="39" spans="1:37" x14ac:dyDescent="0.35">
      <c r="A39" t="s">
        <v>8</v>
      </c>
      <c r="B39">
        <v>15</v>
      </c>
      <c r="C39">
        <v>4</v>
      </c>
      <c r="D39">
        <v>4.07</v>
      </c>
      <c r="E39" s="3" t="s">
        <v>54</v>
      </c>
      <c r="G39" t="s">
        <v>58</v>
      </c>
      <c r="H39">
        <v>3</v>
      </c>
      <c r="I39">
        <v>0</v>
      </c>
      <c r="J39">
        <v>4</v>
      </c>
      <c r="K39" s="3" t="s">
        <v>46</v>
      </c>
      <c r="M39" t="s">
        <v>22</v>
      </c>
      <c r="N39">
        <v>8</v>
      </c>
      <c r="O39">
        <v>1</v>
      </c>
      <c r="P39">
        <v>3.88</v>
      </c>
      <c r="Q39">
        <v>0.13</v>
      </c>
      <c r="R39" s="3" t="s">
        <v>46</v>
      </c>
      <c r="S39" t="s">
        <v>22</v>
      </c>
      <c r="T39">
        <v>8</v>
      </c>
      <c r="U39">
        <v>1</v>
      </c>
      <c r="V39">
        <v>3.88</v>
      </c>
      <c r="W39">
        <v>0.13</v>
      </c>
      <c r="Z39" t="s">
        <v>14</v>
      </c>
      <c r="AA39" s="8">
        <v>25</v>
      </c>
      <c r="AB39">
        <v>2</v>
      </c>
      <c r="AC39">
        <v>3.92</v>
      </c>
      <c r="AD39">
        <v>0.08</v>
      </c>
      <c r="AE39" s="3" t="s">
        <v>46</v>
      </c>
      <c r="AF39" t="s">
        <v>14</v>
      </c>
      <c r="AG39" s="8">
        <v>26</v>
      </c>
      <c r="AH39">
        <v>2</v>
      </c>
      <c r="AI39">
        <v>3.88</v>
      </c>
      <c r="AJ39" s="6">
        <v>0.08</v>
      </c>
    </row>
    <row r="40" spans="1:37" x14ac:dyDescent="0.35">
      <c r="A40" t="s">
        <v>1</v>
      </c>
      <c r="B40">
        <v>10</v>
      </c>
      <c r="C40">
        <v>0</v>
      </c>
      <c r="D40">
        <v>4.0999999999999996</v>
      </c>
      <c r="G40" t="s">
        <v>8</v>
      </c>
      <c r="H40">
        <v>15</v>
      </c>
      <c r="I40">
        <v>4</v>
      </c>
      <c r="J40">
        <v>4.07</v>
      </c>
      <c r="K40" s="3" t="s">
        <v>46</v>
      </c>
      <c r="M40" t="s">
        <v>58</v>
      </c>
      <c r="N40">
        <v>3</v>
      </c>
      <c r="O40">
        <v>0</v>
      </c>
      <c r="P40">
        <v>4</v>
      </c>
      <c r="Q40">
        <v>0</v>
      </c>
      <c r="R40" s="3" t="s">
        <v>46</v>
      </c>
      <c r="S40" t="s">
        <v>58</v>
      </c>
      <c r="T40">
        <v>3</v>
      </c>
      <c r="U40">
        <v>0</v>
      </c>
      <c r="V40">
        <v>4</v>
      </c>
      <c r="W40">
        <v>0</v>
      </c>
      <c r="Z40" t="s">
        <v>58</v>
      </c>
      <c r="AA40">
        <v>3</v>
      </c>
      <c r="AB40">
        <v>0</v>
      </c>
      <c r="AC40">
        <v>4</v>
      </c>
      <c r="AD40">
        <v>0</v>
      </c>
      <c r="AF40" t="s">
        <v>58</v>
      </c>
      <c r="AG40">
        <v>3</v>
      </c>
      <c r="AH40">
        <v>0</v>
      </c>
      <c r="AI40">
        <v>4</v>
      </c>
      <c r="AJ40">
        <v>0</v>
      </c>
    </row>
    <row r="41" spans="1:37" x14ac:dyDescent="0.35">
      <c r="A41" t="s">
        <v>7</v>
      </c>
      <c r="B41">
        <v>4</v>
      </c>
      <c r="C41">
        <v>1</v>
      </c>
      <c r="D41">
        <v>4.25</v>
      </c>
      <c r="E41" s="2" t="s">
        <v>44</v>
      </c>
      <c r="G41" t="s">
        <v>1</v>
      </c>
      <c r="H41">
        <v>10</v>
      </c>
      <c r="I41">
        <v>0</v>
      </c>
      <c r="J41">
        <v>4.0999999999999996</v>
      </c>
      <c r="K41" s="3" t="s">
        <v>46</v>
      </c>
      <c r="M41" t="s">
        <v>36</v>
      </c>
      <c r="N41" s="6">
        <v>3</v>
      </c>
      <c r="O41">
        <v>0</v>
      </c>
      <c r="P41">
        <v>4</v>
      </c>
      <c r="Q41">
        <v>0</v>
      </c>
      <c r="R41" t="s">
        <v>53</v>
      </c>
      <c r="S41" t="s">
        <v>36</v>
      </c>
      <c r="T41">
        <v>3</v>
      </c>
      <c r="U41">
        <v>0</v>
      </c>
      <c r="V41">
        <v>4</v>
      </c>
      <c r="W41">
        <v>0</v>
      </c>
      <c r="Z41" t="s">
        <v>36</v>
      </c>
      <c r="AA41">
        <v>3</v>
      </c>
      <c r="AB41">
        <v>0</v>
      </c>
      <c r="AC41">
        <v>4</v>
      </c>
      <c r="AD41">
        <v>0</v>
      </c>
      <c r="AF41" t="s">
        <v>36</v>
      </c>
      <c r="AG41">
        <v>3</v>
      </c>
      <c r="AH41">
        <v>0</v>
      </c>
      <c r="AI41">
        <v>4</v>
      </c>
      <c r="AJ41">
        <v>0</v>
      </c>
    </row>
    <row r="42" spans="1:37" x14ac:dyDescent="0.35">
      <c r="A42" t="s">
        <v>35</v>
      </c>
      <c r="B42">
        <v>4</v>
      </c>
      <c r="C42">
        <v>1</v>
      </c>
      <c r="D42">
        <v>4.25</v>
      </c>
      <c r="E42" s="2" t="s">
        <v>44</v>
      </c>
      <c r="G42" t="s">
        <v>7</v>
      </c>
      <c r="H42">
        <v>4</v>
      </c>
      <c r="I42">
        <v>1</v>
      </c>
      <c r="J42">
        <v>4.25</v>
      </c>
      <c r="K42" s="3" t="s">
        <v>46</v>
      </c>
      <c r="M42" t="s">
        <v>26</v>
      </c>
      <c r="N42" s="6">
        <v>3</v>
      </c>
      <c r="O42">
        <v>1</v>
      </c>
      <c r="P42">
        <v>4</v>
      </c>
      <c r="Q42" s="7">
        <v>0.33</v>
      </c>
      <c r="R42" t="s">
        <v>53</v>
      </c>
      <c r="S42" t="s">
        <v>26</v>
      </c>
      <c r="T42">
        <v>3</v>
      </c>
      <c r="U42">
        <v>1</v>
      </c>
      <c r="V42">
        <v>4</v>
      </c>
      <c r="W42" s="7">
        <v>0.33</v>
      </c>
      <c r="Z42" t="s">
        <v>26</v>
      </c>
      <c r="AA42">
        <v>3</v>
      </c>
      <c r="AB42">
        <v>1</v>
      </c>
      <c r="AC42">
        <v>4</v>
      </c>
      <c r="AD42" s="7">
        <v>0.33</v>
      </c>
      <c r="AF42" t="s">
        <v>26</v>
      </c>
      <c r="AG42">
        <v>3</v>
      </c>
      <c r="AH42">
        <v>1</v>
      </c>
      <c r="AI42">
        <v>4</v>
      </c>
      <c r="AJ42">
        <v>0.33</v>
      </c>
    </row>
    <row r="43" spans="1:37" x14ac:dyDescent="0.35">
      <c r="A43" t="s">
        <v>28</v>
      </c>
      <c r="B43">
        <v>3</v>
      </c>
      <c r="C43">
        <v>0</v>
      </c>
      <c r="D43">
        <v>4.33</v>
      </c>
      <c r="E43" s="2" t="s">
        <v>44</v>
      </c>
      <c r="G43" t="s">
        <v>35</v>
      </c>
      <c r="H43">
        <v>4</v>
      </c>
      <c r="I43">
        <v>1</v>
      </c>
      <c r="J43">
        <v>4.25</v>
      </c>
      <c r="K43" s="3" t="s">
        <v>46</v>
      </c>
      <c r="M43" t="s">
        <v>8</v>
      </c>
      <c r="N43" s="6">
        <v>18</v>
      </c>
      <c r="O43">
        <v>4</v>
      </c>
      <c r="P43">
        <v>4.0599999999999996</v>
      </c>
      <c r="Q43">
        <v>0.22</v>
      </c>
      <c r="R43" s="3" t="s">
        <v>54</v>
      </c>
      <c r="S43" t="s">
        <v>1</v>
      </c>
      <c r="T43">
        <v>10</v>
      </c>
      <c r="U43">
        <v>0</v>
      </c>
      <c r="V43">
        <v>4.0999999999999996</v>
      </c>
      <c r="W43">
        <v>0</v>
      </c>
      <c r="X43" s="2" t="s">
        <v>44</v>
      </c>
      <c r="Z43" t="s">
        <v>37</v>
      </c>
      <c r="AA43" s="6">
        <v>6</v>
      </c>
      <c r="AB43">
        <v>2</v>
      </c>
      <c r="AC43">
        <v>4.17</v>
      </c>
      <c r="AD43" s="7">
        <v>0.33</v>
      </c>
      <c r="AE43" s="2" t="s">
        <v>118</v>
      </c>
      <c r="AF43" t="s">
        <v>79</v>
      </c>
      <c r="AG43" s="6">
        <v>8</v>
      </c>
      <c r="AH43">
        <v>0</v>
      </c>
      <c r="AI43">
        <v>4.13</v>
      </c>
      <c r="AJ43">
        <v>0</v>
      </c>
      <c r="AK43" s="2" t="s">
        <v>88</v>
      </c>
    </row>
    <row r="44" spans="1:37" x14ac:dyDescent="0.35">
      <c r="A44" t="s">
        <v>24</v>
      </c>
      <c r="B44">
        <v>6</v>
      </c>
      <c r="C44">
        <v>1</v>
      </c>
      <c r="D44">
        <v>4.33</v>
      </c>
      <c r="E44" s="3" t="s">
        <v>94</v>
      </c>
      <c r="G44" t="s">
        <v>28</v>
      </c>
      <c r="H44">
        <v>3</v>
      </c>
      <c r="I44">
        <v>0</v>
      </c>
      <c r="J44">
        <v>4.33</v>
      </c>
      <c r="K44" s="3" t="s">
        <v>46</v>
      </c>
      <c r="M44" t="s">
        <v>1</v>
      </c>
      <c r="N44">
        <v>10</v>
      </c>
      <c r="O44">
        <v>0</v>
      </c>
      <c r="P44">
        <v>4.0999999999999996</v>
      </c>
      <c r="Q44">
        <v>0</v>
      </c>
      <c r="R44" s="3" t="s">
        <v>54</v>
      </c>
      <c r="S44" t="s">
        <v>8</v>
      </c>
      <c r="T44" s="6">
        <v>19</v>
      </c>
      <c r="U44">
        <v>4</v>
      </c>
      <c r="V44">
        <v>4.1100000000000003</v>
      </c>
      <c r="W44">
        <v>0.21</v>
      </c>
      <c r="X44" s="3" t="s">
        <v>46</v>
      </c>
      <c r="Z44" t="s">
        <v>1</v>
      </c>
      <c r="AA44" s="6">
        <v>11</v>
      </c>
      <c r="AB44">
        <v>0</v>
      </c>
      <c r="AC44">
        <v>4.18</v>
      </c>
      <c r="AD44">
        <v>0</v>
      </c>
      <c r="AE44" s="3" t="s">
        <v>46</v>
      </c>
      <c r="AF44" t="s">
        <v>8</v>
      </c>
      <c r="AG44" s="6">
        <v>21</v>
      </c>
      <c r="AH44">
        <v>4</v>
      </c>
      <c r="AI44">
        <v>4.1399999999999997</v>
      </c>
      <c r="AJ44" s="6">
        <v>0.19</v>
      </c>
      <c r="AK44" s="2" t="s">
        <v>44</v>
      </c>
    </row>
    <row r="45" spans="1:37" x14ac:dyDescent="0.35">
      <c r="A45" t="s">
        <v>79</v>
      </c>
      <c r="B45">
        <v>6</v>
      </c>
      <c r="C45">
        <v>0</v>
      </c>
      <c r="D45">
        <v>4.33</v>
      </c>
      <c r="E45" s="3" t="s">
        <v>55</v>
      </c>
      <c r="G45" t="s">
        <v>79</v>
      </c>
      <c r="H45">
        <v>6</v>
      </c>
      <c r="I45">
        <v>0</v>
      </c>
      <c r="J45">
        <v>4.33</v>
      </c>
      <c r="M45" t="s">
        <v>7</v>
      </c>
      <c r="N45">
        <v>4</v>
      </c>
      <c r="O45">
        <v>1</v>
      </c>
      <c r="P45">
        <v>4.25</v>
      </c>
      <c r="Q45">
        <v>0.25</v>
      </c>
      <c r="R45" s="3" t="s">
        <v>54</v>
      </c>
      <c r="S45" t="s">
        <v>7</v>
      </c>
      <c r="T45">
        <v>4</v>
      </c>
      <c r="U45">
        <v>1</v>
      </c>
      <c r="V45">
        <v>4.25</v>
      </c>
      <c r="W45">
        <v>0.25</v>
      </c>
      <c r="Z45" t="s">
        <v>8</v>
      </c>
      <c r="AA45" s="6">
        <v>20</v>
      </c>
      <c r="AB45">
        <v>4</v>
      </c>
      <c r="AC45">
        <v>4.25</v>
      </c>
      <c r="AD45">
        <v>0.2</v>
      </c>
      <c r="AE45" s="3" t="s">
        <v>46</v>
      </c>
      <c r="AF45" t="s">
        <v>7</v>
      </c>
      <c r="AG45">
        <v>4</v>
      </c>
      <c r="AH45">
        <v>1</v>
      </c>
      <c r="AI45">
        <v>4.25</v>
      </c>
      <c r="AJ45">
        <v>0.25</v>
      </c>
      <c r="AK45" s="2" t="s">
        <v>44</v>
      </c>
    </row>
    <row r="46" spans="1:37" x14ac:dyDescent="0.35">
      <c r="A46" t="s">
        <v>21</v>
      </c>
      <c r="B46">
        <v>3</v>
      </c>
      <c r="C46">
        <v>0</v>
      </c>
      <c r="D46">
        <v>4.33</v>
      </c>
      <c r="E46" s="3" t="s">
        <v>46</v>
      </c>
      <c r="G46" t="s">
        <v>21</v>
      </c>
      <c r="H46">
        <v>3</v>
      </c>
      <c r="I46">
        <v>0</v>
      </c>
      <c r="J46">
        <v>4.33</v>
      </c>
      <c r="M46" t="s">
        <v>35</v>
      </c>
      <c r="N46">
        <v>4</v>
      </c>
      <c r="O46">
        <v>1</v>
      </c>
      <c r="P46">
        <v>4.25</v>
      </c>
      <c r="Q46">
        <v>0.25</v>
      </c>
      <c r="R46" s="3" t="s">
        <v>54</v>
      </c>
      <c r="S46" t="s">
        <v>35</v>
      </c>
      <c r="T46">
        <v>4</v>
      </c>
      <c r="U46">
        <v>1</v>
      </c>
      <c r="V46">
        <v>4.25</v>
      </c>
      <c r="W46">
        <v>0.25</v>
      </c>
      <c r="Z46" t="s">
        <v>7</v>
      </c>
      <c r="AA46">
        <v>4</v>
      </c>
      <c r="AB46">
        <v>1</v>
      </c>
      <c r="AC46">
        <v>4.25</v>
      </c>
      <c r="AD46">
        <v>0.25</v>
      </c>
      <c r="AE46" s="3" t="s">
        <v>46</v>
      </c>
      <c r="AF46" t="s">
        <v>35</v>
      </c>
      <c r="AG46">
        <v>4</v>
      </c>
      <c r="AH46">
        <v>1</v>
      </c>
      <c r="AI46">
        <v>4.25</v>
      </c>
      <c r="AJ46">
        <v>0.25</v>
      </c>
      <c r="AK46" s="2" t="s">
        <v>44</v>
      </c>
    </row>
    <row r="47" spans="1:37" x14ac:dyDescent="0.35">
      <c r="A47" t="s">
        <v>51</v>
      </c>
      <c r="B47">
        <v>7</v>
      </c>
      <c r="C47">
        <v>0</v>
      </c>
      <c r="D47">
        <v>4.57</v>
      </c>
      <c r="E47" s="3" t="s">
        <v>46</v>
      </c>
      <c r="G47" t="s">
        <v>24</v>
      </c>
      <c r="H47" s="6">
        <v>8</v>
      </c>
      <c r="I47">
        <v>1</v>
      </c>
      <c r="J47">
        <v>4.38</v>
      </c>
      <c r="K47" s="3" t="s">
        <v>54</v>
      </c>
      <c r="M47" t="s">
        <v>24</v>
      </c>
      <c r="N47" s="6">
        <v>10</v>
      </c>
      <c r="O47">
        <v>1</v>
      </c>
      <c r="P47">
        <v>4.3</v>
      </c>
      <c r="Q47">
        <v>0.1</v>
      </c>
      <c r="S47" t="s">
        <v>24</v>
      </c>
      <c r="T47">
        <v>10</v>
      </c>
      <c r="U47">
        <v>1</v>
      </c>
      <c r="V47">
        <v>4.3</v>
      </c>
      <c r="W47">
        <v>0.1</v>
      </c>
      <c r="Z47" t="s">
        <v>35</v>
      </c>
      <c r="AA47">
        <v>4</v>
      </c>
      <c r="AB47">
        <v>1</v>
      </c>
      <c r="AC47">
        <v>4.25</v>
      </c>
      <c r="AD47">
        <v>0.25</v>
      </c>
      <c r="AE47" s="3" t="s">
        <v>46</v>
      </c>
      <c r="AF47" t="s">
        <v>24</v>
      </c>
      <c r="AG47">
        <v>10</v>
      </c>
      <c r="AH47">
        <v>1</v>
      </c>
      <c r="AI47">
        <v>4.3</v>
      </c>
      <c r="AJ47">
        <v>0.1</v>
      </c>
      <c r="AK47" s="2" t="s">
        <v>47</v>
      </c>
    </row>
    <row r="48" spans="1:37" x14ac:dyDescent="0.35">
      <c r="A48" t="s">
        <v>22</v>
      </c>
      <c r="B48">
        <v>5</v>
      </c>
      <c r="C48">
        <v>0</v>
      </c>
      <c r="D48">
        <v>4.5999999999999996</v>
      </c>
      <c r="E48" s="3" t="s">
        <v>46</v>
      </c>
      <c r="G48" t="s">
        <v>37</v>
      </c>
      <c r="H48">
        <v>5</v>
      </c>
      <c r="I48">
        <v>2</v>
      </c>
      <c r="J48">
        <v>4.5999999999999996</v>
      </c>
      <c r="K48" s="2" t="s">
        <v>44</v>
      </c>
      <c r="M48" t="s">
        <v>28</v>
      </c>
      <c r="N48">
        <v>3</v>
      </c>
      <c r="O48">
        <v>0</v>
      </c>
      <c r="P48">
        <v>4.33</v>
      </c>
      <c r="Q48">
        <v>0</v>
      </c>
      <c r="R48" s="3" t="s">
        <v>55</v>
      </c>
      <c r="S48" t="s">
        <v>28</v>
      </c>
      <c r="T48">
        <v>3</v>
      </c>
      <c r="U48">
        <v>0</v>
      </c>
      <c r="V48">
        <v>4.33</v>
      </c>
      <c r="W48">
        <v>0</v>
      </c>
      <c r="Z48" t="s">
        <v>79</v>
      </c>
      <c r="AA48" s="6">
        <v>7</v>
      </c>
      <c r="AB48">
        <v>0</v>
      </c>
      <c r="AC48">
        <v>4.29</v>
      </c>
      <c r="AD48">
        <v>0</v>
      </c>
      <c r="AE48" s="2" t="s">
        <v>44</v>
      </c>
      <c r="AF48" t="s">
        <v>28</v>
      </c>
      <c r="AG48">
        <v>3</v>
      </c>
      <c r="AH48">
        <v>0</v>
      </c>
      <c r="AI48">
        <v>4.33</v>
      </c>
      <c r="AJ48">
        <v>0</v>
      </c>
      <c r="AK48" s="2" t="s">
        <v>47</v>
      </c>
    </row>
    <row r="49" spans="1:37" x14ac:dyDescent="0.35">
      <c r="A49" t="s">
        <v>37</v>
      </c>
      <c r="B49">
        <v>5</v>
      </c>
      <c r="C49">
        <v>2</v>
      </c>
      <c r="D49">
        <v>4.5999999999999996</v>
      </c>
      <c r="E49" s="3" t="s">
        <v>46</v>
      </c>
      <c r="G49" t="s">
        <v>3</v>
      </c>
      <c r="H49">
        <v>10</v>
      </c>
      <c r="I49">
        <v>1</v>
      </c>
      <c r="J49">
        <v>4.8</v>
      </c>
      <c r="K49" s="2" t="s">
        <v>44</v>
      </c>
      <c r="M49" t="s">
        <v>79</v>
      </c>
      <c r="N49">
        <v>6</v>
      </c>
      <c r="O49">
        <v>0</v>
      </c>
      <c r="P49">
        <v>4.33</v>
      </c>
      <c r="Q49">
        <v>0</v>
      </c>
      <c r="R49" s="3" t="s">
        <v>55</v>
      </c>
      <c r="S49" t="s">
        <v>79</v>
      </c>
      <c r="T49">
        <v>6</v>
      </c>
      <c r="U49">
        <v>0</v>
      </c>
      <c r="V49">
        <v>4.33</v>
      </c>
      <c r="W49">
        <v>0</v>
      </c>
      <c r="Z49" t="s">
        <v>24</v>
      </c>
      <c r="AA49">
        <v>10</v>
      </c>
      <c r="AB49">
        <v>1</v>
      </c>
      <c r="AC49">
        <v>4.3</v>
      </c>
      <c r="AD49">
        <v>0.1</v>
      </c>
      <c r="AE49" s="3" t="s">
        <v>45</v>
      </c>
      <c r="AF49" t="s">
        <v>21</v>
      </c>
      <c r="AG49">
        <v>3</v>
      </c>
      <c r="AH49">
        <v>0</v>
      </c>
      <c r="AI49">
        <v>4.33</v>
      </c>
      <c r="AJ49">
        <v>0</v>
      </c>
      <c r="AK49" s="2" t="s">
        <v>47</v>
      </c>
    </row>
    <row r="50" spans="1:37" x14ac:dyDescent="0.35">
      <c r="A50" t="s">
        <v>3</v>
      </c>
      <c r="B50">
        <v>10</v>
      </c>
      <c r="C50">
        <v>1</v>
      </c>
      <c r="D50">
        <v>4.8</v>
      </c>
      <c r="E50" s="3" t="s">
        <v>46</v>
      </c>
      <c r="G50" t="s">
        <v>107</v>
      </c>
      <c r="H50" s="6">
        <v>9</v>
      </c>
      <c r="I50">
        <v>0</v>
      </c>
      <c r="J50">
        <v>5</v>
      </c>
      <c r="K50" s="3" t="s">
        <v>54</v>
      </c>
      <c r="M50" t="s">
        <v>21</v>
      </c>
      <c r="N50">
        <v>3</v>
      </c>
      <c r="O50">
        <v>0</v>
      </c>
      <c r="P50">
        <v>4.33</v>
      </c>
      <c r="Q50">
        <v>0</v>
      </c>
      <c r="R50" s="3" t="s">
        <v>55</v>
      </c>
      <c r="S50" t="s">
        <v>21</v>
      </c>
      <c r="T50">
        <v>3</v>
      </c>
      <c r="U50">
        <v>0</v>
      </c>
      <c r="V50">
        <v>4.33</v>
      </c>
      <c r="W50">
        <v>0</v>
      </c>
      <c r="Z50" t="s">
        <v>28</v>
      </c>
      <c r="AA50">
        <v>3</v>
      </c>
      <c r="AB50">
        <v>0</v>
      </c>
      <c r="AC50">
        <v>4.33</v>
      </c>
      <c r="AD50">
        <v>0</v>
      </c>
      <c r="AE50" s="3" t="s">
        <v>45</v>
      </c>
      <c r="AF50" t="s">
        <v>1</v>
      </c>
      <c r="AG50" s="6">
        <v>12</v>
      </c>
      <c r="AH50">
        <v>0</v>
      </c>
      <c r="AI50">
        <v>4.42</v>
      </c>
      <c r="AJ50">
        <v>0</v>
      </c>
      <c r="AK50" s="3" t="s">
        <v>71</v>
      </c>
    </row>
    <row r="51" spans="1:37" x14ac:dyDescent="0.35">
      <c r="A51" t="s">
        <v>75</v>
      </c>
      <c r="B51">
        <v>8</v>
      </c>
      <c r="C51">
        <v>1</v>
      </c>
      <c r="D51">
        <v>5.13</v>
      </c>
      <c r="G51" t="s">
        <v>75</v>
      </c>
      <c r="H51">
        <v>8</v>
      </c>
      <c r="I51">
        <v>1</v>
      </c>
      <c r="J51">
        <v>5.13</v>
      </c>
      <c r="M51" t="s">
        <v>104</v>
      </c>
      <c r="N51" s="6">
        <v>4</v>
      </c>
      <c r="O51">
        <v>0</v>
      </c>
      <c r="P51">
        <v>4.5</v>
      </c>
      <c r="Q51">
        <v>0</v>
      </c>
      <c r="R51" t="s">
        <v>53</v>
      </c>
      <c r="S51" t="s">
        <v>104</v>
      </c>
      <c r="T51">
        <v>4</v>
      </c>
      <c r="U51">
        <v>0</v>
      </c>
      <c r="V51">
        <v>4.5</v>
      </c>
      <c r="W51">
        <v>0</v>
      </c>
      <c r="Z51" t="s">
        <v>21</v>
      </c>
      <c r="AA51">
        <v>3</v>
      </c>
      <c r="AB51">
        <v>0</v>
      </c>
      <c r="AC51">
        <v>4.33</v>
      </c>
      <c r="AD51">
        <v>0</v>
      </c>
      <c r="AE51" s="3" t="s">
        <v>46</v>
      </c>
      <c r="AF51" t="s">
        <v>37</v>
      </c>
      <c r="AG51" s="6">
        <v>7</v>
      </c>
      <c r="AH51">
        <v>2</v>
      </c>
      <c r="AI51">
        <v>4.43</v>
      </c>
      <c r="AJ51" s="6">
        <v>0.28999999999999998</v>
      </c>
      <c r="AK51" s="3" t="s">
        <v>67</v>
      </c>
    </row>
    <row r="52" spans="1:37" x14ac:dyDescent="0.35">
      <c r="A52" t="s">
        <v>74</v>
      </c>
      <c r="B52">
        <v>6</v>
      </c>
      <c r="C52">
        <v>0</v>
      </c>
      <c r="D52">
        <v>5.17</v>
      </c>
      <c r="G52" t="s">
        <v>108</v>
      </c>
      <c r="H52">
        <v>6</v>
      </c>
      <c r="I52">
        <v>1</v>
      </c>
      <c r="J52">
        <v>5.17</v>
      </c>
      <c r="K52" s="2" t="s">
        <v>44</v>
      </c>
      <c r="M52" t="s">
        <v>99</v>
      </c>
      <c r="N52" s="6">
        <v>4</v>
      </c>
      <c r="O52">
        <v>1</v>
      </c>
      <c r="P52">
        <v>4.5</v>
      </c>
      <c r="Q52">
        <v>0.25</v>
      </c>
      <c r="R52" t="s">
        <v>53</v>
      </c>
      <c r="S52" t="s">
        <v>37</v>
      </c>
      <c r="T52">
        <v>5</v>
      </c>
      <c r="U52">
        <v>2</v>
      </c>
      <c r="V52">
        <v>4.5999999999999996</v>
      </c>
      <c r="W52">
        <v>0.4</v>
      </c>
      <c r="X52" s="2" t="s">
        <v>44</v>
      </c>
      <c r="Z52" t="s">
        <v>104</v>
      </c>
      <c r="AA52">
        <v>4</v>
      </c>
      <c r="AB52">
        <v>0</v>
      </c>
      <c r="AC52">
        <v>4.5</v>
      </c>
      <c r="AD52">
        <v>0</v>
      </c>
      <c r="AE52" s="3" t="s">
        <v>46</v>
      </c>
      <c r="AF52" t="s">
        <v>104</v>
      </c>
      <c r="AG52" s="6">
        <v>6</v>
      </c>
      <c r="AH52">
        <v>0</v>
      </c>
      <c r="AI52">
        <v>4.67</v>
      </c>
      <c r="AJ52">
        <v>0</v>
      </c>
    </row>
    <row r="53" spans="1:37" x14ac:dyDescent="0.35">
      <c r="A53" t="s">
        <v>96</v>
      </c>
      <c r="B53">
        <v>6</v>
      </c>
      <c r="C53">
        <v>1</v>
      </c>
      <c r="D53">
        <v>5.17</v>
      </c>
      <c r="G53" t="s">
        <v>70</v>
      </c>
      <c r="H53">
        <v>22</v>
      </c>
      <c r="I53">
        <v>2</v>
      </c>
      <c r="J53">
        <v>5.27</v>
      </c>
      <c r="K53" s="2" t="s">
        <v>44</v>
      </c>
      <c r="M53" t="s">
        <v>37</v>
      </c>
      <c r="N53">
        <v>5</v>
      </c>
      <c r="O53">
        <v>2</v>
      </c>
      <c r="P53">
        <v>4.5999999999999996</v>
      </c>
      <c r="Q53">
        <v>0.4</v>
      </c>
      <c r="R53" s="3" t="s">
        <v>94</v>
      </c>
      <c r="S53" t="s">
        <v>3</v>
      </c>
      <c r="T53">
        <v>10</v>
      </c>
      <c r="U53">
        <v>1</v>
      </c>
      <c r="V53">
        <v>4.8</v>
      </c>
      <c r="W53">
        <v>0.1</v>
      </c>
      <c r="X53" s="2" t="s">
        <v>44</v>
      </c>
      <c r="Z53" t="s">
        <v>99</v>
      </c>
      <c r="AA53">
        <v>5</v>
      </c>
      <c r="AB53">
        <v>1</v>
      </c>
      <c r="AC53">
        <v>4.8</v>
      </c>
      <c r="AD53">
        <v>0.2</v>
      </c>
      <c r="AE53" s="2" t="s">
        <v>44</v>
      </c>
      <c r="AF53" t="s">
        <v>3</v>
      </c>
      <c r="AG53">
        <v>11</v>
      </c>
      <c r="AH53">
        <v>1</v>
      </c>
      <c r="AI53">
        <v>4.91</v>
      </c>
      <c r="AJ53">
        <v>0.09</v>
      </c>
      <c r="AK53" s="2" t="s">
        <v>44</v>
      </c>
    </row>
    <row r="54" spans="1:37" x14ac:dyDescent="0.35">
      <c r="A54" t="s">
        <v>70</v>
      </c>
      <c r="B54">
        <v>22</v>
      </c>
      <c r="C54">
        <v>2</v>
      </c>
      <c r="D54">
        <v>5.27</v>
      </c>
      <c r="G54" t="s">
        <v>72</v>
      </c>
      <c r="H54">
        <v>8</v>
      </c>
      <c r="I54">
        <v>1</v>
      </c>
      <c r="J54">
        <v>5.38</v>
      </c>
      <c r="K54" s="2" t="s">
        <v>44</v>
      </c>
      <c r="M54" t="s">
        <v>3</v>
      </c>
      <c r="N54">
        <v>10</v>
      </c>
      <c r="O54">
        <v>1</v>
      </c>
      <c r="P54">
        <v>4.8</v>
      </c>
      <c r="Q54">
        <v>0.1</v>
      </c>
      <c r="R54" s="3" t="s">
        <v>94</v>
      </c>
      <c r="S54" t="s">
        <v>99</v>
      </c>
      <c r="T54" s="6">
        <v>5</v>
      </c>
      <c r="U54">
        <v>1</v>
      </c>
      <c r="V54">
        <v>4.8</v>
      </c>
      <c r="W54">
        <v>0.2</v>
      </c>
      <c r="X54" s="3" t="s">
        <v>45</v>
      </c>
      <c r="Z54" t="s">
        <v>3</v>
      </c>
      <c r="AA54" s="6">
        <v>11</v>
      </c>
      <c r="AB54">
        <v>1</v>
      </c>
      <c r="AC54">
        <v>4.91</v>
      </c>
      <c r="AD54">
        <v>0.09</v>
      </c>
      <c r="AE54" s="3" t="s">
        <v>46</v>
      </c>
      <c r="AF54" t="s">
        <v>31</v>
      </c>
      <c r="AG54">
        <v>3</v>
      </c>
      <c r="AH54">
        <v>0</v>
      </c>
      <c r="AI54">
        <v>5</v>
      </c>
      <c r="AJ54">
        <v>0</v>
      </c>
      <c r="AK54" s="2" t="s">
        <v>44</v>
      </c>
    </row>
    <row r="55" spans="1:37" x14ac:dyDescent="0.35">
      <c r="A55" t="s">
        <v>72</v>
      </c>
      <c r="B55">
        <v>8</v>
      </c>
      <c r="C55">
        <v>1</v>
      </c>
      <c r="D55">
        <v>5.38</v>
      </c>
      <c r="G55" t="s">
        <v>109</v>
      </c>
      <c r="H55" s="6">
        <v>7</v>
      </c>
      <c r="I55">
        <v>0</v>
      </c>
      <c r="J55">
        <v>5.57</v>
      </c>
      <c r="K55" s="3" t="s">
        <v>54</v>
      </c>
      <c r="M55" t="s">
        <v>31</v>
      </c>
      <c r="N55" s="6">
        <v>3</v>
      </c>
      <c r="O55">
        <v>0</v>
      </c>
      <c r="P55">
        <v>5</v>
      </c>
      <c r="Q55">
        <v>0</v>
      </c>
      <c r="R55" t="s">
        <v>53</v>
      </c>
      <c r="S55" t="s">
        <v>31</v>
      </c>
      <c r="T55">
        <v>3</v>
      </c>
      <c r="U55">
        <v>0</v>
      </c>
      <c r="V55">
        <v>5</v>
      </c>
      <c r="W55">
        <v>0</v>
      </c>
      <c r="Z55" t="s">
        <v>31</v>
      </c>
      <c r="AA55">
        <v>3</v>
      </c>
      <c r="AB55">
        <v>0</v>
      </c>
      <c r="AC55">
        <v>5</v>
      </c>
      <c r="AD55">
        <v>0</v>
      </c>
      <c r="AF55" t="s">
        <v>25</v>
      </c>
      <c r="AG55">
        <v>8</v>
      </c>
      <c r="AH55">
        <v>1</v>
      </c>
      <c r="AI55">
        <v>5.13</v>
      </c>
      <c r="AJ55">
        <v>0.13</v>
      </c>
      <c r="AK55" s="2" t="s">
        <v>44</v>
      </c>
    </row>
    <row r="56" spans="1:37" x14ac:dyDescent="0.35">
      <c r="A56" t="s">
        <v>101</v>
      </c>
      <c r="B56">
        <v>6</v>
      </c>
      <c r="C56">
        <v>0</v>
      </c>
      <c r="D56">
        <v>5.67</v>
      </c>
      <c r="G56" t="s">
        <v>101</v>
      </c>
      <c r="H56">
        <v>6</v>
      </c>
      <c r="I56">
        <v>0</v>
      </c>
      <c r="J56">
        <v>5.67</v>
      </c>
      <c r="M56" t="s">
        <v>25</v>
      </c>
      <c r="N56">
        <v>8</v>
      </c>
      <c r="O56">
        <v>1</v>
      </c>
      <c r="P56">
        <v>5.13</v>
      </c>
      <c r="Q56">
        <v>0.13</v>
      </c>
      <c r="R56" s="3" t="s">
        <v>94</v>
      </c>
      <c r="S56" t="s">
        <v>25</v>
      </c>
      <c r="T56">
        <v>8</v>
      </c>
      <c r="U56">
        <v>1</v>
      </c>
      <c r="V56">
        <v>5.13</v>
      </c>
      <c r="W56">
        <v>0.13</v>
      </c>
      <c r="Z56" t="s">
        <v>25</v>
      </c>
      <c r="AA56">
        <v>8</v>
      </c>
      <c r="AB56">
        <v>1</v>
      </c>
      <c r="AC56">
        <v>5.13</v>
      </c>
      <c r="AD56">
        <v>0.13</v>
      </c>
      <c r="AF56" t="s">
        <v>17</v>
      </c>
      <c r="AG56">
        <v>6</v>
      </c>
      <c r="AH56">
        <v>1</v>
      </c>
      <c r="AI56">
        <v>5.17</v>
      </c>
      <c r="AJ56">
        <v>0.17</v>
      </c>
      <c r="AK56" s="2" t="s">
        <v>44</v>
      </c>
    </row>
    <row r="57" spans="1:37" x14ac:dyDescent="0.35">
      <c r="A57" t="s">
        <v>103</v>
      </c>
      <c r="B57">
        <v>4</v>
      </c>
      <c r="C57">
        <v>0</v>
      </c>
      <c r="D57">
        <v>5.75</v>
      </c>
      <c r="E57" s="3" t="s">
        <v>69</v>
      </c>
      <c r="G57" t="s">
        <v>103</v>
      </c>
      <c r="H57">
        <v>4</v>
      </c>
      <c r="I57">
        <v>0</v>
      </c>
      <c r="J57">
        <v>5.75</v>
      </c>
      <c r="M57" t="s">
        <v>17</v>
      </c>
      <c r="N57">
        <v>6</v>
      </c>
      <c r="O57">
        <v>1</v>
      </c>
      <c r="P57">
        <v>5.17</v>
      </c>
      <c r="Q57">
        <v>0.17</v>
      </c>
      <c r="R57" s="3" t="s">
        <v>94</v>
      </c>
      <c r="S57" t="s">
        <v>17</v>
      </c>
      <c r="T57">
        <v>6</v>
      </c>
      <c r="U57">
        <v>1</v>
      </c>
      <c r="V57">
        <v>5.17</v>
      </c>
      <c r="W57">
        <v>0.17</v>
      </c>
      <c r="Z57" t="s">
        <v>17</v>
      </c>
      <c r="AA57">
        <v>6</v>
      </c>
      <c r="AB57">
        <v>1</v>
      </c>
      <c r="AC57">
        <v>5.17</v>
      </c>
      <c r="AD57">
        <v>0.17</v>
      </c>
      <c r="AF57" t="s">
        <v>99</v>
      </c>
      <c r="AG57" s="6">
        <v>6</v>
      </c>
      <c r="AH57">
        <v>1</v>
      </c>
      <c r="AI57">
        <v>5.17</v>
      </c>
      <c r="AJ57" s="6">
        <v>0.17</v>
      </c>
      <c r="AK57" s="3" t="s">
        <v>55</v>
      </c>
    </row>
    <row r="58" spans="1:37" x14ac:dyDescent="0.35">
      <c r="A58" t="s">
        <v>102</v>
      </c>
      <c r="B58">
        <v>4</v>
      </c>
      <c r="C58">
        <v>0</v>
      </c>
      <c r="D58">
        <v>7.5</v>
      </c>
      <c r="G58" t="s">
        <v>102</v>
      </c>
      <c r="H58" s="6">
        <v>5</v>
      </c>
      <c r="I58">
        <v>0</v>
      </c>
      <c r="J58">
        <v>6.8</v>
      </c>
      <c r="M58" t="s">
        <v>51</v>
      </c>
      <c r="N58" s="6">
        <v>11</v>
      </c>
      <c r="O58">
        <v>0</v>
      </c>
      <c r="P58">
        <v>5.18</v>
      </c>
      <c r="Q58">
        <v>0</v>
      </c>
      <c r="R58" s="3" t="s">
        <v>67</v>
      </c>
      <c r="S58" t="s">
        <v>51</v>
      </c>
      <c r="T58">
        <v>11</v>
      </c>
      <c r="U58">
        <v>0</v>
      </c>
      <c r="V58">
        <v>5.18</v>
      </c>
      <c r="W58">
        <v>0</v>
      </c>
      <c r="Z58" t="s">
        <v>51</v>
      </c>
      <c r="AA58">
        <v>11</v>
      </c>
      <c r="AB58">
        <v>0</v>
      </c>
      <c r="AC58">
        <v>5.18</v>
      </c>
      <c r="AD58">
        <v>0</v>
      </c>
      <c r="AF58" t="s">
        <v>51</v>
      </c>
      <c r="AG58">
        <v>11</v>
      </c>
      <c r="AH58">
        <v>0</v>
      </c>
      <c r="AI58">
        <v>5.18</v>
      </c>
      <c r="AJ58">
        <v>0</v>
      </c>
    </row>
    <row r="59" spans="1:37" x14ac:dyDescent="0.35">
      <c r="M59" t="s">
        <v>6</v>
      </c>
      <c r="N59" s="8">
        <v>23</v>
      </c>
      <c r="O59">
        <v>2</v>
      </c>
      <c r="P59">
        <v>5.35</v>
      </c>
      <c r="Q59">
        <v>0.09</v>
      </c>
      <c r="R59" s="3" t="s">
        <v>71</v>
      </c>
      <c r="S59" t="s">
        <v>6</v>
      </c>
      <c r="T59">
        <v>23</v>
      </c>
      <c r="U59">
        <v>2</v>
      </c>
      <c r="V59">
        <v>5.35</v>
      </c>
      <c r="W59">
        <v>0.09</v>
      </c>
      <c r="Z59" t="s">
        <v>6</v>
      </c>
      <c r="AA59">
        <v>23</v>
      </c>
      <c r="AB59">
        <v>2</v>
      </c>
      <c r="AC59">
        <v>5.35</v>
      </c>
      <c r="AD59">
        <v>0.09</v>
      </c>
      <c r="AF59" t="s">
        <v>13</v>
      </c>
      <c r="AG59" s="6">
        <v>9</v>
      </c>
      <c r="AH59">
        <v>1</v>
      </c>
      <c r="AI59">
        <v>5.33</v>
      </c>
      <c r="AJ59" s="6">
        <v>0.11</v>
      </c>
      <c r="AK59" s="2" t="s">
        <v>44</v>
      </c>
    </row>
    <row r="60" spans="1:37" x14ac:dyDescent="0.35">
      <c r="M60" t="s">
        <v>13</v>
      </c>
      <c r="N60">
        <v>8</v>
      </c>
      <c r="O60">
        <v>1</v>
      </c>
      <c r="P60">
        <v>5.38</v>
      </c>
      <c r="Q60">
        <v>0.13</v>
      </c>
      <c r="R60" s="3" t="s">
        <v>71</v>
      </c>
      <c r="S60" t="s">
        <v>13</v>
      </c>
      <c r="T60">
        <v>8</v>
      </c>
      <c r="U60">
        <v>1</v>
      </c>
      <c r="V60">
        <v>5.38</v>
      </c>
      <c r="W60">
        <v>0.13</v>
      </c>
      <c r="Z60" t="s">
        <v>13</v>
      </c>
      <c r="AA60">
        <v>8</v>
      </c>
      <c r="AB60">
        <v>1</v>
      </c>
      <c r="AC60">
        <v>5.38</v>
      </c>
      <c r="AD60">
        <v>0.13</v>
      </c>
      <c r="AF60" t="s">
        <v>6</v>
      </c>
      <c r="AG60">
        <v>23</v>
      </c>
      <c r="AH60">
        <v>2</v>
      </c>
      <c r="AI60">
        <v>5.35</v>
      </c>
      <c r="AJ60">
        <v>0.09</v>
      </c>
      <c r="AK60" s="3" t="s">
        <v>46</v>
      </c>
    </row>
    <row r="61" spans="1:37" x14ac:dyDescent="0.35">
      <c r="M61" t="s">
        <v>27</v>
      </c>
      <c r="N61">
        <v>7</v>
      </c>
      <c r="O61">
        <v>0</v>
      </c>
      <c r="P61">
        <v>5.57</v>
      </c>
      <c r="Q61">
        <v>0</v>
      </c>
      <c r="R61" s="3" t="s">
        <v>71</v>
      </c>
      <c r="S61" t="s">
        <v>29</v>
      </c>
      <c r="T61">
        <v>6</v>
      </c>
      <c r="U61">
        <v>0</v>
      </c>
      <c r="V61">
        <v>5.67</v>
      </c>
      <c r="W61">
        <v>0</v>
      </c>
      <c r="X61" s="2" t="s">
        <v>44</v>
      </c>
      <c r="Z61" t="s">
        <v>29</v>
      </c>
      <c r="AA61">
        <v>6</v>
      </c>
      <c r="AB61">
        <v>0</v>
      </c>
      <c r="AC61">
        <v>5.67</v>
      </c>
      <c r="AD61">
        <v>0</v>
      </c>
      <c r="AF61" t="s">
        <v>29</v>
      </c>
      <c r="AG61">
        <v>6</v>
      </c>
      <c r="AH61">
        <v>0</v>
      </c>
      <c r="AI61">
        <v>5.67</v>
      </c>
      <c r="AJ61">
        <v>0</v>
      </c>
    </row>
    <row r="62" spans="1:37" x14ac:dyDescent="0.35">
      <c r="M62" t="s">
        <v>29</v>
      </c>
      <c r="N62">
        <v>6</v>
      </c>
      <c r="O62">
        <v>0</v>
      </c>
      <c r="P62">
        <v>5.67</v>
      </c>
      <c r="Q62">
        <v>0</v>
      </c>
      <c r="R62" s="3" t="s">
        <v>71</v>
      </c>
      <c r="S62" t="s">
        <v>27</v>
      </c>
      <c r="T62" s="6">
        <v>8</v>
      </c>
      <c r="U62">
        <v>0</v>
      </c>
      <c r="V62">
        <v>5.75</v>
      </c>
      <c r="W62">
        <v>0</v>
      </c>
      <c r="X62" s="3" t="s">
        <v>46</v>
      </c>
      <c r="Z62" t="s">
        <v>27</v>
      </c>
      <c r="AA62">
        <v>8</v>
      </c>
      <c r="AB62">
        <v>0</v>
      </c>
      <c r="AC62">
        <v>5.75</v>
      </c>
      <c r="AD62">
        <v>0</v>
      </c>
      <c r="AF62" t="s">
        <v>27</v>
      </c>
      <c r="AG62">
        <v>8</v>
      </c>
      <c r="AH62">
        <v>0</v>
      </c>
      <c r="AI62">
        <v>5.75</v>
      </c>
      <c r="AJ62">
        <v>0</v>
      </c>
    </row>
    <row r="63" spans="1:37" x14ac:dyDescent="0.35">
      <c r="M63" t="s">
        <v>12</v>
      </c>
      <c r="N63">
        <v>4</v>
      </c>
      <c r="O63">
        <v>0</v>
      </c>
      <c r="P63">
        <v>5.75</v>
      </c>
      <c r="Q63">
        <v>0</v>
      </c>
      <c r="R63" s="3" t="s">
        <v>71</v>
      </c>
      <c r="S63" t="s">
        <v>12</v>
      </c>
      <c r="T63">
        <v>4</v>
      </c>
      <c r="U63">
        <v>0</v>
      </c>
      <c r="V63">
        <v>5.75</v>
      </c>
      <c r="W63">
        <v>0</v>
      </c>
      <c r="Z63" t="s">
        <v>12</v>
      </c>
      <c r="AA63">
        <v>4</v>
      </c>
      <c r="AB63">
        <v>0</v>
      </c>
      <c r="AC63">
        <v>5.75</v>
      </c>
      <c r="AD63">
        <v>0</v>
      </c>
      <c r="AF63" t="s">
        <v>12</v>
      </c>
      <c r="AG63">
        <v>4</v>
      </c>
      <c r="AH63">
        <v>0</v>
      </c>
      <c r="AI63">
        <v>5.75</v>
      </c>
      <c r="AJ63">
        <v>0</v>
      </c>
    </row>
    <row r="64" spans="1:37" x14ac:dyDescent="0.35">
      <c r="M64" t="s">
        <v>49</v>
      </c>
      <c r="N64" s="6">
        <v>3</v>
      </c>
      <c r="O64">
        <v>0</v>
      </c>
      <c r="P64">
        <v>6</v>
      </c>
      <c r="Q64">
        <v>0</v>
      </c>
      <c r="R64" t="s">
        <v>53</v>
      </c>
      <c r="S64" t="s">
        <v>49</v>
      </c>
      <c r="T64">
        <v>3</v>
      </c>
      <c r="U64">
        <v>0</v>
      </c>
      <c r="V64">
        <v>6</v>
      </c>
      <c r="W64">
        <v>0</v>
      </c>
      <c r="Z64" t="s">
        <v>49</v>
      </c>
      <c r="AA64">
        <v>3</v>
      </c>
      <c r="AB64">
        <v>0</v>
      </c>
      <c r="AC64">
        <v>6</v>
      </c>
      <c r="AD64">
        <v>0</v>
      </c>
      <c r="AF64" t="s">
        <v>49</v>
      </c>
      <c r="AG64" s="6">
        <v>4</v>
      </c>
      <c r="AH64">
        <v>0</v>
      </c>
      <c r="AI64" s="6">
        <v>6.5</v>
      </c>
      <c r="AJ64">
        <v>0</v>
      </c>
    </row>
    <row r="65" spans="1:45" x14ac:dyDescent="0.35">
      <c r="M65" t="s">
        <v>20</v>
      </c>
      <c r="N65">
        <v>5</v>
      </c>
      <c r="O65">
        <v>0</v>
      </c>
      <c r="P65">
        <v>6.8</v>
      </c>
      <c r="Q65">
        <v>0</v>
      </c>
      <c r="R65" s="3" t="s">
        <v>69</v>
      </c>
      <c r="S65" t="s">
        <v>20</v>
      </c>
      <c r="T65">
        <v>5</v>
      </c>
      <c r="U65">
        <v>0</v>
      </c>
      <c r="V65">
        <v>6.8</v>
      </c>
      <c r="W65">
        <v>0</v>
      </c>
      <c r="Z65" t="s">
        <v>20</v>
      </c>
      <c r="AA65">
        <v>5</v>
      </c>
      <c r="AB65">
        <v>0</v>
      </c>
      <c r="AC65">
        <v>6.8</v>
      </c>
      <c r="AD65">
        <v>0</v>
      </c>
      <c r="AF65" t="s">
        <v>20</v>
      </c>
      <c r="AG65">
        <v>5</v>
      </c>
      <c r="AH65">
        <v>0</v>
      </c>
      <c r="AI65">
        <v>6.8</v>
      </c>
      <c r="AJ65">
        <v>0</v>
      </c>
    </row>
    <row r="68" spans="1:45" x14ac:dyDescent="0.35">
      <c r="A68" s="4" t="s">
        <v>42</v>
      </c>
      <c r="B68" s="4" t="s">
        <v>38</v>
      </c>
      <c r="C68" s="4" t="s">
        <v>39</v>
      </c>
      <c r="D68" s="4" t="s">
        <v>40</v>
      </c>
      <c r="E68" s="4" t="s">
        <v>111</v>
      </c>
      <c r="G68" s="4" t="s">
        <v>42</v>
      </c>
      <c r="H68" s="4" t="s">
        <v>38</v>
      </c>
      <c r="I68" s="4" t="s">
        <v>39</v>
      </c>
      <c r="J68" s="4" t="s">
        <v>40</v>
      </c>
      <c r="K68" s="4" t="s">
        <v>111</v>
      </c>
      <c r="M68" s="4" t="s">
        <v>42</v>
      </c>
      <c r="N68" s="4" t="s">
        <v>38</v>
      </c>
      <c r="O68" s="4" t="s">
        <v>39</v>
      </c>
      <c r="P68" s="4" t="s">
        <v>40</v>
      </c>
      <c r="Q68" s="4" t="s">
        <v>111</v>
      </c>
      <c r="S68" s="4" t="s">
        <v>42</v>
      </c>
      <c r="T68" s="4" t="s">
        <v>38</v>
      </c>
      <c r="U68" s="4" t="s">
        <v>39</v>
      </c>
      <c r="V68" s="4" t="s">
        <v>40</v>
      </c>
      <c r="W68" s="4" t="s">
        <v>111</v>
      </c>
      <c r="Z68" s="4" t="s">
        <v>42</v>
      </c>
      <c r="AA68" s="4" t="s">
        <v>38</v>
      </c>
      <c r="AB68" s="4" t="s">
        <v>39</v>
      </c>
      <c r="AC68" s="4" t="s">
        <v>40</v>
      </c>
      <c r="AD68" s="4" t="s">
        <v>111</v>
      </c>
      <c r="AG68" s="4" t="s">
        <v>42</v>
      </c>
      <c r="AH68" s="4" t="s">
        <v>38</v>
      </c>
      <c r="AI68" s="4" t="s">
        <v>39</v>
      </c>
      <c r="AJ68" s="4" t="s">
        <v>40</v>
      </c>
      <c r="AK68" s="4" t="s">
        <v>111</v>
      </c>
      <c r="AN68" s="4" t="s">
        <v>42</v>
      </c>
      <c r="AO68" s="4" t="s">
        <v>38</v>
      </c>
      <c r="AP68" s="4" t="s">
        <v>39</v>
      </c>
      <c r="AQ68" s="4" t="s">
        <v>40</v>
      </c>
      <c r="AR68" s="4" t="s">
        <v>111</v>
      </c>
    </row>
    <row r="69" spans="1:45" x14ac:dyDescent="0.35">
      <c r="A69" t="s">
        <v>52</v>
      </c>
      <c r="B69" s="6">
        <v>5</v>
      </c>
      <c r="C69">
        <v>0</v>
      </c>
      <c r="D69">
        <v>3</v>
      </c>
      <c r="E69">
        <v>0</v>
      </c>
      <c r="G69" t="s">
        <v>63</v>
      </c>
      <c r="H69" s="6">
        <v>4</v>
      </c>
      <c r="I69">
        <v>1</v>
      </c>
      <c r="J69">
        <v>2.75</v>
      </c>
      <c r="K69">
        <v>0.25</v>
      </c>
      <c r="L69" s="2" t="s">
        <v>44</v>
      </c>
      <c r="M69" t="s">
        <v>52</v>
      </c>
      <c r="N69">
        <v>5</v>
      </c>
      <c r="O69">
        <v>0</v>
      </c>
      <c r="P69">
        <v>3</v>
      </c>
      <c r="Q69">
        <v>0</v>
      </c>
      <c r="R69" s="2" t="s">
        <v>44</v>
      </c>
      <c r="S69" t="s">
        <v>113</v>
      </c>
      <c r="T69" s="6">
        <v>3</v>
      </c>
      <c r="U69">
        <v>0</v>
      </c>
      <c r="V69">
        <v>3</v>
      </c>
      <c r="W69">
        <v>0</v>
      </c>
      <c r="X69" s="10" t="s">
        <v>53</v>
      </c>
      <c r="Z69" t="s">
        <v>128</v>
      </c>
      <c r="AA69" s="6">
        <v>4</v>
      </c>
      <c r="AB69">
        <v>1</v>
      </c>
      <c r="AC69">
        <v>2.75</v>
      </c>
      <c r="AD69">
        <v>0.25</v>
      </c>
      <c r="AE69" s="10" t="s">
        <v>145</v>
      </c>
      <c r="AG69" t="s">
        <v>128</v>
      </c>
      <c r="AH69">
        <v>4</v>
      </c>
      <c r="AI69">
        <v>1</v>
      </c>
      <c r="AJ69">
        <v>2.75</v>
      </c>
      <c r="AK69">
        <v>0.25</v>
      </c>
      <c r="AN69" t="s">
        <v>128</v>
      </c>
      <c r="AO69" s="6">
        <v>5</v>
      </c>
      <c r="AP69">
        <v>1</v>
      </c>
      <c r="AQ69">
        <v>2.8</v>
      </c>
      <c r="AR69">
        <v>0.2</v>
      </c>
    </row>
    <row r="70" spans="1:45" x14ac:dyDescent="0.35">
      <c r="A70" t="s">
        <v>63</v>
      </c>
      <c r="B70">
        <v>3</v>
      </c>
      <c r="C70">
        <v>1</v>
      </c>
      <c r="D70">
        <v>3</v>
      </c>
      <c r="E70" s="7">
        <v>0.33</v>
      </c>
      <c r="G70" t="s">
        <v>52</v>
      </c>
      <c r="H70">
        <v>5</v>
      </c>
      <c r="I70">
        <v>0</v>
      </c>
      <c r="J70">
        <v>3</v>
      </c>
      <c r="K70">
        <v>0</v>
      </c>
      <c r="L70" s="3" t="s">
        <v>46</v>
      </c>
      <c r="M70" t="s">
        <v>15</v>
      </c>
      <c r="N70" s="7">
        <v>34</v>
      </c>
      <c r="O70">
        <v>11</v>
      </c>
      <c r="P70">
        <v>3.5</v>
      </c>
      <c r="Q70">
        <v>0.32</v>
      </c>
      <c r="R70" s="2" t="s">
        <v>44</v>
      </c>
      <c r="S70" t="s">
        <v>15</v>
      </c>
      <c r="T70" s="8">
        <v>35</v>
      </c>
      <c r="U70">
        <v>11</v>
      </c>
      <c r="V70">
        <v>3.43</v>
      </c>
      <c r="W70">
        <v>0.31</v>
      </c>
      <c r="Z70" t="s">
        <v>113</v>
      </c>
      <c r="AA70">
        <v>3</v>
      </c>
      <c r="AB70">
        <v>0</v>
      </c>
      <c r="AC70">
        <v>3</v>
      </c>
      <c r="AD70">
        <v>0</v>
      </c>
      <c r="AE70" s="3" t="s">
        <v>46</v>
      </c>
      <c r="AG70" t="s">
        <v>129</v>
      </c>
      <c r="AH70" s="6">
        <v>3</v>
      </c>
      <c r="AI70" s="6">
        <v>1</v>
      </c>
      <c r="AJ70">
        <v>3.33</v>
      </c>
      <c r="AK70">
        <v>0.33</v>
      </c>
      <c r="AL70" s="10" t="s">
        <v>145</v>
      </c>
      <c r="AN70" t="s">
        <v>22</v>
      </c>
      <c r="AO70" s="6">
        <v>25</v>
      </c>
      <c r="AP70" s="6">
        <v>6</v>
      </c>
      <c r="AQ70">
        <v>3.56</v>
      </c>
      <c r="AR70">
        <v>0.24</v>
      </c>
      <c r="AS70" s="2" t="s">
        <v>47</v>
      </c>
    </row>
    <row r="71" spans="1:45" x14ac:dyDescent="0.35">
      <c r="A71" t="s">
        <v>81</v>
      </c>
      <c r="B71">
        <v>3</v>
      </c>
      <c r="C71">
        <v>1</v>
      </c>
      <c r="D71">
        <v>3.33</v>
      </c>
      <c r="E71" s="7">
        <v>0.33</v>
      </c>
      <c r="G71" t="s">
        <v>15</v>
      </c>
      <c r="H71" s="8">
        <v>31</v>
      </c>
      <c r="I71" s="8">
        <v>10</v>
      </c>
      <c r="J71">
        <v>3.35</v>
      </c>
      <c r="K71">
        <v>0.31</v>
      </c>
      <c r="L71" s="2" t="s">
        <v>44</v>
      </c>
      <c r="M71" t="s">
        <v>104</v>
      </c>
      <c r="N71">
        <v>10</v>
      </c>
      <c r="O71">
        <v>1</v>
      </c>
      <c r="P71">
        <v>3.6</v>
      </c>
      <c r="Q71">
        <v>0.1</v>
      </c>
      <c r="R71" s="2" t="s">
        <v>59</v>
      </c>
      <c r="S71" t="s">
        <v>0</v>
      </c>
      <c r="T71">
        <v>5</v>
      </c>
      <c r="U71">
        <v>1</v>
      </c>
      <c r="V71">
        <v>3.6</v>
      </c>
      <c r="W71">
        <v>0.2</v>
      </c>
      <c r="Z71" t="s">
        <v>52</v>
      </c>
      <c r="AA71">
        <v>6</v>
      </c>
      <c r="AB71">
        <v>0</v>
      </c>
      <c r="AC71">
        <v>3.67</v>
      </c>
      <c r="AD71">
        <v>0</v>
      </c>
      <c r="AE71" s="2" t="s">
        <v>44</v>
      </c>
      <c r="AG71" t="s">
        <v>52</v>
      </c>
      <c r="AH71">
        <v>6</v>
      </c>
      <c r="AI71">
        <v>0</v>
      </c>
      <c r="AJ71">
        <v>3.67</v>
      </c>
      <c r="AK71">
        <v>0</v>
      </c>
      <c r="AN71" t="s">
        <v>52</v>
      </c>
      <c r="AO71">
        <v>6</v>
      </c>
      <c r="AP71">
        <v>0</v>
      </c>
      <c r="AQ71">
        <v>3.67</v>
      </c>
      <c r="AR71">
        <v>0</v>
      </c>
    </row>
    <row r="72" spans="1:45" x14ac:dyDescent="0.35">
      <c r="A72" t="s">
        <v>15</v>
      </c>
      <c r="B72" s="8">
        <v>29</v>
      </c>
      <c r="C72" s="8">
        <v>9</v>
      </c>
      <c r="D72">
        <v>3.45</v>
      </c>
      <c r="E72">
        <v>0.31</v>
      </c>
      <c r="G72" t="s">
        <v>0</v>
      </c>
      <c r="H72">
        <v>5</v>
      </c>
      <c r="I72">
        <v>1</v>
      </c>
      <c r="J72">
        <v>3.6</v>
      </c>
      <c r="K72">
        <v>0.2</v>
      </c>
      <c r="L72" s="2" t="s">
        <v>44</v>
      </c>
      <c r="M72" t="s">
        <v>0</v>
      </c>
      <c r="N72">
        <v>5</v>
      </c>
      <c r="O72">
        <v>1</v>
      </c>
      <c r="P72">
        <v>3.6</v>
      </c>
      <c r="Q72">
        <v>0.2</v>
      </c>
      <c r="S72" t="s">
        <v>52</v>
      </c>
      <c r="T72" s="6">
        <v>6</v>
      </c>
      <c r="U72">
        <v>0</v>
      </c>
      <c r="V72">
        <v>3.67</v>
      </c>
      <c r="W72">
        <v>0</v>
      </c>
      <c r="X72" s="3" t="s">
        <v>54</v>
      </c>
      <c r="Z72" t="s">
        <v>22</v>
      </c>
      <c r="AA72" s="6">
        <v>23</v>
      </c>
      <c r="AB72" s="6">
        <v>5</v>
      </c>
      <c r="AC72">
        <v>3.7</v>
      </c>
      <c r="AD72">
        <v>0.22</v>
      </c>
      <c r="AE72" s="2" t="s">
        <v>47</v>
      </c>
      <c r="AG72" t="s">
        <v>22</v>
      </c>
      <c r="AH72" s="6">
        <v>24</v>
      </c>
      <c r="AI72">
        <v>5</v>
      </c>
      <c r="AJ72">
        <v>3.67</v>
      </c>
      <c r="AK72">
        <v>0.21</v>
      </c>
      <c r="AN72" t="s">
        <v>115</v>
      </c>
      <c r="AO72" s="6">
        <v>3</v>
      </c>
      <c r="AP72">
        <v>0</v>
      </c>
      <c r="AQ72">
        <v>3.67</v>
      </c>
      <c r="AR72">
        <v>0</v>
      </c>
      <c r="AS72" s="10" t="s">
        <v>151</v>
      </c>
    </row>
    <row r="73" spans="1:45" x14ac:dyDescent="0.35">
      <c r="A73" t="s">
        <v>0</v>
      </c>
      <c r="B73">
        <v>5</v>
      </c>
      <c r="C73">
        <v>1</v>
      </c>
      <c r="D73">
        <v>3.6</v>
      </c>
      <c r="E73">
        <v>0.2</v>
      </c>
      <c r="G73" t="s">
        <v>22</v>
      </c>
      <c r="H73">
        <v>13</v>
      </c>
      <c r="I73">
        <v>2</v>
      </c>
      <c r="J73">
        <v>3.69</v>
      </c>
      <c r="K73">
        <v>0.15</v>
      </c>
      <c r="L73" s="2" t="s">
        <v>44</v>
      </c>
      <c r="M73" t="s">
        <v>63</v>
      </c>
      <c r="N73">
        <v>5</v>
      </c>
      <c r="O73">
        <v>1</v>
      </c>
      <c r="P73">
        <v>3.8</v>
      </c>
      <c r="Q73">
        <v>0.2</v>
      </c>
      <c r="R73" s="3" t="s">
        <v>55</v>
      </c>
      <c r="S73" t="s">
        <v>63</v>
      </c>
      <c r="T73">
        <v>5</v>
      </c>
      <c r="U73">
        <v>1</v>
      </c>
      <c r="V73">
        <v>3.8</v>
      </c>
      <c r="W73">
        <v>0.2</v>
      </c>
      <c r="Z73" t="s">
        <v>15</v>
      </c>
      <c r="AA73" s="6">
        <v>40</v>
      </c>
      <c r="AB73">
        <v>11</v>
      </c>
      <c r="AC73">
        <v>3.8</v>
      </c>
      <c r="AD73">
        <v>0.28000000000000003</v>
      </c>
      <c r="AE73" s="3" t="s">
        <v>54</v>
      </c>
      <c r="AG73" t="s">
        <v>63</v>
      </c>
      <c r="AH73">
        <v>5</v>
      </c>
      <c r="AI73">
        <v>1</v>
      </c>
      <c r="AJ73">
        <v>3.8</v>
      </c>
      <c r="AK73">
        <v>0.2</v>
      </c>
      <c r="AL73" s="2" t="s">
        <v>44</v>
      </c>
      <c r="AN73" t="s">
        <v>63</v>
      </c>
      <c r="AO73">
        <v>5</v>
      </c>
      <c r="AP73">
        <v>1</v>
      </c>
      <c r="AQ73">
        <v>3.8</v>
      </c>
      <c r="AR73">
        <v>0.2</v>
      </c>
    </row>
    <row r="74" spans="1:45" x14ac:dyDescent="0.35">
      <c r="A74" t="s">
        <v>22</v>
      </c>
      <c r="B74" s="6">
        <v>13</v>
      </c>
      <c r="C74" s="6">
        <v>2</v>
      </c>
      <c r="D74">
        <v>3.69</v>
      </c>
      <c r="E74">
        <v>0.15</v>
      </c>
      <c r="G74" t="s">
        <v>104</v>
      </c>
      <c r="H74" s="6">
        <v>8</v>
      </c>
      <c r="I74" s="6">
        <v>1</v>
      </c>
      <c r="J74">
        <v>3.88</v>
      </c>
      <c r="K74">
        <v>0.13</v>
      </c>
      <c r="L74" s="2" t="s">
        <v>126</v>
      </c>
      <c r="M74" t="s">
        <v>22</v>
      </c>
      <c r="N74">
        <v>16</v>
      </c>
      <c r="O74">
        <v>3</v>
      </c>
      <c r="P74">
        <v>3.94</v>
      </c>
      <c r="Q74">
        <v>0.19</v>
      </c>
      <c r="R74" s="3" t="s">
        <v>46</v>
      </c>
      <c r="S74" t="s">
        <v>22</v>
      </c>
      <c r="T74">
        <v>16</v>
      </c>
      <c r="U74">
        <v>3</v>
      </c>
      <c r="V74">
        <v>3.94</v>
      </c>
      <c r="W74">
        <v>0.19</v>
      </c>
      <c r="Z74" t="s">
        <v>63</v>
      </c>
      <c r="AA74">
        <v>5</v>
      </c>
      <c r="AB74">
        <v>1</v>
      </c>
      <c r="AC74">
        <v>3.8</v>
      </c>
      <c r="AD74">
        <v>0.2</v>
      </c>
      <c r="AE74" s="3" t="s">
        <v>46</v>
      </c>
      <c r="AG74" t="s">
        <v>35</v>
      </c>
      <c r="AH74">
        <v>10</v>
      </c>
      <c r="AI74">
        <v>4</v>
      </c>
      <c r="AJ74">
        <v>3.8</v>
      </c>
      <c r="AK74">
        <v>0.4</v>
      </c>
      <c r="AL74" s="2" t="s">
        <v>44</v>
      </c>
      <c r="AN74" t="s">
        <v>35</v>
      </c>
      <c r="AO74">
        <v>10</v>
      </c>
      <c r="AP74">
        <v>4</v>
      </c>
      <c r="AQ74">
        <v>3.8</v>
      </c>
      <c r="AR74">
        <v>0.4</v>
      </c>
    </row>
    <row r="75" spans="1:45" x14ac:dyDescent="0.35">
      <c r="A75" t="s">
        <v>14</v>
      </c>
      <c r="B75" s="6">
        <v>27</v>
      </c>
      <c r="C75">
        <v>2</v>
      </c>
      <c r="D75">
        <v>4</v>
      </c>
      <c r="E75">
        <v>7.0000000000000007E-2</v>
      </c>
      <c r="F75" s="2" t="s">
        <v>44</v>
      </c>
      <c r="G75" t="s">
        <v>58</v>
      </c>
      <c r="H75">
        <v>3</v>
      </c>
      <c r="I75">
        <v>0</v>
      </c>
      <c r="J75">
        <v>4</v>
      </c>
      <c r="K75">
        <v>0</v>
      </c>
      <c r="L75" s="2" t="s">
        <v>44</v>
      </c>
      <c r="M75" t="s">
        <v>8</v>
      </c>
      <c r="N75">
        <v>26</v>
      </c>
      <c r="O75">
        <v>5</v>
      </c>
      <c r="P75">
        <v>4</v>
      </c>
      <c r="Q75">
        <v>0.19</v>
      </c>
      <c r="R75" s="2" t="s">
        <v>132</v>
      </c>
      <c r="S75" t="s">
        <v>104</v>
      </c>
      <c r="T75" s="6">
        <v>11</v>
      </c>
      <c r="U75">
        <v>1</v>
      </c>
      <c r="V75">
        <v>4</v>
      </c>
      <c r="W75">
        <v>0.09</v>
      </c>
      <c r="X75" s="3" t="s">
        <v>55</v>
      </c>
      <c r="Z75" t="s">
        <v>35</v>
      </c>
      <c r="AA75" s="6">
        <v>10</v>
      </c>
      <c r="AB75" s="6">
        <v>4</v>
      </c>
      <c r="AC75">
        <v>3.8</v>
      </c>
      <c r="AD75" s="7">
        <v>0.4</v>
      </c>
      <c r="AE75" s="2" t="s">
        <v>143</v>
      </c>
      <c r="AG75" t="s">
        <v>15</v>
      </c>
      <c r="AH75" s="8">
        <v>41</v>
      </c>
      <c r="AI75" s="7">
        <v>11</v>
      </c>
      <c r="AJ75">
        <v>3.88</v>
      </c>
      <c r="AK75">
        <v>0.27</v>
      </c>
      <c r="AL75" s="3" t="s">
        <v>45</v>
      </c>
      <c r="AN75" t="s">
        <v>15</v>
      </c>
      <c r="AO75" s="7">
        <v>41</v>
      </c>
      <c r="AP75" s="7">
        <v>11</v>
      </c>
      <c r="AQ75">
        <v>3.88</v>
      </c>
      <c r="AR75">
        <v>0.27</v>
      </c>
    </row>
    <row r="76" spans="1:45" x14ac:dyDescent="0.35">
      <c r="A76" t="s">
        <v>58</v>
      </c>
      <c r="B76">
        <v>3</v>
      </c>
      <c r="C76">
        <v>0</v>
      </c>
      <c r="D76">
        <v>4</v>
      </c>
      <c r="E76">
        <v>0</v>
      </c>
      <c r="F76" s="2" t="s">
        <v>44</v>
      </c>
      <c r="G76" t="s">
        <v>81</v>
      </c>
      <c r="H76">
        <v>4</v>
      </c>
      <c r="I76">
        <v>1</v>
      </c>
      <c r="J76">
        <v>4</v>
      </c>
      <c r="K76">
        <v>0.25</v>
      </c>
      <c r="L76" s="3" t="s">
        <v>94</v>
      </c>
      <c r="M76" t="s">
        <v>81</v>
      </c>
      <c r="N76">
        <v>4</v>
      </c>
      <c r="O76">
        <v>1</v>
      </c>
      <c r="P76">
        <v>4</v>
      </c>
      <c r="Q76">
        <v>0.25</v>
      </c>
      <c r="S76" t="s">
        <v>8</v>
      </c>
      <c r="T76">
        <v>26</v>
      </c>
      <c r="U76">
        <v>5</v>
      </c>
      <c r="V76">
        <v>4</v>
      </c>
      <c r="W76">
        <v>0.19</v>
      </c>
      <c r="X76" s="3" t="s">
        <v>46</v>
      </c>
      <c r="Z76" t="s">
        <v>0</v>
      </c>
      <c r="AA76" s="6">
        <v>9</v>
      </c>
      <c r="AB76">
        <v>1</v>
      </c>
      <c r="AC76">
        <v>3.89</v>
      </c>
      <c r="AD76">
        <v>0.11</v>
      </c>
      <c r="AE76" s="3" t="s">
        <v>94</v>
      </c>
      <c r="AG76" t="s">
        <v>0</v>
      </c>
      <c r="AH76">
        <v>9</v>
      </c>
      <c r="AI76">
        <v>1</v>
      </c>
      <c r="AJ76">
        <v>3.89</v>
      </c>
      <c r="AK76">
        <v>0.11</v>
      </c>
      <c r="AN76" t="s">
        <v>0</v>
      </c>
      <c r="AO76">
        <v>9</v>
      </c>
      <c r="AP76">
        <v>1</v>
      </c>
      <c r="AQ76">
        <v>3.89</v>
      </c>
      <c r="AR76">
        <v>0.11</v>
      </c>
    </row>
    <row r="77" spans="1:45" x14ac:dyDescent="0.35">
      <c r="A77" t="s">
        <v>36</v>
      </c>
      <c r="B77">
        <v>3</v>
      </c>
      <c r="C77">
        <v>0</v>
      </c>
      <c r="D77">
        <v>4</v>
      </c>
      <c r="E77">
        <v>0</v>
      </c>
      <c r="F77" s="2" t="s">
        <v>44</v>
      </c>
      <c r="G77" t="s">
        <v>36</v>
      </c>
      <c r="H77">
        <v>3</v>
      </c>
      <c r="I77">
        <v>0</v>
      </c>
      <c r="J77">
        <v>4</v>
      </c>
      <c r="K77">
        <v>0</v>
      </c>
      <c r="M77" t="s">
        <v>36</v>
      </c>
      <c r="N77">
        <v>3</v>
      </c>
      <c r="O77">
        <v>0</v>
      </c>
      <c r="P77">
        <v>4</v>
      </c>
      <c r="Q77">
        <v>0</v>
      </c>
      <c r="S77" t="s">
        <v>81</v>
      </c>
      <c r="T77">
        <v>4</v>
      </c>
      <c r="U77">
        <v>1</v>
      </c>
      <c r="V77">
        <v>4</v>
      </c>
      <c r="W77">
        <v>0.25</v>
      </c>
      <c r="X77" s="3" t="s">
        <v>46</v>
      </c>
      <c r="Z77" t="s">
        <v>8</v>
      </c>
      <c r="AA77">
        <v>26</v>
      </c>
      <c r="AB77">
        <v>5</v>
      </c>
      <c r="AC77">
        <v>4</v>
      </c>
      <c r="AD77">
        <v>0.19</v>
      </c>
      <c r="AE77" s="3" t="s">
        <v>46</v>
      </c>
      <c r="AG77" t="s">
        <v>8</v>
      </c>
      <c r="AH77" s="6">
        <v>27</v>
      </c>
      <c r="AI77">
        <v>5</v>
      </c>
      <c r="AJ77">
        <v>4</v>
      </c>
      <c r="AK77">
        <v>0.19</v>
      </c>
      <c r="AN77" t="s">
        <v>81</v>
      </c>
      <c r="AO77">
        <v>4</v>
      </c>
      <c r="AP77">
        <v>1</v>
      </c>
      <c r="AQ77">
        <v>4</v>
      </c>
      <c r="AR77">
        <v>0.25</v>
      </c>
      <c r="AS77" s="2" t="s">
        <v>44</v>
      </c>
    </row>
    <row r="78" spans="1:45" x14ac:dyDescent="0.35">
      <c r="A78" t="s">
        <v>26</v>
      </c>
      <c r="B78">
        <v>3</v>
      </c>
      <c r="C78">
        <v>1</v>
      </c>
      <c r="D78">
        <v>4</v>
      </c>
      <c r="E78">
        <v>0.33</v>
      </c>
      <c r="F78" s="2" t="s">
        <v>44</v>
      </c>
      <c r="G78" t="s">
        <v>26</v>
      </c>
      <c r="H78">
        <v>3</v>
      </c>
      <c r="I78">
        <v>1</v>
      </c>
      <c r="J78">
        <v>4</v>
      </c>
      <c r="K78">
        <v>0.33</v>
      </c>
      <c r="M78" t="s">
        <v>117</v>
      </c>
      <c r="N78">
        <v>3</v>
      </c>
      <c r="O78">
        <v>1</v>
      </c>
      <c r="P78">
        <v>4</v>
      </c>
      <c r="Q78">
        <v>0.33</v>
      </c>
      <c r="S78" t="s">
        <v>36</v>
      </c>
      <c r="T78">
        <v>3</v>
      </c>
      <c r="U78">
        <v>0</v>
      </c>
      <c r="V78">
        <v>4</v>
      </c>
      <c r="W78">
        <v>0</v>
      </c>
      <c r="X78" s="3" t="s">
        <v>46</v>
      </c>
      <c r="Z78" t="s">
        <v>81</v>
      </c>
      <c r="AA78">
        <v>4</v>
      </c>
      <c r="AB78">
        <v>1</v>
      </c>
      <c r="AC78">
        <v>4</v>
      </c>
      <c r="AD78">
        <v>0.25</v>
      </c>
      <c r="AE78" s="3" t="s">
        <v>46</v>
      </c>
      <c r="AG78" t="s">
        <v>81</v>
      </c>
      <c r="AH78">
        <v>4</v>
      </c>
      <c r="AI78">
        <v>1</v>
      </c>
      <c r="AJ78">
        <v>4</v>
      </c>
      <c r="AK78">
        <v>0.25</v>
      </c>
      <c r="AN78" t="s">
        <v>36</v>
      </c>
      <c r="AO78">
        <v>3</v>
      </c>
      <c r="AP78">
        <v>0</v>
      </c>
      <c r="AQ78">
        <v>4</v>
      </c>
      <c r="AR78">
        <v>0</v>
      </c>
      <c r="AS78" s="2" t="s">
        <v>44</v>
      </c>
    </row>
    <row r="79" spans="1:45" x14ac:dyDescent="0.35">
      <c r="A79" t="s">
        <v>23</v>
      </c>
      <c r="B79" s="6">
        <v>5</v>
      </c>
      <c r="C79">
        <v>0</v>
      </c>
      <c r="D79">
        <v>4</v>
      </c>
      <c r="E79">
        <v>0</v>
      </c>
      <c r="F79" s="9" t="s">
        <v>53</v>
      </c>
      <c r="G79" t="s">
        <v>23</v>
      </c>
      <c r="H79">
        <v>5</v>
      </c>
      <c r="I79">
        <v>0</v>
      </c>
      <c r="J79">
        <v>4</v>
      </c>
      <c r="K79">
        <v>0</v>
      </c>
      <c r="M79" t="s">
        <v>58</v>
      </c>
      <c r="N79">
        <v>3</v>
      </c>
      <c r="O79">
        <v>0</v>
      </c>
      <c r="P79">
        <v>4</v>
      </c>
      <c r="Q79">
        <v>0</v>
      </c>
      <c r="S79" t="s">
        <v>117</v>
      </c>
      <c r="T79">
        <v>3</v>
      </c>
      <c r="U79">
        <v>1</v>
      </c>
      <c r="V79">
        <v>4</v>
      </c>
      <c r="W79">
        <v>0.33</v>
      </c>
      <c r="X79" s="3" t="s">
        <v>46</v>
      </c>
      <c r="Z79" t="s">
        <v>36</v>
      </c>
      <c r="AA79">
        <v>3</v>
      </c>
      <c r="AB79">
        <v>0</v>
      </c>
      <c r="AC79">
        <v>4</v>
      </c>
      <c r="AD79">
        <v>0</v>
      </c>
      <c r="AE79" s="3" t="s">
        <v>46</v>
      </c>
      <c r="AG79" t="s">
        <v>36</v>
      </c>
      <c r="AH79">
        <v>3</v>
      </c>
      <c r="AI79">
        <v>0</v>
      </c>
      <c r="AJ79">
        <v>4</v>
      </c>
      <c r="AK79">
        <v>0</v>
      </c>
      <c r="AN79" t="s">
        <v>58</v>
      </c>
      <c r="AO79">
        <v>3</v>
      </c>
      <c r="AP79">
        <v>0</v>
      </c>
      <c r="AQ79">
        <v>4</v>
      </c>
      <c r="AR79">
        <v>0</v>
      </c>
      <c r="AS79" s="2" t="s">
        <v>44</v>
      </c>
    </row>
    <row r="80" spans="1:45" x14ac:dyDescent="0.35">
      <c r="A80" t="s">
        <v>8</v>
      </c>
      <c r="B80" s="6">
        <v>23</v>
      </c>
      <c r="C80">
        <v>4</v>
      </c>
      <c r="D80">
        <v>4.09</v>
      </c>
      <c r="E80">
        <v>0.17</v>
      </c>
      <c r="F80" s="2" t="s">
        <v>44</v>
      </c>
      <c r="G80" t="s">
        <v>117</v>
      </c>
      <c r="H80" s="6">
        <v>3</v>
      </c>
      <c r="I80">
        <v>1</v>
      </c>
      <c r="J80">
        <v>4</v>
      </c>
      <c r="K80">
        <v>0.33</v>
      </c>
      <c r="L80" t="s">
        <v>53</v>
      </c>
      <c r="M80" t="s">
        <v>23</v>
      </c>
      <c r="N80">
        <v>5</v>
      </c>
      <c r="O80">
        <v>0</v>
      </c>
      <c r="P80">
        <v>4</v>
      </c>
      <c r="Q80">
        <v>0</v>
      </c>
      <c r="S80" t="s">
        <v>58</v>
      </c>
      <c r="T80">
        <v>3</v>
      </c>
      <c r="U80">
        <v>0</v>
      </c>
      <c r="V80">
        <v>4</v>
      </c>
      <c r="W80">
        <v>0</v>
      </c>
      <c r="X80" s="3" t="s">
        <v>46</v>
      </c>
      <c r="Z80" t="s">
        <v>117</v>
      </c>
      <c r="AA80">
        <v>3</v>
      </c>
      <c r="AB80">
        <v>1</v>
      </c>
      <c r="AC80">
        <v>4</v>
      </c>
      <c r="AD80">
        <v>0.33</v>
      </c>
      <c r="AE80" s="3" t="s">
        <v>46</v>
      </c>
      <c r="AG80" t="s">
        <v>117</v>
      </c>
      <c r="AH80">
        <v>3</v>
      </c>
      <c r="AI80">
        <v>1</v>
      </c>
      <c r="AJ80">
        <v>4</v>
      </c>
      <c r="AK80">
        <v>0.33</v>
      </c>
      <c r="AN80" t="s">
        <v>23</v>
      </c>
      <c r="AO80">
        <v>5</v>
      </c>
      <c r="AP80">
        <v>0</v>
      </c>
      <c r="AQ80">
        <v>4</v>
      </c>
      <c r="AR80">
        <v>0</v>
      </c>
      <c r="AS80" s="2" t="s">
        <v>44</v>
      </c>
    </row>
    <row r="81" spans="1:45" x14ac:dyDescent="0.35">
      <c r="A81" t="s">
        <v>10</v>
      </c>
      <c r="B81" s="6">
        <v>17</v>
      </c>
      <c r="C81">
        <v>3</v>
      </c>
      <c r="D81">
        <v>4.12</v>
      </c>
      <c r="E81">
        <v>0.18</v>
      </c>
      <c r="F81" s="3" t="s">
        <v>71</v>
      </c>
      <c r="G81" t="s">
        <v>14</v>
      </c>
      <c r="H81" s="6">
        <v>28</v>
      </c>
      <c r="I81">
        <v>2</v>
      </c>
      <c r="J81">
        <v>4.07</v>
      </c>
      <c r="K81">
        <v>7.0000000000000007E-2</v>
      </c>
      <c r="L81" s="3" t="s">
        <v>71</v>
      </c>
      <c r="M81" t="s">
        <v>26</v>
      </c>
      <c r="N81">
        <v>3</v>
      </c>
      <c r="O81">
        <v>1</v>
      </c>
      <c r="P81">
        <v>4</v>
      </c>
      <c r="Q81">
        <v>0.33</v>
      </c>
      <c r="S81" t="s">
        <v>23</v>
      </c>
      <c r="T81">
        <v>5</v>
      </c>
      <c r="U81">
        <v>0</v>
      </c>
      <c r="V81">
        <v>4</v>
      </c>
      <c r="W81">
        <v>0</v>
      </c>
      <c r="X81" s="3" t="s">
        <v>46</v>
      </c>
      <c r="Z81" t="s">
        <v>58</v>
      </c>
      <c r="AA81">
        <v>3</v>
      </c>
      <c r="AB81">
        <v>0</v>
      </c>
      <c r="AC81">
        <v>4</v>
      </c>
      <c r="AD81">
        <v>0</v>
      </c>
      <c r="AE81" s="3" t="s">
        <v>46</v>
      </c>
      <c r="AG81" t="s">
        <v>58</v>
      </c>
      <c r="AH81">
        <v>3</v>
      </c>
      <c r="AI81">
        <v>0</v>
      </c>
      <c r="AJ81">
        <v>4</v>
      </c>
      <c r="AK81">
        <v>0</v>
      </c>
      <c r="AN81" t="s">
        <v>26</v>
      </c>
      <c r="AO81">
        <v>4</v>
      </c>
      <c r="AP81">
        <v>1</v>
      </c>
      <c r="AQ81">
        <v>4</v>
      </c>
      <c r="AR81">
        <v>0.25</v>
      </c>
      <c r="AS81" s="2" t="s">
        <v>44</v>
      </c>
    </row>
    <row r="82" spans="1:45" x14ac:dyDescent="0.35">
      <c r="A82" t="s">
        <v>79</v>
      </c>
      <c r="B82" s="6">
        <v>9</v>
      </c>
      <c r="C82">
        <v>0</v>
      </c>
      <c r="D82">
        <v>4.22</v>
      </c>
      <c r="E82">
        <v>0</v>
      </c>
      <c r="F82" s="3" t="s">
        <v>45</v>
      </c>
      <c r="G82" t="s">
        <v>8</v>
      </c>
      <c r="H82">
        <v>23</v>
      </c>
      <c r="I82">
        <v>4</v>
      </c>
      <c r="J82">
        <v>4.09</v>
      </c>
      <c r="K82">
        <v>0.17</v>
      </c>
      <c r="L82" s="3" t="s">
        <v>45</v>
      </c>
      <c r="M82" t="s">
        <v>14</v>
      </c>
      <c r="N82">
        <v>29</v>
      </c>
      <c r="O82">
        <v>2</v>
      </c>
      <c r="P82">
        <v>4.07</v>
      </c>
      <c r="Q82">
        <v>7.0000000000000007E-2</v>
      </c>
      <c r="R82" s="3" t="s">
        <v>46</v>
      </c>
      <c r="S82" t="s">
        <v>26</v>
      </c>
      <c r="T82">
        <v>3</v>
      </c>
      <c r="U82">
        <v>1</v>
      </c>
      <c r="V82">
        <v>4</v>
      </c>
      <c r="W82">
        <v>0.33</v>
      </c>
      <c r="X82" s="3" t="s">
        <v>46</v>
      </c>
      <c r="Z82" t="s">
        <v>23</v>
      </c>
      <c r="AA82">
        <v>5</v>
      </c>
      <c r="AB82">
        <v>0</v>
      </c>
      <c r="AC82">
        <v>4</v>
      </c>
      <c r="AD82">
        <v>0</v>
      </c>
      <c r="AE82" s="3" t="s">
        <v>46</v>
      </c>
      <c r="AG82" t="s">
        <v>23</v>
      </c>
      <c r="AH82">
        <v>5</v>
      </c>
      <c r="AI82">
        <v>0</v>
      </c>
      <c r="AJ82">
        <v>4</v>
      </c>
      <c r="AK82">
        <v>0</v>
      </c>
      <c r="AN82" t="s">
        <v>129</v>
      </c>
      <c r="AO82" s="6">
        <v>4</v>
      </c>
      <c r="AP82">
        <v>1</v>
      </c>
      <c r="AQ82">
        <v>4</v>
      </c>
      <c r="AR82">
        <v>0.25</v>
      </c>
      <c r="AS82" s="3" t="s">
        <v>152</v>
      </c>
    </row>
    <row r="83" spans="1:45" x14ac:dyDescent="0.35">
      <c r="A83" t="s">
        <v>7</v>
      </c>
      <c r="B83">
        <v>4</v>
      </c>
      <c r="C83">
        <v>1</v>
      </c>
      <c r="D83">
        <v>4.25</v>
      </c>
      <c r="E83">
        <v>0.25</v>
      </c>
      <c r="F83" s="3" t="s">
        <v>46</v>
      </c>
      <c r="G83" t="s">
        <v>10</v>
      </c>
      <c r="H83" s="6">
        <v>19</v>
      </c>
      <c r="I83">
        <v>3</v>
      </c>
      <c r="J83">
        <v>4.21</v>
      </c>
      <c r="K83">
        <v>0.16</v>
      </c>
      <c r="L83" s="3" t="s">
        <v>45</v>
      </c>
      <c r="M83" t="s">
        <v>79</v>
      </c>
      <c r="N83">
        <v>9</v>
      </c>
      <c r="O83">
        <v>0</v>
      </c>
      <c r="P83">
        <v>4.22</v>
      </c>
      <c r="Q83">
        <v>0</v>
      </c>
      <c r="R83" s="2" t="s">
        <v>44</v>
      </c>
      <c r="S83" t="s">
        <v>14</v>
      </c>
      <c r="T83">
        <v>29</v>
      </c>
      <c r="U83">
        <v>2</v>
      </c>
      <c r="V83">
        <v>4.07</v>
      </c>
      <c r="W83">
        <v>7.0000000000000007E-2</v>
      </c>
      <c r="X83" s="3" t="s">
        <v>46</v>
      </c>
      <c r="Z83" t="s">
        <v>26</v>
      </c>
      <c r="AA83" s="6">
        <v>4</v>
      </c>
      <c r="AB83">
        <v>1</v>
      </c>
      <c r="AC83">
        <v>4</v>
      </c>
      <c r="AD83">
        <v>0.25</v>
      </c>
      <c r="AE83" s="3" t="s">
        <v>46</v>
      </c>
      <c r="AG83" t="s">
        <v>26</v>
      </c>
      <c r="AH83">
        <v>4</v>
      </c>
      <c r="AI83">
        <v>1</v>
      </c>
      <c r="AJ83">
        <v>4</v>
      </c>
      <c r="AK83">
        <v>0.25</v>
      </c>
      <c r="AN83" t="s">
        <v>14</v>
      </c>
      <c r="AO83">
        <v>29</v>
      </c>
      <c r="AP83">
        <v>2</v>
      </c>
      <c r="AQ83">
        <v>4.07</v>
      </c>
      <c r="AR83">
        <v>7.0000000000000007E-2</v>
      </c>
      <c r="AS83" s="2" t="s">
        <v>44</v>
      </c>
    </row>
    <row r="84" spans="1:45" x14ac:dyDescent="0.35">
      <c r="A84" t="s">
        <v>24</v>
      </c>
      <c r="B84">
        <v>10</v>
      </c>
      <c r="C84">
        <v>1</v>
      </c>
      <c r="D84">
        <v>4.3</v>
      </c>
      <c r="E84">
        <v>0.1</v>
      </c>
      <c r="G84" t="s">
        <v>79</v>
      </c>
      <c r="H84">
        <v>9</v>
      </c>
      <c r="I84">
        <v>0</v>
      </c>
      <c r="J84">
        <v>4.22</v>
      </c>
      <c r="K84">
        <v>0</v>
      </c>
      <c r="L84" s="3" t="s">
        <v>45</v>
      </c>
      <c r="M84" t="s">
        <v>10</v>
      </c>
      <c r="N84">
        <v>21</v>
      </c>
      <c r="O84">
        <v>3</v>
      </c>
      <c r="P84">
        <v>4.24</v>
      </c>
      <c r="Q84">
        <v>0.14000000000000001</v>
      </c>
      <c r="R84" s="3" t="s">
        <v>46</v>
      </c>
      <c r="S84" t="s">
        <v>79</v>
      </c>
      <c r="T84">
        <v>9</v>
      </c>
      <c r="U84">
        <v>0</v>
      </c>
      <c r="V84">
        <v>4.22</v>
      </c>
      <c r="W84">
        <v>0</v>
      </c>
      <c r="X84" s="3" t="s">
        <v>46</v>
      </c>
      <c r="Z84" t="s">
        <v>14</v>
      </c>
      <c r="AA84">
        <v>29</v>
      </c>
      <c r="AB84">
        <v>2</v>
      </c>
      <c r="AC84">
        <v>4.07</v>
      </c>
      <c r="AD84">
        <v>7.0000000000000007E-2</v>
      </c>
      <c r="AE84" s="3" t="s">
        <v>46</v>
      </c>
      <c r="AG84" t="s">
        <v>14</v>
      </c>
      <c r="AH84">
        <v>29</v>
      </c>
      <c r="AI84">
        <v>2</v>
      </c>
      <c r="AJ84">
        <v>4.07</v>
      </c>
      <c r="AK84">
        <v>7.0000000000000007E-2</v>
      </c>
      <c r="AN84" t="s">
        <v>8</v>
      </c>
      <c r="AO84" s="6">
        <v>28</v>
      </c>
      <c r="AP84">
        <v>5</v>
      </c>
      <c r="AQ84">
        <v>4.1100000000000003</v>
      </c>
      <c r="AR84">
        <v>0.18</v>
      </c>
      <c r="AS84" s="3" t="s">
        <v>69</v>
      </c>
    </row>
    <row r="85" spans="1:45" x14ac:dyDescent="0.35">
      <c r="A85" t="s">
        <v>28</v>
      </c>
      <c r="B85">
        <v>3</v>
      </c>
      <c r="C85">
        <v>0</v>
      </c>
      <c r="D85">
        <v>4.33</v>
      </c>
      <c r="E85">
        <v>0</v>
      </c>
      <c r="G85" t="s">
        <v>7</v>
      </c>
      <c r="H85">
        <v>4</v>
      </c>
      <c r="I85">
        <v>1</v>
      </c>
      <c r="J85">
        <v>4.25</v>
      </c>
      <c r="K85">
        <v>0.25</v>
      </c>
      <c r="L85" s="3" t="s">
        <v>45</v>
      </c>
      <c r="M85" t="s">
        <v>7</v>
      </c>
      <c r="N85">
        <v>4</v>
      </c>
      <c r="O85">
        <v>1</v>
      </c>
      <c r="P85">
        <v>4.25</v>
      </c>
      <c r="Q85">
        <v>0.25</v>
      </c>
      <c r="S85" t="s">
        <v>7</v>
      </c>
      <c r="T85">
        <v>4</v>
      </c>
      <c r="U85">
        <v>1</v>
      </c>
      <c r="V85">
        <v>4.25</v>
      </c>
      <c r="W85">
        <v>0.25</v>
      </c>
      <c r="Z85" t="s">
        <v>79</v>
      </c>
      <c r="AA85">
        <v>9</v>
      </c>
      <c r="AB85">
        <v>0</v>
      </c>
      <c r="AC85">
        <v>4.22</v>
      </c>
      <c r="AD85">
        <v>0</v>
      </c>
      <c r="AE85" s="3" t="s">
        <v>46</v>
      </c>
      <c r="AG85" t="s">
        <v>79</v>
      </c>
      <c r="AH85">
        <v>9</v>
      </c>
      <c r="AI85">
        <v>0</v>
      </c>
      <c r="AJ85">
        <v>4.22</v>
      </c>
      <c r="AK85">
        <v>0</v>
      </c>
      <c r="AN85" t="s">
        <v>79</v>
      </c>
      <c r="AO85">
        <v>9</v>
      </c>
      <c r="AP85">
        <v>0</v>
      </c>
      <c r="AQ85">
        <v>4.22</v>
      </c>
      <c r="AR85">
        <v>0</v>
      </c>
    </row>
    <row r="86" spans="1:45" x14ac:dyDescent="0.35">
      <c r="A86" t="s">
        <v>35</v>
      </c>
      <c r="B86" s="6">
        <v>6</v>
      </c>
      <c r="C86" s="6">
        <v>2</v>
      </c>
      <c r="D86">
        <v>4.33</v>
      </c>
      <c r="E86" s="7">
        <v>0.33</v>
      </c>
      <c r="F86" s="3" t="s">
        <v>54</v>
      </c>
      <c r="G86" t="s">
        <v>24</v>
      </c>
      <c r="H86">
        <v>10</v>
      </c>
      <c r="I86">
        <v>1</v>
      </c>
      <c r="J86">
        <v>4.3</v>
      </c>
      <c r="K86">
        <v>0.1</v>
      </c>
      <c r="L86" s="3" t="s">
        <v>45</v>
      </c>
      <c r="M86" t="s">
        <v>24</v>
      </c>
      <c r="N86">
        <v>10</v>
      </c>
      <c r="O86">
        <v>1</v>
      </c>
      <c r="P86">
        <v>4.3</v>
      </c>
      <c r="Q86">
        <v>0.1</v>
      </c>
      <c r="S86" t="s">
        <v>10</v>
      </c>
      <c r="T86" s="6">
        <v>22</v>
      </c>
      <c r="U86">
        <v>3</v>
      </c>
      <c r="V86">
        <v>4.2699999999999996</v>
      </c>
      <c r="W86">
        <v>0.14000000000000001</v>
      </c>
      <c r="X86" s="3" t="s">
        <v>45</v>
      </c>
      <c r="Z86" t="s">
        <v>104</v>
      </c>
      <c r="AA86" s="6">
        <v>12</v>
      </c>
      <c r="AB86">
        <v>1</v>
      </c>
      <c r="AC86">
        <v>4.25</v>
      </c>
      <c r="AD86">
        <v>0.08</v>
      </c>
      <c r="AE86" s="3" t="s">
        <v>144</v>
      </c>
      <c r="AG86" t="s">
        <v>104</v>
      </c>
      <c r="AH86">
        <v>12</v>
      </c>
      <c r="AI86">
        <v>1</v>
      </c>
      <c r="AJ86">
        <v>4.25</v>
      </c>
      <c r="AK86">
        <v>0.08</v>
      </c>
      <c r="AN86" t="s">
        <v>104</v>
      </c>
      <c r="AO86">
        <v>12</v>
      </c>
      <c r="AP86">
        <v>1</v>
      </c>
      <c r="AQ86">
        <v>4.25</v>
      </c>
      <c r="AR86">
        <v>0.08</v>
      </c>
    </row>
    <row r="87" spans="1:45" x14ac:dyDescent="0.35">
      <c r="A87" t="s">
        <v>21</v>
      </c>
      <c r="B87">
        <v>3</v>
      </c>
      <c r="C87">
        <v>0</v>
      </c>
      <c r="D87">
        <v>4.33</v>
      </c>
      <c r="E87">
        <v>0</v>
      </c>
      <c r="F87" s="3" t="s">
        <v>46</v>
      </c>
      <c r="G87" t="s">
        <v>28</v>
      </c>
      <c r="H87">
        <v>3</v>
      </c>
      <c r="I87">
        <v>0</v>
      </c>
      <c r="J87">
        <v>4.33</v>
      </c>
      <c r="K87">
        <v>0</v>
      </c>
      <c r="L87" s="3" t="s">
        <v>45</v>
      </c>
      <c r="M87" t="s">
        <v>34</v>
      </c>
      <c r="N87">
        <v>3</v>
      </c>
      <c r="O87">
        <v>1</v>
      </c>
      <c r="P87">
        <v>4.33</v>
      </c>
      <c r="Q87">
        <v>0.33</v>
      </c>
      <c r="S87" t="s">
        <v>24</v>
      </c>
      <c r="T87">
        <v>10</v>
      </c>
      <c r="U87">
        <v>1</v>
      </c>
      <c r="V87">
        <v>4.3</v>
      </c>
      <c r="W87">
        <v>0.1</v>
      </c>
      <c r="X87" s="3" t="s">
        <v>46</v>
      </c>
      <c r="Z87" t="s">
        <v>7</v>
      </c>
      <c r="AA87">
        <v>4</v>
      </c>
      <c r="AB87">
        <v>1</v>
      </c>
      <c r="AC87">
        <v>4.25</v>
      </c>
      <c r="AD87">
        <v>0.25</v>
      </c>
      <c r="AE87" s="3" t="s">
        <v>45</v>
      </c>
      <c r="AG87" t="s">
        <v>7</v>
      </c>
      <c r="AH87">
        <v>4</v>
      </c>
      <c r="AI87">
        <v>1</v>
      </c>
      <c r="AJ87">
        <v>4.25</v>
      </c>
      <c r="AK87">
        <v>0.25</v>
      </c>
      <c r="AN87" t="s">
        <v>117</v>
      </c>
      <c r="AO87" s="6">
        <v>4</v>
      </c>
      <c r="AP87">
        <v>1</v>
      </c>
      <c r="AQ87">
        <v>4.25</v>
      </c>
      <c r="AR87">
        <v>0.25</v>
      </c>
      <c r="AS87" s="3" t="s">
        <v>55</v>
      </c>
    </row>
    <row r="88" spans="1:45" x14ac:dyDescent="0.35">
      <c r="A88" t="s">
        <v>34</v>
      </c>
      <c r="B88" s="6">
        <v>3</v>
      </c>
      <c r="C88">
        <v>1</v>
      </c>
      <c r="D88">
        <v>4.33</v>
      </c>
      <c r="E88" s="7">
        <v>0.33</v>
      </c>
      <c r="F88" s="9" t="s">
        <v>53</v>
      </c>
      <c r="G88" t="s">
        <v>35</v>
      </c>
      <c r="H88">
        <v>6</v>
      </c>
      <c r="I88">
        <v>2</v>
      </c>
      <c r="J88">
        <v>4.33</v>
      </c>
      <c r="K88">
        <v>0.33</v>
      </c>
      <c r="L88" s="3" t="s">
        <v>45</v>
      </c>
      <c r="M88" t="s">
        <v>21</v>
      </c>
      <c r="N88">
        <v>3</v>
      </c>
      <c r="O88">
        <v>0</v>
      </c>
      <c r="P88">
        <v>4.33</v>
      </c>
      <c r="Q88">
        <v>0</v>
      </c>
      <c r="S88" t="s">
        <v>34</v>
      </c>
      <c r="T88">
        <v>3</v>
      </c>
      <c r="U88">
        <v>1</v>
      </c>
      <c r="V88">
        <v>4.33</v>
      </c>
      <c r="W88">
        <v>0.33</v>
      </c>
      <c r="X88" s="3" t="s">
        <v>46</v>
      </c>
      <c r="Z88" t="s">
        <v>10</v>
      </c>
      <c r="AA88">
        <v>22</v>
      </c>
      <c r="AB88">
        <v>3</v>
      </c>
      <c r="AC88">
        <v>4.2699999999999996</v>
      </c>
      <c r="AD88">
        <v>0.14000000000000001</v>
      </c>
      <c r="AE88" s="3" t="s">
        <v>45</v>
      </c>
      <c r="AG88" t="s">
        <v>113</v>
      </c>
      <c r="AH88" s="6">
        <v>4</v>
      </c>
      <c r="AI88">
        <v>0</v>
      </c>
      <c r="AJ88">
        <v>4.25</v>
      </c>
      <c r="AK88">
        <v>0</v>
      </c>
      <c r="AL88" s="3" t="s">
        <v>150</v>
      </c>
      <c r="AN88" t="s">
        <v>7</v>
      </c>
      <c r="AO88">
        <v>4</v>
      </c>
      <c r="AP88">
        <v>1</v>
      </c>
      <c r="AQ88">
        <v>4.25</v>
      </c>
      <c r="AR88">
        <v>0.25</v>
      </c>
    </row>
    <row r="89" spans="1:45" x14ac:dyDescent="0.35">
      <c r="A89" t="s">
        <v>37</v>
      </c>
      <c r="B89" s="6">
        <v>10</v>
      </c>
      <c r="C89">
        <v>2</v>
      </c>
      <c r="D89">
        <v>4.5</v>
      </c>
      <c r="E89">
        <v>0.2</v>
      </c>
      <c r="F89" s="3" t="s">
        <v>46</v>
      </c>
      <c r="G89" t="s">
        <v>21</v>
      </c>
      <c r="H89">
        <v>3</v>
      </c>
      <c r="I89">
        <v>0</v>
      </c>
      <c r="J89">
        <v>4.33</v>
      </c>
      <c r="K89">
        <v>0</v>
      </c>
      <c r="L89" s="3" t="s">
        <v>45</v>
      </c>
      <c r="M89" t="s">
        <v>28</v>
      </c>
      <c r="N89">
        <v>3</v>
      </c>
      <c r="O89">
        <v>0</v>
      </c>
      <c r="P89">
        <v>4.33</v>
      </c>
      <c r="Q89">
        <v>0</v>
      </c>
      <c r="S89" t="s">
        <v>21</v>
      </c>
      <c r="T89">
        <v>3</v>
      </c>
      <c r="U89">
        <v>0</v>
      </c>
      <c r="V89">
        <v>4.33</v>
      </c>
      <c r="W89">
        <v>0</v>
      </c>
      <c r="X89" s="3" t="s">
        <v>46</v>
      </c>
      <c r="Z89" t="s">
        <v>24</v>
      </c>
      <c r="AA89">
        <v>10</v>
      </c>
      <c r="AB89">
        <v>1</v>
      </c>
      <c r="AC89">
        <v>4.3</v>
      </c>
      <c r="AD89">
        <v>0.1</v>
      </c>
      <c r="AE89" s="3" t="s">
        <v>45</v>
      </c>
      <c r="AG89" t="s">
        <v>10</v>
      </c>
      <c r="AH89">
        <v>22</v>
      </c>
      <c r="AI89">
        <v>3</v>
      </c>
      <c r="AJ89">
        <v>4.2699999999999996</v>
      </c>
      <c r="AK89">
        <v>0.14000000000000001</v>
      </c>
      <c r="AL89" s="3" t="s">
        <v>46</v>
      </c>
      <c r="AN89" t="s">
        <v>113</v>
      </c>
      <c r="AO89">
        <v>4</v>
      </c>
      <c r="AP89">
        <v>0</v>
      </c>
      <c r="AQ89">
        <v>4.25</v>
      </c>
      <c r="AR89">
        <v>0</v>
      </c>
    </row>
    <row r="90" spans="1:45" x14ac:dyDescent="0.35">
      <c r="A90" t="s">
        <v>1</v>
      </c>
      <c r="B90" s="6">
        <v>13</v>
      </c>
      <c r="C90">
        <v>0</v>
      </c>
      <c r="D90">
        <v>4.62</v>
      </c>
      <c r="E90">
        <v>0</v>
      </c>
      <c r="F90" s="3" t="s">
        <v>54</v>
      </c>
      <c r="G90" t="s">
        <v>34</v>
      </c>
      <c r="H90">
        <v>3</v>
      </c>
      <c r="I90">
        <v>1</v>
      </c>
      <c r="J90">
        <v>4.33</v>
      </c>
      <c r="K90">
        <v>0.33</v>
      </c>
      <c r="L90" s="3" t="s">
        <v>45</v>
      </c>
      <c r="M90" t="s">
        <v>37</v>
      </c>
      <c r="N90">
        <v>10</v>
      </c>
      <c r="O90">
        <v>2</v>
      </c>
      <c r="P90">
        <v>4.5</v>
      </c>
      <c r="Q90">
        <v>0.2</v>
      </c>
      <c r="R90" s="2" t="s">
        <v>44</v>
      </c>
      <c r="S90" t="s">
        <v>28</v>
      </c>
      <c r="T90">
        <v>3</v>
      </c>
      <c r="U90">
        <v>0</v>
      </c>
      <c r="V90">
        <v>4.33</v>
      </c>
      <c r="W90">
        <v>0</v>
      </c>
      <c r="X90" s="3" t="s">
        <v>46</v>
      </c>
      <c r="Z90" t="s">
        <v>34</v>
      </c>
      <c r="AA90">
        <v>3</v>
      </c>
      <c r="AB90">
        <v>1</v>
      </c>
      <c r="AC90">
        <v>4.33</v>
      </c>
      <c r="AD90">
        <v>0.33</v>
      </c>
      <c r="AE90" s="3" t="s">
        <v>45</v>
      </c>
      <c r="AG90" t="s">
        <v>24</v>
      </c>
      <c r="AH90">
        <v>10</v>
      </c>
      <c r="AI90">
        <v>1</v>
      </c>
      <c r="AJ90">
        <v>4.3</v>
      </c>
      <c r="AK90">
        <v>0.1</v>
      </c>
      <c r="AL90" s="3" t="s">
        <v>46</v>
      </c>
      <c r="AN90" t="s">
        <v>10</v>
      </c>
      <c r="AO90">
        <v>22</v>
      </c>
      <c r="AP90">
        <v>3</v>
      </c>
      <c r="AQ90">
        <v>4.2699999999999996</v>
      </c>
      <c r="AR90">
        <v>0.14000000000000001</v>
      </c>
      <c r="AS90" s="3" t="s">
        <v>46</v>
      </c>
    </row>
    <row r="91" spans="1:45" x14ac:dyDescent="0.35">
      <c r="A91" t="s">
        <v>104</v>
      </c>
      <c r="B91">
        <v>6</v>
      </c>
      <c r="C91">
        <v>0</v>
      </c>
      <c r="D91">
        <v>4.67</v>
      </c>
      <c r="E91">
        <v>0</v>
      </c>
      <c r="F91" s="3" t="s">
        <v>45</v>
      </c>
      <c r="G91" t="s">
        <v>37</v>
      </c>
      <c r="H91">
        <v>10</v>
      </c>
      <c r="I91">
        <v>2</v>
      </c>
      <c r="J91">
        <v>4.5</v>
      </c>
      <c r="K91">
        <v>0.2</v>
      </c>
      <c r="L91" s="3" t="s">
        <v>45</v>
      </c>
      <c r="M91" t="s">
        <v>1</v>
      </c>
      <c r="N91">
        <v>14</v>
      </c>
      <c r="O91">
        <v>0</v>
      </c>
      <c r="P91">
        <v>4.57</v>
      </c>
      <c r="Q91">
        <v>0</v>
      </c>
      <c r="R91" s="2" t="s">
        <v>44</v>
      </c>
      <c r="S91" t="s">
        <v>37</v>
      </c>
      <c r="T91">
        <v>10</v>
      </c>
      <c r="U91">
        <v>2</v>
      </c>
      <c r="V91">
        <v>4.5</v>
      </c>
      <c r="W91">
        <v>0.2</v>
      </c>
      <c r="X91" s="3" t="s">
        <v>46</v>
      </c>
      <c r="Z91" t="s">
        <v>21</v>
      </c>
      <c r="AA91">
        <v>3</v>
      </c>
      <c r="AB91">
        <v>0</v>
      </c>
      <c r="AC91">
        <v>4.33</v>
      </c>
      <c r="AD91">
        <v>0</v>
      </c>
      <c r="AE91" s="3" t="s">
        <v>45</v>
      </c>
      <c r="AG91" t="s">
        <v>34</v>
      </c>
      <c r="AH91">
        <v>3</v>
      </c>
      <c r="AI91">
        <v>1</v>
      </c>
      <c r="AJ91">
        <v>4.33</v>
      </c>
      <c r="AK91">
        <v>0.33</v>
      </c>
      <c r="AL91" s="3" t="s">
        <v>46</v>
      </c>
      <c r="AN91" t="s">
        <v>24</v>
      </c>
      <c r="AO91">
        <v>10</v>
      </c>
      <c r="AP91">
        <v>1</v>
      </c>
      <c r="AQ91">
        <v>4.3</v>
      </c>
      <c r="AR91">
        <v>0.1</v>
      </c>
      <c r="AS91" s="3" t="s">
        <v>46</v>
      </c>
    </row>
    <row r="92" spans="1:45" x14ac:dyDescent="0.35">
      <c r="A92" t="s">
        <v>25</v>
      </c>
      <c r="B92" s="6">
        <v>12</v>
      </c>
      <c r="C92" s="6">
        <v>3</v>
      </c>
      <c r="D92">
        <v>4.83</v>
      </c>
      <c r="E92">
        <v>0.25</v>
      </c>
      <c r="G92" t="s">
        <v>1</v>
      </c>
      <c r="H92">
        <v>13</v>
      </c>
      <c r="I92">
        <v>0</v>
      </c>
      <c r="J92">
        <v>4.62</v>
      </c>
      <c r="K92">
        <v>0</v>
      </c>
      <c r="L92" s="3" t="s">
        <v>45</v>
      </c>
      <c r="M92" t="s">
        <v>35</v>
      </c>
      <c r="N92">
        <v>7</v>
      </c>
      <c r="O92">
        <v>2</v>
      </c>
      <c r="P92">
        <v>4.8600000000000003</v>
      </c>
      <c r="Q92">
        <v>0.28999999999999998</v>
      </c>
      <c r="R92" s="3" t="s">
        <v>45</v>
      </c>
      <c r="S92" t="s">
        <v>1</v>
      </c>
      <c r="T92">
        <v>14</v>
      </c>
      <c r="U92">
        <v>0</v>
      </c>
      <c r="V92">
        <v>4.57</v>
      </c>
      <c r="W92">
        <v>0</v>
      </c>
      <c r="X92" s="3" t="s">
        <v>46</v>
      </c>
      <c r="Z92" t="s">
        <v>28</v>
      </c>
      <c r="AA92">
        <v>3</v>
      </c>
      <c r="AB92">
        <v>0</v>
      </c>
      <c r="AC92">
        <v>4.33</v>
      </c>
      <c r="AD92">
        <v>0</v>
      </c>
      <c r="AE92" s="3" t="s">
        <v>45</v>
      </c>
      <c r="AG92" t="s">
        <v>21</v>
      </c>
      <c r="AH92">
        <v>3</v>
      </c>
      <c r="AI92">
        <v>0</v>
      </c>
      <c r="AJ92">
        <v>4.33</v>
      </c>
      <c r="AK92">
        <v>0</v>
      </c>
      <c r="AL92" s="3" t="s">
        <v>46</v>
      </c>
      <c r="AN92" t="s">
        <v>34</v>
      </c>
      <c r="AO92">
        <v>3</v>
      </c>
      <c r="AP92">
        <v>1</v>
      </c>
      <c r="AQ92">
        <v>4.33</v>
      </c>
      <c r="AR92">
        <v>0.33</v>
      </c>
      <c r="AS92" s="3" t="s">
        <v>46</v>
      </c>
    </row>
    <row r="93" spans="1:45" x14ac:dyDescent="0.35">
      <c r="A93" t="s">
        <v>99</v>
      </c>
      <c r="B93" s="6">
        <v>8</v>
      </c>
      <c r="C93">
        <v>1</v>
      </c>
      <c r="D93">
        <v>4.88</v>
      </c>
      <c r="E93">
        <v>0.13</v>
      </c>
      <c r="F93" s="2" t="s">
        <v>44</v>
      </c>
      <c r="G93" t="s">
        <v>99</v>
      </c>
      <c r="H93">
        <v>8</v>
      </c>
      <c r="I93">
        <v>1</v>
      </c>
      <c r="J93">
        <v>4.88</v>
      </c>
      <c r="K93">
        <v>0.13</v>
      </c>
      <c r="M93" t="s">
        <v>25</v>
      </c>
      <c r="N93">
        <v>16</v>
      </c>
      <c r="O93">
        <v>3</v>
      </c>
      <c r="P93">
        <v>4.88</v>
      </c>
      <c r="Q93">
        <v>0.19</v>
      </c>
      <c r="R93" s="2" t="s">
        <v>133</v>
      </c>
      <c r="S93" t="s">
        <v>35</v>
      </c>
      <c r="T93">
        <v>7</v>
      </c>
      <c r="U93">
        <v>2</v>
      </c>
      <c r="V93">
        <v>4.8600000000000003</v>
      </c>
      <c r="W93">
        <v>0.28999999999999998</v>
      </c>
      <c r="X93" s="3" t="s">
        <v>46</v>
      </c>
      <c r="Z93" t="s">
        <v>37</v>
      </c>
      <c r="AA93">
        <v>10</v>
      </c>
      <c r="AB93">
        <v>2</v>
      </c>
      <c r="AC93">
        <v>4.5</v>
      </c>
      <c r="AD93">
        <v>0.2</v>
      </c>
      <c r="AE93" s="3" t="s">
        <v>45</v>
      </c>
      <c r="AG93" t="s">
        <v>28</v>
      </c>
      <c r="AH93">
        <v>3</v>
      </c>
      <c r="AI93">
        <v>0</v>
      </c>
      <c r="AJ93">
        <v>4.33</v>
      </c>
      <c r="AK93">
        <v>0</v>
      </c>
      <c r="AL93" s="3" t="s">
        <v>46</v>
      </c>
      <c r="AN93" t="s">
        <v>21</v>
      </c>
      <c r="AO93">
        <v>3</v>
      </c>
      <c r="AP93">
        <v>0</v>
      </c>
      <c r="AQ93">
        <v>4.33</v>
      </c>
      <c r="AR93">
        <v>0</v>
      </c>
      <c r="AS93" s="3" t="s">
        <v>46</v>
      </c>
    </row>
    <row r="94" spans="1:45" x14ac:dyDescent="0.35">
      <c r="A94" t="s">
        <v>3</v>
      </c>
      <c r="B94">
        <v>11</v>
      </c>
      <c r="C94">
        <v>1</v>
      </c>
      <c r="D94">
        <v>4.91</v>
      </c>
      <c r="E94">
        <v>0.09</v>
      </c>
      <c r="F94" s="3" t="s">
        <v>55</v>
      </c>
      <c r="G94" t="s">
        <v>3</v>
      </c>
      <c r="H94">
        <v>11</v>
      </c>
      <c r="I94">
        <v>1</v>
      </c>
      <c r="J94">
        <v>4.91</v>
      </c>
      <c r="K94">
        <v>0.09</v>
      </c>
      <c r="M94" t="s">
        <v>3</v>
      </c>
      <c r="N94">
        <v>11</v>
      </c>
      <c r="O94">
        <v>1</v>
      </c>
      <c r="P94">
        <v>4.91</v>
      </c>
      <c r="Q94">
        <v>0.09</v>
      </c>
      <c r="S94" t="s">
        <v>25</v>
      </c>
      <c r="T94">
        <v>16</v>
      </c>
      <c r="U94">
        <v>3</v>
      </c>
      <c r="V94">
        <v>4.88</v>
      </c>
      <c r="W94">
        <v>0.19</v>
      </c>
      <c r="X94" s="3" t="s">
        <v>46</v>
      </c>
      <c r="Z94" t="s">
        <v>1</v>
      </c>
      <c r="AA94">
        <v>14</v>
      </c>
      <c r="AB94">
        <v>0</v>
      </c>
      <c r="AC94">
        <v>4.57</v>
      </c>
      <c r="AD94">
        <v>0</v>
      </c>
      <c r="AE94" s="3" t="s">
        <v>45</v>
      </c>
      <c r="AG94" t="s">
        <v>37</v>
      </c>
      <c r="AH94">
        <v>10</v>
      </c>
      <c r="AI94">
        <v>2</v>
      </c>
      <c r="AJ94">
        <v>4.5</v>
      </c>
      <c r="AK94">
        <v>0.2</v>
      </c>
      <c r="AL94" s="3" t="s">
        <v>46</v>
      </c>
      <c r="AN94" t="s">
        <v>28</v>
      </c>
      <c r="AO94">
        <v>3</v>
      </c>
      <c r="AP94">
        <v>0</v>
      </c>
      <c r="AQ94">
        <v>4.33</v>
      </c>
      <c r="AR94">
        <v>0</v>
      </c>
      <c r="AS94" s="3" t="s">
        <v>46</v>
      </c>
    </row>
    <row r="95" spans="1:45" x14ac:dyDescent="0.35">
      <c r="A95" t="s">
        <v>13</v>
      </c>
      <c r="B95" s="6">
        <v>10</v>
      </c>
      <c r="C95">
        <v>1</v>
      </c>
      <c r="D95">
        <v>5</v>
      </c>
      <c r="E95">
        <v>0.1</v>
      </c>
      <c r="F95" s="2" t="s">
        <v>44</v>
      </c>
      <c r="G95" t="s">
        <v>13</v>
      </c>
      <c r="H95">
        <v>10</v>
      </c>
      <c r="I95">
        <v>1</v>
      </c>
      <c r="J95">
        <v>5</v>
      </c>
      <c r="K95">
        <v>0.1</v>
      </c>
      <c r="M95" t="s">
        <v>31</v>
      </c>
      <c r="N95">
        <v>3</v>
      </c>
      <c r="O95">
        <v>0</v>
      </c>
      <c r="P95">
        <v>5</v>
      </c>
      <c r="Q95">
        <v>0</v>
      </c>
      <c r="S95" t="s">
        <v>3</v>
      </c>
      <c r="T95">
        <v>11</v>
      </c>
      <c r="U95">
        <v>1</v>
      </c>
      <c r="V95">
        <v>4.91</v>
      </c>
      <c r="W95">
        <v>0.09</v>
      </c>
      <c r="X95" s="3" t="s">
        <v>46</v>
      </c>
      <c r="Z95" t="s">
        <v>3</v>
      </c>
      <c r="AA95">
        <v>11</v>
      </c>
      <c r="AB95">
        <v>1</v>
      </c>
      <c r="AC95">
        <v>4.91</v>
      </c>
      <c r="AD95">
        <v>0.09</v>
      </c>
      <c r="AG95" t="s">
        <v>1</v>
      </c>
      <c r="AH95">
        <v>14</v>
      </c>
      <c r="AI95">
        <v>0</v>
      </c>
      <c r="AJ95">
        <v>4.57</v>
      </c>
      <c r="AK95">
        <v>0</v>
      </c>
      <c r="AL95" s="3" t="s">
        <v>46</v>
      </c>
      <c r="AN95" t="s">
        <v>37</v>
      </c>
      <c r="AO95">
        <v>10</v>
      </c>
      <c r="AP95">
        <v>2</v>
      </c>
      <c r="AQ95">
        <v>4.5</v>
      </c>
      <c r="AR95">
        <v>0.2</v>
      </c>
      <c r="AS95" s="3" t="s">
        <v>46</v>
      </c>
    </row>
    <row r="96" spans="1:45" x14ac:dyDescent="0.35">
      <c r="A96" t="s">
        <v>31</v>
      </c>
      <c r="B96">
        <v>3</v>
      </c>
      <c r="C96">
        <v>0</v>
      </c>
      <c r="D96">
        <v>5</v>
      </c>
      <c r="E96">
        <v>0</v>
      </c>
      <c r="F96" s="3" t="s">
        <v>94</v>
      </c>
      <c r="G96" t="s">
        <v>31</v>
      </c>
      <c r="H96">
        <v>3</v>
      </c>
      <c r="I96">
        <v>0</v>
      </c>
      <c r="J96">
        <v>5</v>
      </c>
      <c r="K96">
        <v>0</v>
      </c>
      <c r="M96" t="s">
        <v>13</v>
      </c>
      <c r="N96">
        <v>10</v>
      </c>
      <c r="O96">
        <v>1</v>
      </c>
      <c r="P96">
        <v>5</v>
      </c>
      <c r="Q96">
        <v>0.1</v>
      </c>
      <c r="S96" t="s">
        <v>31</v>
      </c>
      <c r="T96">
        <v>3</v>
      </c>
      <c r="U96">
        <v>0</v>
      </c>
      <c r="V96">
        <v>5</v>
      </c>
      <c r="W96">
        <v>0</v>
      </c>
      <c r="X96" s="3" t="s">
        <v>46</v>
      </c>
      <c r="Z96" t="s">
        <v>31</v>
      </c>
      <c r="AA96">
        <v>3</v>
      </c>
      <c r="AB96">
        <v>0</v>
      </c>
      <c r="AC96">
        <v>5</v>
      </c>
      <c r="AD96">
        <v>0</v>
      </c>
      <c r="AG96" t="s">
        <v>3</v>
      </c>
      <c r="AH96">
        <v>11</v>
      </c>
      <c r="AI96">
        <v>1</v>
      </c>
      <c r="AJ96">
        <v>4.91</v>
      </c>
      <c r="AK96">
        <v>0.09</v>
      </c>
      <c r="AL96" s="3" t="s">
        <v>46</v>
      </c>
      <c r="AN96" t="s">
        <v>1</v>
      </c>
      <c r="AO96">
        <v>14</v>
      </c>
      <c r="AP96">
        <v>0</v>
      </c>
      <c r="AQ96">
        <v>4.57</v>
      </c>
      <c r="AR96">
        <v>0</v>
      </c>
      <c r="AS96" s="3" t="s">
        <v>46</v>
      </c>
    </row>
    <row r="97" spans="1:45" x14ac:dyDescent="0.35">
      <c r="A97" t="s">
        <v>17</v>
      </c>
      <c r="B97">
        <v>6</v>
      </c>
      <c r="C97">
        <v>1</v>
      </c>
      <c r="D97">
        <v>5.17</v>
      </c>
      <c r="E97">
        <v>0.17</v>
      </c>
      <c r="F97" s="3" t="s">
        <v>55</v>
      </c>
      <c r="G97" t="s">
        <v>25</v>
      </c>
      <c r="H97" s="6">
        <v>13</v>
      </c>
      <c r="I97">
        <v>3</v>
      </c>
      <c r="J97">
        <v>5.08</v>
      </c>
      <c r="K97">
        <v>0.23</v>
      </c>
      <c r="L97" s="3" t="s">
        <v>94</v>
      </c>
      <c r="M97" t="s">
        <v>89</v>
      </c>
      <c r="N97">
        <v>3</v>
      </c>
      <c r="O97">
        <v>0</v>
      </c>
      <c r="P97">
        <v>5</v>
      </c>
      <c r="Q97">
        <v>0</v>
      </c>
      <c r="R97" t="s">
        <v>134</v>
      </c>
      <c r="S97" t="s">
        <v>13</v>
      </c>
      <c r="T97">
        <v>10</v>
      </c>
      <c r="U97">
        <v>1</v>
      </c>
      <c r="V97">
        <v>5</v>
      </c>
      <c r="W97">
        <v>0.1</v>
      </c>
      <c r="X97" s="3" t="s">
        <v>46</v>
      </c>
      <c r="Z97" t="s">
        <v>13</v>
      </c>
      <c r="AA97">
        <v>10</v>
      </c>
      <c r="AB97">
        <v>1</v>
      </c>
      <c r="AC97">
        <v>5</v>
      </c>
      <c r="AD97">
        <v>0.1</v>
      </c>
      <c r="AG97" t="s">
        <v>31</v>
      </c>
      <c r="AH97">
        <v>3</v>
      </c>
      <c r="AI97">
        <v>0</v>
      </c>
      <c r="AJ97">
        <v>5</v>
      </c>
      <c r="AK97">
        <v>0</v>
      </c>
      <c r="AL97" s="3" t="s">
        <v>46</v>
      </c>
      <c r="AN97" t="s">
        <v>3</v>
      </c>
      <c r="AO97">
        <v>11</v>
      </c>
      <c r="AP97">
        <v>1</v>
      </c>
      <c r="AQ97">
        <v>4.91</v>
      </c>
      <c r="AR97">
        <v>0.09</v>
      </c>
      <c r="AS97" s="3" t="s">
        <v>46</v>
      </c>
    </row>
    <row r="98" spans="1:45" x14ac:dyDescent="0.35">
      <c r="A98" t="s">
        <v>51</v>
      </c>
      <c r="B98">
        <v>11</v>
      </c>
      <c r="C98">
        <v>0</v>
      </c>
      <c r="D98">
        <v>5.18</v>
      </c>
      <c r="E98">
        <v>0</v>
      </c>
      <c r="F98" s="3" t="s">
        <v>54</v>
      </c>
      <c r="G98" t="s">
        <v>17</v>
      </c>
      <c r="H98">
        <v>6</v>
      </c>
      <c r="I98">
        <v>1</v>
      </c>
      <c r="J98">
        <v>5.17</v>
      </c>
      <c r="K98">
        <v>0.17</v>
      </c>
      <c r="L98" s="3" t="s">
        <v>46</v>
      </c>
      <c r="M98" t="s">
        <v>99</v>
      </c>
      <c r="N98">
        <v>9</v>
      </c>
      <c r="O98">
        <v>1</v>
      </c>
      <c r="P98">
        <v>5.1100000000000003</v>
      </c>
      <c r="Q98">
        <v>0.11</v>
      </c>
      <c r="R98" s="3" t="s">
        <v>94</v>
      </c>
      <c r="S98" t="s">
        <v>89</v>
      </c>
      <c r="T98">
        <v>3</v>
      </c>
      <c r="U98">
        <v>0</v>
      </c>
      <c r="V98">
        <v>5</v>
      </c>
      <c r="W98">
        <v>0</v>
      </c>
      <c r="X98" s="3" t="s">
        <v>46</v>
      </c>
      <c r="Z98" t="s">
        <v>89</v>
      </c>
      <c r="AA98">
        <v>3</v>
      </c>
      <c r="AB98">
        <v>0</v>
      </c>
      <c r="AC98">
        <v>5</v>
      </c>
      <c r="AD98">
        <v>0</v>
      </c>
      <c r="AG98" t="s">
        <v>13</v>
      </c>
      <c r="AH98">
        <v>10</v>
      </c>
      <c r="AI98">
        <v>1</v>
      </c>
      <c r="AJ98">
        <v>5</v>
      </c>
      <c r="AK98">
        <v>0.1</v>
      </c>
      <c r="AL98" s="3" t="s">
        <v>46</v>
      </c>
      <c r="AN98" t="s">
        <v>31</v>
      </c>
      <c r="AO98">
        <v>3</v>
      </c>
      <c r="AP98">
        <v>0</v>
      </c>
      <c r="AQ98">
        <v>5</v>
      </c>
      <c r="AR98">
        <v>0</v>
      </c>
      <c r="AS98" s="3" t="s">
        <v>46</v>
      </c>
    </row>
    <row r="99" spans="1:45" x14ac:dyDescent="0.35">
      <c r="A99" t="s">
        <v>27</v>
      </c>
      <c r="B99" s="6">
        <v>9</v>
      </c>
      <c r="C99">
        <v>0</v>
      </c>
      <c r="D99">
        <v>5.33</v>
      </c>
      <c r="E99">
        <v>0</v>
      </c>
      <c r="G99" t="s">
        <v>51</v>
      </c>
      <c r="H99">
        <v>11</v>
      </c>
      <c r="I99">
        <v>0</v>
      </c>
      <c r="J99">
        <v>5.18</v>
      </c>
      <c r="K99">
        <v>0</v>
      </c>
      <c r="L99" s="3" t="s">
        <v>46</v>
      </c>
      <c r="M99" t="s">
        <v>17</v>
      </c>
      <c r="N99">
        <v>6</v>
      </c>
      <c r="O99">
        <v>1</v>
      </c>
      <c r="P99">
        <v>5.17</v>
      </c>
      <c r="Q99">
        <v>0.17</v>
      </c>
      <c r="R99" s="3" t="s">
        <v>46</v>
      </c>
      <c r="S99" t="s">
        <v>99</v>
      </c>
      <c r="T99">
        <v>9</v>
      </c>
      <c r="U99">
        <v>1</v>
      </c>
      <c r="V99">
        <v>5.1100000000000003</v>
      </c>
      <c r="W99">
        <v>0.11</v>
      </c>
      <c r="X99" s="3" t="s">
        <v>46</v>
      </c>
      <c r="Z99" t="s">
        <v>25</v>
      </c>
      <c r="AA99" s="6">
        <v>19</v>
      </c>
      <c r="AB99">
        <v>3</v>
      </c>
      <c r="AC99">
        <v>5.05</v>
      </c>
      <c r="AD99">
        <v>0.16</v>
      </c>
      <c r="AE99" s="3" t="s">
        <v>94</v>
      </c>
      <c r="AG99" t="s">
        <v>89</v>
      </c>
      <c r="AH99">
        <v>3</v>
      </c>
      <c r="AI99">
        <v>0</v>
      </c>
      <c r="AJ99">
        <v>5</v>
      </c>
      <c r="AK99">
        <v>0</v>
      </c>
      <c r="AL99" s="3" t="s">
        <v>46</v>
      </c>
      <c r="AN99" t="s">
        <v>13</v>
      </c>
      <c r="AO99">
        <v>10</v>
      </c>
      <c r="AP99">
        <v>1</v>
      </c>
      <c r="AQ99">
        <v>5</v>
      </c>
      <c r="AR99">
        <v>0.1</v>
      </c>
      <c r="AS99" s="3" t="s">
        <v>46</v>
      </c>
    </row>
    <row r="100" spans="1:45" x14ac:dyDescent="0.35">
      <c r="A100" t="s">
        <v>6</v>
      </c>
      <c r="B100">
        <v>23</v>
      </c>
      <c r="C100">
        <v>2</v>
      </c>
      <c r="D100">
        <v>5.35</v>
      </c>
      <c r="E100">
        <v>0.09</v>
      </c>
      <c r="F100" s="3" t="s">
        <v>54</v>
      </c>
      <c r="G100" t="s">
        <v>27</v>
      </c>
      <c r="H100">
        <v>9</v>
      </c>
      <c r="I100">
        <v>0</v>
      </c>
      <c r="J100">
        <v>5.33</v>
      </c>
      <c r="K100">
        <v>0</v>
      </c>
      <c r="L100" s="3" t="s">
        <v>46</v>
      </c>
      <c r="M100" t="s">
        <v>51</v>
      </c>
      <c r="N100">
        <v>11</v>
      </c>
      <c r="O100">
        <v>0</v>
      </c>
      <c r="P100">
        <v>5.18</v>
      </c>
      <c r="Q100">
        <v>0</v>
      </c>
      <c r="R100" s="3" t="s">
        <v>46</v>
      </c>
      <c r="S100" t="s">
        <v>6</v>
      </c>
      <c r="T100" s="6">
        <v>24</v>
      </c>
      <c r="U100">
        <v>3</v>
      </c>
      <c r="V100">
        <v>5.17</v>
      </c>
      <c r="W100">
        <v>0.13</v>
      </c>
      <c r="X100" s="2" t="s">
        <v>133</v>
      </c>
      <c r="Z100" t="s">
        <v>99</v>
      </c>
      <c r="AA100">
        <v>9</v>
      </c>
      <c r="AB100">
        <v>1</v>
      </c>
      <c r="AC100">
        <v>5.1100000000000003</v>
      </c>
      <c r="AD100">
        <v>0.11</v>
      </c>
      <c r="AE100" s="3" t="s">
        <v>46</v>
      </c>
      <c r="AG100" t="s">
        <v>25</v>
      </c>
      <c r="AH100" s="6">
        <v>20</v>
      </c>
      <c r="AI100">
        <v>3</v>
      </c>
      <c r="AJ100">
        <v>5.05</v>
      </c>
      <c r="AK100">
        <v>0.15</v>
      </c>
      <c r="AL100" s="3" t="s">
        <v>46</v>
      </c>
      <c r="AN100" t="s">
        <v>89</v>
      </c>
      <c r="AO100">
        <v>3</v>
      </c>
      <c r="AP100">
        <v>0</v>
      </c>
      <c r="AQ100">
        <v>5</v>
      </c>
      <c r="AR100">
        <v>0</v>
      </c>
      <c r="AS100" s="3" t="s">
        <v>46</v>
      </c>
    </row>
    <row r="101" spans="1:45" x14ac:dyDescent="0.35">
      <c r="A101" t="s">
        <v>29</v>
      </c>
      <c r="B101">
        <v>6</v>
      </c>
      <c r="C101">
        <v>0</v>
      </c>
      <c r="D101">
        <v>5.67</v>
      </c>
      <c r="E101">
        <v>0</v>
      </c>
      <c r="F101" s="3" t="s">
        <v>54</v>
      </c>
      <c r="G101" t="s">
        <v>30</v>
      </c>
      <c r="H101" s="6">
        <v>3</v>
      </c>
      <c r="I101">
        <v>0</v>
      </c>
      <c r="J101">
        <v>5.33</v>
      </c>
      <c r="K101">
        <v>0</v>
      </c>
      <c r="L101" s="3" t="s">
        <v>85</v>
      </c>
      <c r="M101" t="s">
        <v>30</v>
      </c>
      <c r="N101">
        <v>4</v>
      </c>
      <c r="O101">
        <v>0</v>
      </c>
      <c r="P101">
        <v>5.25</v>
      </c>
      <c r="Q101">
        <v>0</v>
      </c>
      <c r="S101" t="s">
        <v>17</v>
      </c>
      <c r="T101">
        <v>6</v>
      </c>
      <c r="U101">
        <v>1</v>
      </c>
      <c r="V101">
        <v>5.17</v>
      </c>
      <c r="W101">
        <v>0.17</v>
      </c>
      <c r="X101" s="3" t="s">
        <v>45</v>
      </c>
      <c r="Z101" t="s">
        <v>6</v>
      </c>
      <c r="AA101">
        <v>24</v>
      </c>
      <c r="AB101">
        <v>3</v>
      </c>
      <c r="AC101">
        <v>5.17</v>
      </c>
      <c r="AD101">
        <v>0.13</v>
      </c>
      <c r="AE101" s="3" t="s">
        <v>46</v>
      </c>
      <c r="AG101" t="s">
        <v>99</v>
      </c>
      <c r="AH101">
        <v>9</v>
      </c>
      <c r="AI101">
        <v>1</v>
      </c>
      <c r="AJ101">
        <v>5.1100000000000003</v>
      </c>
      <c r="AK101">
        <v>0.11</v>
      </c>
      <c r="AL101" s="3" t="s">
        <v>46</v>
      </c>
      <c r="AN101" t="s">
        <v>99</v>
      </c>
      <c r="AO101">
        <v>9</v>
      </c>
      <c r="AP101">
        <v>1</v>
      </c>
      <c r="AQ101">
        <v>5.1100000000000003</v>
      </c>
      <c r="AR101">
        <v>0.11</v>
      </c>
    </row>
    <row r="102" spans="1:45" x14ac:dyDescent="0.35">
      <c r="A102" t="s">
        <v>116</v>
      </c>
      <c r="B102" s="6">
        <v>3</v>
      </c>
      <c r="C102">
        <v>0</v>
      </c>
      <c r="D102">
        <v>5.67</v>
      </c>
      <c r="E102">
        <v>0</v>
      </c>
      <c r="F102" s="3" t="s">
        <v>85</v>
      </c>
      <c r="G102" t="s">
        <v>6</v>
      </c>
      <c r="H102">
        <v>23</v>
      </c>
      <c r="I102">
        <v>2</v>
      </c>
      <c r="J102">
        <v>5.35</v>
      </c>
      <c r="K102">
        <v>0.09</v>
      </c>
      <c r="L102" s="3" t="s">
        <v>45</v>
      </c>
      <c r="M102" t="s">
        <v>27</v>
      </c>
      <c r="N102">
        <v>9</v>
      </c>
      <c r="O102">
        <v>0</v>
      </c>
      <c r="P102">
        <v>5.33</v>
      </c>
      <c r="Q102">
        <v>0</v>
      </c>
      <c r="R102" s="3" t="s">
        <v>45</v>
      </c>
      <c r="S102" t="s">
        <v>51</v>
      </c>
      <c r="T102">
        <v>11</v>
      </c>
      <c r="U102">
        <v>0</v>
      </c>
      <c r="V102">
        <v>5.18</v>
      </c>
      <c r="W102">
        <v>0</v>
      </c>
      <c r="X102" s="3" t="s">
        <v>45</v>
      </c>
      <c r="Z102" t="s">
        <v>17</v>
      </c>
      <c r="AA102">
        <v>6</v>
      </c>
      <c r="AB102">
        <v>1</v>
      </c>
      <c r="AC102">
        <v>5.17</v>
      </c>
      <c r="AD102">
        <v>0.17</v>
      </c>
      <c r="AE102" s="3" t="s">
        <v>46</v>
      </c>
      <c r="AG102" t="s">
        <v>6</v>
      </c>
      <c r="AH102">
        <v>24</v>
      </c>
      <c r="AI102">
        <v>3</v>
      </c>
      <c r="AJ102">
        <v>5.17</v>
      </c>
      <c r="AK102">
        <v>0.13</v>
      </c>
      <c r="AL102" s="3" t="s">
        <v>46</v>
      </c>
      <c r="AN102" t="s">
        <v>6</v>
      </c>
      <c r="AO102">
        <v>24</v>
      </c>
      <c r="AP102">
        <v>3</v>
      </c>
      <c r="AQ102">
        <v>5.17</v>
      </c>
      <c r="AR102">
        <v>0.13</v>
      </c>
    </row>
    <row r="103" spans="1:45" x14ac:dyDescent="0.35">
      <c r="A103" t="s">
        <v>12</v>
      </c>
      <c r="B103">
        <v>4</v>
      </c>
      <c r="C103">
        <v>0</v>
      </c>
      <c r="D103">
        <v>5.75</v>
      </c>
      <c r="E103">
        <v>0</v>
      </c>
      <c r="F103" s="3" t="s">
        <v>54</v>
      </c>
      <c r="G103" t="s">
        <v>29</v>
      </c>
      <c r="H103">
        <v>6</v>
      </c>
      <c r="I103">
        <v>0</v>
      </c>
      <c r="J103">
        <v>5.67</v>
      </c>
      <c r="K103">
        <v>0</v>
      </c>
      <c r="L103" s="3" t="s">
        <v>45</v>
      </c>
      <c r="M103" t="s">
        <v>32</v>
      </c>
      <c r="N103">
        <v>3</v>
      </c>
      <c r="O103">
        <v>0</v>
      </c>
      <c r="P103">
        <v>5.33</v>
      </c>
      <c r="Q103">
        <v>0</v>
      </c>
      <c r="R103" s="3" t="s">
        <v>85</v>
      </c>
      <c r="S103" t="s">
        <v>30</v>
      </c>
      <c r="T103">
        <v>4</v>
      </c>
      <c r="U103">
        <v>0</v>
      </c>
      <c r="V103">
        <v>5.25</v>
      </c>
      <c r="W103">
        <v>0</v>
      </c>
      <c r="X103" s="3" t="s">
        <v>45</v>
      </c>
      <c r="Z103" t="s">
        <v>51</v>
      </c>
      <c r="AA103">
        <v>11</v>
      </c>
      <c r="AB103">
        <v>0</v>
      </c>
      <c r="AC103">
        <v>5.18</v>
      </c>
      <c r="AD103">
        <v>0</v>
      </c>
      <c r="AE103" s="3" t="s">
        <v>46</v>
      </c>
      <c r="AG103" t="s">
        <v>17</v>
      </c>
      <c r="AH103">
        <v>6</v>
      </c>
      <c r="AI103">
        <v>1</v>
      </c>
      <c r="AJ103">
        <v>5.17</v>
      </c>
      <c r="AK103">
        <v>0.17</v>
      </c>
      <c r="AL103" s="3" t="s">
        <v>46</v>
      </c>
      <c r="AN103" t="s">
        <v>17</v>
      </c>
      <c r="AO103">
        <v>6</v>
      </c>
      <c r="AP103">
        <v>1</v>
      </c>
      <c r="AQ103">
        <v>5.17</v>
      </c>
      <c r="AR103">
        <v>0.17</v>
      </c>
    </row>
    <row r="104" spans="1:45" x14ac:dyDescent="0.35">
      <c r="A104" t="s">
        <v>49</v>
      </c>
      <c r="B104">
        <v>4</v>
      </c>
      <c r="C104">
        <v>0</v>
      </c>
      <c r="D104">
        <v>6.5</v>
      </c>
      <c r="E104">
        <v>0</v>
      </c>
      <c r="F104" s="3" t="s">
        <v>54</v>
      </c>
      <c r="G104" t="s">
        <v>116</v>
      </c>
      <c r="H104">
        <v>3</v>
      </c>
      <c r="I104">
        <v>0</v>
      </c>
      <c r="J104">
        <v>5.67</v>
      </c>
      <c r="K104">
        <v>0</v>
      </c>
      <c r="L104" s="3" t="s">
        <v>45</v>
      </c>
      <c r="M104" t="s">
        <v>6</v>
      </c>
      <c r="N104">
        <v>23</v>
      </c>
      <c r="O104">
        <v>2</v>
      </c>
      <c r="P104">
        <v>5.35</v>
      </c>
      <c r="Q104">
        <v>0.09</v>
      </c>
      <c r="R104" s="3" t="s">
        <v>45</v>
      </c>
      <c r="S104" t="s">
        <v>27</v>
      </c>
      <c r="T104">
        <v>9</v>
      </c>
      <c r="U104">
        <v>0</v>
      </c>
      <c r="V104">
        <v>5.33</v>
      </c>
      <c r="W104">
        <v>0</v>
      </c>
      <c r="X104" s="3" t="s">
        <v>45</v>
      </c>
      <c r="Z104" t="s">
        <v>30</v>
      </c>
      <c r="AA104">
        <v>4</v>
      </c>
      <c r="AB104">
        <v>0</v>
      </c>
      <c r="AC104">
        <v>5.25</v>
      </c>
      <c r="AD104">
        <v>0</v>
      </c>
      <c r="AE104" s="3" t="s">
        <v>46</v>
      </c>
      <c r="AG104" t="s">
        <v>51</v>
      </c>
      <c r="AH104">
        <v>11</v>
      </c>
      <c r="AI104">
        <v>0</v>
      </c>
      <c r="AJ104">
        <v>5.18</v>
      </c>
      <c r="AK104">
        <v>0</v>
      </c>
      <c r="AL104" s="3" t="s">
        <v>46</v>
      </c>
      <c r="AN104" t="s">
        <v>51</v>
      </c>
      <c r="AO104">
        <v>11</v>
      </c>
      <c r="AP104">
        <v>0</v>
      </c>
      <c r="AQ104">
        <v>5.18</v>
      </c>
      <c r="AR104">
        <v>0</v>
      </c>
    </row>
    <row r="105" spans="1:45" x14ac:dyDescent="0.35">
      <c r="A105" t="s">
        <v>20</v>
      </c>
      <c r="B105">
        <v>5</v>
      </c>
      <c r="C105">
        <v>0</v>
      </c>
      <c r="D105">
        <v>6.8</v>
      </c>
      <c r="E105">
        <v>0</v>
      </c>
      <c r="F105" s="3" t="s">
        <v>54</v>
      </c>
      <c r="G105" t="s">
        <v>12</v>
      </c>
      <c r="H105">
        <v>4</v>
      </c>
      <c r="I105">
        <v>0</v>
      </c>
      <c r="J105">
        <v>5.75</v>
      </c>
      <c r="K105">
        <v>0</v>
      </c>
      <c r="L105" s="3" t="s">
        <v>45</v>
      </c>
      <c r="M105" t="s">
        <v>116</v>
      </c>
      <c r="N105">
        <v>5</v>
      </c>
      <c r="O105">
        <v>0</v>
      </c>
      <c r="P105">
        <v>5.4</v>
      </c>
      <c r="Q105">
        <v>0</v>
      </c>
      <c r="R105" s="3" t="s">
        <v>46</v>
      </c>
      <c r="S105" t="s">
        <v>32</v>
      </c>
      <c r="T105">
        <v>3</v>
      </c>
      <c r="U105">
        <v>0</v>
      </c>
      <c r="V105">
        <v>5.33</v>
      </c>
      <c r="W105">
        <v>0</v>
      </c>
      <c r="X105" s="3" t="s">
        <v>45</v>
      </c>
      <c r="Z105" t="s">
        <v>125</v>
      </c>
      <c r="AA105" s="6">
        <v>4</v>
      </c>
      <c r="AB105">
        <v>0</v>
      </c>
      <c r="AC105">
        <v>5.25</v>
      </c>
      <c r="AD105">
        <v>0</v>
      </c>
      <c r="AE105" s="3" t="s">
        <v>146</v>
      </c>
      <c r="AG105" t="s">
        <v>30</v>
      </c>
      <c r="AH105">
        <v>4</v>
      </c>
      <c r="AI105">
        <v>0</v>
      </c>
      <c r="AJ105">
        <v>5.25</v>
      </c>
      <c r="AK105">
        <v>0</v>
      </c>
      <c r="AL105" s="3" t="s">
        <v>46</v>
      </c>
      <c r="AN105" t="s">
        <v>25</v>
      </c>
      <c r="AO105" s="6">
        <v>21</v>
      </c>
      <c r="AP105">
        <v>3</v>
      </c>
      <c r="AQ105">
        <v>5.19</v>
      </c>
      <c r="AR105">
        <v>0.14000000000000001</v>
      </c>
      <c r="AS105" s="3" t="s">
        <v>94</v>
      </c>
    </row>
    <row r="106" spans="1:45" x14ac:dyDescent="0.35">
      <c r="G106" t="s">
        <v>49</v>
      </c>
      <c r="H106">
        <v>4</v>
      </c>
      <c r="I106">
        <v>0</v>
      </c>
      <c r="J106">
        <v>6.5</v>
      </c>
      <c r="K106">
        <v>0</v>
      </c>
      <c r="L106" s="3" t="s">
        <v>45</v>
      </c>
      <c r="M106" t="s">
        <v>29</v>
      </c>
      <c r="N106">
        <v>6</v>
      </c>
      <c r="O106">
        <v>0</v>
      </c>
      <c r="P106">
        <v>5.67</v>
      </c>
      <c r="Q106">
        <v>0</v>
      </c>
      <c r="R106" s="3" t="s">
        <v>54</v>
      </c>
      <c r="S106" t="s">
        <v>116</v>
      </c>
      <c r="T106">
        <v>5</v>
      </c>
      <c r="U106">
        <v>0</v>
      </c>
      <c r="V106">
        <v>5.4</v>
      </c>
      <c r="W106">
        <v>0</v>
      </c>
      <c r="X106" s="3" t="s">
        <v>46</v>
      </c>
      <c r="Z106" t="s">
        <v>27</v>
      </c>
      <c r="AA106">
        <v>9</v>
      </c>
      <c r="AB106">
        <v>0</v>
      </c>
      <c r="AC106">
        <v>5.33</v>
      </c>
      <c r="AD106">
        <v>0</v>
      </c>
      <c r="AE106" s="3" t="s">
        <v>45</v>
      </c>
      <c r="AG106" t="s">
        <v>125</v>
      </c>
      <c r="AH106">
        <v>4</v>
      </c>
      <c r="AI106">
        <v>0</v>
      </c>
      <c r="AJ106">
        <v>5.25</v>
      </c>
      <c r="AK106">
        <v>0</v>
      </c>
      <c r="AL106" s="3" t="s">
        <v>46</v>
      </c>
      <c r="AN106" t="s">
        <v>30</v>
      </c>
      <c r="AO106">
        <v>4</v>
      </c>
      <c r="AP106">
        <v>0</v>
      </c>
      <c r="AQ106">
        <v>5.25</v>
      </c>
      <c r="AR106">
        <v>0</v>
      </c>
      <c r="AS106" s="3" t="s">
        <v>46</v>
      </c>
    </row>
    <row r="107" spans="1:45" x14ac:dyDescent="0.35">
      <c r="G107" t="s">
        <v>20</v>
      </c>
      <c r="H107" s="6">
        <v>6</v>
      </c>
      <c r="I107">
        <v>0</v>
      </c>
      <c r="J107">
        <v>7</v>
      </c>
      <c r="K107">
        <v>0</v>
      </c>
      <c r="L107" s="3" t="s">
        <v>45</v>
      </c>
      <c r="M107" t="s">
        <v>12</v>
      </c>
      <c r="N107">
        <v>4</v>
      </c>
      <c r="O107">
        <v>0</v>
      </c>
      <c r="P107">
        <v>5.75</v>
      </c>
      <c r="Q107">
        <v>0</v>
      </c>
      <c r="R107" s="3" t="s">
        <v>45</v>
      </c>
      <c r="S107" t="s">
        <v>29</v>
      </c>
      <c r="T107">
        <v>6</v>
      </c>
      <c r="U107">
        <v>0</v>
      </c>
      <c r="V107">
        <v>5.67</v>
      </c>
      <c r="W107">
        <v>0</v>
      </c>
      <c r="X107" s="3" t="s">
        <v>46</v>
      </c>
      <c r="Z107" t="s">
        <v>32</v>
      </c>
      <c r="AA107">
        <v>3</v>
      </c>
      <c r="AB107">
        <v>0</v>
      </c>
      <c r="AC107">
        <v>5.33</v>
      </c>
      <c r="AD107">
        <v>0</v>
      </c>
      <c r="AE107" s="3" t="s">
        <v>45</v>
      </c>
      <c r="AG107" t="s">
        <v>27</v>
      </c>
      <c r="AH107">
        <v>9</v>
      </c>
      <c r="AI107">
        <v>0</v>
      </c>
      <c r="AJ107">
        <v>5.33</v>
      </c>
      <c r="AK107">
        <v>0</v>
      </c>
      <c r="AL107" s="3" t="s">
        <v>46</v>
      </c>
      <c r="AN107" t="s">
        <v>125</v>
      </c>
      <c r="AO107">
        <v>4</v>
      </c>
      <c r="AP107">
        <v>0</v>
      </c>
      <c r="AQ107">
        <v>5.25</v>
      </c>
      <c r="AR107">
        <v>0</v>
      </c>
      <c r="AS107" s="3" t="s">
        <v>46</v>
      </c>
    </row>
    <row r="108" spans="1:45" x14ac:dyDescent="0.35">
      <c r="M108" t="s">
        <v>87</v>
      </c>
      <c r="N108">
        <v>3</v>
      </c>
      <c r="O108">
        <v>0</v>
      </c>
      <c r="P108">
        <v>6</v>
      </c>
      <c r="Q108">
        <v>0</v>
      </c>
      <c r="R108" s="3" t="s">
        <v>85</v>
      </c>
      <c r="S108" t="s">
        <v>12</v>
      </c>
      <c r="T108">
        <v>4</v>
      </c>
      <c r="U108">
        <v>0</v>
      </c>
      <c r="V108">
        <v>5.75</v>
      </c>
      <c r="W108">
        <v>0</v>
      </c>
      <c r="X108" s="3" t="s">
        <v>46</v>
      </c>
      <c r="Z108" t="s">
        <v>116</v>
      </c>
      <c r="AA108">
        <v>5</v>
      </c>
      <c r="AB108">
        <v>0</v>
      </c>
      <c r="AC108">
        <v>5.4</v>
      </c>
      <c r="AD108">
        <v>0</v>
      </c>
      <c r="AE108" s="3" t="s">
        <v>45</v>
      </c>
      <c r="AG108" t="s">
        <v>32</v>
      </c>
      <c r="AH108">
        <v>3</v>
      </c>
      <c r="AI108">
        <v>0</v>
      </c>
      <c r="AJ108">
        <v>5.33</v>
      </c>
      <c r="AK108">
        <v>0</v>
      </c>
      <c r="AL108" s="3" t="s">
        <v>46</v>
      </c>
      <c r="AN108" t="s">
        <v>27</v>
      </c>
      <c r="AO108">
        <v>9</v>
      </c>
      <c r="AP108">
        <v>0</v>
      </c>
      <c r="AQ108">
        <v>5.33</v>
      </c>
      <c r="AR108">
        <v>0</v>
      </c>
      <c r="AS108" s="3" t="s">
        <v>46</v>
      </c>
    </row>
    <row r="109" spans="1:45" x14ac:dyDescent="0.35">
      <c r="M109" t="s">
        <v>49</v>
      </c>
      <c r="N109">
        <v>4</v>
      </c>
      <c r="O109">
        <v>0</v>
      </c>
      <c r="P109">
        <v>6.5</v>
      </c>
      <c r="Q109">
        <v>0</v>
      </c>
      <c r="S109" t="s">
        <v>87</v>
      </c>
      <c r="T109">
        <v>3</v>
      </c>
      <c r="U109">
        <v>0</v>
      </c>
      <c r="V109">
        <v>6</v>
      </c>
      <c r="W109">
        <v>0</v>
      </c>
      <c r="X109" s="3" t="s">
        <v>46</v>
      </c>
      <c r="Z109" t="s">
        <v>29</v>
      </c>
      <c r="AA109">
        <v>6</v>
      </c>
      <c r="AB109">
        <v>0</v>
      </c>
      <c r="AC109">
        <v>5.67</v>
      </c>
      <c r="AD109">
        <v>0</v>
      </c>
      <c r="AE109" s="3" t="s">
        <v>45</v>
      </c>
      <c r="AG109" t="s">
        <v>116</v>
      </c>
      <c r="AH109">
        <v>5</v>
      </c>
      <c r="AI109">
        <v>0</v>
      </c>
      <c r="AJ109">
        <v>5.4</v>
      </c>
      <c r="AK109">
        <v>0</v>
      </c>
      <c r="AL109" s="3" t="s">
        <v>46</v>
      </c>
      <c r="AN109" t="s">
        <v>32</v>
      </c>
      <c r="AO109">
        <v>3</v>
      </c>
      <c r="AP109">
        <v>0</v>
      </c>
      <c r="AQ109">
        <v>5.33</v>
      </c>
      <c r="AR109">
        <v>0</v>
      </c>
      <c r="AS109" s="3" t="s">
        <v>46</v>
      </c>
    </row>
    <row r="110" spans="1:45" x14ac:dyDescent="0.35">
      <c r="M110" t="s">
        <v>20</v>
      </c>
      <c r="N110">
        <v>7</v>
      </c>
      <c r="O110">
        <v>0</v>
      </c>
      <c r="P110">
        <v>6.57</v>
      </c>
      <c r="Q110">
        <v>0</v>
      </c>
      <c r="S110" t="s">
        <v>49</v>
      </c>
      <c r="T110">
        <v>4</v>
      </c>
      <c r="U110">
        <v>0</v>
      </c>
      <c r="V110">
        <v>6.5</v>
      </c>
      <c r="W110">
        <v>0</v>
      </c>
      <c r="X110" s="3" t="s">
        <v>46</v>
      </c>
      <c r="Z110" t="s">
        <v>12</v>
      </c>
      <c r="AA110">
        <v>4</v>
      </c>
      <c r="AB110">
        <v>0</v>
      </c>
      <c r="AC110">
        <v>5.75</v>
      </c>
      <c r="AD110">
        <v>0</v>
      </c>
      <c r="AE110" s="3" t="s">
        <v>45</v>
      </c>
      <c r="AG110" t="s">
        <v>29</v>
      </c>
      <c r="AH110">
        <v>6</v>
      </c>
      <c r="AI110">
        <v>0</v>
      </c>
      <c r="AJ110">
        <v>5.67</v>
      </c>
      <c r="AK110">
        <v>0</v>
      </c>
      <c r="AL110" s="3" t="s">
        <v>46</v>
      </c>
      <c r="AN110" t="s">
        <v>116</v>
      </c>
      <c r="AO110">
        <v>5</v>
      </c>
      <c r="AP110">
        <v>0</v>
      </c>
      <c r="AQ110">
        <v>5.4</v>
      </c>
      <c r="AR110">
        <v>0</v>
      </c>
      <c r="AS110" s="3" t="s">
        <v>46</v>
      </c>
    </row>
    <row r="111" spans="1:45" x14ac:dyDescent="0.35">
      <c r="S111" t="s">
        <v>20</v>
      </c>
      <c r="T111">
        <v>7</v>
      </c>
      <c r="U111">
        <v>0</v>
      </c>
      <c r="V111">
        <v>6.57</v>
      </c>
      <c r="W111">
        <v>0</v>
      </c>
      <c r="X111" s="3" t="s">
        <v>46</v>
      </c>
      <c r="Z111" t="s">
        <v>87</v>
      </c>
      <c r="AA111">
        <v>3</v>
      </c>
      <c r="AB111">
        <v>0</v>
      </c>
      <c r="AC111">
        <v>6</v>
      </c>
      <c r="AD111">
        <v>0</v>
      </c>
      <c r="AE111" s="3" t="s">
        <v>45</v>
      </c>
      <c r="AG111" t="s">
        <v>12</v>
      </c>
      <c r="AH111">
        <v>4</v>
      </c>
      <c r="AI111">
        <v>0</v>
      </c>
      <c r="AJ111">
        <v>5.75</v>
      </c>
      <c r="AK111">
        <v>0</v>
      </c>
      <c r="AL111" s="3" t="s">
        <v>46</v>
      </c>
      <c r="AN111" t="s">
        <v>29</v>
      </c>
      <c r="AO111">
        <v>6</v>
      </c>
      <c r="AP111">
        <v>0</v>
      </c>
      <c r="AQ111">
        <v>5.67</v>
      </c>
      <c r="AR111">
        <v>0</v>
      </c>
      <c r="AS111" s="3" t="s">
        <v>46</v>
      </c>
    </row>
    <row r="112" spans="1:45" x14ac:dyDescent="0.35">
      <c r="Z112" t="s">
        <v>16</v>
      </c>
      <c r="AA112" s="6">
        <v>3</v>
      </c>
      <c r="AB112">
        <v>0</v>
      </c>
      <c r="AC112">
        <v>6</v>
      </c>
      <c r="AD112">
        <v>0</v>
      </c>
      <c r="AE112" s="3" t="s">
        <v>146</v>
      </c>
      <c r="AG112" t="s">
        <v>87</v>
      </c>
      <c r="AH112">
        <v>3</v>
      </c>
      <c r="AI112">
        <v>0</v>
      </c>
      <c r="AJ112">
        <v>6</v>
      </c>
      <c r="AK112">
        <v>0</v>
      </c>
      <c r="AL112" s="3" t="s">
        <v>46</v>
      </c>
      <c r="AN112" t="s">
        <v>12</v>
      </c>
      <c r="AO112">
        <v>4</v>
      </c>
      <c r="AP112">
        <v>0</v>
      </c>
      <c r="AQ112">
        <v>5.75</v>
      </c>
      <c r="AR112">
        <v>0</v>
      </c>
      <c r="AS112" s="3" t="s">
        <v>46</v>
      </c>
    </row>
    <row r="113" spans="1:54" x14ac:dyDescent="0.35">
      <c r="Z113" t="s">
        <v>49</v>
      </c>
      <c r="AA113">
        <v>4</v>
      </c>
      <c r="AB113">
        <v>0</v>
      </c>
      <c r="AC113">
        <v>6.5</v>
      </c>
      <c r="AD113">
        <v>0</v>
      </c>
      <c r="AE113" s="3" t="s">
        <v>54</v>
      </c>
      <c r="AG113" t="s">
        <v>16</v>
      </c>
      <c r="AH113">
        <v>3</v>
      </c>
      <c r="AI113">
        <v>0</v>
      </c>
      <c r="AJ113">
        <v>6</v>
      </c>
      <c r="AK113">
        <v>0</v>
      </c>
      <c r="AL113" s="3" t="s">
        <v>46</v>
      </c>
      <c r="AN113" t="s">
        <v>87</v>
      </c>
      <c r="AO113">
        <v>3</v>
      </c>
      <c r="AP113">
        <v>0</v>
      </c>
      <c r="AQ113">
        <v>6</v>
      </c>
      <c r="AR113">
        <v>0</v>
      </c>
      <c r="AS113" s="3" t="s">
        <v>46</v>
      </c>
    </row>
    <row r="114" spans="1:54" x14ac:dyDescent="0.35">
      <c r="Z114" t="s">
        <v>20</v>
      </c>
      <c r="AA114">
        <v>7</v>
      </c>
      <c r="AB114">
        <v>0</v>
      </c>
      <c r="AC114">
        <v>6.57</v>
      </c>
      <c r="AD114">
        <v>0</v>
      </c>
      <c r="AE114" s="3" t="s">
        <v>54</v>
      </c>
      <c r="AG114" t="s">
        <v>49</v>
      </c>
      <c r="AH114">
        <v>4</v>
      </c>
      <c r="AI114">
        <v>0</v>
      </c>
      <c r="AJ114">
        <v>6.5</v>
      </c>
      <c r="AK114">
        <v>0</v>
      </c>
      <c r="AL114" s="3" t="s">
        <v>46</v>
      </c>
      <c r="AN114" t="s">
        <v>16</v>
      </c>
      <c r="AO114">
        <v>3</v>
      </c>
      <c r="AP114">
        <v>0</v>
      </c>
      <c r="AQ114">
        <v>6</v>
      </c>
      <c r="AR114">
        <v>0</v>
      </c>
      <c r="AS114" s="3" t="s">
        <v>46</v>
      </c>
    </row>
    <row r="115" spans="1:54" x14ac:dyDescent="0.35">
      <c r="AG115" t="s">
        <v>20</v>
      </c>
      <c r="AH115">
        <v>7</v>
      </c>
      <c r="AI115">
        <v>0</v>
      </c>
      <c r="AJ115">
        <v>6.57</v>
      </c>
      <c r="AK115">
        <v>0</v>
      </c>
      <c r="AL115" s="3" t="s">
        <v>46</v>
      </c>
      <c r="AN115" t="s">
        <v>20</v>
      </c>
      <c r="AO115" s="6">
        <v>8</v>
      </c>
      <c r="AP115">
        <v>0</v>
      </c>
      <c r="AQ115">
        <v>6.25</v>
      </c>
      <c r="AR115">
        <v>0</v>
      </c>
      <c r="AS115" s="3" t="s">
        <v>46</v>
      </c>
    </row>
    <row r="116" spans="1:54" x14ac:dyDescent="0.35">
      <c r="AN116" t="s">
        <v>49</v>
      </c>
      <c r="AO116">
        <v>4</v>
      </c>
      <c r="AP116">
        <v>0</v>
      </c>
      <c r="AQ116">
        <v>6.5</v>
      </c>
      <c r="AR116">
        <v>0</v>
      </c>
      <c r="AS116" s="3" t="s">
        <v>46</v>
      </c>
    </row>
    <row r="118" spans="1:54" x14ac:dyDescent="0.35">
      <c r="A118" s="4" t="s">
        <v>42</v>
      </c>
      <c r="B118" s="4" t="s">
        <v>38</v>
      </c>
      <c r="C118" s="4" t="s">
        <v>39</v>
      </c>
      <c r="D118" s="4" t="s">
        <v>40</v>
      </c>
      <c r="E118" s="4" t="s">
        <v>111</v>
      </c>
      <c r="H118" s="4" t="s">
        <v>42</v>
      </c>
      <c r="I118" s="4" t="s">
        <v>38</v>
      </c>
      <c r="J118" s="4" t="s">
        <v>39</v>
      </c>
      <c r="K118" s="4" t="s">
        <v>40</v>
      </c>
      <c r="L118" s="4" t="s">
        <v>111</v>
      </c>
      <c r="O118" s="4" t="s">
        <v>42</v>
      </c>
      <c r="P118" s="4" t="s">
        <v>38</v>
      </c>
      <c r="Q118" s="4" t="s">
        <v>39</v>
      </c>
      <c r="R118" s="4" t="s">
        <v>40</v>
      </c>
      <c r="S118" s="4" t="s">
        <v>111</v>
      </c>
      <c r="V118" s="4" t="s">
        <v>42</v>
      </c>
      <c r="W118" s="4" t="s">
        <v>38</v>
      </c>
      <c r="X118" s="4" t="s">
        <v>39</v>
      </c>
      <c r="Y118" s="4" t="s">
        <v>40</v>
      </c>
      <c r="Z118" s="4" t="s">
        <v>111</v>
      </c>
      <c r="AC118" s="4" t="s">
        <v>42</v>
      </c>
      <c r="AD118" s="4" t="s">
        <v>38</v>
      </c>
      <c r="AE118" s="4" t="s">
        <v>39</v>
      </c>
      <c r="AF118" s="4" t="s">
        <v>40</v>
      </c>
      <c r="AG118" s="4" t="s">
        <v>111</v>
      </c>
      <c r="AJ118" s="4" t="s">
        <v>42</v>
      </c>
      <c r="AK118" s="4" t="s">
        <v>38</v>
      </c>
      <c r="AL118" s="4" t="s">
        <v>39</v>
      </c>
      <c r="AM118" s="4" t="s">
        <v>40</v>
      </c>
      <c r="AN118" s="4" t="s">
        <v>111</v>
      </c>
      <c r="AQ118" s="4" t="s">
        <v>42</v>
      </c>
      <c r="AR118" s="4" t="s">
        <v>38</v>
      </c>
      <c r="AS118" s="4" t="s">
        <v>39</v>
      </c>
      <c r="AT118" s="4" t="s">
        <v>40</v>
      </c>
      <c r="AU118" s="4" t="s">
        <v>111</v>
      </c>
      <c r="AW118" s="4" t="s">
        <v>42</v>
      </c>
      <c r="AX118" s="4" t="s">
        <v>38</v>
      </c>
      <c r="AY118" s="4" t="s">
        <v>39</v>
      </c>
      <c r="AZ118" s="4" t="s">
        <v>40</v>
      </c>
      <c r="BA118" s="4" t="s">
        <v>111</v>
      </c>
    </row>
    <row r="119" spans="1:54" x14ac:dyDescent="0.35">
      <c r="A119" t="s">
        <v>129</v>
      </c>
      <c r="B119" s="6">
        <v>5</v>
      </c>
      <c r="C119" s="6">
        <v>2</v>
      </c>
      <c r="D119">
        <v>3.4</v>
      </c>
      <c r="E119" s="7">
        <v>0.4</v>
      </c>
      <c r="F119" s="2" t="s">
        <v>153</v>
      </c>
      <c r="H119" t="s">
        <v>129</v>
      </c>
      <c r="I119">
        <v>5</v>
      </c>
      <c r="J119">
        <v>2</v>
      </c>
      <c r="K119">
        <v>3.4</v>
      </c>
      <c r="L119">
        <v>0.4</v>
      </c>
      <c r="O119" t="s">
        <v>121</v>
      </c>
      <c r="P119" s="6">
        <v>3</v>
      </c>
      <c r="Q119">
        <v>1</v>
      </c>
      <c r="R119">
        <v>2.33</v>
      </c>
      <c r="S119">
        <v>0.33</v>
      </c>
      <c r="T119" s="10" t="s">
        <v>157</v>
      </c>
      <c r="V119" t="s">
        <v>121</v>
      </c>
      <c r="W119">
        <v>3</v>
      </c>
      <c r="X119">
        <v>1</v>
      </c>
      <c r="Y119">
        <v>2.33</v>
      </c>
      <c r="Z119">
        <v>0.33</v>
      </c>
      <c r="AC119" t="s">
        <v>121</v>
      </c>
      <c r="AD119" s="6">
        <v>4</v>
      </c>
      <c r="AE119">
        <v>1</v>
      </c>
      <c r="AF119">
        <v>2.5</v>
      </c>
      <c r="AG119">
        <v>0.25</v>
      </c>
      <c r="AJ119" t="s">
        <v>112</v>
      </c>
      <c r="AK119">
        <v>3</v>
      </c>
      <c r="AL119">
        <v>3</v>
      </c>
      <c r="AM119">
        <v>1</v>
      </c>
      <c r="AN119" s="7">
        <v>1</v>
      </c>
      <c r="AO119" s="14" t="s">
        <v>178</v>
      </c>
      <c r="AQ119" t="s">
        <v>112</v>
      </c>
      <c r="AR119" s="6">
        <v>4</v>
      </c>
      <c r="AS119">
        <v>3</v>
      </c>
      <c r="AT119">
        <v>2.25</v>
      </c>
      <c r="AU119" s="7">
        <v>0.75</v>
      </c>
      <c r="AW119" t="s">
        <v>112</v>
      </c>
      <c r="AX119">
        <v>4</v>
      </c>
      <c r="AY119">
        <v>3</v>
      </c>
      <c r="AZ119">
        <v>2.25</v>
      </c>
      <c r="BA119" s="7">
        <v>0.75</v>
      </c>
    </row>
    <row r="120" spans="1:54" x14ac:dyDescent="0.35">
      <c r="A120" t="s">
        <v>22</v>
      </c>
      <c r="B120" s="6">
        <v>27</v>
      </c>
      <c r="C120">
        <v>6</v>
      </c>
      <c r="D120">
        <v>3.56</v>
      </c>
      <c r="E120">
        <v>0.22</v>
      </c>
      <c r="H120" t="s">
        <v>22</v>
      </c>
      <c r="I120" s="6">
        <v>29</v>
      </c>
      <c r="J120">
        <v>6</v>
      </c>
      <c r="K120">
        <v>3.59</v>
      </c>
      <c r="L120">
        <v>0.21</v>
      </c>
      <c r="O120" t="s">
        <v>128</v>
      </c>
      <c r="P120" s="6">
        <v>7</v>
      </c>
      <c r="Q120">
        <v>1</v>
      </c>
      <c r="R120">
        <v>3.43</v>
      </c>
      <c r="S120">
        <v>0.14000000000000001</v>
      </c>
      <c r="T120" s="2" t="s">
        <v>133</v>
      </c>
      <c r="V120" t="s">
        <v>128</v>
      </c>
      <c r="W120" s="6">
        <v>8</v>
      </c>
      <c r="X120">
        <v>1</v>
      </c>
      <c r="Y120">
        <v>3.5</v>
      </c>
      <c r="Z120">
        <v>0.13</v>
      </c>
      <c r="AC120" t="s">
        <v>128</v>
      </c>
      <c r="AD120" s="6">
        <v>9</v>
      </c>
      <c r="AE120" s="6">
        <v>2</v>
      </c>
      <c r="AF120">
        <v>3.22</v>
      </c>
      <c r="AG120">
        <v>0.22</v>
      </c>
      <c r="AJ120" t="s">
        <v>78</v>
      </c>
      <c r="AK120">
        <v>3</v>
      </c>
      <c r="AL120">
        <v>1</v>
      </c>
      <c r="AM120">
        <v>2.33</v>
      </c>
      <c r="AN120">
        <v>0.33</v>
      </c>
      <c r="AO120" s="10" t="s">
        <v>179</v>
      </c>
      <c r="AQ120" t="s">
        <v>78</v>
      </c>
      <c r="AR120">
        <v>3</v>
      </c>
      <c r="AS120">
        <v>1</v>
      </c>
      <c r="AT120">
        <v>2.33</v>
      </c>
      <c r="AU120">
        <v>0.33</v>
      </c>
      <c r="AW120" t="s">
        <v>78</v>
      </c>
      <c r="AX120">
        <v>3</v>
      </c>
      <c r="AY120">
        <v>1</v>
      </c>
      <c r="AZ120">
        <v>2.33</v>
      </c>
      <c r="BA120">
        <v>0.33</v>
      </c>
    </row>
    <row r="121" spans="1:54" x14ac:dyDescent="0.35">
      <c r="A121" t="s">
        <v>52</v>
      </c>
      <c r="B121">
        <v>6</v>
      </c>
      <c r="C121">
        <v>0</v>
      </c>
      <c r="D121">
        <v>3.67</v>
      </c>
      <c r="E121">
        <v>0</v>
      </c>
      <c r="H121" t="s">
        <v>52</v>
      </c>
      <c r="I121">
        <v>6</v>
      </c>
      <c r="J121">
        <v>0</v>
      </c>
      <c r="K121">
        <v>3.67</v>
      </c>
      <c r="L121">
        <v>0</v>
      </c>
      <c r="O121" t="s">
        <v>129</v>
      </c>
      <c r="P121" s="6">
        <v>6</v>
      </c>
      <c r="Q121">
        <v>2</v>
      </c>
      <c r="R121">
        <v>3.5</v>
      </c>
      <c r="S121">
        <v>0.33</v>
      </c>
      <c r="T121" s="3" t="s">
        <v>45</v>
      </c>
      <c r="V121" t="s">
        <v>35</v>
      </c>
      <c r="W121" s="6">
        <v>13</v>
      </c>
      <c r="X121">
        <v>5</v>
      </c>
      <c r="Y121">
        <v>3.54</v>
      </c>
      <c r="Z121" s="7">
        <v>0.38</v>
      </c>
      <c r="AA121" s="2" t="s">
        <v>59</v>
      </c>
      <c r="AC121" t="s">
        <v>147</v>
      </c>
      <c r="AD121" s="6">
        <v>3</v>
      </c>
      <c r="AE121">
        <v>0</v>
      </c>
      <c r="AF121">
        <v>3.33</v>
      </c>
      <c r="AG121">
        <v>0</v>
      </c>
      <c r="AH121" s="10" t="s">
        <v>165</v>
      </c>
      <c r="AJ121" t="s">
        <v>128</v>
      </c>
      <c r="AK121">
        <v>11</v>
      </c>
      <c r="AL121">
        <v>4</v>
      </c>
      <c r="AM121">
        <v>2.82</v>
      </c>
      <c r="AN121">
        <v>0.36</v>
      </c>
      <c r="AO121" s="3" t="s">
        <v>46</v>
      </c>
      <c r="AQ121" t="s">
        <v>128</v>
      </c>
      <c r="AR121">
        <v>11</v>
      </c>
      <c r="AS121">
        <v>4</v>
      </c>
      <c r="AT121">
        <v>2.82</v>
      </c>
      <c r="AU121">
        <v>0.36</v>
      </c>
      <c r="AW121" t="s">
        <v>128</v>
      </c>
      <c r="AX121" s="6">
        <v>12</v>
      </c>
      <c r="AY121" s="6">
        <v>5</v>
      </c>
      <c r="AZ121">
        <v>2.67</v>
      </c>
      <c r="BA121">
        <v>0.42</v>
      </c>
    </row>
    <row r="122" spans="1:54" x14ac:dyDescent="0.35">
      <c r="A122" t="s">
        <v>115</v>
      </c>
      <c r="B122">
        <v>3</v>
      </c>
      <c r="C122">
        <v>0</v>
      </c>
      <c r="D122">
        <v>3.67</v>
      </c>
      <c r="E122">
        <v>0</v>
      </c>
      <c r="H122" t="s">
        <v>115</v>
      </c>
      <c r="I122">
        <v>3</v>
      </c>
      <c r="J122">
        <v>0</v>
      </c>
      <c r="K122">
        <v>3.67</v>
      </c>
      <c r="L122">
        <v>0</v>
      </c>
      <c r="O122" t="s">
        <v>52</v>
      </c>
      <c r="P122">
        <v>6</v>
      </c>
      <c r="Q122">
        <v>0</v>
      </c>
      <c r="R122">
        <v>3.67</v>
      </c>
      <c r="S122">
        <v>0</v>
      </c>
      <c r="T122" s="3" t="s">
        <v>46</v>
      </c>
      <c r="V122" t="s">
        <v>52</v>
      </c>
      <c r="W122">
        <v>6</v>
      </c>
      <c r="X122">
        <v>0</v>
      </c>
      <c r="Y122">
        <v>3.67</v>
      </c>
      <c r="Z122">
        <v>0</v>
      </c>
      <c r="AC122" t="s">
        <v>35</v>
      </c>
      <c r="AD122">
        <v>13</v>
      </c>
      <c r="AE122">
        <v>5</v>
      </c>
      <c r="AF122">
        <v>3.54</v>
      </c>
      <c r="AG122" s="7">
        <v>0.38</v>
      </c>
      <c r="AH122" s="3" t="s">
        <v>46</v>
      </c>
      <c r="AJ122" t="s">
        <v>121</v>
      </c>
      <c r="AK122">
        <v>10</v>
      </c>
      <c r="AL122">
        <v>2</v>
      </c>
      <c r="AM122">
        <v>3.2</v>
      </c>
      <c r="AN122">
        <v>0.2</v>
      </c>
      <c r="AO122" s="3" t="s">
        <v>54</v>
      </c>
      <c r="AQ122" t="s">
        <v>121</v>
      </c>
      <c r="AR122">
        <v>10</v>
      </c>
      <c r="AS122">
        <v>2</v>
      </c>
      <c r="AT122">
        <v>3.2</v>
      </c>
      <c r="AU122">
        <v>0.2</v>
      </c>
      <c r="AW122" t="s">
        <v>121</v>
      </c>
      <c r="AX122">
        <v>10</v>
      </c>
      <c r="AY122">
        <v>2</v>
      </c>
      <c r="AZ122">
        <v>3.2</v>
      </c>
      <c r="BA122">
        <v>0.2</v>
      </c>
    </row>
    <row r="123" spans="1:54" x14ac:dyDescent="0.35">
      <c r="A123" t="s">
        <v>128</v>
      </c>
      <c r="B123" s="6">
        <v>6</v>
      </c>
      <c r="C123">
        <v>1</v>
      </c>
      <c r="D123">
        <v>3.67</v>
      </c>
      <c r="E123">
        <v>0.17</v>
      </c>
      <c r="F123" s="3" t="s">
        <v>55</v>
      </c>
      <c r="H123" t="s">
        <v>35</v>
      </c>
      <c r="I123" s="6">
        <v>12</v>
      </c>
      <c r="J123" s="6">
        <v>5</v>
      </c>
      <c r="K123">
        <v>3.67</v>
      </c>
      <c r="L123" s="7">
        <v>0.42</v>
      </c>
      <c r="M123" s="2" t="s">
        <v>59</v>
      </c>
      <c r="O123" t="s">
        <v>115</v>
      </c>
      <c r="P123">
        <v>3</v>
      </c>
      <c r="Q123">
        <v>0</v>
      </c>
      <c r="R123">
        <v>3.67</v>
      </c>
      <c r="S123">
        <v>0</v>
      </c>
      <c r="T123" s="3" t="s">
        <v>46</v>
      </c>
      <c r="V123" t="s">
        <v>115</v>
      </c>
      <c r="W123">
        <v>3</v>
      </c>
      <c r="X123">
        <v>0</v>
      </c>
      <c r="Y123">
        <v>3.67</v>
      </c>
      <c r="Z123">
        <v>0</v>
      </c>
      <c r="AC123" t="s">
        <v>52</v>
      </c>
      <c r="AD123">
        <v>6</v>
      </c>
      <c r="AE123">
        <v>0</v>
      </c>
      <c r="AF123">
        <v>3.67</v>
      </c>
      <c r="AG123">
        <v>0</v>
      </c>
      <c r="AH123" s="3" t="s">
        <v>46</v>
      </c>
      <c r="AJ123" t="s">
        <v>147</v>
      </c>
      <c r="AK123">
        <v>3</v>
      </c>
      <c r="AL123">
        <v>0</v>
      </c>
      <c r="AM123">
        <v>3.33</v>
      </c>
      <c r="AN123">
        <v>0</v>
      </c>
      <c r="AO123" s="3" t="s">
        <v>45</v>
      </c>
      <c r="AQ123" t="s">
        <v>147</v>
      </c>
      <c r="AR123">
        <v>3</v>
      </c>
      <c r="AS123">
        <v>0</v>
      </c>
      <c r="AT123">
        <v>3.33</v>
      </c>
      <c r="AU123">
        <v>0</v>
      </c>
      <c r="AW123" t="s">
        <v>52</v>
      </c>
      <c r="AX123">
        <v>6</v>
      </c>
      <c r="AY123">
        <v>0</v>
      </c>
      <c r="AZ123">
        <v>3.67</v>
      </c>
      <c r="BA123">
        <v>0</v>
      </c>
      <c r="BB123" s="2" t="s">
        <v>44</v>
      </c>
    </row>
    <row r="124" spans="1:54" x14ac:dyDescent="0.35">
      <c r="A124" t="s">
        <v>63</v>
      </c>
      <c r="B124">
        <v>5</v>
      </c>
      <c r="C124">
        <v>1</v>
      </c>
      <c r="D124">
        <v>3.8</v>
      </c>
      <c r="E124">
        <v>0.2</v>
      </c>
      <c r="F124" s="3" t="s">
        <v>46</v>
      </c>
      <c r="H124" t="s">
        <v>128</v>
      </c>
      <c r="I124">
        <v>6</v>
      </c>
      <c r="J124">
        <v>1</v>
      </c>
      <c r="K124">
        <v>3.67</v>
      </c>
      <c r="L124">
        <v>0.17</v>
      </c>
      <c r="M124" s="3" t="s">
        <v>46</v>
      </c>
      <c r="O124" t="s">
        <v>35</v>
      </c>
      <c r="P124">
        <v>12</v>
      </c>
      <c r="Q124">
        <v>5</v>
      </c>
      <c r="R124">
        <v>3.67</v>
      </c>
      <c r="S124" s="7">
        <v>0.42</v>
      </c>
      <c r="T124" s="3" t="s">
        <v>46</v>
      </c>
      <c r="V124" t="s">
        <v>22</v>
      </c>
      <c r="W124" s="6">
        <v>32</v>
      </c>
      <c r="X124">
        <v>6</v>
      </c>
      <c r="Y124">
        <v>3.78</v>
      </c>
      <c r="Z124">
        <v>0.19</v>
      </c>
      <c r="AA124" s="2" t="s">
        <v>44</v>
      </c>
      <c r="AC124" t="s">
        <v>115</v>
      </c>
      <c r="AD124">
        <v>3</v>
      </c>
      <c r="AE124">
        <v>0</v>
      </c>
      <c r="AF124">
        <v>3.67</v>
      </c>
      <c r="AG124">
        <v>0</v>
      </c>
      <c r="AH124" s="3" t="s">
        <v>46</v>
      </c>
      <c r="AJ124" t="s">
        <v>52</v>
      </c>
      <c r="AK124">
        <v>6</v>
      </c>
      <c r="AL124">
        <v>0</v>
      </c>
      <c r="AM124">
        <v>3.67</v>
      </c>
      <c r="AN124">
        <v>0</v>
      </c>
      <c r="AO124" s="3" t="s">
        <v>46</v>
      </c>
      <c r="AQ124" t="s">
        <v>52</v>
      </c>
      <c r="AR124">
        <v>6</v>
      </c>
      <c r="AS124">
        <v>0</v>
      </c>
      <c r="AT124">
        <v>3.67</v>
      </c>
      <c r="AU124">
        <v>0</v>
      </c>
      <c r="AW124" t="s">
        <v>115</v>
      </c>
      <c r="AX124">
        <v>3</v>
      </c>
      <c r="AY124">
        <v>0</v>
      </c>
      <c r="AZ124">
        <v>3.67</v>
      </c>
      <c r="BA124">
        <v>0</v>
      </c>
      <c r="BB124" s="2" t="s">
        <v>44</v>
      </c>
    </row>
    <row r="125" spans="1:54" x14ac:dyDescent="0.35">
      <c r="A125" t="s">
        <v>0</v>
      </c>
      <c r="B125">
        <v>9</v>
      </c>
      <c r="C125">
        <v>1</v>
      </c>
      <c r="D125">
        <v>3.89</v>
      </c>
      <c r="E125">
        <v>0.11</v>
      </c>
      <c r="F125" s="2" t="s">
        <v>44</v>
      </c>
      <c r="H125" t="s">
        <v>63</v>
      </c>
      <c r="I125">
        <v>5</v>
      </c>
      <c r="J125">
        <v>1</v>
      </c>
      <c r="K125">
        <v>3.8</v>
      </c>
      <c r="L125">
        <v>0.2</v>
      </c>
      <c r="M125" s="3" t="s">
        <v>46</v>
      </c>
      <c r="O125" t="s">
        <v>22</v>
      </c>
      <c r="P125" s="6">
        <v>31</v>
      </c>
      <c r="Q125">
        <v>6</v>
      </c>
      <c r="R125">
        <v>3.68</v>
      </c>
      <c r="S125">
        <v>0.19</v>
      </c>
      <c r="T125" s="3" t="s">
        <v>94</v>
      </c>
      <c r="V125" t="s">
        <v>63</v>
      </c>
      <c r="W125">
        <v>5</v>
      </c>
      <c r="X125">
        <v>1</v>
      </c>
      <c r="Y125">
        <v>3.8</v>
      </c>
      <c r="Z125">
        <v>0.2</v>
      </c>
      <c r="AC125" t="s">
        <v>22</v>
      </c>
      <c r="AD125">
        <v>32</v>
      </c>
      <c r="AE125">
        <v>6</v>
      </c>
      <c r="AF125">
        <v>3.78</v>
      </c>
      <c r="AG125">
        <v>0.19</v>
      </c>
      <c r="AH125" s="3" t="s">
        <v>46</v>
      </c>
      <c r="AJ125" t="s">
        <v>115</v>
      </c>
      <c r="AK125">
        <v>3</v>
      </c>
      <c r="AL125">
        <v>0</v>
      </c>
      <c r="AM125">
        <v>3.67</v>
      </c>
      <c r="AN125">
        <v>0</v>
      </c>
      <c r="AO125" s="3" t="s">
        <v>46</v>
      </c>
      <c r="AQ125" t="s">
        <v>115</v>
      </c>
      <c r="AR125">
        <v>3</v>
      </c>
      <c r="AS125">
        <v>0</v>
      </c>
      <c r="AT125">
        <v>3.67</v>
      </c>
      <c r="AU125">
        <v>0</v>
      </c>
      <c r="AW125" t="s">
        <v>122</v>
      </c>
      <c r="AX125">
        <v>3</v>
      </c>
      <c r="AY125">
        <v>0</v>
      </c>
      <c r="AZ125">
        <v>3.67</v>
      </c>
      <c r="BA125">
        <v>0</v>
      </c>
      <c r="BB125" s="2" t="s">
        <v>44</v>
      </c>
    </row>
    <row r="126" spans="1:54" x14ac:dyDescent="0.35">
      <c r="A126" t="s">
        <v>35</v>
      </c>
      <c r="B126" s="6">
        <v>11</v>
      </c>
      <c r="C126">
        <v>4</v>
      </c>
      <c r="D126">
        <v>3.91</v>
      </c>
      <c r="E126">
        <v>0.36</v>
      </c>
      <c r="F126" s="3" t="s">
        <v>45</v>
      </c>
      <c r="H126" t="s">
        <v>0</v>
      </c>
      <c r="I126">
        <v>9</v>
      </c>
      <c r="J126">
        <v>1</v>
      </c>
      <c r="K126">
        <v>3.89</v>
      </c>
      <c r="L126">
        <v>0.11</v>
      </c>
      <c r="M126" s="3" t="s">
        <v>46</v>
      </c>
      <c r="O126" t="s">
        <v>63</v>
      </c>
      <c r="P126">
        <v>5</v>
      </c>
      <c r="Q126">
        <v>1</v>
      </c>
      <c r="R126">
        <v>3.8</v>
      </c>
      <c r="S126">
        <v>0.2</v>
      </c>
      <c r="T126" s="3" t="s">
        <v>46</v>
      </c>
      <c r="V126" t="s">
        <v>129</v>
      </c>
      <c r="W126" s="6">
        <v>7</v>
      </c>
      <c r="X126">
        <v>2</v>
      </c>
      <c r="Y126">
        <v>3.86</v>
      </c>
      <c r="Z126">
        <v>0.28999999999999998</v>
      </c>
      <c r="AA126" s="3" t="s">
        <v>94</v>
      </c>
      <c r="AC126" t="s">
        <v>63</v>
      </c>
      <c r="AD126">
        <v>5</v>
      </c>
      <c r="AE126">
        <v>1</v>
      </c>
      <c r="AF126">
        <v>3.8</v>
      </c>
      <c r="AG126">
        <v>0.2</v>
      </c>
      <c r="AH126" s="3" t="s">
        <v>46</v>
      </c>
      <c r="AJ126" t="s">
        <v>122</v>
      </c>
      <c r="AK126">
        <v>3</v>
      </c>
      <c r="AL126">
        <v>0</v>
      </c>
      <c r="AM126">
        <v>3.67</v>
      </c>
      <c r="AN126">
        <v>0</v>
      </c>
      <c r="AO126" s="15" t="s">
        <v>180</v>
      </c>
      <c r="AQ126" t="s">
        <v>122</v>
      </c>
      <c r="AR126">
        <v>3</v>
      </c>
      <c r="AS126">
        <v>0</v>
      </c>
      <c r="AT126">
        <v>3.67</v>
      </c>
      <c r="AU126">
        <v>0</v>
      </c>
      <c r="AW126" t="s">
        <v>0</v>
      </c>
      <c r="AX126">
        <v>13</v>
      </c>
      <c r="AY126">
        <v>1</v>
      </c>
      <c r="AZ126">
        <v>3.69</v>
      </c>
      <c r="BA126">
        <v>0.08</v>
      </c>
      <c r="BB126" s="2" t="s">
        <v>44</v>
      </c>
    </row>
    <row r="127" spans="1:54" x14ac:dyDescent="0.35">
      <c r="A127" t="s">
        <v>15</v>
      </c>
      <c r="B127" s="8">
        <v>42</v>
      </c>
      <c r="C127">
        <v>11</v>
      </c>
      <c r="D127">
        <v>3.95</v>
      </c>
      <c r="E127">
        <v>0.26</v>
      </c>
      <c r="F127" s="3" t="s">
        <v>45</v>
      </c>
      <c r="H127" t="s">
        <v>15</v>
      </c>
      <c r="I127" s="6">
        <v>43</v>
      </c>
      <c r="J127">
        <v>11</v>
      </c>
      <c r="K127">
        <v>3.95</v>
      </c>
      <c r="L127">
        <v>0.26</v>
      </c>
      <c r="O127" t="s">
        <v>0</v>
      </c>
      <c r="P127">
        <v>9</v>
      </c>
      <c r="Q127">
        <v>1</v>
      </c>
      <c r="R127">
        <v>3.89</v>
      </c>
      <c r="S127">
        <v>0.11</v>
      </c>
      <c r="T127" s="3" t="s">
        <v>46</v>
      </c>
      <c r="V127" t="s">
        <v>0</v>
      </c>
      <c r="W127">
        <v>9</v>
      </c>
      <c r="X127">
        <v>1</v>
      </c>
      <c r="Y127">
        <v>3.89</v>
      </c>
      <c r="Z127">
        <v>0.11</v>
      </c>
      <c r="AC127" t="s">
        <v>129</v>
      </c>
      <c r="AD127">
        <v>7</v>
      </c>
      <c r="AE127">
        <v>2</v>
      </c>
      <c r="AF127">
        <v>3.86</v>
      </c>
      <c r="AG127">
        <v>0.28999999999999998</v>
      </c>
      <c r="AH127" s="3" t="s">
        <v>46</v>
      </c>
      <c r="AJ127" t="s">
        <v>0</v>
      </c>
      <c r="AK127">
        <v>13</v>
      </c>
      <c r="AL127">
        <v>1</v>
      </c>
      <c r="AM127">
        <v>3.69</v>
      </c>
      <c r="AN127">
        <v>0.08</v>
      </c>
      <c r="AO127" s="2" t="s">
        <v>44</v>
      </c>
      <c r="AQ127" t="s">
        <v>0</v>
      </c>
      <c r="AR127">
        <v>13</v>
      </c>
      <c r="AS127">
        <v>1</v>
      </c>
      <c r="AT127">
        <v>3.69</v>
      </c>
      <c r="AU127">
        <v>0.08</v>
      </c>
      <c r="AW127" t="s">
        <v>148</v>
      </c>
      <c r="AX127">
        <v>4</v>
      </c>
      <c r="AY127">
        <v>0</v>
      </c>
      <c r="AZ127">
        <v>3.75</v>
      </c>
      <c r="BA127">
        <v>0</v>
      </c>
      <c r="BB127" s="2" t="s">
        <v>44</v>
      </c>
    </row>
    <row r="128" spans="1:54" x14ac:dyDescent="0.35">
      <c r="A128" t="s">
        <v>36</v>
      </c>
      <c r="B128">
        <v>3</v>
      </c>
      <c r="C128">
        <v>0</v>
      </c>
      <c r="D128">
        <v>4</v>
      </c>
      <c r="E128">
        <v>0</v>
      </c>
      <c r="H128" t="s">
        <v>36</v>
      </c>
      <c r="I128">
        <v>3</v>
      </c>
      <c r="J128">
        <v>0</v>
      </c>
      <c r="K128">
        <v>4</v>
      </c>
      <c r="L128">
        <v>0</v>
      </c>
      <c r="O128" t="s">
        <v>36</v>
      </c>
      <c r="P128">
        <v>3</v>
      </c>
      <c r="Q128">
        <v>0</v>
      </c>
      <c r="R128">
        <v>4</v>
      </c>
      <c r="S128">
        <v>0</v>
      </c>
      <c r="V128" t="s">
        <v>36</v>
      </c>
      <c r="W128">
        <v>3</v>
      </c>
      <c r="X128">
        <v>0</v>
      </c>
      <c r="Y128">
        <v>4</v>
      </c>
      <c r="Z128">
        <v>0</v>
      </c>
      <c r="AC128" t="s">
        <v>0</v>
      </c>
      <c r="AD128">
        <v>9</v>
      </c>
      <c r="AE128">
        <v>1</v>
      </c>
      <c r="AF128">
        <v>3.89</v>
      </c>
      <c r="AG128">
        <v>0.11</v>
      </c>
      <c r="AH128" s="3" t="s">
        <v>46</v>
      </c>
      <c r="AJ128" t="s">
        <v>148</v>
      </c>
      <c r="AK128">
        <v>4</v>
      </c>
      <c r="AL128">
        <v>0</v>
      </c>
      <c r="AM128">
        <v>3.75</v>
      </c>
      <c r="AN128">
        <v>0</v>
      </c>
      <c r="AO128" s="2" t="s">
        <v>181</v>
      </c>
      <c r="AQ128" t="s">
        <v>148</v>
      </c>
      <c r="AR128">
        <v>4</v>
      </c>
      <c r="AS128">
        <v>0</v>
      </c>
      <c r="AT128">
        <v>3.75</v>
      </c>
      <c r="AU128">
        <v>0</v>
      </c>
      <c r="AW128" t="s">
        <v>35</v>
      </c>
      <c r="AX128">
        <v>17</v>
      </c>
      <c r="AY128">
        <v>5</v>
      </c>
      <c r="AZ128">
        <v>3.76</v>
      </c>
      <c r="BA128">
        <v>0.28999999999999998</v>
      </c>
      <c r="BB128" s="2" t="s">
        <v>44</v>
      </c>
    </row>
    <row r="129" spans="1:54" x14ac:dyDescent="0.35">
      <c r="A129" t="s">
        <v>58</v>
      </c>
      <c r="B129">
        <v>3</v>
      </c>
      <c r="C129">
        <v>0</v>
      </c>
      <c r="D129">
        <v>4</v>
      </c>
      <c r="E129">
        <v>0</v>
      </c>
      <c r="H129" t="s">
        <v>58</v>
      </c>
      <c r="I129">
        <v>3</v>
      </c>
      <c r="J129">
        <v>0</v>
      </c>
      <c r="K129">
        <v>4</v>
      </c>
      <c r="L129">
        <v>0</v>
      </c>
      <c r="O129" t="s">
        <v>15</v>
      </c>
      <c r="P129" s="8">
        <v>45</v>
      </c>
      <c r="Q129" s="7">
        <v>11</v>
      </c>
      <c r="R129">
        <v>4</v>
      </c>
      <c r="S129">
        <v>0.24</v>
      </c>
      <c r="T129" s="3" t="s">
        <v>46</v>
      </c>
      <c r="V129" t="s">
        <v>58</v>
      </c>
      <c r="W129">
        <v>3</v>
      </c>
      <c r="X129">
        <v>0</v>
      </c>
      <c r="Y129">
        <v>4</v>
      </c>
      <c r="Z129">
        <v>0</v>
      </c>
      <c r="AC129" t="s">
        <v>36</v>
      </c>
      <c r="AD129">
        <v>3</v>
      </c>
      <c r="AE129">
        <v>0</v>
      </c>
      <c r="AF129">
        <v>4</v>
      </c>
      <c r="AG129">
        <v>0</v>
      </c>
      <c r="AH129" s="3" t="s">
        <v>46</v>
      </c>
      <c r="AJ129" t="s">
        <v>63</v>
      </c>
      <c r="AK129">
        <v>5</v>
      </c>
      <c r="AL129">
        <v>1</v>
      </c>
      <c r="AM129">
        <v>3.8</v>
      </c>
      <c r="AN129">
        <v>0.2</v>
      </c>
      <c r="AO129" s="3" t="s">
        <v>54</v>
      </c>
      <c r="AQ129" t="s">
        <v>35</v>
      </c>
      <c r="AR129" s="6">
        <v>17</v>
      </c>
      <c r="AS129">
        <v>5</v>
      </c>
      <c r="AT129">
        <v>3.76</v>
      </c>
      <c r="AU129">
        <v>0.28999999999999998</v>
      </c>
      <c r="AV129" s="2" t="s">
        <v>47</v>
      </c>
      <c r="AW129" t="s">
        <v>63</v>
      </c>
      <c r="AX129">
        <v>5</v>
      </c>
      <c r="AY129">
        <v>1</v>
      </c>
      <c r="AZ129">
        <v>3.8</v>
      </c>
      <c r="BA129">
        <v>0.2</v>
      </c>
      <c r="BB129" s="2" t="s">
        <v>44</v>
      </c>
    </row>
    <row r="130" spans="1:54" x14ac:dyDescent="0.35">
      <c r="A130" t="s">
        <v>23</v>
      </c>
      <c r="B130">
        <v>5</v>
      </c>
      <c r="C130">
        <v>0</v>
      </c>
      <c r="D130">
        <v>4</v>
      </c>
      <c r="E130">
        <v>0</v>
      </c>
      <c r="H130" t="s">
        <v>23</v>
      </c>
      <c r="I130">
        <v>5</v>
      </c>
      <c r="J130">
        <v>0</v>
      </c>
      <c r="K130">
        <v>4</v>
      </c>
      <c r="L130">
        <v>0</v>
      </c>
      <c r="O130" t="s">
        <v>58</v>
      </c>
      <c r="P130">
        <v>3</v>
      </c>
      <c r="Q130">
        <v>0</v>
      </c>
      <c r="R130">
        <v>4</v>
      </c>
      <c r="S130">
        <v>0</v>
      </c>
      <c r="V130" t="s">
        <v>23</v>
      </c>
      <c r="W130">
        <v>5</v>
      </c>
      <c r="X130">
        <v>0</v>
      </c>
      <c r="Y130">
        <v>4</v>
      </c>
      <c r="Z130">
        <v>0</v>
      </c>
      <c r="AC130" t="s">
        <v>58</v>
      </c>
      <c r="AD130">
        <v>3</v>
      </c>
      <c r="AE130">
        <v>0</v>
      </c>
      <c r="AF130">
        <v>4</v>
      </c>
      <c r="AG130">
        <v>0</v>
      </c>
      <c r="AH130" s="3" t="s">
        <v>46</v>
      </c>
      <c r="AJ130" t="s">
        <v>22</v>
      </c>
      <c r="AK130">
        <v>40</v>
      </c>
      <c r="AL130">
        <v>7</v>
      </c>
      <c r="AM130">
        <v>3.88</v>
      </c>
      <c r="AN130">
        <v>0.18</v>
      </c>
      <c r="AO130" s="3" t="s">
        <v>94</v>
      </c>
      <c r="AQ130" t="s">
        <v>63</v>
      </c>
      <c r="AR130">
        <v>5</v>
      </c>
      <c r="AS130">
        <v>1</v>
      </c>
      <c r="AT130">
        <v>3.8</v>
      </c>
      <c r="AU130">
        <v>0.2</v>
      </c>
      <c r="AV130" s="3" t="s">
        <v>46</v>
      </c>
      <c r="AW130" t="s">
        <v>22</v>
      </c>
      <c r="AX130" s="6">
        <v>42</v>
      </c>
      <c r="AY130">
        <v>7</v>
      </c>
      <c r="AZ130">
        <v>3.95</v>
      </c>
      <c r="BA130">
        <v>0.17</v>
      </c>
      <c r="BB130" s="2" t="s">
        <v>44</v>
      </c>
    </row>
    <row r="131" spans="1:54" x14ac:dyDescent="0.35">
      <c r="A131" t="s">
        <v>26</v>
      </c>
      <c r="B131">
        <v>4</v>
      </c>
      <c r="C131">
        <v>1</v>
      </c>
      <c r="D131">
        <v>4</v>
      </c>
      <c r="E131">
        <v>0.25</v>
      </c>
      <c r="H131" t="s">
        <v>26</v>
      </c>
      <c r="I131">
        <v>4</v>
      </c>
      <c r="J131">
        <v>1</v>
      </c>
      <c r="K131">
        <v>4</v>
      </c>
      <c r="L131">
        <v>0.25</v>
      </c>
      <c r="O131" t="s">
        <v>23</v>
      </c>
      <c r="P131">
        <v>5</v>
      </c>
      <c r="Q131">
        <v>0</v>
      </c>
      <c r="R131">
        <v>4</v>
      </c>
      <c r="S131">
        <v>0</v>
      </c>
      <c r="V131" t="s">
        <v>26</v>
      </c>
      <c r="W131">
        <v>4</v>
      </c>
      <c r="X131">
        <v>1</v>
      </c>
      <c r="Y131">
        <v>4</v>
      </c>
      <c r="Z131">
        <v>0.25</v>
      </c>
      <c r="AC131" t="s">
        <v>23</v>
      </c>
      <c r="AD131">
        <v>5</v>
      </c>
      <c r="AE131">
        <v>0</v>
      </c>
      <c r="AF131">
        <v>4</v>
      </c>
      <c r="AG131">
        <v>0</v>
      </c>
      <c r="AH131" s="3" t="s">
        <v>46</v>
      </c>
      <c r="AJ131" t="s">
        <v>35</v>
      </c>
      <c r="AK131">
        <v>16</v>
      </c>
      <c r="AL131">
        <v>5</v>
      </c>
      <c r="AM131">
        <v>3.88</v>
      </c>
      <c r="AN131">
        <v>0.31</v>
      </c>
      <c r="AO131" s="3" t="s">
        <v>84</v>
      </c>
      <c r="AQ131" t="s">
        <v>22</v>
      </c>
      <c r="AR131" s="6">
        <v>41</v>
      </c>
      <c r="AS131">
        <v>7</v>
      </c>
      <c r="AT131">
        <v>3.95</v>
      </c>
      <c r="AU131">
        <v>0.17</v>
      </c>
      <c r="AV131" s="3" t="s">
        <v>46</v>
      </c>
      <c r="AW131" t="s">
        <v>36</v>
      </c>
      <c r="AX131">
        <v>3</v>
      </c>
      <c r="AY131">
        <v>0</v>
      </c>
      <c r="AZ131">
        <v>4</v>
      </c>
      <c r="BA131">
        <v>0</v>
      </c>
      <c r="BB131" s="2" t="s">
        <v>44</v>
      </c>
    </row>
    <row r="132" spans="1:54" x14ac:dyDescent="0.35">
      <c r="A132" t="s">
        <v>14</v>
      </c>
      <c r="B132">
        <v>29</v>
      </c>
      <c r="C132">
        <v>2</v>
      </c>
      <c r="D132">
        <v>4.07</v>
      </c>
      <c r="E132">
        <v>7.0000000000000007E-2</v>
      </c>
      <c r="F132" s="2" t="s">
        <v>44</v>
      </c>
      <c r="H132" t="s">
        <v>14</v>
      </c>
      <c r="I132">
        <v>29</v>
      </c>
      <c r="J132">
        <v>2</v>
      </c>
      <c r="K132">
        <v>4.07</v>
      </c>
      <c r="L132">
        <v>7.0000000000000007E-2</v>
      </c>
      <c r="O132" t="s">
        <v>26</v>
      </c>
      <c r="P132">
        <v>4</v>
      </c>
      <c r="Q132">
        <v>1</v>
      </c>
      <c r="R132">
        <v>4</v>
      </c>
      <c r="S132">
        <v>0.25</v>
      </c>
      <c r="V132" t="s">
        <v>135</v>
      </c>
      <c r="W132">
        <v>3</v>
      </c>
      <c r="X132">
        <v>1</v>
      </c>
      <c r="Y132">
        <v>4</v>
      </c>
      <c r="Z132">
        <v>0.33</v>
      </c>
      <c r="AC132" t="s">
        <v>26</v>
      </c>
      <c r="AD132">
        <v>4</v>
      </c>
      <c r="AE132">
        <v>1</v>
      </c>
      <c r="AF132">
        <v>4</v>
      </c>
      <c r="AG132">
        <v>0.25</v>
      </c>
      <c r="AH132" s="3" t="s">
        <v>46</v>
      </c>
      <c r="AJ132" t="s">
        <v>36</v>
      </c>
      <c r="AK132">
        <v>3</v>
      </c>
      <c r="AL132">
        <v>0</v>
      </c>
      <c r="AM132">
        <v>4</v>
      </c>
      <c r="AN132">
        <v>0</v>
      </c>
      <c r="AO132" s="3" t="s">
        <v>54</v>
      </c>
      <c r="AQ132" t="s">
        <v>36</v>
      </c>
      <c r="AR132">
        <v>3</v>
      </c>
      <c r="AS132">
        <v>0</v>
      </c>
      <c r="AT132">
        <v>4</v>
      </c>
      <c r="AU132">
        <v>0</v>
      </c>
      <c r="AW132" t="s">
        <v>58</v>
      </c>
      <c r="AX132">
        <v>3</v>
      </c>
      <c r="AY132">
        <v>0</v>
      </c>
      <c r="AZ132">
        <v>4</v>
      </c>
      <c r="BA132">
        <v>0</v>
      </c>
      <c r="BB132" s="2" t="s">
        <v>44</v>
      </c>
    </row>
    <row r="133" spans="1:54" x14ac:dyDescent="0.35">
      <c r="A133" t="s">
        <v>8</v>
      </c>
      <c r="B133">
        <v>28</v>
      </c>
      <c r="C133">
        <v>5</v>
      </c>
      <c r="D133">
        <v>4.1100000000000003</v>
      </c>
      <c r="E133">
        <v>0.18</v>
      </c>
      <c r="F133" s="2" t="s">
        <v>44</v>
      </c>
      <c r="H133" t="s">
        <v>79</v>
      </c>
      <c r="I133">
        <v>9</v>
      </c>
      <c r="J133">
        <v>0</v>
      </c>
      <c r="K133">
        <v>4.22</v>
      </c>
      <c r="L133">
        <v>0</v>
      </c>
      <c r="M133" s="2" t="s">
        <v>44</v>
      </c>
      <c r="O133" t="s">
        <v>135</v>
      </c>
      <c r="P133" s="6">
        <v>3</v>
      </c>
      <c r="Q133" s="6">
        <v>1</v>
      </c>
      <c r="R133">
        <v>4</v>
      </c>
      <c r="S133">
        <v>0.33</v>
      </c>
      <c r="T133" s="11" t="s">
        <v>158</v>
      </c>
      <c r="V133" t="s">
        <v>14</v>
      </c>
      <c r="W133">
        <v>29</v>
      </c>
      <c r="X133">
        <v>2</v>
      </c>
      <c r="Y133">
        <v>4.07</v>
      </c>
      <c r="Z133">
        <v>7.0000000000000007E-2</v>
      </c>
      <c r="AA133" s="2" t="s">
        <v>44</v>
      </c>
      <c r="AC133" t="s">
        <v>135</v>
      </c>
      <c r="AD133">
        <v>3</v>
      </c>
      <c r="AE133">
        <v>1</v>
      </c>
      <c r="AF133">
        <v>4</v>
      </c>
      <c r="AG133">
        <v>0.33</v>
      </c>
      <c r="AH133" s="3" t="s">
        <v>46</v>
      </c>
      <c r="AJ133" t="s">
        <v>58</v>
      </c>
      <c r="AK133">
        <v>3</v>
      </c>
      <c r="AL133">
        <v>0</v>
      </c>
      <c r="AM133">
        <v>4</v>
      </c>
      <c r="AN133">
        <v>0</v>
      </c>
      <c r="AO133" s="3" t="s">
        <v>54</v>
      </c>
      <c r="AQ133" t="s">
        <v>58</v>
      </c>
      <c r="AR133">
        <v>3</v>
      </c>
      <c r="AS133">
        <v>0</v>
      </c>
      <c r="AT133">
        <v>4</v>
      </c>
      <c r="AU133">
        <v>0</v>
      </c>
      <c r="AW133" t="s">
        <v>23</v>
      </c>
      <c r="AX133">
        <v>5</v>
      </c>
      <c r="AY133">
        <v>0</v>
      </c>
      <c r="AZ133">
        <v>4</v>
      </c>
      <c r="BA133">
        <v>0</v>
      </c>
      <c r="BB133" s="2" t="s">
        <v>44</v>
      </c>
    </row>
    <row r="134" spans="1:54" x14ac:dyDescent="0.35">
      <c r="A134" t="s">
        <v>79</v>
      </c>
      <c r="B134">
        <v>9</v>
      </c>
      <c r="C134">
        <v>0</v>
      </c>
      <c r="D134">
        <v>4.22</v>
      </c>
      <c r="E134">
        <v>0</v>
      </c>
      <c r="F134" s="2" t="s">
        <v>44</v>
      </c>
      <c r="H134" t="s">
        <v>8</v>
      </c>
      <c r="I134" s="6">
        <v>29</v>
      </c>
      <c r="J134">
        <v>5</v>
      </c>
      <c r="K134">
        <v>4.24</v>
      </c>
      <c r="L134">
        <v>0.17</v>
      </c>
      <c r="M134" s="3" t="s">
        <v>46</v>
      </c>
      <c r="O134" t="s">
        <v>14</v>
      </c>
      <c r="P134">
        <v>29</v>
      </c>
      <c r="Q134">
        <v>2</v>
      </c>
      <c r="R134">
        <v>4.07</v>
      </c>
      <c r="S134">
        <v>7.0000000000000007E-2</v>
      </c>
      <c r="T134" s="3" t="s">
        <v>45</v>
      </c>
      <c r="V134" t="s">
        <v>15</v>
      </c>
      <c r="W134" s="8">
        <v>46</v>
      </c>
      <c r="X134">
        <v>11</v>
      </c>
      <c r="Y134">
        <v>4.09</v>
      </c>
      <c r="Z134">
        <v>0.24</v>
      </c>
      <c r="AA134" s="3" t="s">
        <v>94</v>
      </c>
      <c r="AC134" t="s">
        <v>14</v>
      </c>
      <c r="AD134">
        <v>29</v>
      </c>
      <c r="AE134">
        <v>2</v>
      </c>
      <c r="AF134">
        <v>4.07</v>
      </c>
      <c r="AG134">
        <v>7.0000000000000007E-2</v>
      </c>
      <c r="AH134" s="3" t="s">
        <v>46</v>
      </c>
      <c r="AJ134" t="s">
        <v>23</v>
      </c>
      <c r="AK134">
        <v>5</v>
      </c>
      <c r="AL134">
        <v>0</v>
      </c>
      <c r="AM134">
        <v>4</v>
      </c>
      <c r="AN134">
        <v>0</v>
      </c>
      <c r="AO134" s="3" t="s">
        <v>54</v>
      </c>
      <c r="AQ134" t="s">
        <v>23</v>
      </c>
      <c r="AR134">
        <v>5</v>
      </c>
      <c r="AS134">
        <v>0</v>
      </c>
      <c r="AT134">
        <v>4</v>
      </c>
      <c r="AU134">
        <v>0</v>
      </c>
      <c r="AW134" t="s">
        <v>135</v>
      </c>
      <c r="AX134">
        <v>3</v>
      </c>
      <c r="AY134">
        <v>1</v>
      </c>
      <c r="AZ134">
        <v>4</v>
      </c>
      <c r="BA134">
        <v>0.33</v>
      </c>
      <c r="BB134" s="2" t="s">
        <v>44</v>
      </c>
    </row>
    <row r="135" spans="1:54" x14ac:dyDescent="0.35">
      <c r="A135" t="s">
        <v>104</v>
      </c>
      <c r="B135">
        <v>12</v>
      </c>
      <c r="C135">
        <v>1</v>
      </c>
      <c r="D135">
        <v>4.25</v>
      </c>
      <c r="E135">
        <v>0.08</v>
      </c>
      <c r="F135" s="2" t="s">
        <v>44</v>
      </c>
      <c r="H135" t="s">
        <v>104</v>
      </c>
      <c r="I135">
        <v>12</v>
      </c>
      <c r="J135">
        <v>1</v>
      </c>
      <c r="K135">
        <v>4.25</v>
      </c>
      <c r="L135">
        <v>0.08</v>
      </c>
      <c r="O135" t="s">
        <v>79</v>
      </c>
      <c r="P135">
        <v>9</v>
      </c>
      <c r="Q135">
        <v>0</v>
      </c>
      <c r="R135">
        <v>4.22</v>
      </c>
      <c r="S135">
        <v>0</v>
      </c>
      <c r="T135" s="3" t="s">
        <v>45</v>
      </c>
      <c r="V135" t="s">
        <v>24</v>
      </c>
      <c r="W135" s="6">
        <v>11</v>
      </c>
      <c r="X135">
        <v>1</v>
      </c>
      <c r="Y135">
        <v>4.18</v>
      </c>
      <c r="Z135">
        <v>0.09</v>
      </c>
      <c r="AA135" s="2" t="s">
        <v>132</v>
      </c>
      <c r="AC135" t="s">
        <v>15</v>
      </c>
      <c r="AD135" s="6">
        <v>47</v>
      </c>
      <c r="AE135">
        <v>11</v>
      </c>
      <c r="AF135">
        <v>4.13</v>
      </c>
      <c r="AG135">
        <v>0.23</v>
      </c>
      <c r="AH135" s="3" t="s">
        <v>46</v>
      </c>
      <c r="AJ135" t="s">
        <v>135</v>
      </c>
      <c r="AK135">
        <v>3</v>
      </c>
      <c r="AL135">
        <v>1</v>
      </c>
      <c r="AM135">
        <v>4</v>
      </c>
      <c r="AN135">
        <v>0.33</v>
      </c>
      <c r="AO135" s="3" t="s">
        <v>54</v>
      </c>
      <c r="AQ135" t="s">
        <v>135</v>
      </c>
      <c r="AR135">
        <v>3</v>
      </c>
      <c r="AS135">
        <v>1</v>
      </c>
      <c r="AT135">
        <v>4</v>
      </c>
      <c r="AU135">
        <v>0.33</v>
      </c>
      <c r="AW135" t="s">
        <v>26</v>
      </c>
      <c r="AX135">
        <v>4</v>
      </c>
      <c r="AY135">
        <v>1</v>
      </c>
      <c r="AZ135">
        <v>4</v>
      </c>
      <c r="BA135">
        <v>0.25</v>
      </c>
      <c r="BB135" s="2" t="s">
        <v>44</v>
      </c>
    </row>
    <row r="136" spans="1:54" x14ac:dyDescent="0.35">
      <c r="A136" t="s">
        <v>117</v>
      </c>
      <c r="B136">
        <v>4</v>
      </c>
      <c r="C136">
        <v>1</v>
      </c>
      <c r="D136">
        <v>4.25</v>
      </c>
      <c r="E136">
        <v>0.25</v>
      </c>
      <c r="F136" s="2" t="s">
        <v>44</v>
      </c>
      <c r="H136" t="s">
        <v>117</v>
      </c>
      <c r="I136">
        <v>4</v>
      </c>
      <c r="J136">
        <v>1</v>
      </c>
      <c r="K136">
        <v>4.25</v>
      </c>
      <c r="L136">
        <v>0.25</v>
      </c>
      <c r="O136" t="s">
        <v>8</v>
      </c>
      <c r="P136">
        <v>29</v>
      </c>
      <c r="Q136">
        <v>5</v>
      </c>
      <c r="R136">
        <v>4.24</v>
      </c>
      <c r="S136">
        <v>0.17</v>
      </c>
      <c r="T136" s="3" t="s">
        <v>45</v>
      </c>
      <c r="V136" t="s">
        <v>79</v>
      </c>
      <c r="W136">
        <v>9</v>
      </c>
      <c r="X136">
        <v>0</v>
      </c>
      <c r="Y136">
        <v>4.22</v>
      </c>
      <c r="Z136">
        <v>0</v>
      </c>
      <c r="AA136" s="3" t="s">
        <v>46</v>
      </c>
      <c r="AC136" t="s">
        <v>24</v>
      </c>
      <c r="AD136">
        <v>11</v>
      </c>
      <c r="AE136">
        <v>1</v>
      </c>
      <c r="AF136">
        <v>4.18</v>
      </c>
      <c r="AG136">
        <v>0.09</v>
      </c>
      <c r="AH136" s="3" t="s">
        <v>46</v>
      </c>
      <c r="AJ136" t="s">
        <v>26</v>
      </c>
      <c r="AK136">
        <v>4</v>
      </c>
      <c r="AL136">
        <v>1</v>
      </c>
      <c r="AM136">
        <v>4</v>
      </c>
      <c r="AN136">
        <v>0.25</v>
      </c>
      <c r="AO136" s="3" t="s">
        <v>54</v>
      </c>
      <c r="AQ136" t="s">
        <v>26</v>
      </c>
      <c r="AR136">
        <v>4</v>
      </c>
      <c r="AS136">
        <v>1</v>
      </c>
      <c r="AT136">
        <v>4</v>
      </c>
      <c r="AU136">
        <v>0.25</v>
      </c>
      <c r="AW136" t="s">
        <v>2</v>
      </c>
      <c r="AX136">
        <v>4</v>
      </c>
      <c r="AY136">
        <v>1</v>
      </c>
      <c r="AZ136">
        <v>4</v>
      </c>
      <c r="BA136">
        <v>0.25</v>
      </c>
      <c r="BB136" s="2" t="s">
        <v>44</v>
      </c>
    </row>
    <row r="137" spans="1:54" x14ac:dyDescent="0.35">
      <c r="A137" t="s">
        <v>7</v>
      </c>
      <c r="B137">
        <v>4</v>
      </c>
      <c r="C137">
        <v>1</v>
      </c>
      <c r="D137">
        <v>4.25</v>
      </c>
      <c r="E137">
        <v>0.25</v>
      </c>
      <c r="F137" s="2" t="s">
        <v>44</v>
      </c>
      <c r="H137" t="s">
        <v>7</v>
      </c>
      <c r="I137">
        <v>4</v>
      </c>
      <c r="J137">
        <v>1</v>
      </c>
      <c r="K137">
        <v>4.25</v>
      </c>
      <c r="L137">
        <v>0.25</v>
      </c>
      <c r="O137" t="s">
        <v>104</v>
      </c>
      <c r="P137">
        <v>12</v>
      </c>
      <c r="Q137">
        <v>1</v>
      </c>
      <c r="R137">
        <v>4.25</v>
      </c>
      <c r="S137">
        <v>0.08</v>
      </c>
      <c r="T137" s="3" t="s">
        <v>45</v>
      </c>
      <c r="V137" t="s">
        <v>8</v>
      </c>
      <c r="W137">
        <v>29</v>
      </c>
      <c r="X137">
        <v>5</v>
      </c>
      <c r="Y137">
        <v>4.24</v>
      </c>
      <c r="Z137">
        <v>0.17</v>
      </c>
      <c r="AA137" s="3" t="s">
        <v>46</v>
      </c>
      <c r="AC137" t="s">
        <v>79</v>
      </c>
      <c r="AD137">
        <v>9</v>
      </c>
      <c r="AE137">
        <v>0</v>
      </c>
      <c r="AF137">
        <v>4.22</v>
      </c>
      <c r="AG137">
        <v>0</v>
      </c>
      <c r="AH137" s="3" t="s">
        <v>46</v>
      </c>
      <c r="AJ137" t="s">
        <v>2</v>
      </c>
      <c r="AK137">
        <v>4</v>
      </c>
      <c r="AL137">
        <v>1</v>
      </c>
      <c r="AM137">
        <v>4</v>
      </c>
      <c r="AN137">
        <v>0.25</v>
      </c>
      <c r="AO137" s="3" t="s">
        <v>54</v>
      </c>
      <c r="AQ137" t="s">
        <v>2</v>
      </c>
      <c r="AR137">
        <v>4</v>
      </c>
      <c r="AS137">
        <v>1</v>
      </c>
      <c r="AT137">
        <v>4</v>
      </c>
      <c r="AU137">
        <v>0.25</v>
      </c>
      <c r="AW137" t="s">
        <v>14</v>
      </c>
      <c r="AX137">
        <v>30</v>
      </c>
      <c r="AY137">
        <v>2</v>
      </c>
      <c r="AZ137">
        <v>4.17</v>
      </c>
      <c r="BA137">
        <v>7.0000000000000007E-2</v>
      </c>
      <c r="BB137" s="2" t="s">
        <v>44</v>
      </c>
    </row>
    <row r="138" spans="1:54" x14ac:dyDescent="0.35">
      <c r="A138" t="s">
        <v>113</v>
      </c>
      <c r="B138">
        <v>4</v>
      </c>
      <c r="C138">
        <v>0</v>
      </c>
      <c r="D138">
        <v>4.25</v>
      </c>
      <c r="E138">
        <v>0</v>
      </c>
      <c r="F138" s="2" t="s">
        <v>44</v>
      </c>
      <c r="H138" t="s">
        <v>113</v>
      </c>
      <c r="I138">
        <v>4</v>
      </c>
      <c r="J138">
        <v>0</v>
      </c>
      <c r="K138">
        <v>4.25</v>
      </c>
      <c r="L138">
        <v>0</v>
      </c>
      <c r="O138" t="s">
        <v>117</v>
      </c>
      <c r="P138">
        <v>4</v>
      </c>
      <c r="Q138">
        <v>1</v>
      </c>
      <c r="R138">
        <v>4.25</v>
      </c>
      <c r="S138">
        <v>0.25</v>
      </c>
      <c r="T138" s="3" t="s">
        <v>45</v>
      </c>
      <c r="V138" t="s">
        <v>104</v>
      </c>
      <c r="W138">
        <v>12</v>
      </c>
      <c r="X138">
        <v>1</v>
      </c>
      <c r="Y138">
        <v>4.25</v>
      </c>
      <c r="Z138">
        <v>0.08</v>
      </c>
      <c r="AA138" s="3" t="s">
        <v>46</v>
      </c>
      <c r="AC138" t="s">
        <v>8</v>
      </c>
      <c r="AD138">
        <v>29</v>
      </c>
      <c r="AE138">
        <v>5</v>
      </c>
      <c r="AF138">
        <v>4.24</v>
      </c>
      <c r="AG138">
        <v>0.17</v>
      </c>
      <c r="AH138" s="3" t="s">
        <v>46</v>
      </c>
      <c r="AJ138" t="s">
        <v>129</v>
      </c>
      <c r="AK138">
        <v>11</v>
      </c>
      <c r="AL138">
        <v>2</v>
      </c>
      <c r="AM138">
        <v>4.09</v>
      </c>
      <c r="AN138">
        <v>0.18</v>
      </c>
      <c r="AO138" s="3" t="s">
        <v>144</v>
      </c>
      <c r="AQ138" t="s">
        <v>14</v>
      </c>
      <c r="AR138">
        <v>30</v>
      </c>
      <c r="AS138">
        <v>2</v>
      </c>
      <c r="AT138">
        <v>4.17</v>
      </c>
      <c r="AU138">
        <v>7.0000000000000007E-2</v>
      </c>
      <c r="AV138" s="2" t="s">
        <v>44</v>
      </c>
      <c r="AW138" t="s">
        <v>15</v>
      </c>
      <c r="AX138" s="7">
        <v>48</v>
      </c>
      <c r="AY138" s="7">
        <v>11</v>
      </c>
      <c r="AZ138">
        <v>4.1900000000000004</v>
      </c>
      <c r="BA138">
        <v>0.23</v>
      </c>
      <c r="BB138" s="2" t="s">
        <v>47</v>
      </c>
    </row>
    <row r="139" spans="1:54" x14ac:dyDescent="0.35">
      <c r="A139" t="s">
        <v>10</v>
      </c>
      <c r="B139">
        <v>22</v>
      </c>
      <c r="C139">
        <v>3</v>
      </c>
      <c r="D139">
        <v>4.2699999999999996</v>
      </c>
      <c r="E139">
        <v>0.14000000000000001</v>
      </c>
      <c r="F139" s="2" t="s">
        <v>44</v>
      </c>
      <c r="H139" t="s">
        <v>10</v>
      </c>
      <c r="I139">
        <v>22</v>
      </c>
      <c r="J139">
        <v>3</v>
      </c>
      <c r="K139">
        <v>4.2699999999999996</v>
      </c>
      <c r="L139">
        <v>0.14000000000000001</v>
      </c>
      <c r="O139" t="s">
        <v>7</v>
      </c>
      <c r="P139">
        <v>4</v>
      </c>
      <c r="Q139">
        <v>1</v>
      </c>
      <c r="R139">
        <v>4.25</v>
      </c>
      <c r="S139">
        <v>0.25</v>
      </c>
      <c r="T139" s="3" t="s">
        <v>45</v>
      </c>
      <c r="V139" t="s">
        <v>117</v>
      </c>
      <c r="W139">
        <v>4</v>
      </c>
      <c r="X139">
        <v>1</v>
      </c>
      <c r="Y139">
        <v>4.25</v>
      </c>
      <c r="Z139">
        <v>0.25</v>
      </c>
      <c r="AA139" s="3" t="s">
        <v>46</v>
      </c>
      <c r="AC139" t="s">
        <v>104</v>
      </c>
      <c r="AD139">
        <v>12</v>
      </c>
      <c r="AE139">
        <v>1</v>
      </c>
      <c r="AF139">
        <v>4.25</v>
      </c>
      <c r="AG139">
        <v>0.08</v>
      </c>
      <c r="AH139" s="3" t="s">
        <v>46</v>
      </c>
      <c r="AJ139" t="s">
        <v>14</v>
      </c>
      <c r="AK139">
        <v>30</v>
      </c>
      <c r="AL139">
        <v>2</v>
      </c>
      <c r="AM139">
        <v>4.17</v>
      </c>
      <c r="AN139">
        <v>7.0000000000000007E-2</v>
      </c>
      <c r="AO139" s="3" t="s">
        <v>94</v>
      </c>
      <c r="AQ139" t="s">
        <v>129</v>
      </c>
      <c r="AR139" s="6">
        <v>12</v>
      </c>
      <c r="AS139">
        <v>2</v>
      </c>
      <c r="AT139">
        <v>4.17</v>
      </c>
      <c r="AU139">
        <v>0.17</v>
      </c>
      <c r="AV139" s="3" t="s">
        <v>46</v>
      </c>
      <c r="AW139" t="s">
        <v>79</v>
      </c>
      <c r="AX139">
        <v>9</v>
      </c>
      <c r="AY139">
        <v>0</v>
      </c>
      <c r="AZ139">
        <v>4.22</v>
      </c>
      <c r="BA139">
        <v>0</v>
      </c>
      <c r="BB139" s="2" t="s">
        <v>47</v>
      </c>
    </row>
    <row r="140" spans="1:54" x14ac:dyDescent="0.35">
      <c r="A140" t="s">
        <v>24</v>
      </c>
      <c r="B140">
        <v>10</v>
      </c>
      <c r="C140">
        <v>1</v>
      </c>
      <c r="D140">
        <v>4.3</v>
      </c>
      <c r="E140">
        <v>0.1</v>
      </c>
      <c r="F140" s="2" t="s">
        <v>44</v>
      </c>
      <c r="H140" t="s">
        <v>24</v>
      </c>
      <c r="I140">
        <v>10</v>
      </c>
      <c r="J140">
        <v>1</v>
      </c>
      <c r="K140">
        <v>4.3</v>
      </c>
      <c r="L140">
        <v>0.1</v>
      </c>
      <c r="O140" t="s">
        <v>113</v>
      </c>
      <c r="P140">
        <v>4</v>
      </c>
      <c r="Q140">
        <v>0</v>
      </c>
      <c r="R140">
        <v>4.25</v>
      </c>
      <c r="S140">
        <v>0</v>
      </c>
      <c r="T140" s="3" t="s">
        <v>45</v>
      </c>
      <c r="V140" t="s">
        <v>7</v>
      </c>
      <c r="W140">
        <v>4</v>
      </c>
      <c r="X140">
        <v>1</v>
      </c>
      <c r="Y140">
        <v>4.25</v>
      </c>
      <c r="Z140">
        <v>0.25</v>
      </c>
      <c r="AA140" s="3" t="s">
        <v>46</v>
      </c>
      <c r="AC140" t="s">
        <v>117</v>
      </c>
      <c r="AD140">
        <v>4</v>
      </c>
      <c r="AE140">
        <v>1</v>
      </c>
      <c r="AF140">
        <v>4.25</v>
      </c>
      <c r="AG140">
        <v>0.25</v>
      </c>
      <c r="AH140" s="3" t="s">
        <v>46</v>
      </c>
      <c r="AJ140" t="s">
        <v>15</v>
      </c>
      <c r="AK140" s="7">
        <v>48</v>
      </c>
      <c r="AL140" s="7">
        <v>11</v>
      </c>
      <c r="AM140">
        <v>4.1900000000000004</v>
      </c>
      <c r="AN140">
        <v>0.23</v>
      </c>
      <c r="AO140" s="3" t="s">
        <v>94</v>
      </c>
      <c r="AQ140" t="s">
        <v>15</v>
      </c>
      <c r="AR140">
        <v>48</v>
      </c>
      <c r="AS140">
        <v>11</v>
      </c>
      <c r="AT140">
        <v>4.1900000000000004</v>
      </c>
      <c r="AU140">
        <v>0.23</v>
      </c>
      <c r="AW140" t="s">
        <v>129</v>
      </c>
      <c r="AX140" s="6">
        <v>13</v>
      </c>
      <c r="AY140">
        <v>2</v>
      </c>
      <c r="AZ140">
        <v>4.2300000000000004</v>
      </c>
      <c r="BA140">
        <v>0.15</v>
      </c>
      <c r="BB140" s="3" t="s">
        <v>46</v>
      </c>
    </row>
    <row r="141" spans="1:54" x14ac:dyDescent="0.35">
      <c r="A141" t="s">
        <v>34</v>
      </c>
      <c r="B141">
        <v>3</v>
      </c>
      <c r="C141">
        <v>1</v>
      </c>
      <c r="D141">
        <v>4.33</v>
      </c>
      <c r="E141">
        <v>0.33</v>
      </c>
      <c r="F141" s="2" t="s">
        <v>44</v>
      </c>
      <c r="H141" t="s">
        <v>34</v>
      </c>
      <c r="I141">
        <v>3</v>
      </c>
      <c r="J141">
        <v>1</v>
      </c>
      <c r="K141">
        <v>4.33</v>
      </c>
      <c r="L141">
        <v>0.33</v>
      </c>
      <c r="O141" t="s">
        <v>10</v>
      </c>
      <c r="P141">
        <v>22</v>
      </c>
      <c r="Q141">
        <v>3</v>
      </c>
      <c r="R141">
        <v>4.2699999999999996</v>
      </c>
      <c r="S141">
        <v>0.14000000000000001</v>
      </c>
      <c r="T141" s="3" t="s">
        <v>45</v>
      </c>
      <c r="V141" t="s">
        <v>113</v>
      </c>
      <c r="W141">
        <v>4</v>
      </c>
      <c r="X141">
        <v>0</v>
      </c>
      <c r="Y141">
        <v>4.25</v>
      </c>
      <c r="Z141">
        <v>0</v>
      </c>
      <c r="AA141" s="3" t="s">
        <v>46</v>
      </c>
      <c r="AC141" t="s">
        <v>7</v>
      </c>
      <c r="AD141">
        <v>4</v>
      </c>
      <c r="AE141">
        <v>1</v>
      </c>
      <c r="AF141">
        <v>4.25</v>
      </c>
      <c r="AG141">
        <v>0.25</v>
      </c>
      <c r="AH141" s="3" t="s">
        <v>46</v>
      </c>
      <c r="AJ141" t="s">
        <v>79</v>
      </c>
      <c r="AK141">
        <v>9</v>
      </c>
      <c r="AL141">
        <v>0</v>
      </c>
      <c r="AM141">
        <v>4.22</v>
      </c>
      <c r="AN141">
        <v>0</v>
      </c>
      <c r="AO141" s="3" t="s">
        <v>55</v>
      </c>
      <c r="AQ141" t="s">
        <v>79</v>
      </c>
      <c r="AR141">
        <v>9</v>
      </c>
      <c r="AS141">
        <v>0</v>
      </c>
      <c r="AT141">
        <v>4.22</v>
      </c>
      <c r="AU141">
        <v>0</v>
      </c>
      <c r="AW141" t="s">
        <v>8</v>
      </c>
      <c r="AX141">
        <v>29</v>
      </c>
      <c r="AY141">
        <v>5</v>
      </c>
      <c r="AZ141">
        <v>4.24</v>
      </c>
      <c r="BA141">
        <v>0.17</v>
      </c>
      <c r="BB141" s="2" t="s">
        <v>44</v>
      </c>
    </row>
    <row r="142" spans="1:54" x14ac:dyDescent="0.35">
      <c r="A142" t="s">
        <v>21</v>
      </c>
      <c r="B142">
        <v>3</v>
      </c>
      <c r="C142">
        <v>0</v>
      </c>
      <c r="D142">
        <v>4.33</v>
      </c>
      <c r="E142">
        <v>0</v>
      </c>
      <c r="F142" s="2" t="s">
        <v>44</v>
      </c>
      <c r="H142" t="s">
        <v>21</v>
      </c>
      <c r="I142">
        <v>3</v>
      </c>
      <c r="J142">
        <v>0</v>
      </c>
      <c r="K142">
        <v>4.33</v>
      </c>
      <c r="L142">
        <v>0</v>
      </c>
      <c r="O142" t="s">
        <v>24</v>
      </c>
      <c r="P142">
        <v>10</v>
      </c>
      <c r="Q142">
        <v>1</v>
      </c>
      <c r="R142">
        <v>4.3</v>
      </c>
      <c r="S142">
        <v>0.1</v>
      </c>
      <c r="T142" s="3" t="s">
        <v>45</v>
      </c>
      <c r="V142" t="s">
        <v>10</v>
      </c>
      <c r="W142">
        <v>22</v>
      </c>
      <c r="X142">
        <v>3</v>
      </c>
      <c r="Y142">
        <v>4.2699999999999996</v>
      </c>
      <c r="Z142">
        <v>0.14000000000000001</v>
      </c>
      <c r="AA142" s="3" t="s">
        <v>46</v>
      </c>
      <c r="AC142" t="s">
        <v>113</v>
      </c>
      <c r="AD142">
        <v>4</v>
      </c>
      <c r="AE142">
        <v>0</v>
      </c>
      <c r="AF142">
        <v>4.25</v>
      </c>
      <c r="AG142">
        <v>0</v>
      </c>
      <c r="AH142" s="3" t="s">
        <v>46</v>
      </c>
      <c r="AJ142" t="s">
        <v>8</v>
      </c>
      <c r="AK142">
        <v>29</v>
      </c>
      <c r="AL142">
        <v>5</v>
      </c>
      <c r="AM142">
        <v>4.24</v>
      </c>
      <c r="AN142">
        <v>0.17</v>
      </c>
      <c r="AO142" s="3" t="s">
        <v>55</v>
      </c>
      <c r="AQ142" t="s">
        <v>8</v>
      </c>
      <c r="AR142">
        <v>29</v>
      </c>
      <c r="AS142">
        <v>5</v>
      </c>
      <c r="AT142">
        <v>4.24</v>
      </c>
      <c r="AU142">
        <v>0.17</v>
      </c>
      <c r="AW142" t="s">
        <v>147</v>
      </c>
      <c r="AX142" s="6">
        <v>4</v>
      </c>
      <c r="AY142">
        <v>0</v>
      </c>
      <c r="AZ142">
        <v>4.25</v>
      </c>
      <c r="BA142">
        <v>0</v>
      </c>
      <c r="BB142" s="3" t="s">
        <v>193</v>
      </c>
    </row>
    <row r="143" spans="1:54" x14ac:dyDescent="0.35">
      <c r="A143" t="s">
        <v>28</v>
      </c>
      <c r="B143">
        <v>3</v>
      </c>
      <c r="C143">
        <v>0</v>
      </c>
      <c r="D143">
        <v>4.33</v>
      </c>
      <c r="E143">
        <v>0</v>
      </c>
      <c r="F143" s="2" t="s">
        <v>44</v>
      </c>
      <c r="H143" t="s">
        <v>28</v>
      </c>
      <c r="I143">
        <v>3</v>
      </c>
      <c r="J143">
        <v>0</v>
      </c>
      <c r="K143">
        <v>4.33</v>
      </c>
      <c r="L143">
        <v>0</v>
      </c>
      <c r="O143" t="s">
        <v>34</v>
      </c>
      <c r="P143">
        <v>3</v>
      </c>
      <c r="Q143">
        <v>1</v>
      </c>
      <c r="R143">
        <v>4.33</v>
      </c>
      <c r="S143">
        <v>0.33</v>
      </c>
      <c r="T143" s="3" t="s">
        <v>45</v>
      </c>
      <c r="V143" t="s">
        <v>34</v>
      </c>
      <c r="W143">
        <v>3</v>
      </c>
      <c r="X143">
        <v>1</v>
      </c>
      <c r="Y143">
        <v>4.33</v>
      </c>
      <c r="Z143">
        <v>0.33</v>
      </c>
      <c r="AC143" t="s">
        <v>10</v>
      </c>
      <c r="AD143">
        <v>22</v>
      </c>
      <c r="AE143">
        <v>3</v>
      </c>
      <c r="AF143">
        <v>4.2699999999999996</v>
      </c>
      <c r="AG143">
        <v>0.14000000000000001</v>
      </c>
      <c r="AH143" s="3" t="s">
        <v>46</v>
      </c>
      <c r="AJ143" t="s">
        <v>7</v>
      </c>
      <c r="AK143">
        <v>4</v>
      </c>
      <c r="AL143">
        <v>1</v>
      </c>
      <c r="AM143">
        <v>4.25</v>
      </c>
      <c r="AN143">
        <v>0.25</v>
      </c>
      <c r="AO143" s="3" t="s">
        <v>45</v>
      </c>
      <c r="AQ143" t="s">
        <v>7</v>
      </c>
      <c r="AR143">
        <v>4</v>
      </c>
      <c r="AS143">
        <v>1</v>
      </c>
      <c r="AT143">
        <v>4.25</v>
      </c>
      <c r="AU143">
        <v>0.25</v>
      </c>
      <c r="AW143" t="s">
        <v>7</v>
      </c>
      <c r="AX143">
        <v>4</v>
      </c>
      <c r="AY143">
        <v>1</v>
      </c>
      <c r="AZ143">
        <v>4.25</v>
      </c>
      <c r="BA143">
        <v>0.25</v>
      </c>
    </row>
    <row r="144" spans="1:54" x14ac:dyDescent="0.35">
      <c r="A144" t="s">
        <v>37</v>
      </c>
      <c r="B144">
        <v>10</v>
      </c>
      <c r="C144">
        <v>2</v>
      </c>
      <c r="D144">
        <v>4.5</v>
      </c>
      <c r="E144">
        <v>0.2</v>
      </c>
      <c r="F144" s="2" t="s">
        <v>44</v>
      </c>
      <c r="H144" t="s">
        <v>37</v>
      </c>
      <c r="I144">
        <v>10</v>
      </c>
      <c r="J144">
        <v>2</v>
      </c>
      <c r="K144">
        <v>4.5</v>
      </c>
      <c r="L144">
        <v>0.2</v>
      </c>
      <c r="O144" t="s">
        <v>28</v>
      </c>
      <c r="P144">
        <v>3</v>
      </c>
      <c r="Q144">
        <v>0</v>
      </c>
      <c r="R144">
        <v>4.33</v>
      </c>
      <c r="S144">
        <v>0</v>
      </c>
      <c r="T144" s="3" t="s">
        <v>46</v>
      </c>
      <c r="V144" t="s">
        <v>28</v>
      </c>
      <c r="W144">
        <v>3</v>
      </c>
      <c r="X144">
        <v>0</v>
      </c>
      <c r="Y144">
        <v>4.33</v>
      </c>
      <c r="Z144">
        <v>0</v>
      </c>
      <c r="AC144" t="s">
        <v>34</v>
      </c>
      <c r="AD144">
        <v>3</v>
      </c>
      <c r="AE144">
        <v>1</v>
      </c>
      <c r="AF144">
        <v>4.33</v>
      </c>
      <c r="AG144">
        <v>0.33</v>
      </c>
      <c r="AH144" s="3" t="s">
        <v>46</v>
      </c>
      <c r="AJ144" t="s">
        <v>113</v>
      </c>
      <c r="AK144">
        <v>4</v>
      </c>
      <c r="AL144">
        <v>0</v>
      </c>
      <c r="AM144">
        <v>4.25</v>
      </c>
      <c r="AN144">
        <v>0</v>
      </c>
      <c r="AO144" s="3" t="s">
        <v>45</v>
      </c>
      <c r="AQ144" t="s">
        <v>113</v>
      </c>
      <c r="AR144">
        <v>4</v>
      </c>
      <c r="AS144">
        <v>0</v>
      </c>
      <c r="AT144">
        <v>4.25</v>
      </c>
      <c r="AU144">
        <v>0</v>
      </c>
      <c r="AW144" t="s">
        <v>113</v>
      </c>
      <c r="AX144">
        <v>4</v>
      </c>
      <c r="AY144">
        <v>0</v>
      </c>
      <c r="AZ144">
        <v>4.25</v>
      </c>
      <c r="BA144">
        <v>0</v>
      </c>
    </row>
    <row r="145" spans="1:54" x14ac:dyDescent="0.35">
      <c r="A145" t="s">
        <v>1</v>
      </c>
      <c r="B145">
        <v>14</v>
      </c>
      <c r="C145">
        <v>0</v>
      </c>
      <c r="D145">
        <v>4.57</v>
      </c>
      <c r="E145">
        <v>0</v>
      </c>
      <c r="F145" s="2" t="s">
        <v>44</v>
      </c>
      <c r="H145" t="s">
        <v>1</v>
      </c>
      <c r="I145">
        <v>14</v>
      </c>
      <c r="J145">
        <v>0</v>
      </c>
      <c r="K145">
        <v>4.57</v>
      </c>
      <c r="L145">
        <v>0</v>
      </c>
      <c r="O145" t="s">
        <v>37</v>
      </c>
      <c r="P145">
        <v>10</v>
      </c>
      <c r="Q145">
        <v>2</v>
      </c>
      <c r="R145">
        <v>4.5</v>
      </c>
      <c r="S145">
        <v>0.2</v>
      </c>
      <c r="T145" s="3" t="s">
        <v>46</v>
      </c>
      <c r="V145" t="s">
        <v>37</v>
      </c>
      <c r="W145">
        <v>10</v>
      </c>
      <c r="X145">
        <v>2</v>
      </c>
      <c r="Y145">
        <v>4.5</v>
      </c>
      <c r="Z145">
        <v>0.2</v>
      </c>
      <c r="AC145" t="s">
        <v>28</v>
      </c>
      <c r="AD145">
        <v>3</v>
      </c>
      <c r="AE145">
        <v>0</v>
      </c>
      <c r="AF145">
        <v>4.33</v>
      </c>
      <c r="AG145">
        <v>0</v>
      </c>
      <c r="AH145" s="3" t="s">
        <v>46</v>
      </c>
      <c r="AJ145" t="s">
        <v>28</v>
      </c>
      <c r="AK145">
        <v>3</v>
      </c>
      <c r="AL145">
        <v>0</v>
      </c>
      <c r="AM145">
        <v>4.33</v>
      </c>
      <c r="AN145">
        <v>0</v>
      </c>
      <c r="AQ145" t="s">
        <v>28</v>
      </c>
      <c r="AR145">
        <v>3</v>
      </c>
      <c r="AS145">
        <v>0</v>
      </c>
      <c r="AT145">
        <v>4.33</v>
      </c>
      <c r="AU145">
        <v>0</v>
      </c>
      <c r="AW145" t="s">
        <v>28</v>
      </c>
      <c r="AX145">
        <v>3</v>
      </c>
      <c r="AY145">
        <v>0</v>
      </c>
      <c r="AZ145">
        <v>4.33</v>
      </c>
      <c r="BA145">
        <v>0</v>
      </c>
    </row>
    <row r="146" spans="1:54" x14ac:dyDescent="0.35">
      <c r="A146" t="s">
        <v>81</v>
      </c>
      <c r="B146" s="6">
        <v>5</v>
      </c>
      <c r="C146">
        <v>1</v>
      </c>
      <c r="D146">
        <v>4.8</v>
      </c>
      <c r="E146">
        <v>0.2</v>
      </c>
      <c r="F146" s="3" t="s">
        <v>154</v>
      </c>
      <c r="H146" t="s">
        <v>81</v>
      </c>
      <c r="I146">
        <v>5</v>
      </c>
      <c r="J146">
        <v>1</v>
      </c>
      <c r="K146">
        <v>4.8</v>
      </c>
      <c r="L146">
        <v>0.2</v>
      </c>
      <c r="O146" t="s">
        <v>21</v>
      </c>
      <c r="P146" s="6">
        <v>4</v>
      </c>
      <c r="Q146">
        <v>0</v>
      </c>
      <c r="R146">
        <v>4.5</v>
      </c>
      <c r="S146">
        <v>0</v>
      </c>
      <c r="T146" s="3" t="s">
        <v>55</v>
      </c>
      <c r="V146" t="s">
        <v>21</v>
      </c>
      <c r="W146">
        <v>4</v>
      </c>
      <c r="X146">
        <v>0</v>
      </c>
      <c r="Y146">
        <v>4.5</v>
      </c>
      <c r="Z146">
        <v>0</v>
      </c>
      <c r="AC146" t="s">
        <v>148</v>
      </c>
      <c r="AD146" s="6">
        <v>3</v>
      </c>
      <c r="AE146">
        <v>0</v>
      </c>
      <c r="AF146">
        <v>4.33</v>
      </c>
      <c r="AG146">
        <v>0</v>
      </c>
      <c r="AH146" s="13" t="s">
        <v>166</v>
      </c>
      <c r="AJ146" t="s">
        <v>10</v>
      </c>
      <c r="AK146">
        <v>23</v>
      </c>
      <c r="AL146">
        <v>3</v>
      </c>
      <c r="AM146">
        <v>4.3499999999999996</v>
      </c>
      <c r="AN146">
        <v>0.13</v>
      </c>
      <c r="AO146" s="3" t="s">
        <v>45</v>
      </c>
      <c r="AQ146" t="s">
        <v>10</v>
      </c>
      <c r="AR146">
        <v>23</v>
      </c>
      <c r="AS146">
        <v>3</v>
      </c>
      <c r="AT146">
        <v>4.3499999999999996</v>
      </c>
      <c r="AU146">
        <v>0.13</v>
      </c>
      <c r="AW146" t="s">
        <v>10</v>
      </c>
      <c r="AX146">
        <v>23</v>
      </c>
      <c r="AY146">
        <v>3</v>
      </c>
      <c r="AZ146">
        <v>4.3499999999999996</v>
      </c>
      <c r="BA146">
        <v>0.13</v>
      </c>
    </row>
    <row r="147" spans="1:54" x14ac:dyDescent="0.35">
      <c r="A147" t="s">
        <v>3</v>
      </c>
      <c r="B147">
        <v>11</v>
      </c>
      <c r="C147">
        <v>1</v>
      </c>
      <c r="D147">
        <v>4.91</v>
      </c>
      <c r="E147">
        <v>0.09</v>
      </c>
      <c r="H147" t="s">
        <v>3</v>
      </c>
      <c r="I147">
        <v>11</v>
      </c>
      <c r="J147">
        <v>1</v>
      </c>
      <c r="K147">
        <v>4.91</v>
      </c>
      <c r="L147">
        <v>0.09</v>
      </c>
      <c r="O147" t="s">
        <v>1</v>
      </c>
      <c r="P147">
        <v>14</v>
      </c>
      <c r="Q147">
        <v>0</v>
      </c>
      <c r="R147">
        <v>4.57</v>
      </c>
      <c r="S147">
        <v>0</v>
      </c>
      <c r="T147" s="3" t="s">
        <v>45</v>
      </c>
      <c r="V147" t="s">
        <v>1</v>
      </c>
      <c r="W147">
        <v>14</v>
      </c>
      <c r="X147">
        <v>0</v>
      </c>
      <c r="Y147">
        <v>4.57</v>
      </c>
      <c r="Z147">
        <v>0</v>
      </c>
      <c r="AC147" t="s">
        <v>37</v>
      </c>
      <c r="AD147">
        <v>10</v>
      </c>
      <c r="AE147">
        <v>2</v>
      </c>
      <c r="AF147">
        <v>4.5</v>
      </c>
      <c r="AG147">
        <v>0.2</v>
      </c>
      <c r="AH147" s="3" t="s">
        <v>45</v>
      </c>
      <c r="AJ147" t="s">
        <v>104</v>
      </c>
      <c r="AK147">
        <v>13</v>
      </c>
      <c r="AL147">
        <v>1</v>
      </c>
      <c r="AM147">
        <v>4.38</v>
      </c>
      <c r="AN147">
        <v>0.08</v>
      </c>
      <c r="AO147" s="3" t="s">
        <v>67</v>
      </c>
      <c r="AQ147" t="s">
        <v>104</v>
      </c>
      <c r="AR147">
        <v>13</v>
      </c>
      <c r="AS147">
        <v>1</v>
      </c>
      <c r="AT147">
        <v>4.38</v>
      </c>
      <c r="AU147">
        <v>0.08</v>
      </c>
      <c r="AW147" t="s">
        <v>104</v>
      </c>
      <c r="AX147">
        <v>13</v>
      </c>
      <c r="AY147">
        <v>1</v>
      </c>
      <c r="AZ147">
        <v>4.38</v>
      </c>
      <c r="BA147">
        <v>0.08</v>
      </c>
    </row>
    <row r="148" spans="1:54" x14ac:dyDescent="0.35">
      <c r="A148" t="s">
        <v>31</v>
      </c>
      <c r="B148">
        <v>3</v>
      </c>
      <c r="C148">
        <v>0</v>
      </c>
      <c r="D148">
        <v>5</v>
      </c>
      <c r="E148">
        <v>0</v>
      </c>
      <c r="H148" t="s">
        <v>31</v>
      </c>
      <c r="I148">
        <v>3</v>
      </c>
      <c r="J148">
        <v>0</v>
      </c>
      <c r="K148">
        <v>5</v>
      </c>
      <c r="L148">
        <v>0</v>
      </c>
      <c r="O148" t="s">
        <v>81</v>
      </c>
      <c r="P148">
        <v>5</v>
      </c>
      <c r="Q148">
        <v>1</v>
      </c>
      <c r="R148">
        <v>4.8</v>
      </c>
      <c r="S148">
        <v>0.2</v>
      </c>
      <c r="T148" s="3" t="s">
        <v>45</v>
      </c>
      <c r="V148" t="s">
        <v>81</v>
      </c>
      <c r="W148">
        <v>5</v>
      </c>
      <c r="X148">
        <v>1</v>
      </c>
      <c r="Y148">
        <v>4.8</v>
      </c>
      <c r="Z148">
        <v>0.2</v>
      </c>
      <c r="AC148" t="s">
        <v>21</v>
      </c>
      <c r="AD148">
        <v>4</v>
      </c>
      <c r="AE148">
        <v>0</v>
      </c>
      <c r="AF148">
        <v>4.5</v>
      </c>
      <c r="AG148">
        <v>0</v>
      </c>
      <c r="AH148" s="3" t="s">
        <v>45</v>
      </c>
      <c r="AJ148" t="s">
        <v>21</v>
      </c>
      <c r="AK148">
        <v>5</v>
      </c>
      <c r="AL148">
        <v>0</v>
      </c>
      <c r="AM148">
        <v>4.4000000000000004</v>
      </c>
      <c r="AN148">
        <v>0</v>
      </c>
      <c r="AQ148" t="s">
        <v>37</v>
      </c>
      <c r="AR148">
        <v>10</v>
      </c>
      <c r="AS148">
        <v>2</v>
      </c>
      <c r="AT148">
        <v>4.5</v>
      </c>
      <c r="AU148">
        <v>0.2</v>
      </c>
      <c r="AV148" s="2" t="s">
        <v>44</v>
      </c>
      <c r="AW148" t="s">
        <v>37</v>
      </c>
      <c r="AX148">
        <v>10</v>
      </c>
      <c r="AY148">
        <v>2</v>
      </c>
      <c r="AZ148">
        <v>4.5</v>
      </c>
      <c r="BA148">
        <v>0.2</v>
      </c>
    </row>
    <row r="149" spans="1:54" x14ac:dyDescent="0.35">
      <c r="A149" t="s">
        <v>27</v>
      </c>
      <c r="B149" s="6">
        <v>10</v>
      </c>
      <c r="C149">
        <v>0</v>
      </c>
      <c r="D149">
        <v>5</v>
      </c>
      <c r="E149">
        <v>0</v>
      </c>
      <c r="F149" s="2" t="s">
        <v>155</v>
      </c>
      <c r="H149" t="s">
        <v>27</v>
      </c>
      <c r="I149">
        <v>10</v>
      </c>
      <c r="J149">
        <v>0</v>
      </c>
      <c r="K149">
        <v>5</v>
      </c>
      <c r="L149">
        <v>0</v>
      </c>
      <c r="O149" t="s">
        <v>3</v>
      </c>
      <c r="P149">
        <v>11</v>
      </c>
      <c r="Q149">
        <v>1</v>
      </c>
      <c r="R149">
        <v>4.91</v>
      </c>
      <c r="S149">
        <v>0.09</v>
      </c>
      <c r="T149" s="3" t="s">
        <v>45</v>
      </c>
      <c r="V149" t="s">
        <v>3</v>
      </c>
      <c r="W149">
        <v>11</v>
      </c>
      <c r="X149">
        <v>1</v>
      </c>
      <c r="Y149">
        <v>4.91</v>
      </c>
      <c r="Z149">
        <v>0.09</v>
      </c>
      <c r="AC149" t="s">
        <v>1</v>
      </c>
      <c r="AD149">
        <v>14</v>
      </c>
      <c r="AE149">
        <v>0</v>
      </c>
      <c r="AF149">
        <v>4.57</v>
      </c>
      <c r="AG149">
        <v>0</v>
      </c>
      <c r="AH149" s="3" t="s">
        <v>45</v>
      </c>
      <c r="AJ149" t="s">
        <v>37</v>
      </c>
      <c r="AK149">
        <v>10</v>
      </c>
      <c r="AL149">
        <v>2</v>
      </c>
      <c r="AM149">
        <v>4.5</v>
      </c>
      <c r="AN149">
        <v>0.2</v>
      </c>
      <c r="AO149" s="3" t="s">
        <v>45</v>
      </c>
      <c r="AQ149" t="s">
        <v>3</v>
      </c>
      <c r="AR149">
        <v>12</v>
      </c>
      <c r="AS149">
        <v>1</v>
      </c>
      <c r="AT149">
        <v>4.67</v>
      </c>
      <c r="AU149">
        <v>0.08</v>
      </c>
      <c r="AV149" s="2" t="s">
        <v>44</v>
      </c>
      <c r="AW149" t="s">
        <v>3</v>
      </c>
      <c r="AX149">
        <v>12</v>
      </c>
      <c r="AY149">
        <v>1</v>
      </c>
      <c r="AZ149">
        <v>4.67</v>
      </c>
      <c r="BA149">
        <v>0.08</v>
      </c>
    </row>
    <row r="150" spans="1:54" x14ac:dyDescent="0.35">
      <c r="A150" t="s">
        <v>13</v>
      </c>
      <c r="B150">
        <v>10</v>
      </c>
      <c r="C150">
        <v>1</v>
      </c>
      <c r="D150">
        <v>5</v>
      </c>
      <c r="E150">
        <v>0.1</v>
      </c>
      <c r="H150" t="s">
        <v>13</v>
      </c>
      <c r="I150">
        <v>10</v>
      </c>
      <c r="J150">
        <v>1</v>
      </c>
      <c r="K150">
        <v>5</v>
      </c>
      <c r="L150">
        <v>0.1</v>
      </c>
      <c r="O150" t="s">
        <v>31</v>
      </c>
      <c r="P150">
        <v>3</v>
      </c>
      <c r="Q150">
        <v>0</v>
      </c>
      <c r="R150">
        <v>5</v>
      </c>
      <c r="S150">
        <v>0</v>
      </c>
      <c r="T150" s="3" t="s">
        <v>45</v>
      </c>
      <c r="V150" t="s">
        <v>31</v>
      </c>
      <c r="W150">
        <v>3</v>
      </c>
      <c r="X150">
        <v>0</v>
      </c>
      <c r="Y150">
        <v>5</v>
      </c>
      <c r="Z150">
        <v>0</v>
      </c>
      <c r="AC150" t="s">
        <v>81</v>
      </c>
      <c r="AD150">
        <v>5</v>
      </c>
      <c r="AE150">
        <v>1</v>
      </c>
      <c r="AF150">
        <v>4.8</v>
      </c>
      <c r="AG150">
        <v>0.2</v>
      </c>
      <c r="AH150" s="3" t="s">
        <v>45</v>
      </c>
      <c r="AJ150" t="s">
        <v>3</v>
      </c>
      <c r="AK150">
        <v>12</v>
      </c>
      <c r="AL150">
        <v>1</v>
      </c>
      <c r="AM150">
        <v>4.67</v>
      </c>
      <c r="AN150">
        <v>0.08</v>
      </c>
      <c r="AO150" s="2" t="s">
        <v>44</v>
      </c>
      <c r="AQ150" t="s">
        <v>1</v>
      </c>
      <c r="AR150">
        <v>18</v>
      </c>
      <c r="AS150">
        <v>1</v>
      </c>
      <c r="AT150">
        <v>4.72</v>
      </c>
      <c r="AU150">
        <v>0.06</v>
      </c>
      <c r="AV150" s="2" t="s">
        <v>44</v>
      </c>
      <c r="AW150" t="s">
        <v>1</v>
      </c>
      <c r="AX150">
        <v>18</v>
      </c>
      <c r="AY150">
        <v>1</v>
      </c>
      <c r="AZ150">
        <v>4.72</v>
      </c>
      <c r="BA150">
        <v>0.06</v>
      </c>
    </row>
    <row r="151" spans="1:54" x14ac:dyDescent="0.35">
      <c r="A151" t="s">
        <v>89</v>
      </c>
      <c r="B151">
        <v>3</v>
      </c>
      <c r="C151">
        <v>0</v>
      </c>
      <c r="D151">
        <v>5</v>
      </c>
      <c r="E151">
        <v>0</v>
      </c>
      <c r="H151" t="s">
        <v>89</v>
      </c>
      <c r="I151">
        <v>3</v>
      </c>
      <c r="J151">
        <v>0</v>
      </c>
      <c r="K151">
        <v>5</v>
      </c>
      <c r="L151">
        <v>0</v>
      </c>
      <c r="O151" t="s">
        <v>27</v>
      </c>
      <c r="P151">
        <v>10</v>
      </c>
      <c r="Q151">
        <v>0</v>
      </c>
      <c r="R151">
        <v>5</v>
      </c>
      <c r="S151">
        <v>0</v>
      </c>
      <c r="T151" s="3" t="s">
        <v>45</v>
      </c>
      <c r="V151" t="s">
        <v>27</v>
      </c>
      <c r="W151">
        <v>10</v>
      </c>
      <c r="X151">
        <v>0</v>
      </c>
      <c r="Y151">
        <v>5</v>
      </c>
      <c r="Z151">
        <v>0</v>
      </c>
      <c r="AC151" t="s">
        <v>3</v>
      </c>
      <c r="AD151">
        <v>11</v>
      </c>
      <c r="AE151">
        <v>1</v>
      </c>
      <c r="AF151">
        <v>4.91</v>
      </c>
      <c r="AG151">
        <v>0.09</v>
      </c>
      <c r="AH151" s="3" t="s">
        <v>45</v>
      </c>
      <c r="AJ151" t="s">
        <v>1</v>
      </c>
      <c r="AK151">
        <v>18</v>
      </c>
      <c r="AL151">
        <v>1</v>
      </c>
      <c r="AM151">
        <v>4.72</v>
      </c>
      <c r="AN151">
        <v>0.06</v>
      </c>
      <c r="AO151" s="3" t="s">
        <v>45</v>
      </c>
      <c r="AQ151" t="s">
        <v>27</v>
      </c>
      <c r="AR151">
        <v>11</v>
      </c>
      <c r="AS151">
        <v>0</v>
      </c>
      <c r="AT151">
        <v>4.7300000000000004</v>
      </c>
      <c r="AU151">
        <v>0</v>
      </c>
      <c r="AV151" s="2" t="s">
        <v>44</v>
      </c>
      <c r="AW151" t="s">
        <v>27</v>
      </c>
      <c r="AX151">
        <v>11</v>
      </c>
      <c r="AY151">
        <v>0</v>
      </c>
      <c r="AZ151">
        <v>4.7300000000000004</v>
      </c>
      <c r="BA151">
        <v>0</v>
      </c>
    </row>
    <row r="152" spans="1:54" x14ac:dyDescent="0.35">
      <c r="A152" t="s">
        <v>99</v>
      </c>
      <c r="B152">
        <v>9</v>
      </c>
      <c r="C152">
        <v>1</v>
      </c>
      <c r="D152">
        <v>5.1100000000000003</v>
      </c>
      <c r="E152">
        <v>0.11</v>
      </c>
      <c r="F152" s="3" t="s">
        <v>46</v>
      </c>
      <c r="H152" t="s">
        <v>99</v>
      </c>
      <c r="I152">
        <v>9</v>
      </c>
      <c r="J152">
        <v>1</v>
      </c>
      <c r="K152">
        <v>5.1100000000000003</v>
      </c>
      <c r="L152">
        <v>0.11</v>
      </c>
      <c r="O152" t="s">
        <v>13</v>
      </c>
      <c r="P152">
        <v>10</v>
      </c>
      <c r="Q152">
        <v>1</v>
      </c>
      <c r="R152">
        <v>5</v>
      </c>
      <c r="S152">
        <v>0.1</v>
      </c>
      <c r="T152" s="3" t="s">
        <v>45</v>
      </c>
      <c r="V152" t="s">
        <v>13</v>
      </c>
      <c r="W152">
        <v>10</v>
      </c>
      <c r="X152">
        <v>1</v>
      </c>
      <c r="Y152">
        <v>5</v>
      </c>
      <c r="Z152">
        <v>0.1</v>
      </c>
      <c r="AC152" t="s">
        <v>31</v>
      </c>
      <c r="AD152">
        <v>3</v>
      </c>
      <c r="AE152">
        <v>0</v>
      </c>
      <c r="AF152">
        <v>5</v>
      </c>
      <c r="AG152">
        <v>0</v>
      </c>
      <c r="AH152" s="3" t="s">
        <v>45</v>
      </c>
      <c r="AJ152" t="s">
        <v>27</v>
      </c>
      <c r="AK152">
        <v>11</v>
      </c>
      <c r="AL152">
        <v>0</v>
      </c>
      <c r="AM152">
        <v>4.7300000000000004</v>
      </c>
      <c r="AN152">
        <v>0</v>
      </c>
      <c r="AO152" s="2" t="s">
        <v>44</v>
      </c>
      <c r="AQ152" t="s">
        <v>24</v>
      </c>
      <c r="AR152">
        <v>15</v>
      </c>
      <c r="AS152">
        <v>1</v>
      </c>
      <c r="AT152">
        <v>4.7300000000000004</v>
      </c>
      <c r="AU152">
        <v>7.0000000000000007E-2</v>
      </c>
      <c r="AV152" s="2" t="s">
        <v>44</v>
      </c>
      <c r="AW152" t="s">
        <v>24</v>
      </c>
      <c r="AX152">
        <v>15</v>
      </c>
      <c r="AY152">
        <v>1</v>
      </c>
      <c r="AZ152">
        <v>4.7300000000000004</v>
      </c>
      <c r="BA152">
        <v>7.0000000000000007E-2</v>
      </c>
    </row>
    <row r="153" spans="1:54" x14ac:dyDescent="0.35">
      <c r="A153" t="s">
        <v>6</v>
      </c>
      <c r="B153">
        <v>24</v>
      </c>
      <c r="C153">
        <v>3</v>
      </c>
      <c r="D153">
        <v>5.17</v>
      </c>
      <c r="E153">
        <v>0.13</v>
      </c>
      <c r="F153" s="3" t="s">
        <v>46</v>
      </c>
      <c r="H153" t="s">
        <v>6</v>
      </c>
      <c r="I153">
        <v>24</v>
      </c>
      <c r="J153">
        <v>3</v>
      </c>
      <c r="K153">
        <v>5.17</v>
      </c>
      <c r="L153">
        <v>0.13</v>
      </c>
      <c r="O153" t="s">
        <v>89</v>
      </c>
      <c r="P153">
        <v>3</v>
      </c>
      <c r="Q153">
        <v>0</v>
      </c>
      <c r="R153">
        <v>5</v>
      </c>
      <c r="S153">
        <v>0</v>
      </c>
      <c r="T153" s="3" t="s">
        <v>45</v>
      </c>
      <c r="V153" t="s">
        <v>89</v>
      </c>
      <c r="W153">
        <v>3</v>
      </c>
      <c r="X153">
        <v>0</v>
      </c>
      <c r="Y153">
        <v>5</v>
      </c>
      <c r="Z153">
        <v>0</v>
      </c>
      <c r="AC153" t="s">
        <v>27</v>
      </c>
      <c r="AD153">
        <v>10</v>
      </c>
      <c r="AE153">
        <v>0</v>
      </c>
      <c r="AF153">
        <v>5</v>
      </c>
      <c r="AG153">
        <v>0</v>
      </c>
      <c r="AH153" s="3" t="s">
        <v>45</v>
      </c>
      <c r="AJ153" t="s">
        <v>24</v>
      </c>
      <c r="AK153">
        <v>15</v>
      </c>
      <c r="AL153">
        <v>1</v>
      </c>
      <c r="AM153">
        <v>4.7300000000000004</v>
      </c>
      <c r="AN153">
        <v>7.0000000000000007E-2</v>
      </c>
      <c r="AO153" s="3" t="s">
        <v>183</v>
      </c>
      <c r="AQ153" t="s">
        <v>34</v>
      </c>
      <c r="AR153">
        <v>4</v>
      </c>
      <c r="AS153">
        <v>1</v>
      </c>
      <c r="AT153">
        <v>4.75</v>
      </c>
      <c r="AU153">
        <v>0.25</v>
      </c>
      <c r="AV153" s="2" t="s">
        <v>44</v>
      </c>
      <c r="AW153" t="s">
        <v>34</v>
      </c>
      <c r="AX153">
        <v>4</v>
      </c>
      <c r="AY153">
        <v>1</v>
      </c>
      <c r="AZ153">
        <v>4.75</v>
      </c>
      <c r="BA153">
        <v>0.25</v>
      </c>
    </row>
    <row r="154" spans="1:54" x14ac:dyDescent="0.35">
      <c r="A154" t="s">
        <v>17</v>
      </c>
      <c r="B154">
        <v>6</v>
      </c>
      <c r="C154">
        <v>1</v>
      </c>
      <c r="D154">
        <v>5.17</v>
      </c>
      <c r="E154">
        <v>0.17</v>
      </c>
      <c r="F154" s="3" t="s">
        <v>46</v>
      </c>
      <c r="H154" t="s">
        <v>17</v>
      </c>
      <c r="I154">
        <v>6</v>
      </c>
      <c r="J154">
        <v>1</v>
      </c>
      <c r="K154">
        <v>5.17</v>
      </c>
      <c r="L154">
        <v>0.17</v>
      </c>
      <c r="O154" t="s">
        <v>99</v>
      </c>
      <c r="P154">
        <v>9</v>
      </c>
      <c r="Q154">
        <v>1</v>
      </c>
      <c r="R154">
        <v>5.1100000000000003</v>
      </c>
      <c r="S154">
        <v>0.11</v>
      </c>
      <c r="T154" s="3" t="s">
        <v>45</v>
      </c>
      <c r="V154" t="s">
        <v>99</v>
      </c>
      <c r="W154">
        <v>9</v>
      </c>
      <c r="X154">
        <v>1</v>
      </c>
      <c r="Y154">
        <v>5.1100000000000003</v>
      </c>
      <c r="Z154">
        <v>0.11</v>
      </c>
      <c r="AC154" t="s">
        <v>13</v>
      </c>
      <c r="AD154">
        <v>10</v>
      </c>
      <c r="AE154">
        <v>1</v>
      </c>
      <c r="AF154">
        <v>5</v>
      </c>
      <c r="AG154">
        <v>0.1</v>
      </c>
      <c r="AH154" s="3" t="s">
        <v>45</v>
      </c>
      <c r="AJ154" t="s">
        <v>34</v>
      </c>
      <c r="AK154">
        <v>4</v>
      </c>
      <c r="AL154">
        <v>1</v>
      </c>
      <c r="AM154">
        <v>4.75</v>
      </c>
      <c r="AN154">
        <v>0.25</v>
      </c>
      <c r="AO154" s="3" t="s">
        <v>182</v>
      </c>
      <c r="AQ154" t="s">
        <v>81</v>
      </c>
      <c r="AR154">
        <v>5</v>
      </c>
      <c r="AS154">
        <v>1</v>
      </c>
      <c r="AT154">
        <v>4.8</v>
      </c>
      <c r="AU154">
        <v>0.2</v>
      </c>
      <c r="AV154" s="2" t="s">
        <v>44</v>
      </c>
      <c r="AW154" t="s">
        <v>125</v>
      </c>
      <c r="AX154" s="6">
        <v>5</v>
      </c>
      <c r="AY154">
        <v>0</v>
      </c>
      <c r="AZ154">
        <v>4.8</v>
      </c>
      <c r="BA154">
        <v>0</v>
      </c>
      <c r="BB154" s="2" t="s">
        <v>194</v>
      </c>
    </row>
    <row r="155" spans="1:54" x14ac:dyDescent="0.35">
      <c r="A155" t="s">
        <v>51</v>
      </c>
      <c r="B155">
        <v>11</v>
      </c>
      <c r="C155">
        <v>0</v>
      </c>
      <c r="D155">
        <v>5.18</v>
      </c>
      <c r="E155">
        <v>0</v>
      </c>
      <c r="F155" s="3" t="s">
        <v>46</v>
      </c>
      <c r="H155" t="s">
        <v>25</v>
      </c>
      <c r="I155" s="6">
        <v>22</v>
      </c>
      <c r="J155">
        <v>3</v>
      </c>
      <c r="K155">
        <v>5.18</v>
      </c>
      <c r="L155">
        <v>0.14000000000000001</v>
      </c>
      <c r="M155" s="2" t="s">
        <v>44</v>
      </c>
      <c r="O155" t="s">
        <v>6</v>
      </c>
      <c r="P155">
        <v>24</v>
      </c>
      <c r="Q155">
        <v>3</v>
      </c>
      <c r="R155">
        <v>5.17</v>
      </c>
      <c r="S155">
        <v>0.13</v>
      </c>
      <c r="T155" s="3" t="s">
        <v>45</v>
      </c>
      <c r="V155" t="s">
        <v>6</v>
      </c>
      <c r="W155">
        <v>24</v>
      </c>
      <c r="X155">
        <v>3</v>
      </c>
      <c r="Y155">
        <v>5.17</v>
      </c>
      <c r="Z155">
        <v>0.13</v>
      </c>
      <c r="AC155" t="s">
        <v>89</v>
      </c>
      <c r="AD155">
        <v>3</v>
      </c>
      <c r="AE155">
        <v>0</v>
      </c>
      <c r="AF155">
        <v>5</v>
      </c>
      <c r="AG155">
        <v>0</v>
      </c>
      <c r="AH155" s="3" t="s">
        <v>45</v>
      </c>
      <c r="AJ155" t="s">
        <v>81</v>
      </c>
      <c r="AK155">
        <v>5</v>
      </c>
      <c r="AL155">
        <v>1</v>
      </c>
      <c r="AM155">
        <v>4.8</v>
      </c>
      <c r="AN155">
        <v>0.2</v>
      </c>
      <c r="AO155" s="3" t="s">
        <v>94</v>
      </c>
      <c r="AQ155" t="s">
        <v>31</v>
      </c>
      <c r="AR155">
        <v>3</v>
      </c>
      <c r="AS155">
        <v>0</v>
      </c>
      <c r="AT155">
        <v>5</v>
      </c>
      <c r="AU155">
        <v>0</v>
      </c>
      <c r="AV155" s="2" t="s">
        <v>44</v>
      </c>
      <c r="AW155" t="s">
        <v>81</v>
      </c>
      <c r="AX155">
        <v>5</v>
      </c>
      <c r="AY155">
        <v>1</v>
      </c>
      <c r="AZ155">
        <v>4.8</v>
      </c>
      <c r="BA155">
        <v>0.2</v>
      </c>
      <c r="BB155" s="3" t="s">
        <v>46</v>
      </c>
    </row>
    <row r="156" spans="1:54" x14ac:dyDescent="0.35">
      <c r="A156" t="s">
        <v>25</v>
      </c>
      <c r="B156">
        <v>21</v>
      </c>
      <c r="C156">
        <v>3</v>
      </c>
      <c r="D156">
        <v>5.19</v>
      </c>
      <c r="E156">
        <v>0.14000000000000001</v>
      </c>
      <c r="F156" s="3" t="s">
        <v>46</v>
      </c>
      <c r="H156" t="s">
        <v>51</v>
      </c>
      <c r="I156">
        <v>11</v>
      </c>
      <c r="J156">
        <v>0</v>
      </c>
      <c r="K156">
        <v>5.18</v>
      </c>
      <c r="L156">
        <v>0</v>
      </c>
      <c r="O156" t="s">
        <v>17</v>
      </c>
      <c r="P156">
        <v>6</v>
      </c>
      <c r="Q156">
        <v>1</v>
      </c>
      <c r="R156">
        <v>5.17</v>
      </c>
      <c r="S156">
        <v>0.17</v>
      </c>
      <c r="T156" s="3" t="s">
        <v>45</v>
      </c>
      <c r="V156" t="s">
        <v>17</v>
      </c>
      <c r="W156">
        <v>6</v>
      </c>
      <c r="X156">
        <v>1</v>
      </c>
      <c r="Y156">
        <v>5.17</v>
      </c>
      <c r="Z156">
        <v>0.17</v>
      </c>
      <c r="AC156" t="s">
        <v>99</v>
      </c>
      <c r="AD156">
        <v>9</v>
      </c>
      <c r="AE156">
        <v>1</v>
      </c>
      <c r="AF156">
        <v>5.1100000000000003</v>
      </c>
      <c r="AG156">
        <v>0.11</v>
      </c>
      <c r="AH156" s="3" t="s">
        <v>45</v>
      </c>
      <c r="AJ156" t="s">
        <v>31</v>
      </c>
      <c r="AK156">
        <v>3</v>
      </c>
      <c r="AL156">
        <v>0</v>
      </c>
      <c r="AM156">
        <v>5</v>
      </c>
      <c r="AN156">
        <v>0</v>
      </c>
      <c r="AO156" s="3" t="s">
        <v>46</v>
      </c>
      <c r="AQ156" t="s">
        <v>117</v>
      </c>
      <c r="AR156">
        <v>5</v>
      </c>
      <c r="AS156">
        <v>1</v>
      </c>
      <c r="AT156">
        <v>5</v>
      </c>
      <c r="AU156">
        <v>0.2</v>
      </c>
      <c r="AV156" s="2" t="s">
        <v>44</v>
      </c>
      <c r="AW156" t="s">
        <v>31</v>
      </c>
      <c r="AX156">
        <v>3</v>
      </c>
      <c r="AY156">
        <v>0</v>
      </c>
      <c r="AZ156">
        <v>5</v>
      </c>
      <c r="BA156">
        <v>0</v>
      </c>
      <c r="BB156" s="3" t="s">
        <v>46</v>
      </c>
    </row>
    <row r="157" spans="1:54" x14ac:dyDescent="0.35">
      <c r="A157" t="s">
        <v>30</v>
      </c>
      <c r="B157">
        <v>4</v>
      </c>
      <c r="C157">
        <v>0</v>
      </c>
      <c r="D157">
        <v>5.25</v>
      </c>
      <c r="E157">
        <v>0</v>
      </c>
      <c r="F157" s="3" t="s">
        <v>46</v>
      </c>
      <c r="H157" t="s">
        <v>30</v>
      </c>
      <c r="I157">
        <v>4</v>
      </c>
      <c r="J157">
        <v>0</v>
      </c>
      <c r="K157">
        <v>5.25</v>
      </c>
      <c r="L157">
        <v>0</v>
      </c>
      <c r="O157" t="s">
        <v>51</v>
      </c>
      <c r="P157">
        <v>11</v>
      </c>
      <c r="Q157">
        <v>0</v>
      </c>
      <c r="R157">
        <v>5.18</v>
      </c>
      <c r="S157">
        <v>0</v>
      </c>
      <c r="T157" s="3" t="s">
        <v>46</v>
      </c>
      <c r="V157" t="s">
        <v>51</v>
      </c>
      <c r="W157">
        <v>11</v>
      </c>
      <c r="X157">
        <v>0</v>
      </c>
      <c r="Y157">
        <v>5.18</v>
      </c>
      <c r="Z157">
        <v>0</v>
      </c>
      <c r="AC157" t="s">
        <v>6</v>
      </c>
      <c r="AD157">
        <v>24</v>
      </c>
      <c r="AE157">
        <v>3</v>
      </c>
      <c r="AF157">
        <v>5.17</v>
      </c>
      <c r="AG157">
        <v>0.13</v>
      </c>
      <c r="AH157" s="3" t="s">
        <v>45</v>
      </c>
      <c r="AJ157" t="s">
        <v>117</v>
      </c>
      <c r="AK157">
        <v>5</v>
      </c>
      <c r="AL157">
        <v>1</v>
      </c>
      <c r="AM157">
        <v>5</v>
      </c>
      <c r="AN157">
        <v>0.2</v>
      </c>
      <c r="AO157" s="3" t="s">
        <v>46</v>
      </c>
      <c r="AQ157" t="s">
        <v>13</v>
      </c>
      <c r="AR157">
        <v>10</v>
      </c>
      <c r="AS157">
        <v>1</v>
      </c>
      <c r="AT157">
        <v>5</v>
      </c>
      <c r="AU157">
        <v>0.1</v>
      </c>
      <c r="AV157" s="2" t="s">
        <v>44</v>
      </c>
      <c r="AW157" t="s">
        <v>117</v>
      </c>
      <c r="AX157">
        <v>5</v>
      </c>
      <c r="AY157">
        <v>1</v>
      </c>
      <c r="AZ157">
        <v>5</v>
      </c>
      <c r="BA157">
        <v>0.2</v>
      </c>
      <c r="BB157" s="3" t="s">
        <v>46</v>
      </c>
    </row>
    <row r="158" spans="1:54" x14ac:dyDescent="0.35">
      <c r="A158" t="s">
        <v>125</v>
      </c>
      <c r="B158">
        <v>4</v>
      </c>
      <c r="C158">
        <v>0</v>
      </c>
      <c r="D158">
        <v>5.25</v>
      </c>
      <c r="E158">
        <v>0</v>
      </c>
      <c r="F158" s="3" t="s">
        <v>46</v>
      </c>
      <c r="H158" t="s">
        <v>125</v>
      </c>
      <c r="I158">
        <v>4</v>
      </c>
      <c r="J158">
        <v>0</v>
      </c>
      <c r="K158">
        <v>5.25</v>
      </c>
      <c r="L158">
        <v>0</v>
      </c>
      <c r="O158" t="s">
        <v>30</v>
      </c>
      <c r="P158">
        <v>4</v>
      </c>
      <c r="Q158">
        <v>0</v>
      </c>
      <c r="R158">
        <v>5.25</v>
      </c>
      <c r="S158">
        <v>0</v>
      </c>
      <c r="T158" s="3" t="s">
        <v>46</v>
      </c>
      <c r="V158" t="s">
        <v>30</v>
      </c>
      <c r="W158">
        <v>4</v>
      </c>
      <c r="X158">
        <v>0</v>
      </c>
      <c r="Y158">
        <v>5.25</v>
      </c>
      <c r="Z158">
        <v>0</v>
      </c>
      <c r="AC158" t="s">
        <v>17</v>
      </c>
      <c r="AD158">
        <v>6</v>
      </c>
      <c r="AE158">
        <v>1</v>
      </c>
      <c r="AF158">
        <v>5.17</v>
      </c>
      <c r="AG158">
        <v>0.17</v>
      </c>
      <c r="AH158" s="3" t="s">
        <v>45</v>
      </c>
      <c r="AJ158" t="s">
        <v>13</v>
      </c>
      <c r="AK158">
        <v>10</v>
      </c>
      <c r="AL158">
        <v>1</v>
      </c>
      <c r="AM158">
        <v>5</v>
      </c>
      <c r="AN158">
        <v>0.1</v>
      </c>
      <c r="AO158" s="3" t="s">
        <v>46</v>
      </c>
      <c r="AQ158" t="s">
        <v>21</v>
      </c>
      <c r="AR158" s="6">
        <v>6</v>
      </c>
      <c r="AS158">
        <v>0</v>
      </c>
      <c r="AT158">
        <v>5</v>
      </c>
      <c r="AU158">
        <v>0</v>
      </c>
      <c r="AV158" s="3" t="s">
        <v>182</v>
      </c>
      <c r="AW158" t="s">
        <v>13</v>
      </c>
      <c r="AX158">
        <v>10</v>
      </c>
      <c r="AY158">
        <v>1</v>
      </c>
      <c r="AZ158">
        <v>5</v>
      </c>
      <c r="BA158">
        <v>0.1</v>
      </c>
      <c r="BB158" s="3" t="s">
        <v>46</v>
      </c>
    </row>
    <row r="159" spans="1:54" x14ac:dyDescent="0.35">
      <c r="A159" t="s">
        <v>32</v>
      </c>
      <c r="B159">
        <v>3</v>
      </c>
      <c r="C159">
        <v>0</v>
      </c>
      <c r="D159">
        <v>5.33</v>
      </c>
      <c r="E159">
        <v>0</v>
      </c>
      <c r="H159" t="s">
        <v>32</v>
      </c>
      <c r="I159">
        <v>3</v>
      </c>
      <c r="J159">
        <v>0</v>
      </c>
      <c r="K159">
        <v>5.33</v>
      </c>
      <c r="L159">
        <v>0</v>
      </c>
      <c r="O159" t="s">
        <v>125</v>
      </c>
      <c r="P159">
        <v>4</v>
      </c>
      <c r="Q159">
        <v>0</v>
      </c>
      <c r="R159">
        <v>5.25</v>
      </c>
      <c r="S159">
        <v>0</v>
      </c>
      <c r="T159" s="3" t="s">
        <v>46</v>
      </c>
      <c r="V159" t="s">
        <v>125</v>
      </c>
      <c r="W159">
        <v>4</v>
      </c>
      <c r="X159">
        <v>0</v>
      </c>
      <c r="Y159">
        <v>5.25</v>
      </c>
      <c r="Z159">
        <v>0</v>
      </c>
      <c r="AC159" t="s">
        <v>51</v>
      </c>
      <c r="AD159">
        <v>11</v>
      </c>
      <c r="AE159">
        <v>0</v>
      </c>
      <c r="AF159">
        <v>5.18</v>
      </c>
      <c r="AG159">
        <v>0</v>
      </c>
      <c r="AH159" s="3" t="s">
        <v>45</v>
      </c>
      <c r="AJ159" t="s">
        <v>5</v>
      </c>
      <c r="AK159">
        <v>3</v>
      </c>
      <c r="AL159">
        <v>0</v>
      </c>
      <c r="AM159">
        <v>5</v>
      </c>
      <c r="AN159">
        <v>0</v>
      </c>
      <c r="AO159" s="3" t="s">
        <v>46</v>
      </c>
      <c r="AQ159" t="s">
        <v>5</v>
      </c>
      <c r="AR159">
        <v>3</v>
      </c>
      <c r="AS159">
        <v>0</v>
      </c>
      <c r="AT159">
        <v>5</v>
      </c>
      <c r="AU159">
        <v>0</v>
      </c>
      <c r="AW159" t="s">
        <v>21</v>
      </c>
      <c r="AX159">
        <v>6</v>
      </c>
      <c r="AY159">
        <v>0</v>
      </c>
      <c r="AZ159">
        <v>5</v>
      </c>
      <c r="BA159">
        <v>0</v>
      </c>
      <c r="BB159" s="3" t="s">
        <v>46</v>
      </c>
    </row>
    <row r="160" spans="1:54" x14ac:dyDescent="0.35">
      <c r="A160" t="s">
        <v>116</v>
      </c>
      <c r="B160">
        <v>5</v>
      </c>
      <c r="C160">
        <v>0</v>
      </c>
      <c r="D160">
        <v>5.4</v>
      </c>
      <c r="E160">
        <v>0</v>
      </c>
      <c r="H160" t="s">
        <v>116</v>
      </c>
      <c r="I160">
        <v>5</v>
      </c>
      <c r="J160">
        <v>0</v>
      </c>
      <c r="K160">
        <v>5.4</v>
      </c>
      <c r="L160">
        <v>0</v>
      </c>
      <c r="O160" t="s">
        <v>25</v>
      </c>
      <c r="P160" s="6">
        <v>24</v>
      </c>
      <c r="Q160">
        <v>3</v>
      </c>
      <c r="R160">
        <v>5.3</v>
      </c>
      <c r="S160">
        <v>0.13</v>
      </c>
      <c r="T160" s="3" t="s">
        <v>94</v>
      </c>
      <c r="V160" t="s">
        <v>25</v>
      </c>
      <c r="W160">
        <v>24</v>
      </c>
      <c r="X160">
        <v>3</v>
      </c>
      <c r="Y160">
        <v>5.3</v>
      </c>
      <c r="Z160">
        <v>0.13</v>
      </c>
      <c r="AC160" t="s">
        <v>30</v>
      </c>
      <c r="AD160">
        <v>4</v>
      </c>
      <c r="AE160">
        <v>0</v>
      </c>
      <c r="AF160">
        <v>5.25</v>
      </c>
      <c r="AG160">
        <v>0</v>
      </c>
      <c r="AH160" s="3" t="s">
        <v>45</v>
      </c>
      <c r="AJ160" t="s">
        <v>89</v>
      </c>
      <c r="AK160">
        <v>3</v>
      </c>
      <c r="AL160">
        <v>0</v>
      </c>
      <c r="AM160">
        <v>5</v>
      </c>
      <c r="AN160">
        <v>0</v>
      </c>
      <c r="AO160" s="3" t="s">
        <v>46</v>
      </c>
      <c r="AQ160" t="s">
        <v>89</v>
      </c>
      <c r="AR160">
        <v>3</v>
      </c>
      <c r="AS160">
        <v>0</v>
      </c>
      <c r="AT160">
        <v>5</v>
      </c>
      <c r="AU160">
        <v>0</v>
      </c>
      <c r="AW160" t="s">
        <v>5</v>
      </c>
      <c r="AX160">
        <v>3</v>
      </c>
      <c r="AY160">
        <v>0</v>
      </c>
      <c r="AZ160">
        <v>5</v>
      </c>
      <c r="BA160">
        <v>0</v>
      </c>
      <c r="BB160" s="3" t="s">
        <v>46</v>
      </c>
    </row>
    <row r="161" spans="1:54" x14ac:dyDescent="0.35">
      <c r="A161" t="s">
        <v>29</v>
      </c>
      <c r="B161">
        <v>6</v>
      </c>
      <c r="C161">
        <v>0</v>
      </c>
      <c r="D161">
        <v>5.67</v>
      </c>
      <c r="E161">
        <v>0</v>
      </c>
      <c r="H161" t="s">
        <v>29</v>
      </c>
      <c r="I161">
        <v>6</v>
      </c>
      <c r="J161">
        <v>0</v>
      </c>
      <c r="K161">
        <v>5.67</v>
      </c>
      <c r="L161">
        <v>0</v>
      </c>
      <c r="O161" t="s">
        <v>116</v>
      </c>
      <c r="P161">
        <v>5</v>
      </c>
      <c r="Q161">
        <v>0</v>
      </c>
      <c r="R161">
        <v>5.4</v>
      </c>
      <c r="S161">
        <v>0</v>
      </c>
      <c r="T161" s="3" t="s">
        <v>46</v>
      </c>
      <c r="V161" t="s">
        <v>116</v>
      </c>
      <c r="W161">
        <v>5</v>
      </c>
      <c r="X161">
        <v>0</v>
      </c>
      <c r="Y161">
        <v>5.4</v>
      </c>
      <c r="Z161">
        <v>0</v>
      </c>
      <c r="AC161" t="s">
        <v>125</v>
      </c>
      <c r="AD161">
        <v>4</v>
      </c>
      <c r="AE161">
        <v>0</v>
      </c>
      <c r="AF161">
        <v>5.25</v>
      </c>
      <c r="AG161">
        <v>0</v>
      </c>
      <c r="AH161" s="3" t="s">
        <v>45</v>
      </c>
      <c r="AJ161" t="s">
        <v>99</v>
      </c>
      <c r="AK161">
        <v>9</v>
      </c>
      <c r="AL161">
        <v>1</v>
      </c>
      <c r="AM161">
        <v>5.1100000000000003</v>
      </c>
      <c r="AN161">
        <v>0.11</v>
      </c>
      <c r="AO161" s="3" t="s">
        <v>94</v>
      </c>
      <c r="AQ161" t="s">
        <v>99</v>
      </c>
      <c r="AR161">
        <v>9</v>
      </c>
      <c r="AS161">
        <v>1</v>
      </c>
      <c r="AT161">
        <v>5.1100000000000003</v>
      </c>
      <c r="AU161">
        <v>0.11</v>
      </c>
      <c r="AW161" t="s">
        <v>89</v>
      </c>
      <c r="AX161">
        <v>3</v>
      </c>
      <c r="AY161">
        <v>0</v>
      </c>
      <c r="AZ161">
        <v>5</v>
      </c>
      <c r="BA161">
        <v>0</v>
      </c>
      <c r="BB161" s="3" t="s">
        <v>46</v>
      </c>
    </row>
    <row r="162" spans="1:54" x14ac:dyDescent="0.35">
      <c r="A162" t="s">
        <v>12</v>
      </c>
      <c r="B162">
        <v>4</v>
      </c>
      <c r="C162">
        <v>0</v>
      </c>
      <c r="D162">
        <v>5.75</v>
      </c>
      <c r="E162">
        <v>0</v>
      </c>
      <c r="H162" t="s">
        <v>12</v>
      </c>
      <c r="I162">
        <v>4</v>
      </c>
      <c r="J162">
        <v>0</v>
      </c>
      <c r="K162">
        <v>5.75</v>
      </c>
      <c r="L162">
        <v>0</v>
      </c>
      <c r="O162" t="s">
        <v>29</v>
      </c>
      <c r="P162">
        <v>6</v>
      </c>
      <c r="Q162">
        <v>0</v>
      </c>
      <c r="R162">
        <v>5.67</v>
      </c>
      <c r="S162">
        <v>0</v>
      </c>
      <c r="T162" s="3" t="s">
        <v>46</v>
      </c>
      <c r="V162" t="s">
        <v>49</v>
      </c>
      <c r="W162" s="6">
        <v>5</v>
      </c>
      <c r="X162" s="6">
        <v>1</v>
      </c>
      <c r="Y162">
        <v>5.4</v>
      </c>
      <c r="Z162">
        <v>0.2</v>
      </c>
      <c r="AA162" s="2" t="s">
        <v>161</v>
      </c>
      <c r="AC162" t="s">
        <v>25</v>
      </c>
      <c r="AD162">
        <v>24</v>
      </c>
      <c r="AE162">
        <v>3</v>
      </c>
      <c r="AF162">
        <v>5.3</v>
      </c>
      <c r="AG162">
        <v>0.13</v>
      </c>
      <c r="AH162" s="3" t="s">
        <v>45</v>
      </c>
      <c r="AJ162" t="s">
        <v>29</v>
      </c>
      <c r="AK162">
        <v>7</v>
      </c>
      <c r="AL162">
        <v>0</v>
      </c>
      <c r="AM162">
        <v>5.14</v>
      </c>
      <c r="AN162">
        <v>0</v>
      </c>
      <c r="AO162" s="2" t="s">
        <v>59</v>
      </c>
      <c r="AQ162" t="s">
        <v>29</v>
      </c>
      <c r="AR162">
        <v>7</v>
      </c>
      <c r="AS162">
        <v>0</v>
      </c>
      <c r="AT162">
        <v>5.14</v>
      </c>
      <c r="AU162">
        <v>0</v>
      </c>
      <c r="AW162" t="s">
        <v>6</v>
      </c>
      <c r="AX162" s="6">
        <v>27</v>
      </c>
      <c r="AY162">
        <v>3</v>
      </c>
      <c r="AZ162">
        <v>5.07</v>
      </c>
      <c r="BA162">
        <v>0.11</v>
      </c>
      <c r="BB162" s="2" t="s">
        <v>47</v>
      </c>
    </row>
    <row r="163" spans="1:54" x14ac:dyDescent="0.35">
      <c r="A163" t="s">
        <v>87</v>
      </c>
      <c r="B163">
        <v>3</v>
      </c>
      <c r="C163">
        <v>0</v>
      </c>
      <c r="D163">
        <v>6</v>
      </c>
      <c r="E163">
        <v>0</v>
      </c>
      <c r="H163" t="s">
        <v>87</v>
      </c>
      <c r="I163">
        <v>3</v>
      </c>
      <c r="J163">
        <v>0</v>
      </c>
      <c r="K163">
        <v>6</v>
      </c>
      <c r="L163">
        <v>0</v>
      </c>
      <c r="O163" t="s">
        <v>12</v>
      </c>
      <c r="P163">
        <v>4</v>
      </c>
      <c r="Q163">
        <v>0</v>
      </c>
      <c r="R163">
        <v>5.75</v>
      </c>
      <c r="S163">
        <v>0</v>
      </c>
      <c r="T163" s="3" t="s">
        <v>46</v>
      </c>
      <c r="V163" t="s">
        <v>29</v>
      </c>
      <c r="W163">
        <v>6</v>
      </c>
      <c r="X163">
        <v>0</v>
      </c>
      <c r="Y163">
        <v>5.67</v>
      </c>
      <c r="Z163">
        <v>0</v>
      </c>
      <c r="AA163" s="3" t="s">
        <v>46</v>
      </c>
      <c r="AC163" t="s">
        <v>116</v>
      </c>
      <c r="AD163">
        <v>5</v>
      </c>
      <c r="AE163">
        <v>0</v>
      </c>
      <c r="AF163">
        <v>5.4</v>
      </c>
      <c r="AG163">
        <v>0</v>
      </c>
      <c r="AH163" s="3" t="s">
        <v>45</v>
      </c>
      <c r="AJ163" t="s">
        <v>17</v>
      </c>
      <c r="AK163">
        <v>6</v>
      </c>
      <c r="AL163">
        <v>1</v>
      </c>
      <c r="AM163">
        <v>5.17</v>
      </c>
      <c r="AN163">
        <v>0.17</v>
      </c>
      <c r="AO163" s="3" t="s">
        <v>94</v>
      </c>
      <c r="AQ163" t="s">
        <v>17</v>
      </c>
      <c r="AR163">
        <v>6</v>
      </c>
      <c r="AS163">
        <v>1</v>
      </c>
      <c r="AT163">
        <v>5.17</v>
      </c>
      <c r="AU163">
        <v>0.17</v>
      </c>
      <c r="AW163" t="s">
        <v>99</v>
      </c>
      <c r="AX163">
        <v>9</v>
      </c>
      <c r="AY163">
        <v>1</v>
      </c>
      <c r="AZ163">
        <v>5.1100000000000003</v>
      </c>
      <c r="BA163">
        <v>0.11</v>
      </c>
      <c r="BB163" s="3" t="s">
        <v>45</v>
      </c>
    </row>
    <row r="164" spans="1:54" x14ac:dyDescent="0.35">
      <c r="A164" t="s">
        <v>16</v>
      </c>
      <c r="B164">
        <v>3</v>
      </c>
      <c r="C164">
        <v>0</v>
      </c>
      <c r="D164">
        <v>6</v>
      </c>
      <c r="E164">
        <v>0</v>
      </c>
      <c r="H164" t="s">
        <v>16</v>
      </c>
      <c r="I164">
        <v>3</v>
      </c>
      <c r="J164">
        <v>0</v>
      </c>
      <c r="K164">
        <v>6</v>
      </c>
      <c r="L164">
        <v>0</v>
      </c>
      <c r="O164" t="s">
        <v>32</v>
      </c>
      <c r="P164" s="6">
        <v>4</v>
      </c>
      <c r="Q164">
        <v>0</v>
      </c>
      <c r="R164">
        <v>5.75</v>
      </c>
      <c r="S164">
        <v>0</v>
      </c>
      <c r="T164" s="3" t="s">
        <v>94</v>
      </c>
      <c r="V164" t="s">
        <v>105</v>
      </c>
      <c r="W164" s="6">
        <v>3</v>
      </c>
      <c r="X164">
        <v>0</v>
      </c>
      <c r="Y164">
        <v>5.67</v>
      </c>
      <c r="Z164">
        <v>0</v>
      </c>
      <c r="AA164" s="12" t="s">
        <v>162</v>
      </c>
      <c r="AC164" t="s">
        <v>49</v>
      </c>
      <c r="AD164">
        <v>5</v>
      </c>
      <c r="AE164">
        <v>1</v>
      </c>
      <c r="AF164">
        <v>5.4</v>
      </c>
      <c r="AG164">
        <v>0.2</v>
      </c>
      <c r="AH164" s="3" t="s">
        <v>45</v>
      </c>
      <c r="AJ164" t="s">
        <v>6</v>
      </c>
      <c r="AK164">
        <v>26</v>
      </c>
      <c r="AL164">
        <v>3</v>
      </c>
      <c r="AM164">
        <v>5.19</v>
      </c>
      <c r="AN164">
        <v>0.12</v>
      </c>
      <c r="AO164" s="3" t="s">
        <v>69</v>
      </c>
      <c r="AQ164" t="s">
        <v>6</v>
      </c>
      <c r="AR164">
        <v>26</v>
      </c>
      <c r="AS164">
        <v>3</v>
      </c>
      <c r="AT164">
        <v>5.19</v>
      </c>
      <c r="AU164">
        <v>0.12</v>
      </c>
      <c r="AW164" t="s">
        <v>29</v>
      </c>
      <c r="AX164">
        <v>7</v>
      </c>
      <c r="AY164">
        <v>0</v>
      </c>
      <c r="AZ164">
        <v>5.14</v>
      </c>
      <c r="BA164">
        <v>0</v>
      </c>
      <c r="BB164" s="3" t="s">
        <v>45</v>
      </c>
    </row>
    <row r="165" spans="1:54" x14ac:dyDescent="0.35">
      <c r="A165" t="s">
        <v>20</v>
      </c>
      <c r="B165">
        <v>8</v>
      </c>
      <c r="C165">
        <v>0</v>
      </c>
      <c r="D165">
        <v>6.25</v>
      </c>
      <c r="E165">
        <v>0</v>
      </c>
      <c r="H165" t="s">
        <v>20</v>
      </c>
      <c r="I165">
        <v>8</v>
      </c>
      <c r="J165">
        <v>0</v>
      </c>
      <c r="K165">
        <v>6.25</v>
      </c>
      <c r="L165">
        <v>0</v>
      </c>
      <c r="O165" t="s">
        <v>87</v>
      </c>
      <c r="P165">
        <v>3</v>
      </c>
      <c r="Q165">
        <v>0</v>
      </c>
      <c r="R165">
        <v>6</v>
      </c>
      <c r="S165">
        <v>0</v>
      </c>
      <c r="T165" s="3" t="s">
        <v>45</v>
      </c>
      <c r="V165" t="s">
        <v>12</v>
      </c>
      <c r="W165">
        <v>4</v>
      </c>
      <c r="X165">
        <v>0</v>
      </c>
      <c r="Y165">
        <v>5.75</v>
      </c>
      <c r="Z165">
        <v>0</v>
      </c>
      <c r="AA165" s="3" t="s">
        <v>45</v>
      </c>
      <c r="AC165" t="s">
        <v>29</v>
      </c>
      <c r="AD165">
        <v>6</v>
      </c>
      <c r="AE165">
        <v>0</v>
      </c>
      <c r="AF165">
        <v>5.67</v>
      </c>
      <c r="AG165">
        <v>0</v>
      </c>
      <c r="AH165" s="3" t="s">
        <v>45</v>
      </c>
      <c r="AJ165" t="s">
        <v>125</v>
      </c>
      <c r="AK165">
        <v>4</v>
      </c>
      <c r="AL165">
        <v>0</v>
      </c>
      <c r="AM165">
        <v>5.25</v>
      </c>
      <c r="AN165">
        <v>0</v>
      </c>
      <c r="AO165" s="3" t="s">
        <v>55</v>
      </c>
      <c r="AQ165" t="s">
        <v>125</v>
      </c>
      <c r="AR165">
        <v>4</v>
      </c>
      <c r="AS165">
        <v>0</v>
      </c>
      <c r="AT165">
        <v>5.25</v>
      </c>
      <c r="AU165">
        <v>0</v>
      </c>
      <c r="AW165" t="s">
        <v>17</v>
      </c>
      <c r="AX165">
        <v>6</v>
      </c>
      <c r="AY165">
        <v>1</v>
      </c>
      <c r="AZ165">
        <v>5.17</v>
      </c>
      <c r="BA165">
        <v>0.17</v>
      </c>
      <c r="BB165" s="3" t="s">
        <v>45</v>
      </c>
    </row>
    <row r="166" spans="1:54" x14ac:dyDescent="0.35">
      <c r="A166" t="s">
        <v>49</v>
      </c>
      <c r="B166">
        <v>4</v>
      </c>
      <c r="C166">
        <v>0</v>
      </c>
      <c r="D166">
        <v>6.5</v>
      </c>
      <c r="E166">
        <v>0</v>
      </c>
      <c r="H166" t="s">
        <v>49</v>
      </c>
      <c r="I166">
        <v>4</v>
      </c>
      <c r="J166">
        <v>0</v>
      </c>
      <c r="K166">
        <v>6.5</v>
      </c>
      <c r="L166">
        <v>0</v>
      </c>
      <c r="O166" t="s">
        <v>16</v>
      </c>
      <c r="P166">
        <v>3</v>
      </c>
      <c r="Q166">
        <v>0</v>
      </c>
      <c r="R166">
        <v>6</v>
      </c>
      <c r="S166">
        <v>0</v>
      </c>
      <c r="T166" s="3" t="s">
        <v>45</v>
      </c>
      <c r="V166" t="s">
        <v>32</v>
      </c>
      <c r="W166">
        <v>4</v>
      </c>
      <c r="X166">
        <v>0</v>
      </c>
      <c r="Y166">
        <v>5.75</v>
      </c>
      <c r="Z166">
        <v>0</v>
      </c>
      <c r="AA166" s="3" t="s">
        <v>45</v>
      </c>
      <c r="AC166" t="s">
        <v>105</v>
      </c>
      <c r="AD166">
        <v>3</v>
      </c>
      <c r="AE166">
        <v>0</v>
      </c>
      <c r="AF166">
        <v>5.67</v>
      </c>
      <c r="AG166">
        <v>0</v>
      </c>
      <c r="AH166" s="3" t="s">
        <v>45</v>
      </c>
      <c r="AJ166" t="s">
        <v>16</v>
      </c>
      <c r="AK166">
        <v>4</v>
      </c>
      <c r="AL166">
        <v>0</v>
      </c>
      <c r="AM166">
        <v>5.25</v>
      </c>
      <c r="AN166">
        <v>0</v>
      </c>
      <c r="AO166" s="2" t="s">
        <v>88</v>
      </c>
      <c r="AQ166" t="s">
        <v>16</v>
      </c>
      <c r="AR166">
        <v>4</v>
      </c>
      <c r="AS166">
        <v>0</v>
      </c>
      <c r="AT166">
        <v>5.25</v>
      </c>
      <c r="AU166">
        <v>0</v>
      </c>
      <c r="AW166" t="s">
        <v>16</v>
      </c>
      <c r="AX166">
        <v>4</v>
      </c>
      <c r="AY166">
        <v>0</v>
      </c>
      <c r="AZ166">
        <v>5.25</v>
      </c>
      <c r="BA166">
        <v>0</v>
      </c>
    </row>
    <row r="167" spans="1:54" x14ac:dyDescent="0.35">
      <c r="O167" t="s">
        <v>20</v>
      </c>
      <c r="P167">
        <v>8</v>
      </c>
      <c r="Q167">
        <v>0</v>
      </c>
      <c r="R167">
        <v>6.25</v>
      </c>
      <c r="S167">
        <v>0</v>
      </c>
      <c r="T167" s="3" t="s">
        <v>45</v>
      </c>
      <c r="V167" t="s">
        <v>87</v>
      </c>
      <c r="W167">
        <v>3</v>
      </c>
      <c r="X167">
        <v>0</v>
      </c>
      <c r="Y167">
        <v>6</v>
      </c>
      <c r="Z167">
        <v>0</v>
      </c>
      <c r="AA167" s="3" t="s">
        <v>45</v>
      </c>
      <c r="AC167" t="s">
        <v>137</v>
      </c>
      <c r="AD167" s="6">
        <v>3</v>
      </c>
      <c r="AE167">
        <v>0</v>
      </c>
      <c r="AF167">
        <v>5.67</v>
      </c>
      <c r="AG167">
        <v>0</v>
      </c>
      <c r="AH167" s="3" t="s">
        <v>167</v>
      </c>
      <c r="AJ167" t="s">
        <v>51</v>
      </c>
      <c r="AK167">
        <v>14</v>
      </c>
      <c r="AL167">
        <v>0</v>
      </c>
      <c r="AM167">
        <v>5.29</v>
      </c>
      <c r="AN167">
        <v>0</v>
      </c>
      <c r="AO167" s="3" t="s">
        <v>67</v>
      </c>
      <c r="AQ167" t="s">
        <v>51</v>
      </c>
      <c r="AR167">
        <v>14</v>
      </c>
      <c r="AS167">
        <v>0</v>
      </c>
      <c r="AT167">
        <v>5.29</v>
      </c>
      <c r="AU167">
        <v>0</v>
      </c>
      <c r="AW167" t="s">
        <v>25</v>
      </c>
      <c r="AX167" s="6">
        <v>26</v>
      </c>
      <c r="AY167">
        <v>3</v>
      </c>
      <c r="AZ167">
        <v>5.31</v>
      </c>
      <c r="BA167">
        <v>0.12</v>
      </c>
      <c r="BB167" s="2" t="s">
        <v>44</v>
      </c>
    </row>
    <row r="168" spans="1:54" x14ac:dyDescent="0.35">
      <c r="O168" t="s">
        <v>49</v>
      </c>
      <c r="P168">
        <v>4</v>
      </c>
      <c r="Q168">
        <v>0</v>
      </c>
      <c r="R168">
        <v>6.5</v>
      </c>
      <c r="S168">
        <v>0</v>
      </c>
      <c r="T168" s="3" t="s">
        <v>45</v>
      </c>
      <c r="V168" t="s">
        <v>16</v>
      </c>
      <c r="W168">
        <v>3</v>
      </c>
      <c r="X168">
        <v>0</v>
      </c>
      <c r="Y168">
        <v>6</v>
      </c>
      <c r="Z168">
        <v>0</v>
      </c>
      <c r="AA168" s="3" t="s">
        <v>45</v>
      </c>
      <c r="AC168" t="s">
        <v>12</v>
      </c>
      <c r="AD168">
        <v>4</v>
      </c>
      <c r="AE168">
        <v>0</v>
      </c>
      <c r="AF168">
        <v>5.75</v>
      </c>
      <c r="AG168">
        <v>0</v>
      </c>
      <c r="AH168" s="3" t="s">
        <v>54</v>
      </c>
      <c r="AJ168" t="s">
        <v>80</v>
      </c>
      <c r="AK168">
        <v>3</v>
      </c>
      <c r="AL168">
        <v>0</v>
      </c>
      <c r="AM168">
        <v>5.33</v>
      </c>
      <c r="AN168">
        <v>0</v>
      </c>
      <c r="AO168" s="3" t="s">
        <v>184</v>
      </c>
      <c r="AQ168" t="s">
        <v>25</v>
      </c>
      <c r="AR168" s="6">
        <v>26</v>
      </c>
      <c r="AS168">
        <v>3</v>
      </c>
      <c r="AT168">
        <v>5.31</v>
      </c>
      <c r="AU168">
        <v>0.12</v>
      </c>
      <c r="AV168" s="2" t="s">
        <v>59</v>
      </c>
      <c r="AW168" t="s">
        <v>80</v>
      </c>
      <c r="AX168">
        <v>3</v>
      </c>
      <c r="AY168">
        <v>0</v>
      </c>
      <c r="AZ168">
        <v>5.33</v>
      </c>
      <c r="BA168">
        <v>0</v>
      </c>
      <c r="BB168" s="2" t="s">
        <v>44</v>
      </c>
    </row>
    <row r="169" spans="1:54" x14ac:dyDescent="0.35">
      <c r="V169" t="s">
        <v>20</v>
      </c>
      <c r="W169">
        <v>8</v>
      </c>
      <c r="X169">
        <v>0</v>
      </c>
      <c r="Y169">
        <v>6.25</v>
      </c>
      <c r="Z169">
        <v>0</v>
      </c>
      <c r="AA169" s="3" t="s">
        <v>45</v>
      </c>
      <c r="AC169" t="s">
        <v>32</v>
      </c>
      <c r="AD169">
        <v>4</v>
      </c>
      <c r="AE169">
        <v>0</v>
      </c>
      <c r="AF169">
        <v>5.75</v>
      </c>
      <c r="AG169">
        <v>0</v>
      </c>
      <c r="AH169" s="3" t="s">
        <v>54</v>
      </c>
      <c r="AJ169" t="s">
        <v>33</v>
      </c>
      <c r="AK169">
        <v>3</v>
      </c>
      <c r="AL169">
        <v>0</v>
      </c>
      <c r="AM169">
        <v>5.33</v>
      </c>
      <c r="AN169">
        <v>0</v>
      </c>
      <c r="AO169" s="3" t="s">
        <v>185</v>
      </c>
      <c r="AQ169" t="s">
        <v>80</v>
      </c>
      <c r="AR169">
        <v>3</v>
      </c>
      <c r="AS169">
        <v>0</v>
      </c>
      <c r="AT169">
        <v>5.33</v>
      </c>
      <c r="AU169">
        <v>0</v>
      </c>
      <c r="AV169" s="3" t="s">
        <v>46</v>
      </c>
      <c r="AW169" t="s">
        <v>33</v>
      </c>
      <c r="AX169">
        <v>3</v>
      </c>
      <c r="AY169">
        <v>0</v>
      </c>
      <c r="AZ169">
        <v>5.33</v>
      </c>
      <c r="BA169">
        <v>0</v>
      </c>
      <c r="BB169" s="2" t="s">
        <v>44</v>
      </c>
    </row>
    <row r="170" spans="1:54" x14ac:dyDescent="0.35">
      <c r="AC170" t="s">
        <v>87</v>
      </c>
      <c r="AD170">
        <v>3</v>
      </c>
      <c r="AE170">
        <v>0</v>
      </c>
      <c r="AF170">
        <v>6</v>
      </c>
      <c r="AG170">
        <v>0</v>
      </c>
      <c r="AH170" s="3" t="s">
        <v>54</v>
      </c>
      <c r="AJ170" t="s">
        <v>173</v>
      </c>
      <c r="AK170">
        <v>3</v>
      </c>
      <c r="AL170">
        <v>0</v>
      </c>
      <c r="AM170">
        <v>5.33</v>
      </c>
      <c r="AN170">
        <v>0</v>
      </c>
      <c r="AO170" s="3" t="s">
        <v>186</v>
      </c>
      <c r="AQ170" t="s">
        <v>33</v>
      </c>
      <c r="AR170">
        <v>3</v>
      </c>
      <c r="AS170">
        <v>0</v>
      </c>
      <c r="AT170">
        <v>5.33</v>
      </c>
      <c r="AU170">
        <v>0</v>
      </c>
      <c r="AV170" s="3" t="s">
        <v>46</v>
      </c>
      <c r="AW170" t="s">
        <v>173</v>
      </c>
      <c r="AX170">
        <v>3</v>
      </c>
      <c r="AY170">
        <v>0</v>
      </c>
      <c r="AZ170">
        <v>5.33</v>
      </c>
      <c r="BA170">
        <v>0</v>
      </c>
      <c r="BB170" s="2" t="s">
        <v>44</v>
      </c>
    </row>
    <row r="171" spans="1:54" x14ac:dyDescent="0.35">
      <c r="AC171" t="s">
        <v>16</v>
      </c>
      <c r="AD171">
        <v>3</v>
      </c>
      <c r="AE171">
        <v>0</v>
      </c>
      <c r="AF171">
        <v>6</v>
      </c>
      <c r="AG171">
        <v>0</v>
      </c>
      <c r="AH171" s="3" t="s">
        <v>54</v>
      </c>
      <c r="AJ171" t="s">
        <v>25</v>
      </c>
      <c r="AK171">
        <v>25</v>
      </c>
      <c r="AL171">
        <v>3</v>
      </c>
      <c r="AM171">
        <v>5.4</v>
      </c>
      <c r="AN171">
        <v>0.12</v>
      </c>
      <c r="AO171" s="3" t="s">
        <v>84</v>
      </c>
      <c r="AQ171" t="s">
        <v>173</v>
      </c>
      <c r="AR171">
        <v>3</v>
      </c>
      <c r="AS171">
        <v>0</v>
      </c>
      <c r="AT171">
        <v>5.33</v>
      </c>
      <c r="AU171">
        <v>0</v>
      </c>
      <c r="AV171" s="3" t="s">
        <v>46</v>
      </c>
      <c r="AW171" t="s">
        <v>116</v>
      </c>
      <c r="AX171">
        <v>5</v>
      </c>
      <c r="AY171">
        <v>0</v>
      </c>
      <c r="AZ171">
        <v>5.4</v>
      </c>
      <c r="BA171">
        <v>0</v>
      </c>
      <c r="BB171" s="2" t="s">
        <v>44</v>
      </c>
    </row>
    <row r="172" spans="1:54" x14ac:dyDescent="0.35">
      <c r="AC172" t="s">
        <v>20</v>
      </c>
      <c r="AD172">
        <v>8</v>
      </c>
      <c r="AE172">
        <v>0</v>
      </c>
      <c r="AF172">
        <v>6.25</v>
      </c>
      <c r="AG172">
        <v>0</v>
      </c>
      <c r="AH172" s="3" t="s">
        <v>54</v>
      </c>
      <c r="AJ172" t="s">
        <v>116</v>
      </c>
      <c r="AK172">
        <v>5</v>
      </c>
      <c r="AL172">
        <v>0</v>
      </c>
      <c r="AM172">
        <v>5.4</v>
      </c>
      <c r="AN172">
        <v>0</v>
      </c>
      <c r="AO172" s="3" t="s">
        <v>84</v>
      </c>
      <c r="AQ172" t="s">
        <v>116</v>
      </c>
      <c r="AR172">
        <v>5</v>
      </c>
      <c r="AS172">
        <v>0</v>
      </c>
      <c r="AT172">
        <v>5.4</v>
      </c>
      <c r="AU172">
        <v>0</v>
      </c>
      <c r="AW172" t="s">
        <v>49</v>
      </c>
      <c r="AX172">
        <v>5</v>
      </c>
      <c r="AY172">
        <v>1</v>
      </c>
      <c r="AZ172">
        <v>5.4</v>
      </c>
      <c r="BA172">
        <v>0.2</v>
      </c>
      <c r="BB172" s="2" t="s">
        <v>44</v>
      </c>
    </row>
    <row r="173" spans="1:54" x14ac:dyDescent="0.35">
      <c r="AJ173" t="s">
        <v>49</v>
      </c>
      <c r="AK173">
        <v>5</v>
      </c>
      <c r="AL173">
        <v>1</v>
      </c>
      <c r="AM173">
        <v>5.4</v>
      </c>
      <c r="AN173">
        <v>0.2</v>
      </c>
      <c r="AO173" s="3" t="s">
        <v>84</v>
      </c>
      <c r="AQ173" t="s">
        <v>49</v>
      </c>
      <c r="AR173">
        <v>5</v>
      </c>
      <c r="AS173">
        <v>1</v>
      </c>
      <c r="AT173">
        <v>5.4</v>
      </c>
      <c r="AU173">
        <v>0.2</v>
      </c>
      <c r="AW173" t="s">
        <v>51</v>
      </c>
      <c r="AX173">
        <v>15</v>
      </c>
      <c r="AY173">
        <v>0</v>
      </c>
      <c r="AZ173">
        <v>5.47</v>
      </c>
      <c r="BA173">
        <v>0</v>
      </c>
      <c r="BB173" s="3" t="s">
        <v>195</v>
      </c>
    </row>
    <row r="174" spans="1:54" x14ac:dyDescent="0.35">
      <c r="A174" s="4" t="s">
        <v>42</v>
      </c>
      <c r="B174" s="4" t="s">
        <v>38</v>
      </c>
      <c r="C174" s="4" t="s">
        <v>39</v>
      </c>
      <c r="D174" s="4" t="s">
        <v>40</v>
      </c>
      <c r="E174" s="4" t="s">
        <v>111</v>
      </c>
      <c r="H174" s="4" t="s">
        <v>42</v>
      </c>
      <c r="I174" s="4" t="s">
        <v>38</v>
      </c>
      <c r="J174" s="4" t="s">
        <v>39</v>
      </c>
      <c r="K174" s="4" t="s">
        <v>40</v>
      </c>
      <c r="L174" s="4" t="s">
        <v>111</v>
      </c>
      <c r="O174" s="4" t="s">
        <v>42</v>
      </c>
      <c r="P174" s="4" t="s">
        <v>38</v>
      </c>
      <c r="Q174" s="4" t="s">
        <v>39</v>
      </c>
      <c r="R174" s="4" t="s">
        <v>40</v>
      </c>
      <c r="S174" s="4" t="s">
        <v>111</v>
      </c>
      <c r="AJ174" t="s">
        <v>105</v>
      </c>
      <c r="AK174">
        <v>3</v>
      </c>
      <c r="AL174">
        <v>0</v>
      </c>
      <c r="AM174">
        <v>5.67</v>
      </c>
      <c r="AN174">
        <v>0</v>
      </c>
      <c r="AO174" s="3" t="s">
        <v>67</v>
      </c>
      <c r="AQ174" t="s">
        <v>105</v>
      </c>
      <c r="AR174">
        <v>3</v>
      </c>
      <c r="AS174">
        <v>0</v>
      </c>
      <c r="AT174">
        <v>5.67</v>
      </c>
      <c r="AU174">
        <v>0</v>
      </c>
      <c r="AW174" t="s">
        <v>105</v>
      </c>
      <c r="AX174">
        <v>3</v>
      </c>
      <c r="AY174">
        <v>0</v>
      </c>
      <c r="AZ174">
        <v>5.67</v>
      </c>
      <c r="BA174">
        <v>0</v>
      </c>
    </row>
    <row r="175" spans="1:54" x14ac:dyDescent="0.35">
      <c r="A175" t="s">
        <v>112</v>
      </c>
      <c r="B175">
        <v>4</v>
      </c>
      <c r="C175">
        <v>3</v>
      </c>
      <c r="D175">
        <v>2.25</v>
      </c>
      <c r="E175" s="7">
        <v>0.75</v>
      </c>
      <c r="H175" t="s">
        <v>112</v>
      </c>
      <c r="I175">
        <v>4</v>
      </c>
      <c r="J175">
        <v>3</v>
      </c>
      <c r="K175">
        <v>2.25</v>
      </c>
      <c r="L175" s="7">
        <v>0.75</v>
      </c>
      <c r="O175" t="s">
        <v>112</v>
      </c>
      <c r="P175" s="6">
        <v>5</v>
      </c>
      <c r="Q175">
        <v>3</v>
      </c>
      <c r="R175">
        <v>2.6</v>
      </c>
      <c r="S175">
        <v>0.6</v>
      </c>
      <c r="AJ175" t="s">
        <v>20</v>
      </c>
      <c r="AK175">
        <v>9</v>
      </c>
      <c r="AL175">
        <v>1</v>
      </c>
      <c r="AM175">
        <v>5.67</v>
      </c>
      <c r="AN175">
        <v>0.11</v>
      </c>
      <c r="AO175" s="3" t="s">
        <v>54</v>
      </c>
      <c r="AQ175" t="s">
        <v>20</v>
      </c>
      <c r="AR175">
        <v>9</v>
      </c>
      <c r="AS175">
        <v>1</v>
      </c>
      <c r="AT175">
        <v>5.67</v>
      </c>
      <c r="AU175">
        <v>0.11</v>
      </c>
      <c r="AW175" t="s">
        <v>137</v>
      </c>
      <c r="AX175">
        <v>3</v>
      </c>
      <c r="AY175">
        <v>0</v>
      </c>
      <c r="AZ175">
        <v>5.67</v>
      </c>
      <c r="BA175">
        <v>0</v>
      </c>
      <c r="BB175" s="2" t="s">
        <v>44</v>
      </c>
    </row>
    <row r="176" spans="1:54" x14ac:dyDescent="0.35">
      <c r="A176" t="s">
        <v>128</v>
      </c>
      <c r="B176" s="6">
        <v>15</v>
      </c>
      <c r="C176" s="6">
        <v>6</v>
      </c>
      <c r="D176">
        <v>2.6</v>
      </c>
      <c r="E176">
        <v>0.4</v>
      </c>
      <c r="F176" s="2" t="s">
        <v>44</v>
      </c>
      <c r="H176" t="s">
        <v>128</v>
      </c>
      <c r="I176" s="6">
        <v>18</v>
      </c>
      <c r="J176">
        <v>6</v>
      </c>
      <c r="K176">
        <v>2.83</v>
      </c>
      <c r="L176">
        <v>0.33</v>
      </c>
      <c r="O176" t="s">
        <v>128</v>
      </c>
      <c r="P176" s="6">
        <v>19</v>
      </c>
      <c r="Q176">
        <v>6</v>
      </c>
      <c r="R176">
        <v>2.95</v>
      </c>
      <c r="S176">
        <v>0.32</v>
      </c>
      <c r="AJ176" t="s">
        <v>137</v>
      </c>
      <c r="AK176">
        <v>3</v>
      </c>
      <c r="AL176">
        <v>0</v>
      </c>
      <c r="AM176">
        <v>5.67</v>
      </c>
      <c r="AN176">
        <v>0</v>
      </c>
      <c r="AO176" s="3" t="s">
        <v>67</v>
      </c>
      <c r="AQ176" t="s">
        <v>137</v>
      </c>
      <c r="AR176">
        <v>3</v>
      </c>
      <c r="AS176">
        <v>0</v>
      </c>
      <c r="AT176">
        <v>5.67</v>
      </c>
      <c r="AU176">
        <v>0</v>
      </c>
      <c r="AW176" t="s">
        <v>20</v>
      </c>
      <c r="AX176" s="6">
        <v>10</v>
      </c>
      <c r="AY176">
        <v>1</v>
      </c>
      <c r="AZ176">
        <v>5.7</v>
      </c>
      <c r="BA176">
        <v>0.1</v>
      </c>
      <c r="BB176" s="3" t="s">
        <v>46</v>
      </c>
    </row>
    <row r="177" spans="1:53" x14ac:dyDescent="0.35">
      <c r="A177" t="s">
        <v>121</v>
      </c>
      <c r="B177">
        <v>10</v>
      </c>
      <c r="C177">
        <v>2</v>
      </c>
      <c r="D177">
        <v>3.2</v>
      </c>
      <c r="E177">
        <v>0.2</v>
      </c>
      <c r="F177" s="2" t="s">
        <v>44</v>
      </c>
      <c r="H177" t="s">
        <v>141</v>
      </c>
      <c r="I177" s="6">
        <v>3</v>
      </c>
      <c r="J177">
        <v>1</v>
      </c>
      <c r="K177">
        <v>3.33</v>
      </c>
      <c r="L177">
        <v>0.33</v>
      </c>
      <c r="M177" s="11" t="s">
        <v>214</v>
      </c>
      <c r="O177" t="s">
        <v>0</v>
      </c>
      <c r="P177" s="6">
        <v>19</v>
      </c>
      <c r="Q177">
        <v>3</v>
      </c>
      <c r="R177">
        <v>3.32</v>
      </c>
      <c r="S177">
        <v>0.17</v>
      </c>
      <c r="T177" s="2" t="s">
        <v>47</v>
      </c>
      <c r="AJ177" t="s">
        <v>12</v>
      </c>
      <c r="AK177">
        <v>4</v>
      </c>
      <c r="AL177">
        <v>0</v>
      </c>
      <c r="AM177">
        <v>5.75</v>
      </c>
      <c r="AN177">
        <v>0</v>
      </c>
      <c r="AO177" s="3" t="s">
        <v>84</v>
      </c>
      <c r="AQ177" t="s">
        <v>12</v>
      </c>
      <c r="AR177">
        <v>4</v>
      </c>
      <c r="AS177">
        <v>0</v>
      </c>
      <c r="AT177">
        <v>5.75</v>
      </c>
      <c r="AU177">
        <v>0</v>
      </c>
      <c r="AW177" t="s">
        <v>12</v>
      </c>
      <c r="AX177">
        <v>4</v>
      </c>
      <c r="AY177">
        <v>0</v>
      </c>
      <c r="AZ177">
        <v>5.75</v>
      </c>
      <c r="BA177">
        <v>0</v>
      </c>
    </row>
    <row r="178" spans="1:53" x14ac:dyDescent="0.35">
      <c r="A178" t="s">
        <v>78</v>
      </c>
      <c r="B178" s="6">
        <v>5</v>
      </c>
      <c r="C178">
        <v>1</v>
      </c>
      <c r="D178">
        <v>3.4</v>
      </c>
      <c r="E178">
        <v>0.2</v>
      </c>
      <c r="F178" s="3" t="s">
        <v>45</v>
      </c>
      <c r="H178" t="s">
        <v>78</v>
      </c>
      <c r="I178">
        <v>5</v>
      </c>
      <c r="J178">
        <v>1</v>
      </c>
      <c r="K178">
        <v>3.4</v>
      </c>
      <c r="L178">
        <v>0.2</v>
      </c>
      <c r="O178" t="s">
        <v>141</v>
      </c>
      <c r="P178">
        <v>3</v>
      </c>
      <c r="Q178">
        <v>1</v>
      </c>
      <c r="R178">
        <v>3.33</v>
      </c>
      <c r="S178">
        <v>0.33</v>
      </c>
      <c r="T178" s="3" t="s">
        <v>46</v>
      </c>
      <c r="AJ178" t="s">
        <v>30</v>
      </c>
      <c r="AK178">
        <v>5</v>
      </c>
      <c r="AL178">
        <v>0</v>
      </c>
      <c r="AM178">
        <v>5.8</v>
      </c>
      <c r="AN178">
        <v>0</v>
      </c>
      <c r="AO178" s="3" t="s">
        <v>187</v>
      </c>
      <c r="AQ178" t="s">
        <v>30</v>
      </c>
      <c r="AR178">
        <v>5</v>
      </c>
      <c r="AS178">
        <v>0</v>
      </c>
      <c r="AT178">
        <v>5.8</v>
      </c>
      <c r="AU178">
        <v>0</v>
      </c>
      <c r="AW178" t="s">
        <v>30</v>
      </c>
      <c r="AX178">
        <v>5</v>
      </c>
      <c r="AY178">
        <v>0</v>
      </c>
      <c r="AZ178">
        <v>5.8</v>
      </c>
      <c r="BA178">
        <v>0</v>
      </c>
    </row>
    <row r="179" spans="1:53" x14ac:dyDescent="0.35">
      <c r="A179" t="s">
        <v>52</v>
      </c>
      <c r="B179">
        <v>6</v>
      </c>
      <c r="C179">
        <v>0</v>
      </c>
      <c r="D179">
        <v>3.67</v>
      </c>
      <c r="E179">
        <v>0</v>
      </c>
      <c r="H179" t="s">
        <v>0</v>
      </c>
      <c r="I179" s="6">
        <v>17</v>
      </c>
      <c r="J179">
        <v>3</v>
      </c>
      <c r="K179">
        <v>3.41</v>
      </c>
      <c r="L179">
        <v>0.18</v>
      </c>
      <c r="M179" s="2" t="s">
        <v>44</v>
      </c>
      <c r="O179" t="s">
        <v>78</v>
      </c>
      <c r="P179">
        <v>5</v>
      </c>
      <c r="Q179">
        <v>1</v>
      </c>
      <c r="R179">
        <v>3.4</v>
      </c>
      <c r="S179">
        <v>0.2</v>
      </c>
      <c r="T179" s="3" t="s">
        <v>46</v>
      </c>
      <c r="AJ179" t="s">
        <v>87</v>
      </c>
      <c r="AK179">
        <v>3</v>
      </c>
      <c r="AL179">
        <v>0</v>
      </c>
      <c r="AM179">
        <v>6</v>
      </c>
      <c r="AN179">
        <v>0</v>
      </c>
      <c r="AO179" s="3" t="s">
        <v>84</v>
      </c>
      <c r="AQ179" t="s">
        <v>87</v>
      </c>
      <c r="AR179">
        <v>3</v>
      </c>
      <c r="AS179">
        <v>0</v>
      </c>
      <c r="AT179">
        <v>6</v>
      </c>
      <c r="AU179">
        <v>0</v>
      </c>
      <c r="AW179" t="s">
        <v>87</v>
      </c>
      <c r="AX179">
        <v>3</v>
      </c>
      <c r="AY179">
        <v>0</v>
      </c>
      <c r="AZ179">
        <v>6</v>
      </c>
      <c r="BA179">
        <v>0</v>
      </c>
    </row>
    <row r="180" spans="1:53" x14ac:dyDescent="0.35">
      <c r="A180" t="s">
        <v>0</v>
      </c>
      <c r="B180" s="6">
        <v>15</v>
      </c>
      <c r="C180">
        <v>2</v>
      </c>
      <c r="D180">
        <v>3.67</v>
      </c>
      <c r="E180">
        <v>0.13</v>
      </c>
      <c r="F180" s="2" t="s">
        <v>44</v>
      </c>
      <c r="H180" t="s">
        <v>121</v>
      </c>
      <c r="I180" s="6">
        <v>11</v>
      </c>
      <c r="J180">
        <v>2</v>
      </c>
      <c r="K180">
        <v>3.45</v>
      </c>
      <c r="L180">
        <v>0.18</v>
      </c>
      <c r="M180" s="3" t="s">
        <v>54</v>
      </c>
      <c r="O180" t="s">
        <v>121</v>
      </c>
      <c r="P180">
        <v>11</v>
      </c>
      <c r="Q180">
        <v>2</v>
      </c>
      <c r="R180">
        <v>3.45</v>
      </c>
      <c r="S180">
        <v>0.18</v>
      </c>
      <c r="AJ180" t="s">
        <v>32</v>
      </c>
      <c r="AK180">
        <v>6</v>
      </c>
      <c r="AL180">
        <v>0</v>
      </c>
      <c r="AM180">
        <v>6</v>
      </c>
      <c r="AN180">
        <v>0</v>
      </c>
      <c r="AO180" s="3" t="s">
        <v>144</v>
      </c>
      <c r="AQ180" t="s">
        <v>32</v>
      </c>
      <c r="AR180">
        <v>6</v>
      </c>
      <c r="AS180">
        <v>0</v>
      </c>
      <c r="AT180">
        <v>6</v>
      </c>
      <c r="AU180">
        <v>0</v>
      </c>
      <c r="AW180" t="s">
        <v>32</v>
      </c>
      <c r="AX180">
        <v>6</v>
      </c>
      <c r="AY180">
        <v>0</v>
      </c>
      <c r="AZ180">
        <v>6</v>
      </c>
      <c r="BA180">
        <v>0</v>
      </c>
    </row>
    <row r="181" spans="1:53" x14ac:dyDescent="0.35">
      <c r="A181" t="s">
        <v>115</v>
      </c>
      <c r="B181">
        <v>3</v>
      </c>
      <c r="C181">
        <v>0</v>
      </c>
      <c r="D181">
        <v>3.67</v>
      </c>
      <c r="E181">
        <v>0</v>
      </c>
      <c r="H181" t="s">
        <v>52</v>
      </c>
      <c r="I181">
        <v>6</v>
      </c>
      <c r="J181">
        <v>0</v>
      </c>
      <c r="K181">
        <v>3.67</v>
      </c>
      <c r="L181">
        <v>0</v>
      </c>
      <c r="M181" s="3" t="s">
        <v>45</v>
      </c>
      <c r="O181" t="s">
        <v>52</v>
      </c>
      <c r="P181">
        <v>6</v>
      </c>
      <c r="Q181">
        <v>0</v>
      </c>
      <c r="R181">
        <v>3.67</v>
      </c>
      <c r="S181">
        <v>0</v>
      </c>
      <c r="AJ181" t="s">
        <v>124</v>
      </c>
      <c r="AK181">
        <v>3</v>
      </c>
      <c r="AL181">
        <v>0</v>
      </c>
      <c r="AM181">
        <v>6.33</v>
      </c>
      <c r="AN181">
        <v>0</v>
      </c>
      <c r="AO181" s="3" t="s">
        <v>188</v>
      </c>
      <c r="AQ181" t="s">
        <v>124</v>
      </c>
      <c r="AR181">
        <v>3</v>
      </c>
      <c r="AS181">
        <v>0</v>
      </c>
      <c r="AT181">
        <v>6.33</v>
      </c>
      <c r="AU181">
        <v>0</v>
      </c>
      <c r="AW181" t="s">
        <v>124</v>
      </c>
      <c r="AX181">
        <v>3</v>
      </c>
      <c r="AY181">
        <v>0</v>
      </c>
      <c r="AZ181">
        <v>6.33</v>
      </c>
      <c r="BA181">
        <v>0</v>
      </c>
    </row>
    <row r="182" spans="1:53" x14ac:dyDescent="0.35">
      <c r="A182" t="s">
        <v>122</v>
      </c>
      <c r="B182">
        <v>3</v>
      </c>
      <c r="C182">
        <v>0</v>
      </c>
      <c r="D182">
        <v>3.67</v>
      </c>
      <c r="E182">
        <v>0</v>
      </c>
      <c r="H182" t="s">
        <v>35</v>
      </c>
      <c r="I182" s="6">
        <v>18</v>
      </c>
      <c r="J182">
        <v>5</v>
      </c>
      <c r="K182">
        <v>3.67</v>
      </c>
      <c r="L182">
        <v>0.28000000000000003</v>
      </c>
      <c r="M182" s="2" t="s">
        <v>47</v>
      </c>
      <c r="O182" t="s">
        <v>35</v>
      </c>
      <c r="P182">
        <v>18</v>
      </c>
      <c r="Q182">
        <v>5</v>
      </c>
      <c r="R182">
        <v>3.67</v>
      </c>
      <c r="S182">
        <v>0.28000000000000003</v>
      </c>
    </row>
    <row r="183" spans="1:53" x14ac:dyDescent="0.35">
      <c r="A183" t="s">
        <v>148</v>
      </c>
      <c r="B183">
        <v>4</v>
      </c>
      <c r="C183">
        <v>0</v>
      </c>
      <c r="D183">
        <v>3.75</v>
      </c>
      <c r="E183">
        <v>0</v>
      </c>
      <c r="H183" t="s">
        <v>122</v>
      </c>
      <c r="I183">
        <v>3</v>
      </c>
      <c r="J183">
        <v>0</v>
      </c>
      <c r="K183">
        <v>3.67</v>
      </c>
      <c r="L183">
        <v>0</v>
      </c>
      <c r="O183" t="s">
        <v>122</v>
      </c>
      <c r="P183">
        <v>3</v>
      </c>
      <c r="Q183">
        <v>0</v>
      </c>
      <c r="R183">
        <v>3.67</v>
      </c>
      <c r="S183">
        <v>0</v>
      </c>
    </row>
    <row r="184" spans="1:53" x14ac:dyDescent="0.35">
      <c r="A184" t="s">
        <v>35</v>
      </c>
      <c r="B184">
        <v>17</v>
      </c>
      <c r="C184">
        <v>5</v>
      </c>
      <c r="D184">
        <v>3.76</v>
      </c>
      <c r="E184">
        <v>0.28999999999999998</v>
      </c>
      <c r="H184" t="s">
        <v>9</v>
      </c>
      <c r="I184" s="6">
        <v>3</v>
      </c>
      <c r="J184">
        <v>1</v>
      </c>
      <c r="K184">
        <v>3.67</v>
      </c>
      <c r="L184">
        <v>0.33</v>
      </c>
      <c r="M184" s="10" t="s">
        <v>213</v>
      </c>
      <c r="O184" t="s">
        <v>9</v>
      </c>
      <c r="P184">
        <v>3</v>
      </c>
      <c r="Q184">
        <v>1</v>
      </c>
      <c r="R184">
        <v>3.67</v>
      </c>
      <c r="S184">
        <v>0.33</v>
      </c>
    </row>
    <row r="185" spans="1:53" x14ac:dyDescent="0.35">
      <c r="A185" t="s">
        <v>63</v>
      </c>
      <c r="B185">
        <v>5</v>
      </c>
      <c r="C185">
        <v>1</v>
      </c>
      <c r="D185">
        <v>3.8</v>
      </c>
      <c r="E185">
        <v>0.2</v>
      </c>
      <c r="H185" t="s">
        <v>63</v>
      </c>
      <c r="I185">
        <v>5</v>
      </c>
      <c r="J185">
        <v>1</v>
      </c>
      <c r="K185">
        <v>3.8</v>
      </c>
      <c r="L185">
        <v>0.2</v>
      </c>
      <c r="O185" t="s">
        <v>63</v>
      </c>
      <c r="P185">
        <v>5</v>
      </c>
      <c r="Q185">
        <v>1</v>
      </c>
      <c r="R185">
        <v>3.8</v>
      </c>
      <c r="S185">
        <v>0.2</v>
      </c>
      <c r="W185" s="4" t="s">
        <v>42</v>
      </c>
      <c r="X185" s="4" t="s">
        <v>38</v>
      </c>
      <c r="Y185" s="4" t="s">
        <v>39</v>
      </c>
      <c r="Z185" s="4" t="s">
        <v>40</v>
      </c>
      <c r="AA185" s="4" t="s">
        <v>111</v>
      </c>
      <c r="AC185" s="4" t="s">
        <v>42</v>
      </c>
      <c r="AD185" s="4" t="s">
        <v>38</v>
      </c>
      <c r="AE185" s="4" t="s">
        <v>39</v>
      </c>
      <c r="AF185" s="4" t="s">
        <v>40</v>
      </c>
      <c r="AG185" s="4" t="s">
        <v>111</v>
      </c>
      <c r="AI185" s="4" t="s">
        <v>42</v>
      </c>
      <c r="AJ185" s="4" t="s">
        <v>38</v>
      </c>
      <c r="AK185" s="4" t="s">
        <v>39</v>
      </c>
      <c r="AL185" s="4" t="s">
        <v>40</v>
      </c>
      <c r="AM185" s="4" t="s">
        <v>111</v>
      </c>
      <c r="AO185" s="4" t="s">
        <v>42</v>
      </c>
      <c r="AP185" s="4" t="s">
        <v>38</v>
      </c>
      <c r="AQ185" s="4" t="s">
        <v>39</v>
      </c>
      <c r="AR185" s="4" t="s">
        <v>40</v>
      </c>
      <c r="AS185" s="4" t="s">
        <v>111</v>
      </c>
      <c r="AT185" s="4" t="s">
        <v>275</v>
      </c>
    </row>
    <row r="186" spans="1:53" x14ac:dyDescent="0.35">
      <c r="A186" t="s">
        <v>36</v>
      </c>
      <c r="B186">
        <v>3</v>
      </c>
      <c r="C186">
        <v>0</v>
      </c>
      <c r="D186">
        <v>4</v>
      </c>
      <c r="E186">
        <v>0</v>
      </c>
      <c r="F186" s="2" t="s">
        <v>44</v>
      </c>
      <c r="H186" t="s">
        <v>148</v>
      </c>
      <c r="I186" s="6">
        <v>6</v>
      </c>
      <c r="J186">
        <v>0</v>
      </c>
      <c r="K186">
        <v>3.83</v>
      </c>
      <c r="L186">
        <v>0</v>
      </c>
      <c r="M186" s="3" t="s">
        <v>54</v>
      </c>
      <c r="O186" t="s">
        <v>148</v>
      </c>
      <c r="P186">
        <v>6</v>
      </c>
      <c r="Q186">
        <v>0</v>
      </c>
      <c r="R186">
        <v>3.83</v>
      </c>
      <c r="S186">
        <v>0</v>
      </c>
      <c r="W186" t="s">
        <v>128</v>
      </c>
      <c r="X186">
        <v>22</v>
      </c>
      <c r="Y186">
        <v>7</v>
      </c>
      <c r="Z186">
        <v>2.91</v>
      </c>
      <c r="AA186">
        <v>0.32</v>
      </c>
      <c r="AC186" t="s">
        <v>128</v>
      </c>
      <c r="AD186">
        <v>22</v>
      </c>
      <c r="AE186">
        <v>7</v>
      </c>
      <c r="AF186">
        <v>2.91</v>
      </c>
      <c r="AG186">
        <v>0.32</v>
      </c>
      <c r="AI186" t="s">
        <v>128</v>
      </c>
      <c r="AJ186">
        <v>24</v>
      </c>
      <c r="AK186">
        <v>7</v>
      </c>
      <c r="AL186">
        <v>2.96</v>
      </c>
      <c r="AM186">
        <v>0.28999999999999998</v>
      </c>
      <c r="AO186" t="s">
        <v>128</v>
      </c>
      <c r="AP186">
        <v>25</v>
      </c>
      <c r="AQ186">
        <v>7</v>
      </c>
      <c r="AR186">
        <v>2.92</v>
      </c>
      <c r="AS186">
        <v>0.28000000000000003</v>
      </c>
      <c r="AT186">
        <v>2.0190756961210399</v>
      </c>
    </row>
    <row r="187" spans="1:53" x14ac:dyDescent="0.35">
      <c r="A187" t="s">
        <v>58</v>
      </c>
      <c r="B187">
        <v>3</v>
      </c>
      <c r="C187">
        <v>0</v>
      </c>
      <c r="D187">
        <v>4</v>
      </c>
      <c r="E187">
        <v>0</v>
      </c>
      <c r="F187" s="2" t="s">
        <v>44</v>
      </c>
      <c r="H187" t="s">
        <v>129</v>
      </c>
      <c r="I187" s="6">
        <v>19</v>
      </c>
      <c r="J187" s="6">
        <v>5</v>
      </c>
      <c r="K187">
        <v>3.89</v>
      </c>
      <c r="L187">
        <v>0.26</v>
      </c>
      <c r="M187" s="2" t="s">
        <v>215</v>
      </c>
      <c r="O187" t="s">
        <v>129</v>
      </c>
      <c r="P187">
        <v>19</v>
      </c>
      <c r="Q187">
        <v>5</v>
      </c>
      <c r="R187">
        <v>3.89</v>
      </c>
      <c r="S187">
        <v>0.26</v>
      </c>
      <c r="W187" t="s">
        <v>0</v>
      </c>
      <c r="X187">
        <v>21</v>
      </c>
      <c r="Y187">
        <v>3</v>
      </c>
      <c r="Z187">
        <v>3.24</v>
      </c>
      <c r="AA187">
        <v>0.14000000000000001</v>
      </c>
      <c r="AB187" s="2"/>
      <c r="AC187" t="s">
        <v>0</v>
      </c>
      <c r="AD187" s="6">
        <v>22</v>
      </c>
      <c r="AE187">
        <v>3</v>
      </c>
      <c r="AF187">
        <v>3.23</v>
      </c>
      <c r="AG187">
        <v>0.14000000000000001</v>
      </c>
      <c r="AI187" t="s">
        <v>0</v>
      </c>
      <c r="AJ187">
        <v>24</v>
      </c>
      <c r="AK187">
        <v>4</v>
      </c>
      <c r="AL187">
        <v>3.29</v>
      </c>
      <c r="AM187">
        <v>0.17</v>
      </c>
      <c r="AO187" t="s">
        <v>0</v>
      </c>
      <c r="AP187">
        <v>25</v>
      </c>
      <c r="AQ187">
        <v>4</v>
      </c>
      <c r="AR187">
        <v>3.36</v>
      </c>
      <c r="AS187">
        <v>0.16</v>
      </c>
      <c r="AT187">
        <v>2.0182500670960799</v>
      </c>
    </row>
    <row r="188" spans="1:53" x14ac:dyDescent="0.35">
      <c r="A188" t="s">
        <v>23</v>
      </c>
      <c r="B188">
        <v>5</v>
      </c>
      <c r="C188">
        <v>0</v>
      </c>
      <c r="D188">
        <v>4</v>
      </c>
      <c r="E188">
        <v>0</v>
      </c>
      <c r="F188" s="2" t="s">
        <v>44</v>
      </c>
      <c r="H188" t="s">
        <v>104</v>
      </c>
      <c r="I188" s="6">
        <v>15</v>
      </c>
      <c r="J188" s="6">
        <v>2</v>
      </c>
      <c r="K188">
        <v>4</v>
      </c>
      <c r="L188">
        <v>0.13</v>
      </c>
      <c r="M188" s="2" t="s">
        <v>216</v>
      </c>
      <c r="O188" t="s">
        <v>104</v>
      </c>
      <c r="P188">
        <v>15</v>
      </c>
      <c r="Q188">
        <v>2</v>
      </c>
      <c r="R188">
        <v>4</v>
      </c>
      <c r="S188">
        <v>0.13</v>
      </c>
      <c r="W188" t="s">
        <v>112</v>
      </c>
      <c r="X188">
        <v>7</v>
      </c>
      <c r="Y188">
        <v>3</v>
      </c>
      <c r="Z188">
        <v>3.29</v>
      </c>
      <c r="AA188">
        <v>0.43</v>
      </c>
      <c r="AB188" s="3"/>
      <c r="AC188" t="s">
        <v>78</v>
      </c>
      <c r="AD188">
        <v>5</v>
      </c>
      <c r="AE188">
        <v>1</v>
      </c>
      <c r="AF188">
        <v>3.4</v>
      </c>
      <c r="AG188">
        <v>0.2</v>
      </c>
      <c r="AH188" s="2" t="s">
        <v>44</v>
      </c>
      <c r="AI188" t="s">
        <v>78</v>
      </c>
      <c r="AJ188">
        <v>5</v>
      </c>
      <c r="AK188">
        <v>1</v>
      </c>
      <c r="AL188">
        <v>3.4</v>
      </c>
      <c r="AM188">
        <v>0.2</v>
      </c>
      <c r="AO188" t="s">
        <v>78</v>
      </c>
      <c r="AP188">
        <v>5</v>
      </c>
      <c r="AQ188">
        <v>1</v>
      </c>
      <c r="AR188">
        <v>3.4</v>
      </c>
      <c r="AS188">
        <v>0.2</v>
      </c>
      <c r="AT188">
        <v>2.1908902300206599</v>
      </c>
    </row>
    <row r="189" spans="1:53" x14ac:dyDescent="0.35">
      <c r="A189" t="s">
        <v>135</v>
      </c>
      <c r="B189">
        <v>3</v>
      </c>
      <c r="C189">
        <v>1</v>
      </c>
      <c r="D189">
        <v>4</v>
      </c>
      <c r="E189">
        <v>0.33</v>
      </c>
      <c r="F189" s="2" t="s">
        <v>44</v>
      </c>
      <c r="H189" t="s">
        <v>36</v>
      </c>
      <c r="I189">
        <v>3</v>
      </c>
      <c r="J189">
        <v>0</v>
      </c>
      <c r="K189">
        <v>4</v>
      </c>
      <c r="L189">
        <v>0</v>
      </c>
      <c r="M189" s="3" t="s">
        <v>45</v>
      </c>
      <c r="O189" t="s">
        <v>36</v>
      </c>
      <c r="P189">
        <v>3</v>
      </c>
      <c r="Q189">
        <v>0</v>
      </c>
      <c r="R189">
        <v>4</v>
      </c>
      <c r="S189">
        <v>0</v>
      </c>
      <c r="W189" t="s">
        <v>78</v>
      </c>
      <c r="X189">
        <v>5</v>
      </c>
      <c r="Y189">
        <v>1</v>
      </c>
      <c r="Z189">
        <v>3.4</v>
      </c>
      <c r="AA189">
        <v>0.2</v>
      </c>
      <c r="AC189" t="s">
        <v>121</v>
      </c>
      <c r="AD189">
        <v>11</v>
      </c>
      <c r="AE189">
        <v>2</v>
      </c>
      <c r="AF189">
        <v>3.45</v>
      </c>
      <c r="AG189">
        <v>0.18</v>
      </c>
      <c r="AH189" s="2" t="s">
        <v>44</v>
      </c>
      <c r="AI189" t="s">
        <v>121</v>
      </c>
      <c r="AJ189">
        <v>11</v>
      </c>
      <c r="AK189">
        <v>2</v>
      </c>
      <c r="AL189">
        <v>3.45</v>
      </c>
      <c r="AM189">
        <v>0.18</v>
      </c>
      <c r="AO189" t="s">
        <v>121</v>
      </c>
      <c r="AP189">
        <v>11</v>
      </c>
      <c r="AQ189">
        <v>2</v>
      </c>
      <c r="AR189">
        <v>3.45</v>
      </c>
      <c r="AS189">
        <v>0.18</v>
      </c>
      <c r="AT189">
        <v>2.0670576365276401</v>
      </c>
    </row>
    <row r="190" spans="1:53" x14ac:dyDescent="0.35">
      <c r="A190" t="s">
        <v>26</v>
      </c>
      <c r="B190">
        <v>4</v>
      </c>
      <c r="C190">
        <v>1</v>
      </c>
      <c r="D190">
        <v>4</v>
      </c>
      <c r="E190">
        <v>0.25</v>
      </c>
      <c r="F190" s="2" t="s">
        <v>44</v>
      </c>
      <c r="H190" t="s">
        <v>58</v>
      </c>
      <c r="I190">
        <v>3</v>
      </c>
      <c r="J190">
        <v>0</v>
      </c>
      <c r="K190">
        <v>4</v>
      </c>
      <c r="L190">
        <v>0</v>
      </c>
      <c r="M190" s="3" t="s">
        <v>45</v>
      </c>
      <c r="O190" t="s">
        <v>58</v>
      </c>
      <c r="P190">
        <v>3</v>
      </c>
      <c r="Q190">
        <v>0</v>
      </c>
      <c r="R190">
        <v>4</v>
      </c>
      <c r="S190">
        <v>0</v>
      </c>
      <c r="W190" t="s">
        <v>121</v>
      </c>
      <c r="X190">
        <v>11</v>
      </c>
      <c r="Y190">
        <v>2</v>
      </c>
      <c r="Z190">
        <v>3.45</v>
      </c>
      <c r="AA190">
        <v>0.18</v>
      </c>
      <c r="AC190" t="s">
        <v>52</v>
      </c>
      <c r="AD190">
        <v>6</v>
      </c>
      <c r="AE190">
        <v>0</v>
      </c>
      <c r="AF190">
        <v>3.67</v>
      </c>
      <c r="AG190">
        <v>0</v>
      </c>
      <c r="AH190" s="2" t="s">
        <v>44</v>
      </c>
      <c r="AI190" t="s">
        <v>52</v>
      </c>
      <c r="AJ190">
        <v>6</v>
      </c>
      <c r="AK190">
        <v>0</v>
      </c>
      <c r="AL190">
        <v>3.67</v>
      </c>
      <c r="AM190">
        <v>0</v>
      </c>
      <c r="AO190" t="s">
        <v>35</v>
      </c>
      <c r="AP190">
        <v>22</v>
      </c>
      <c r="AQ190">
        <v>7</v>
      </c>
      <c r="AR190">
        <v>3.64</v>
      </c>
      <c r="AS190">
        <v>0.32</v>
      </c>
      <c r="AT190">
        <v>2.5735921633733301</v>
      </c>
      <c r="AU190" s="2" t="s">
        <v>47</v>
      </c>
    </row>
    <row r="191" spans="1:53" x14ac:dyDescent="0.35">
      <c r="A191" t="s">
        <v>2</v>
      </c>
      <c r="B191">
        <v>4</v>
      </c>
      <c r="C191">
        <v>1</v>
      </c>
      <c r="D191">
        <v>4</v>
      </c>
      <c r="E191">
        <v>0.25</v>
      </c>
      <c r="F191" s="2" t="s">
        <v>44</v>
      </c>
      <c r="H191" t="s">
        <v>135</v>
      </c>
      <c r="I191">
        <v>3</v>
      </c>
      <c r="J191">
        <v>1</v>
      </c>
      <c r="K191">
        <v>4</v>
      </c>
      <c r="L191">
        <v>0.33</v>
      </c>
      <c r="M191" s="3" t="s">
        <v>45</v>
      </c>
      <c r="O191" t="s">
        <v>135</v>
      </c>
      <c r="P191">
        <v>3</v>
      </c>
      <c r="Q191">
        <v>1</v>
      </c>
      <c r="R191">
        <v>4</v>
      </c>
      <c r="S191">
        <v>0.33</v>
      </c>
      <c r="W191" t="s">
        <v>52</v>
      </c>
      <c r="X191">
        <v>6</v>
      </c>
      <c r="Y191">
        <v>0</v>
      </c>
      <c r="Z191">
        <v>3.67</v>
      </c>
      <c r="AA191">
        <v>0</v>
      </c>
      <c r="AC191" t="s">
        <v>112</v>
      </c>
      <c r="AD191" s="6">
        <v>8</v>
      </c>
      <c r="AE191">
        <v>3</v>
      </c>
      <c r="AF191">
        <v>3.75</v>
      </c>
      <c r="AG191" s="7">
        <v>0.38</v>
      </c>
      <c r="AH191" s="3" t="s">
        <v>54</v>
      </c>
      <c r="AI191" t="s">
        <v>112</v>
      </c>
      <c r="AJ191">
        <v>8</v>
      </c>
      <c r="AK191">
        <v>3</v>
      </c>
      <c r="AL191">
        <v>3.75</v>
      </c>
      <c r="AM191">
        <v>0.38</v>
      </c>
      <c r="AO191" t="s">
        <v>52</v>
      </c>
      <c r="AP191">
        <v>6</v>
      </c>
      <c r="AQ191">
        <v>0</v>
      </c>
      <c r="AR191">
        <v>3.67</v>
      </c>
      <c r="AS191">
        <v>0</v>
      </c>
      <c r="AT191">
        <v>1.8618986725025199</v>
      </c>
      <c r="AU191" s="3" t="s">
        <v>46</v>
      </c>
    </row>
    <row r="192" spans="1:53" x14ac:dyDescent="0.35">
      <c r="A192" t="s">
        <v>22</v>
      </c>
      <c r="B192" s="6">
        <v>45</v>
      </c>
      <c r="C192">
        <v>7</v>
      </c>
      <c r="D192">
        <v>4.04</v>
      </c>
      <c r="E192">
        <v>0.16</v>
      </c>
      <c r="F192" s="3" t="s">
        <v>195</v>
      </c>
      <c r="H192" t="s">
        <v>2</v>
      </c>
      <c r="I192">
        <v>4</v>
      </c>
      <c r="J192">
        <v>1</v>
      </c>
      <c r="K192">
        <v>4</v>
      </c>
      <c r="L192">
        <v>0.25</v>
      </c>
      <c r="M192" s="3" t="s">
        <v>45</v>
      </c>
      <c r="O192" t="s">
        <v>2</v>
      </c>
      <c r="P192">
        <v>4</v>
      </c>
      <c r="Q192">
        <v>1</v>
      </c>
      <c r="R192">
        <v>4</v>
      </c>
      <c r="S192">
        <v>0.25</v>
      </c>
      <c r="W192" t="s">
        <v>148</v>
      </c>
      <c r="X192">
        <v>6</v>
      </c>
      <c r="Y192">
        <v>0</v>
      </c>
      <c r="Z192">
        <v>3.83</v>
      </c>
      <c r="AA192">
        <v>0</v>
      </c>
      <c r="AB192" s="2"/>
      <c r="AC192" t="s">
        <v>35</v>
      </c>
      <c r="AD192" s="6">
        <v>21</v>
      </c>
      <c r="AE192" s="6">
        <v>6</v>
      </c>
      <c r="AF192">
        <v>3.76</v>
      </c>
      <c r="AG192">
        <v>0.28999999999999998</v>
      </c>
      <c r="AH192" s="2" t="s">
        <v>44</v>
      </c>
      <c r="AI192" t="s">
        <v>35</v>
      </c>
      <c r="AJ192">
        <v>21</v>
      </c>
      <c r="AK192">
        <v>6</v>
      </c>
      <c r="AL192">
        <v>3.76</v>
      </c>
      <c r="AM192">
        <v>0.28999999999999998</v>
      </c>
      <c r="AO192" t="s">
        <v>112</v>
      </c>
      <c r="AP192">
        <v>8</v>
      </c>
      <c r="AQ192">
        <v>3</v>
      </c>
      <c r="AR192">
        <v>3.75</v>
      </c>
      <c r="AS192">
        <v>0.38</v>
      </c>
      <c r="AT192">
        <v>2.6592157812837498</v>
      </c>
      <c r="AU192" s="3" t="s">
        <v>46</v>
      </c>
    </row>
    <row r="193" spans="1:46" x14ac:dyDescent="0.35">
      <c r="A193" t="s">
        <v>15</v>
      </c>
      <c r="B193" s="6">
        <v>51</v>
      </c>
      <c r="C193">
        <v>11</v>
      </c>
      <c r="D193">
        <v>4.18</v>
      </c>
      <c r="E193">
        <v>0.22</v>
      </c>
      <c r="F193" s="2" t="s">
        <v>44</v>
      </c>
      <c r="H193" t="s">
        <v>56</v>
      </c>
      <c r="I193">
        <v>3</v>
      </c>
      <c r="J193">
        <v>0</v>
      </c>
      <c r="K193">
        <v>4</v>
      </c>
      <c r="L193">
        <v>0</v>
      </c>
      <c r="M193" s="15" t="s">
        <v>217</v>
      </c>
      <c r="O193" t="s">
        <v>56</v>
      </c>
      <c r="P193">
        <v>3</v>
      </c>
      <c r="Q193">
        <v>0</v>
      </c>
      <c r="R193">
        <v>4</v>
      </c>
      <c r="S193">
        <v>0</v>
      </c>
      <c r="W193" t="s">
        <v>35</v>
      </c>
      <c r="X193">
        <v>20</v>
      </c>
      <c r="Y193">
        <v>5</v>
      </c>
      <c r="Z193">
        <v>3.9</v>
      </c>
      <c r="AA193">
        <v>0.25</v>
      </c>
      <c r="AB193" s="2"/>
      <c r="AC193" t="s">
        <v>148</v>
      </c>
      <c r="AD193">
        <v>6</v>
      </c>
      <c r="AE193">
        <v>0</v>
      </c>
      <c r="AF193">
        <v>3.83</v>
      </c>
      <c r="AG193">
        <v>0</v>
      </c>
      <c r="AH193" s="3" t="s">
        <v>46</v>
      </c>
      <c r="AI193" t="s">
        <v>148</v>
      </c>
      <c r="AJ193">
        <v>6</v>
      </c>
      <c r="AK193">
        <v>0</v>
      </c>
      <c r="AL193">
        <v>3.83</v>
      </c>
      <c r="AM193">
        <v>0</v>
      </c>
      <c r="AO193" t="s">
        <v>148</v>
      </c>
      <c r="AP193">
        <v>6</v>
      </c>
      <c r="AQ193">
        <v>0</v>
      </c>
      <c r="AR193">
        <v>3.83</v>
      </c>
      <c r="AS193">
        <v>0</v>
      </c>
      <c r="AT193">
        <v>2.0412414523193099</v>
      </c>
    </row>
    <row r="194" spans="1:46" x14ac:dyDescent="0.35">
      <c r="A194" t="s">
        <v>79</v>
      </c>
      <c r="B194">
        <v>9</v>
      </c>
      <c r="C194">
        <v>0</v>
      </c>
      <c r="D194">
        <v>4.22</v>
      </c>
      <c r="E194">
        <v>0</v>
      </c>
      <c r="F194" s="2" t="s">
        <v>44</v>
      </c>
      <c r="H194" t="s">
        <v>26</v>
      </c>
      <c r="I194" s="6">
        <v>8</v>
      </c>
      <c r="J194">
        <v>2</v>
      </c>
      <c r="K194">
        <v>4.13</v>
      </c>
      <c r="L194">
        <v>0.25</v>
      </c>
      <c r="M194" s="3" t="s">
        <v>54</v>
      </c>
      <c r="O194" t="s">
        <v>22</v>
      </c>
      <c r="P194" s="6">
        <v>50</v>
      </c>
      <c r="Q194">
        <v>8</v>
      </c>
      <c r="R194">
        <v>4.08</v>
      </c>
      <c r="S194">
        <v>0.16</v>
      </c>
      <c r="T194" s="2" t="s">
        <v>44</v>
      </c>
      <c r="W194" t="s">
        <v>129</v>
      </c>
      <c r="X194">
        <v>22</v>
      </c>
      <c r="Y194">
        <v>5</v>
      </c>
      <c r="Z194">
        <v>3.95</v>
      </c>
      <c r="AA194">
        <v>0.23</v>
      </c>
      <c r="AB194" s="2"/>
      <c r="AC194" t="s">
        <v>129</v>
      </c>
      <c r="AD194">
        <v>22</v>
      </c>
      <c r="AE194">
        <v>5</v>
      </c>
      <c r="AF194">
        <v>3.95</v>
      </c>
      <c r="AG194">
        <v>0.23</v>
      </c>
      <c r="AI194" t="s">
        <v>129</v>
      </c>
      <c r="AJ194">
        <v>22</v>
      </c>
      <c r="AK194">
        <v>5</v>
      </c>
      <c r="AL194">
        <v>3.95</v>
      </c>
      <c r="AM194">
        <v>0.23</v>
      </c>
      <c r="AO194" t="s">
        <v>129</v>
      </c>
      <c r="AP194">
        <v>22</v>
      </c>
      <c r="AQ194">
        <v>5</v>
      </c>
      <c r="AR194">
        <v>3.95</v>
      </c>
      <c r="AS194">
        <v>0.23</v>
      </c>
      <c r="AT194">
        <v>2.05813768633945</v>
      </c>
    </row>
    <row r="195" spans="1:46" x14ac:dyDescent="0.35">
      <c r="A195" t="s">
        <v>129</v>
      </c>
      <c r="B195">
        <v>13</v>
      </c>
      <c r="C195">
        <v>2</v>
      </c>
      <c r="D195">
        <v>4.2300000000000004</v>
      </c>
      <c r="E195">
        <v>0.15</v>
      </c>
      <c r="F195" s="2" t="s">
        <v>44</v>
      </c>
      <c r="H195" t="s">
        <v>22</v>
      </c>
      <c r="I195" s="6">
        <v>49</v>
      </c>
      <c r="J195">
        <v>7</v>
      </c>
      <c r="K195">
        <v>4.1399999999999997</v>
      </c>
      <c r="L195">
        <v>0.14000000000000001</v>
      </c>
      <c r="M195" s="3" t="s">
        <v>54</v>
      </c>
      <c r="O195" t="s">
        <v>26</v>
      </c>
      <c r="P195" s="6">
        <v>8</v>
      </c>
      <c r="Q195">
        <v>2</v>
      </c>
      <c r="R195">
        <v>4.13</v>
      </c>
      <c r="S195">
        <v>0.25</v>
      </c>
      <c r="T195" s="3" t="s">
        <v>46</v>
      </c>
      <c r="W195" t="s">
        <v>15</v>
      </c>
      <c r="X195">
        <v>61</v>
      </c>
      <c r="Y195">
        <v>13</v>
      </c>
      <c r="Z195">
        <v>4.1100000000000003</v>
      </c>
      <c r="AA195">
        <v>0.21</v>
      </c>
      <c r="AB195" s="2"/>
      <c r="AC195" t="s">
        <v>15</v>
      </c>
      <c r="AD195" s="7">
        <v>61</v>
      </c>
      <c r="AE195" s="7">
        <v>13</v>
      </c>
      <c r="AF195">
        <v>4.1100000000000003</v>
      </c>
      <c r="AG195">
        <v>0.21</v>
      </c>
      <c r="AI195" t="s">
        <v>15</v>
      </c>
      <c r="AJ195">
        <v>61</v>
      </c>
      <c r="AK195">
        <v>13</v>
      </c>
      <c r="AL195">
        <v>4.1100000000000003</v>
      </c>
      <c r="AM195">
        <v>0.21</v>
      </c>
      <c r="AO195" t="s">
        <v>15</v>
      </c>
      <c r="AP195">
        <v>61</v>
      </c>
      <c r="AQ195">
        <v>13</v>
      </c>
      <c r="AR195">
        <v>4.1100000000000003</v>
      </c>
      <c r="AS195">
        <v>0.21</v>
      </c>
      <c r="AT195">
        <v>2.36065194292348</v>
      </c>
    </row>
    <row r="196" spans="1:46" x14ac:dyDescent="0.35">
      <c r="A196" t="s">
        <v>8</v>
      </c>
      <c r="B196">
        <v>29</v>
      </c>
      <c r="C196">
        <v>5</v>
      </c>
      <c r="D196">
        <v>4.24</v>
      </c>
      <c r="E196">
        <v>0.17</v>
      </c>
      <c r="F196" s="2" t="s">
        <v>44</v>
      </c>
      <c r="H196" t="s">
        <v>15</v>
      </c>
      <c r="I196" s="8">
        <v>54</v>
      </c>
      <c r="J196" s="7">
        <v>11</v>
      </c>
      <c r="K196">
        <v>4.1900000000000004</v>
      </c>
      <c r="L196">
        <v>0.2</v>
      </c>
      <c r="M196" s="3" t="s">
        <v>54</v>
      </c>
      <c r="O196" t="s">
        <v>15</v>
      </c>
      <c r="P196" s="6">
        <v>57</v>
      </c>
      <c r="Q196" s="6">
        <v>12</v>
      </c>
      <c r="R196">
        <v>4.18</v>
      </c>
      <c r="S196">
        <v>0.21</v>
      </c>
      <c r="W196" t="s">
        <v>26</v>
      </c>
      <c r="X196">
        <v>9</v>
      </c>
      <c r="Y196">
        <v>2</v>
      </c>
      <c r="Z196">
        <v>4.1100000000000003</v>
      </c>
      <c r="AA196">
        <v>0.22</v>
      </c>
      <c r="AB196" s="2"/>
      <c r="AC196" t="s">
        <v>26</v>
      </c>
      <c r="AD196">
        <v>9</v>
      </c>
      <c r="AE196">
        <v>2</v>
      </c>
      <c r="AF196">
        <v>4.1100000000000003</v>
      </c>
      <c r="AG196">
        <v>0.22</v>
      </c>
      <c r="AI196" t="s">
        <v>26</v>
      </c>
      <c r="AJ196">
        <v>9</v>
      </c>
      <c r="AK196">
        <v>2</v>
      </c>
      <c r="AL196">
        <v>4.1100000000000003</v>
      </c>
      <c r="AM196">
        <v>0.22</v>
      </c>
      <c r="AO196" t="s">
        <v>26</v>
      </c>
      <c r="AP196">
        <v>9</v>
      </c>
      <c r="AQ196">
        <v>2</v>
      </c>
      <c r="AR196">
        <v>4.1100000000000003</v>
      </c>
      <c r="AS196">
        <v>0.22</v>
      </c>
      <c r="AT196">
        <v>2.5712081034235799</v>
      </c>
    </row>
    <row r="197" spans="1:46" x14ac:dyDescent="0.35">
      <c r="A197" t="s">
        <v>147</v>
      </c>
      <c r="B197">
        <v>4</v>
      </c>
      <c r="C197">
        <v>0</v>
      </c>
      <c r="D197">
        <v>4.25</v>
      </c>
      <c r="E197">
        <v>0</v>
      </c>
      <c r="F197" s="2" t="s">
        <v>44</v>
      </c>
      <c r="H197" t="s">
        <v>79</v>
      </c>
      <c r="I197">
        <v>9</v>
      </c>
      <c r="J197">
        <v>0</v>
      </c>
      <c r="K197">
        <v>4.22</v>
      </c>
      <c r="L197">
        <v>0</v>
      </c>
      <c r="M197" s="3" t="s">
        <v>54</v>
      </c>
      <c r="O197" t="s">
        <v>8</v>
      </c>
      <c r="P197">
        <v>29</v>
      </c>
      <c r="Q197">
        <v>5</v>
      </c>
      <c r="R197">
        <v>4.24</v>
      </c>
      <c r="S197">
        <v>0.17</v>
      </c>
      <c r="T197" s="2" t="s">
        <v>44</v>
      </c>
      <c r="W197" t="s">
        <v>104</v>
      </c>
      <c r="X197">
        <v>18</v>
      </c>
      <c r="Y197">
        <v>2</v>
      </c>
      <c r="Z197">
        <v>4.17</v>
      </c>
      <c r="AA197">
        <v>0.11</v>
      </c>
      <c r="AB197" s="3"/>
      <c r="AC197" t="s">
        <v>22</v>
      </c>
      <c r="AD197" s="6">
        <v>61</v>
      </c>
      <c r="AE197" s="6">
        <v>10</v>
      </c>
      <c r="AF197">
        <v>4.1500000000000004</v>
      </c>
      <c r="AG197">
        <v>0.16</v>
      </c>
      <c r="AH197" s="2" t="s">
        <v>47</v>
      </c>
      <c r="AI197" t="s">
        <v>22</v>
      </c>
      <c r="AJ197">
        <v>63</v>
      </c>
      <c r="AK197">
        <v>10</v>
      </c>
      <c r="AL197">
        <v>4.1399999999999997</v>
      </c>
      <c r="AM197">
        <v>0.16</v>
      </c>
      <c r="AO197" t="s">
        <v>22</v>
      </c>
      <c r="AP197">
        <v>63</v>
      </c>
      <c r="AQ197">
        <v>10</v>
      </c>
      <c r="AR197">
        <v>4.1399999999999997</v>
      </c>
      <c r="AS197">
        <v>0.16</v>
      </c>
      <c r="AT197">
        <v>2.3200190687282398</v>
      </c>
    </row>
    <row r="198" spans="1:46" x14ac:dyDescent="0.35">
      <c r="A198" t="s">
        <v>113</v>
      </c>
      <c r="B198">
        <v>4</v>
      </c>
      <c r="C198">
        <v>0</v>
      </c>
      <c r="D198">
        <v>4.25</v>
      </c>
      <c r="E198">
        <v>0</v>
      </c>
      <c r="F198" s="2" t="s">
        <v>44</v>
      </c>
      <c r="H198" t="s">
        <v>8</v>
      </c>
      <c r="I198">
        <v>29</v>
      </c>
      <c r="J198">
        <v>5</v>
      </c>
      <c r="K198">
        <v>4.24</v>
      </c>
      <c r="L198">
        <v>0.17</v>
      </c>
      <c r="M198" s="3" t="s">
        <v>45</v>
      </c>
      <c r="O198" t="s">
        <v>147</v>
      </c>
      <c r="P198">
        <v>4</v>
      </c>
      <c r="Q198">
        <v>0</v>
      </c>
      <c r="R198">
        <v>4.25</v>
      </c>
      <c r="S198">
        <v>0</v>
      </c>
      <c r="T198" s="2" t="s">
        <v>44</v>
      </c>
      <c r="W198" t="s">
        <v>63</v>
      </c>
      <c r="X198">
        <v>6</v>
      </c>
      <c r="Y198">
        <v>1</v>
      </c>
      <c r="Z198">
        <v>4.17</v>
      </c>
      <c r="AA198">
        <v>0.17</v>
      </c>
      <c r="AB198" s="3"/>
      <c r="AC198" t="s">
        <v>104</v>
      </c>
      <c r="AD198">
        <v>18</v>
      </c>
      <c r="AE198">
        <v>2</v>
      </c>
      <c r="AF198">
        <v>4.17</v>
      </c>
      <c r="AG198">
        <v>0.11</v>
      </c>
      <c r="AH198" s="3" t="s">
        <v>46</v>
      </c>
      <c r="AI198" t="s">
        <v>104</v>
      </c>
      <c r="AJ198">
        <v>18</v>
      </c>
      <c r="AK198">
        <v>2</v>
      </c>
      <c r="AL198">
        <v>4.17</v>
      </c>
      <c r="AM198">
        <v>0.11</v>
      </c>
      <c r="AO198" t="s">
        <v>104</v>
      </c>
      <c r="AP198">
        <v>18</v>
      </c>
      <c r="AQ198">
        <v>2</v>
      </c>
      <c r="AR198">
        <v>4.17</v>
      </c>
      <c r="AS198">
        <v>0.11</v>
      </c>
      <c r="AT198">
        <v>2.4070973488953</v>
      </c>
    </row>
    <row r="199" spans="1:46" x14ac:dyDescent="0.35">
      <c r="A199" t="s">
        <v>14</v>
      </c>
      <c r="B199" s="6">
        <v>31</v>
      </c>
      <c r="C199">
        <v>2</v>
      </c>
      <c r="D199">
        <v>4.26</v>
      </c>
      <c r="E199">
        <v>0.06</v>
      </c>
      <c r="F199" s="3" t="s">
        <v>195</v>
      </c>
      <c r="H199" t="s">
        <v>147</v>
      </c>
      <c r="I199">
        <v>4</v>
      </c>
      <c r="J199">
        <v>0</v>
      </c>
      <c r="K199">
        <v>4.25</v>
      </c>
      <c r="L199">
        <v>0</v>
      </c>
      <c r="M199" s="3" t="s">
        <v>45</v>
      </c>
      <c r="O199" t="s">
        <v>113</v>
      </c>
      <c r="P199">
        <v>4</v>
      </c>
      <c r="Q199">
        <v>0</v>
      </c>
      <c r="R199">
        <v>4.25</v>
      </c>
      <c r="S199">
        <v>0</v>
      </c>
      <c r="T199" s="2" t="s">
        <v>44</v>
      </c>
      <c r="W199" t="s">
        <v>22</v>
      </c>
      <c r="X199">
        <v>58</v>
      </c>
      <c r="Y199">
        <v>9</v>
      </c>
      <c r="Z199">
        <v>4.1900000000000004</v>
      </c>
      <c r="AA199">
        <v>0.16</v>
      </c>
      <c r="AB199" s="2"/>
      <c r="AC199" t="s">
        <v>63</v>
      </c>
      <c r="AD199">
        <v>6</v>
      </c>
      <c r="AE199">
        <v>1</v>
      </c>
      <c r="AF199">
        <v>4.17</v>
      </c>
      <c r="AG199">
        <v>0.17</v>
      </c>
      <c r="AH199" s="3" t="s">
        <v>46</v>
      </c>
      <c r="AI199" t="s">
        <v>63</v>
      </c>
      <c r="AJ199">
        <v>6</v>
      </c>
      <c r="AK199">
        <v>1</v>
      </c>
      <c r="AL199">
        <v>4.17</v>
      </c>
      <c r="AM199">
        <v>0.17</v>
      </c>
      <c r="AO199" t="s">
        <v>63</v>
      </c>
      <c r="AP199">
        <v>6</v>
      </c>
      <c r="AQ199">
        <v>1</v>
      </c>
      <c r="AR199">
        <v>4.17</v>
      </c>
      <c r="AS199">
        <v>0.17</v>
      </c>
      <c r="AT199">
        <v>2.6394443859772201</v>
      </c>
    </row>
    <row r="200" spans="1:46" x14ac:dyDescent="0.35">
      <c r="A200" t="s">
        <v>117</v>
      </c>
      <c r="B200" s="6">
        <v>7</v>
      </c>
      <c r="C200" s="6">
        <v>2</v>
      </c>
      <c r="D200">
        <v>4.29</v>
      </c>
      <c r="E200">
        <v>0.28999999999999998</v>
      </c>
      <c r="F200" s="2" t="s">
        <v>194</v>
      </c>
      <c r="H200" t="s">
        <v>113</v>
      </c>
      <c r="I200">
        <v>4</v>
      </c>
      <c r="J200">
        <v>0</v>
      </c>
      <c r="K200">
        <v>4.25</v>
      </c>
      <c r="L200">
        <v>0</v>
      </c>
      <c r="M200" s="3" t="s">
        <v>45</v>
      </c>
      <c r="O200" t="s">
        <v>14</v>
      </c>
      <c r="P200">
        <v>31</v>
      </c>
      <c r="Q200">
        <v>2</v>
      </c>
      <c r="R200">
        <v>4.26</v>
      </c>
      <c r="S200">
        <v>0.06</v>
      </c>
      <c r="T200" s="2" t="s">
        <v>44</v>
      </c>
      <c r="W200" t="s">
        <v>14</v>
      </c>
      <c r="X200">
        <v>33</v>
      </c>
      <c r="Y200">
        <v>3</v>
      </c>
      <c r="Z200">
        <v>4.24</v>
      </c>
      <c r="AA200">
        <v>0.09</v>
      </c>
      <c r="AC200" t="s">
        <v>14</v>
      </c>
      <c r="AD200" s="6">
        <v>35</v>
      </c>
      <c r="AE200">
        <v>3</v>
      </c>
      <c r="AF200">
        <v>4.29</v>
      </c>
      <c r="AG200">
        <v>0.09</v>
      </c>
      <c r="AI200" t="s">
        <v>14</v>
      </c>
      <c r="AJ200">
        <v>35</v>
      </c>
      <c r="AK200">
        <v>3</v>
      </c>
      <c r="AL200">
        <v>4.29</v>
      </c>
      <c r="AM200">
        <v>0.09</v>
      </c>
      <c r="AO200" t="s">
        <v>14</v>
      </c>
      <c r="AP200">
        <v>35</v>
      </c>
      <c r="AQ200">
        <v>3</v>
      </c>
      <c r="AR200">
        <v>4.29</v>
      </c>
      <c r="AS200">
        <v>0.09</v>
      </c>
      <c r="AT200">
        <v>2.2566428549484501</v>
      </c>
    </row>
    <row r="201" spans="1:46" x14ac:dyDescent="0.35">
      <c r="A201" t="s">
        <v>7</v>
      </c>
      <c r="B201" s="6">
        <v>7</v>
      </c>
      <c r="C201" s="6">
        <v>2</v>
      </c>
      <c r="D201">
        <v>4.29</v>
      </c>
      <c r="E201">
        <v>0.28999999999999998</v>
      </c>
      <c r="F201" s="3" t="s">
        <v>46</v>
      </c>
      <c r="H201" t="s">
        <v>14</v>
      </c>
      <c r="I201">
        <v>31</v>
      </c>
      <c r="J201">
        <v>2</v>
      </c>
      <c r="K201">
        <v>4.26</v>
      </c>
      <c r="L201">
        <v>0.06</v>
      </c>
      <c r="M201" s="3" t="s">
        <v>45</v>
      </c>
      <c r="O201" t="s">
        <v>10</v>
      </c>
      <c r="P201" s="6">
        <v>24</v>
      </c>
      <c r="Q201">
        <v>3</v>
      </c>
      <c r="R201">
        <v>4.29</v>
      </c>
      <c r="S201">
        <v>0.13</v>
      </c>
      <c r="T201" s="2" t="s">
        <v>133</v>
      </c>
      <c r="W201" t="s">
        <v>10</v>
      </c>
      <c r="X201">
        <v>24</v>
      </c>
      <c r="Y201">
        <v>3</v>
      </c>
      <c r="Z201">
        <v>4.29</v>
      </c>
      <c r="AA201">
        <v>0.13</v>
      </c>
      <c r="AB201" s="3"/>
      <c r="AC201" t="s">
        <v>10</v>
      </c>
      <c r="AD201">
        <v>24</v>
      </c>
      <c r="AE201">
        <v>3</v>
      </c>
      <c r="AF201">
        <v>4.29</v>
      </c>
      <c r="AG201">
        <v>0.13</v>
      </c>
      <c r="AI201" t="s">
        <v>10</v>
      </c>
      <c r="AJ201">
        <v>24</v>
      </c>
      <c r="AK201">
        <v>3</v>
      </c>
      <c r="AL201">
        <v>4.29</v>
      </c>
      <c r="AM201">
        <v>0.13</v>
      </c>
      <c r="AO201" t="s">
        <v>10</v>
      </c>
      <c r="AP201">
        <v>24</v>
      </c>
      <c r="AQ201">
        <v>3</v>
      </c>
      <c r="AR201">
        <v>4.29</v>
      </c>
      <c r="AS201">
        <v>0.13</v>
      </c>
      <c r="AT201">
        <v>2.17653826995523</v>
      </c>
    </row>
    <row r="202" spans="1:46" x14ac:dyDescent="0.35">
      <c r="A202" t="s">
        <v>28</v>
      </c>
      <c r="B202">
        <v>3</v>
      </c>
      <c r="C202">
        <v>0</v>
      </c>
      <c r="D202">
        <v>4.33</v>
      </c>
      <c r="E202">
        <v>0</v>
      </c>
      <c r="F202" s="3" t="s">
        <v>46</v>
      </c>
      <c r="H202" t="s">
        <v>117</v>
      </c>
      <c r="I202">
        <v>7</v>
      </c>
      <c r="J202">
        <v>2</v>
      </c>
      <c r="K202">
        <v>4.29</v>
      </c>
      <c r="L202">
        <v>0.28999999999999998</v>
      </c>
      <c r="M202" s="3" t="s">
        <v>45</v>
      </c>
      <c r="O202" t="s">
        <v>7</v>
      </c>
      <c r="P202">
        <v>7</v>
      </c>
      <c r="Q202">
        <v>2</v>
      </c>
      <c r="R202">
        <v>4.29</v>
      </c>
      <c r="S202">
        <v>0.28999999999999998</v>
      </c>
      <c r="W202" t="s">
        <v>7</v>
      </c>
      <c r="X202">
        <v>7</v>
      </c>
      <c r="Y202">
        <v>2</v>
      </c>
      <c r="Z202">
        <v>4.29</v>
      </c>
      <c r="AA202">
        <v>0.28999999999999998</v>
      </c>
      <c r="AB202" s="3"/>
      <c r="AC202" t="s">
        <v>7</v>
      </c>
      <c r="AD202">
        <v>7</v>
      </c>
      <c r="AE202">
        <v>2</v>
      </c>
      <c r="AF202">
        <v>4.29</v>
      </c>
      <c r="AG202">
        <v>0.28999999999999998</v>
      </c>
      <c r="AI202" t="s">
        <v>7</v>
      </c>
      <c r="AJ202">
        <v>7</v>
      </c>
      <c r="AK202">
        <v>2</v>
      </c>
      <c r="AL202">
        <v>4.29</v>
      </c>
      <c r="AM202">
        <v>0.28999999999999998</v>
      </c>
      <c r="AO202" t="s">
        <v>7</v>
      </c>
      <c r="AP202">
        <v>7</v>
      </c>
      <c r="AQ202">
        <v>2</v>
      </c>
      <c r="AR202">
        <v>4.29</v>
      </c>
      <c r="AS202">
        <v>0.28999999999999998</v>
      </c>
      <c r="AT202">
        <v>2.69037083653819</v>
      </c>
    </row>
    <row r="203" spans="1:46" x14ac:dyDescent="0.35">
      <c r="A203" t="s">
        <v>10</v>
      </c>
      <c r="B203">
        <v>23</v>
      </c>
      <c r="C203">
        <v>3</v>
      </c>
      <c r="D203">
        <v>4.3499999999999996</v>
      </c>
      <c r="E203">
        <v>0.13</v>
      </c>
      <c r="F203" s="3" t="s">
        <v>46</v>
      </c>
      <c r="H203" t="s">
        <v>7</v>
      </c>
      <c r="I203">
        <v>7</v>
      </c>
      <c r="J203">
        <v>2</v>
      </c>
      <c r="K203">
        <v>4.29</v>
      </c>
      <c r="L203">
        <v>0.28999999999999998</v>
      </c>
      <c r="M203" s="3" t="s">
        <v>45</v>
      </c>
      <c r="O203" t="s">
        <v>28</v>
      </c>
      <c r="P203">
        <v>3</v>
      </c>
      <c r="Q203">
        <v>0</v>
      </c>
      <c r="R203">
        <v>4.33</v>
      </c>
      <c r="S203">
        <v>0</v>
      </c>
      <c r="T203" s="2" t="s">
        <v>44</v>
      </c>
      <c r="W203" t="s">
        <v>8</v>
      </c>
      <c r="X203">
        <v>30</v>
      </c>
      <c r="Y203">
        <v>5</v>
      </c>
      <c r="Z203">
        <v>4.3</v>
      </c>
      <c r="AA203">
        <v>0.17</v>
      </c>
      <c r="AB203" s="3"/>
      <c r="AC203" t="s">
        <v>8</v>
      </c>
      <c r="AD203">
        <v>30</v>
      </c>
      <c r="AE203">
        <v>5</v>
      </c>
      <c r="AF203">
        <v>4.3</v>
      </c>
      <c r="AG203">
        <v>0.17</v>
      </c>
      <c r="AI203" t="s">
        <v>8</v>
      </c>
      <c r="AJ203">
        <v>30</v>
      </c>
      <c r="AK203">
        <v>5</v>
      </c>
      <c r="AL203">
        <v>4.3</v>
      </c>
      <c r="AM203">
        <v>0.17</v>
      </c>
      <c r="AO203" t="s">
        <v>8</v>
      </c>
      <c r="AP203">
        <v>30</v>
      </c>
      <c r="AQ203">
        <v>5</v>
      </c>
      <c r="AR203">
        <v>4.3</v>
      </c>
      <c r="AS203">
        <v>0.17</v>
      </c>
      <c r="AT203">
        <v>2.50723092206356</v>
      </c>
    </row>
    <row r="204" spans="1:46" x14ac:dyDescent="0.35">
      <c r="A204" t="s">
        <v>104</v>
      </c>
      <c r="B204">
        <v>13</v>
      </c>
      <c r="C204">
        <v>1</v>
      </c>
      <c r="D204">
        <v>4.38</v>
      </c>
      <c r="E204">
        <v>0.08</v>
      </c>
      <c r="F204" s="3" t="s">
        <v>46</v>
      </c>
      <c r="H204" t="s">
        <v>28</v>
      </c>
      <c r="I204">
        <v>3</v>
      </c>
      <c r="J204">
        <v>0</v>
      </c>
      <c r="K204">
        <v>4.33</v>
      </c>
      <c r="L204">
        <v>0</v>
      </c>
      <c r="M204" s="3" t="s">
        <v>45</v>
      </c>
      <c r="O204" t="s">
        <v>23</v>
      </c>
      <c r="P204">
        <v>9</v>
      </c>
      <c r="Q204">
        <v>0</v>
      </c>
      <c r="R204">
        <v>4.4400000000000004</v>
      </c>
      <c r="S204">
        <v>0</v>
      </c>
      <c r="T204" s="2" t="s">
        <v>47</v>
      </c>
      <c r="W204" t="s">
        <v>81</v>
      </c>
      <c r="X204">
        <v>7</v>
      </c>
      <c r="Y204">
        <v>1</v>
      </c>
      <c r="Z204">
        <v>4.43</v>
      </c>
      <c r="AA204">
        <v>0.14000000000000001</v>
      </c>
      <c r="AB204" s="3"/>
      <c r="AC204" t="s">
        <v>81</v>
      </c>
      <c r="AD204">
        <v>7</v>
      </c>
      <c r="AE204">
        <v>1</v>
      </c>
      <c r="AF204">
        <v>4.43</v>
      </c>
      <c r="AG204">
        <v>0.14000000000000001</v>
      </c>
      <c r="AI204" t="s">
        <v>232</v>
      </c>
      <c r="AJ204">
        <v>6</v>
      </c>
      <c r="AK204">
        <v>0</v>
      </c>
      <c r="AL204">
        <v>4.33</v>
      </c>
      <c r="AM204">
        <v>0</v>
      </c>
      <c r="AN204" s="10" t="s">
        <v>233</v>
      </c>
      <c r="AO204" t="s">
        <v>232</v>
      </c>
      <c r="AP204">
        <v>6</v>
      </c>
      <c r="AQ204">
        <v>0</v>
      </c>
      <c r="AR204">
        <v>4.33</v>
      </c>
      <c r="AS204">
        <v>0</v>
      </c>
      <c r="AT204">
        <v>2.2509257354845502</v>
      </c>
    </row>
    <row r="205" spans="1:46" x14ac:dyDescent="0.35">
      <c r="A205" t="s">
        <v>37</v>
      </c>
      <c r="B205">
        <v>10</v>
      </c>
      <c r="C205">
        <v>2</v>
      </c>
      <c r="D205">
        <v>4.5</v>
      </c>
      <c r="E205">
        <v>0.2</v>
      </c>
      <c r="F205" s="3" t="s">
        <v>46</v>
      </c>
      <c r="H205" t="s">
        <v>10</v>
      </c>
      <c r="I205">
        <v>23</v>
      </c>
      <c r="J205">
        <v>3</v>
      </c>
      <c r="K205">
        <v>4.3499999999999996</v>
      </c>
      <c r="L205">
        <v>0.13</v>
      </c>
      <c r="M205" s="3" t="s">
        <v>45</v>
      </c>
      <c r="O205" t="s">
        <v>37</v>
      </c>
      <c r="P205">
        <v>10</v>
      </c>
      <c r="Q205">
        <v>2</v>
      </c>
      <c r="R205">
        <v>4.5</v>
      </c>
      <c r="S205">
        <v>0.2</v>
      </c>
      <c r="T205" s="2" t="s">
        <v>47</v>
      </c>
      <c r="W205" t="s">
        <v>23</v>
      </c>
      <c r="X205">
        <v>9</v>
      </c>
      <c r="Y205">
        <v>0</v>
      </c>
      <c r="Z205">
        <v>4.4400000000000004</v>
      </c>
      <c r="AA205">
        <v>0</v>
      </c>
      <c r="AB205" s="3"/>
      <c r="AC205" t="s">
        <v>23</v>
      </c>
      <c r="AD205">
        <v>9</v>
      </c>
      <c r="AE205">
        <v>0</v>
      </c>
      <c r="AF205">
        <v>4.4400000000000004</v>
      </c>
      <c r="AG205">
        <v>0</v>
      </c>
      <c r="AI205" t="s">
        <v>3</v>
      </c>
      <c r="AJ205">
        <v>13</v>
      </c>
      <c r="AK205">
        <v>2</v>
      </c>
      <c r="AL205">
        <v>4.38</v>
      </c>
      <c r="AM205">
        <v>0.15</v>
      </c>
      <c r="AN205" s="2" t="s">
        <v>272</v>
      </c>
      <c r="AO205" t="s">
        <v>3</v>
      </c>
      <c r="AP205">
        <v>13</v>
      </c>
      <c r="AQ205">
        <v>2</v>
      </c>
      <c r="AR205">
        <v>4.38</v>
      </c>
      <c r="AS205">
        <v>0.15</v>
      </c>
      <c r="AT205">
        <v>2.2560460078960198</v>
      </c>
    </row>
    <row r="206" spans="1:46" x14ac:dyDescent="0.35">
      <c r="A206" t="s">
        <v>3</v>
      </c>
      <c r="B206">
        <v>12</v>
      </c>
      <c r="C206">
        <v>1</v>
      </c>
      <c r="D206">
        <v>4.67</v>
      </c>
      <c r="E206">
        <v>0.08</v>
      </c>
      <c r="F206" s="3" t="s">
        <v>46</v>
      </c>
      <c r="H206" t="s">
        <v>23</v>
      </c>
      <c r="I206" s="6">
        <v>9</v>
      </c>
      <c r="J206">
        <v>0</v>
      </c>
      <c r="K206">
        <v>4.4400000000000004</v>
      </c>
      <c r="L206">
        <v>0</v>
      </c>
      <c r="M206" s="3" t="s">
        <v>218</v>
      </c>
      <c r="O206" t="s">
        <v>117</v>
      </c>
      <c r="P206" s="6">
        <v>8</v>
      </c>
      <c r="Q206">
        <v>2</v>
      </c>
      <c r="R206">
        <v>4.5</v>
      </c>
      <c r="S206">
        <v>0.25</v>
      </c>
      <c r="T206" s="3" t="s">
        <v>55</v>
      </c>
      <c r="W206" t="s">
        <v>37</v>
      </c>
      <c r="X206">
        <v>11</v>
      </c>
      <c r="Y206">
        <v>2</v>
      </c>
      <c r="Z206">
        <v>4.45</v>
      </c>
      <c r="AA206">
        <v>0.18</v>
      </c>
      <c r="AB206" s="3"/>
      <c r="AC206" t="s">
        <v>117</v>
      </c>
      <c r="AD206">
        <v>8</v>
      </c>
      <c r="AE206">
        <v>2</v>
      </c>
      <c r="AF206">
        <v>4.5</v>
      </c>
      <c r="AG206">
        <v>0.25</v>
      </c>
      <c r="AH206" s="2" t="s">
        <v>44</v>
      </c>
      <c r="AI206" t="s">
        <v>81</v>
      </c>
      <c r="AJ206">
        <v>7</v>
      </c>
      <c r="AK206">
        <v>1</v>
      </c>
      <c r="AL206">
        <v>4.43</v>
      </c>
      <c r="AM206">
        <v>0.14000000000000001</v>
      </c>
      <c r="AN206" s="3" t="s">
        <v>45</v>
      </c>
      <c r="AO206" t="s">
        <v>81</v>
      </c>
      <c r="AP206">
        <v>7</v>
      </c>
      <c r="AQ206">
        <v>1</v>
      </c>
      <c r="AR206">
        <v>4.43</v>
      </c>
      <c r="AS206">
        <v>0.14000000000000001</v>
      </c>
      <c r="AT206">
        <v>1.77281052085583</v>
      </c>
    </row>
    <row r="207" spans="1:46" x14ac:dyDescent="0.35">
      <c r="A207" t="s">
        <v>1</v>
      </c>
      <c r="B207">
        <v>18</v>
      </c>
      <c r="C207">
        <v>1</v>
      </c>
      <c r="D207">
        <v>4.72</v>
      </c>
      <c r="E207">
        <v>0.06</v>
      </c>
      <c r="F207" s="3" t="s">
        <v>46</v>
      </c>
      <c r="H207" t="s">
        <v>37</v>
      </c>
      <c r="I207">
        <v>10</v>
      </c>
      <c r="J207">
        <v>2</v>
      </c>
      <c r="K207">
        <v>4.5</v>
      </c>
      <c r="L207">
        <v>0.2</v>
      </c>
      <c r="M207" s="3" t="s">
        <v>45</v>
      </c>
      <c r="O207" t="s">
        <v>21</v>
      </c>
      <c r="P207">
        <v>7</v>
      </c>
      <c r="Q207">
        <v>0</v>
      </c>
      <c r="R207">
        <v>4.57</v>
      </c>
      <c r="S207">
        <v>0</v>
      </c>
      <c r="T207" s="2" t="s">
        <v>44</v>
      </c>
      <c r="W207" t="s">
        <v>117</v>
      </c>
      <c r="X207">
        <v>8</v>
      </c>
      <c r="Y207">
        <v>2</v>
      </c>
      <c r="Z207">
        <v>4.5</v>
      </c>
      <c r="AA207">
        <v>0.25</v>
      </c>
      <c r="AB207" s="3"/>
      <c r="AC207" t="s">
        <v>115</v>
      </c>
      <c r="AD207">
        <v>7</v>
      </c>
      <c r="AE207">
        <v>0</v>
      </c>
      <c r="AF207">
        <v>4.57</v>
      </c>
      <c r="AG207">
        <v>0</v>
      </c>
      <c r="AH207" s="2" t="s">
        <v>44</v>
      </c>
      <c r="AI207" t="s">
        <v>23</v>
      </c>
      <c r="AJ207">
        <v>9</v>
      </c>
      <c r="AK207">
        <v>0</v>
      </c>
      <c r="AL207">
        <v>4.4400000000000004</v>
      </c>
      <c r="AM207">
        <v>0</v>
      </c>
      <c r="AN207" s="3" t="s">
        <v>45</v>
      </c>
      <c r="AO207" t="s">
        <v>23</v>
      </c>
      <c r="AP207">
        <v>9</v>
      </c>
      <c r="AQ207">
        <v>0</v>
      </c>
      <c r="AR207">
        <v>4.4400000000000004</v>
      </c>
      <c r="AS207">
        <v>0</v>
      </c>
      <c r="AT207">
        <v>1.6666666666666601</v>
      </c>
    </row>
    <row r="208" spans="1:46" x14ac:dyDescent="0.35">
      <c r="A208" t="s">
        <v>27</v>
      </c>
      <c r="B208">
        <v>11</v>
      </c>
      <c r="C208">
        <v>0</v>
      </c>
      <c r="D208">
        <v>4.7300000000000004</v>
      </c>
      <c r="E208">
        <v>0</v>
      </c>
      <c r="F208" s="3" t="s">
        <v>46</v>
      </c>
      <c r="H208" t="s">
        <v>21</v>
      </c>
      <c r="I208" s="6">
        <v>7</v>
      </c>
      <c r="J208">
        <v>0</v>
      </c>
      <c r="K208">
        <v>4.57</v>
      </c>
      <c r="L208">
        <v>0</v>
      </c>
      <c r="M208" s="2" t="s">
        <v>161</v>
      </c>
      <c r="O208" t="s">
        <v>115</v>
      </c>
      <c r="P208">
        <v>7</v>
      </c>
      <c r="Q208">
        <v>0</v>
      </c>
      <c r="R208">
        <v>4.57</v>
      </c>
      <c r="S208">
        <v>0</v>
      </c>
      <c r="T208" s="2" t="s">
        <v>44</v>
      </c>
      <c r="W208" t="s">
        <v>115</v>
      </c>
      <c r="X208">
        <v>7</v>
      </c>
      <c r="Y208">
        <v>0</v>
      </c>
      <c r="Z208">
        <v>4.57</v>
      </c>
      <c r="AA208">
        <v>0</v>
      </c>
      <c r="AB208" s="3"/>
      <c r="AC208" t="s">
        <v>37</v>
      </c>
      <c r="AD208" s="6">
        <v>12</v>
      </c>
      <c r="AE208">
        <v>2</v>
      </c>
      <c r="AF208">
        <v>4.58</v>
      </c>
      <c r="AG208">
        <v>0.17</v>
      </c>
      <c r="AH208" s="3" t="s">
        <v>45</v>
      </c>
      <c r="AI208" t="s">
        <v>117</v>
      </c>
      <c r="AJ208">
        <v>8</v>
      </c>
      <c r="AK208">
        <v>2</v>
      </c>
      <c r="AL208">
        <v>4.5</v>
      </c>
      <c r="AM208">
        <v>0.25</v>
      </c>
      <c r="AN208" s="3" t="s">
        <v>45</v>
      </c>
      <c r="AO208" t="s">
        <v>117</v>
      </c>
      <c r="AP208">
        <v>8</v>
      </c>
      <c r="AQ208">
        <v>2</v>
      </c>
      <c r="AR208">
        <v>4.5</v>
      </c>
      <c r="AS208">
        <v>0.25</v>
      </c>
      <c r="AT208">
        <v>2.7774602993176498</v>
      </c>
    </row>
    <row r="209" spans="1:47" x14ac:dyDescent="0.35">
      <c r="A209" t="s">
        <v>24</v>
      </c>
      <c r="B209">
        <v>15</v>
      </c>
      <c r="C209">
        <v>1</v>
      </c>
      <c r="D209">
        <v>4.7300000000000004</v>
      </c>
      <c r="E209">
        <v>7.0000000000000007E-2</v>
      </c>
      <c r="F209" s="3" t="s">
        <v>46</v>
      </c>
      <c r="H209" t="s">
        <v>115</v>
      </c>
      <c r="I209" s="6">
        <v>7</v>
      </c>
      <c r="J209">
        <v>0</v>
      </c>
      <c r="K209">
        <v>4.57</v>
      </c>
      <c r="L209">
        <v>0</v>
      </c>
      <c r="M209" s="3" t="s">
        <v>219</v>
      </c>
      <c r="O209" t="s">
        <v>79</v>
      </c>
      <c r="P209" s="6">
        <v>10</v>
      </c>
      <c r="Q209">
        <v>0</v>
      </c>
      <c r="R209">
        <v>4.5999999999999996</v>
      </c>
      <c r="S209">
        <v>0</v>
      </c>
      <c r="T209" s="3" t="s">
        <v>152</v>
      </c>
      <c r="W209" t="s">
        <v>79</v>
      </c>
      <c r="X209">
        <v>10</v>
      </c>
      <c r="Y209">
        <v>0</v>
      </c>
      <c r="Z209">
        <v>4.5999999999999996</v>
      </c>
      <c r="AA209">
        <v>0</v>
      </c>
      <c r="AB209" s="3"/>
      <c r="AC209" t="s">
        <v>79</v>
      </c>
      <c r="AD209">
        <v>10</v>
      </c>
      <c r="AE209">
        <v>0</v>
      </c>
      <c r="AF209">
        <v>4.5999999999999996</v>
      </c>
      <c r="AG209">
        <v>0</v>
      </c>
      <c r="AI209" t="s">
        <v>115</v>
      </c>
      <c r="AJ209">
        <v>7</v>
      </c>
      <c r="AK209">
        <v>0</v>
      </c>
      <c r="AL209">
        <v>4.57</v>
      </c>
      <c r="AM209">
        <v>0</v>
      </c>
      <c r="AN209" s="3" t="s">
        <v>45</v>
      </c>
      <c r="AO209" t="s">
        <v>115</v>
      </c>
      <c r="AP209">
        <v>7</v>
      </c>
      <c r="AQ209">
        <v>0</v>
      </c>
      <c r="AR209">
        <v>4.57</v>
      </c>
      <c r="AS209">
        <v>0</v>
      </c>
      <c r="AT209">
        <v>1.71824938596844</v>
      </c>
    </row>
    <row r="210" spans="1:47" x14ac:dyDescent="0.35">
      <c r="A210" t="s">
        <v>34</v>
      </c>
      <c r="B210">
        <v>4</v>
      </c>
      <c r="C210">
        <v>1</v>
      </c>
      <c r="D210">
        <v>4.75</v>
      </c>
      <c r="E210">
        <v>0.25</v>
      </c>
      <c r="F210" s="3" t="s">
        <v>46</v>
      </c>
      <c r="H210" t="s">
        <v>81</v>
      </c>
      <c r="I210" s="6">
        <v>6</v>
      </c>
      <c r="J210">
        <v>1</v>
      </c>
      <c r="K210">
        <v>4.67</v>
      </c>
      <c r="L210">
        <v>0.17</v>
      </c>
      <c r="M210" s="2" t="s">
        <v>47</v>
      </c>
      <c r="O210" t="s">
        <v>27</v>
      </c>
      <c r="P210" s="6">
        <v>13</v>
      </c>
      <c r="Q210">
        <v>0</v>
      </c>
      <c r="R210">
        <v>4.62</v>
      </c>
      <c r="S210">
        <v>0</v>
      </c>
      <c r="T210" s="2" t="s">
        <v>44</v>
      </c>
      <c r="W210" t="s">
        <v>27</v>
      </c>
      <c r="X210">
        <v>13</v>
      </c>
      <c r="Y210">
        <v>0</v>
      </c>
      <c r="Z210">
        <v>4.62</v>
      </c>
      <c r="AA210">
        <v>0</v>
      </c>
      <c r="AB210" s="3"/>
      <c r="AC210" t="s">
        <v>27</v>
      </c>
      <c r="AD210">
        <v>13</v>
      </c>
      <c r="AE210">
        <v>0</v>
      </c>
      <c r="AF210">
        <v>4.62</v>
      </c>
      <c r="AG210">
        <v>0</v>
      </c>
      <c r="AI210" t="s">
        <v>37</v>
      </c>
      <c r="AJ210">
        <v>12</v>
      </c>
      <c r="AK210">
        <v>2</v>
      </c>
      <c r="AL210">
        <v>4.58</v>
      </c>
      <c r="AM210">
        <v>0.17</v>
      </c>
      <c r="AN210" s="3" t="s">
        <v>45</v>
      </c>
      <c r="AO210" t="s">
        <v>37</v>
      </c>
      <c r="AP210">
        <v>12</v>
      </c>
      <c r="AQ210">
        <v>2</v>
      </c>
      <c r="AR210">
        <v>4.58</v>
      </c>
      <c r="AS210">
        <v>0.17</v>
      </c>
      <c r="AT210">
        <v>2.5390883594254201</v>
      </c>
    </row>
    <row r="211" spans="1:47" x14ac:dyDescent="0.35">
      <c r="A211" t="s">
        <v>125</v>
      </c>
      <c r="B211">
        <v>5</v>
      </c>
      <c r="C211">
        <v>0</v>
      </c>
      <c r="D211">
        <v>4.8</v>
      </c>
      <c r="E211">
        <v>0</v>
      </c>
      <c r="F211" s="3" t="s">
        <v>46</v>
      </c>
      <c r="H211" t="s">
        <v>27</v>
      </c>
      <c r="I211" s="6">
        <v>12</v>
      </c>
      <c r="J211">
        <v>0</v>
      </c>
      <c r="K211">
        <v>4.67</v>
      </c>
      <c r="L211">
        <v>0</v>
      </c>
      <c r="M211" s="3" t="s">
        <v>45</v>
      </c>
      <c r="O211" t="s">
        <v>81</v>
      </c>
      <c r="P211">
        <v>6</v>
      </c>
      <c r="Q211">
        <v>1</v>
      </c>
      <c r="R211">
        <v>4.67</v>
      </c>
      <c r="S211">
        <v>0.17</v>
      </c>
      <c r="T211" s="3" t="s">
        <v>46</v>
      </c>
      <c r="W211" t="s">
        <v>3</v>
      </c>
      <c r="X211">
        <v>12</v>
      </c>
      <c r="Y211">
        <v>1</v>
      </c>
      <c r="Z211">
        <v>4.67</v>
      </c>
      <c r="AA211">
        <v>0.08</v>
      </c>
      <c r="AB211" s="3"/>
      <c r="AC211" t="s">
        <v>3</v>
      </c>
      <c r="AD211">
        <v>12</v>
      </c>
      <c r="AE211">
        <v>1</v>
      </c>
      <c r="AF211">
        <v>4.67</v>
      </c>
      <c r="AG211">
        <v>0.08</v>
      </c>
      <c r="AI211" t="s">
        <v>79</v>
      </c>
      <c r="AJ211">
        <v>10</v>
      </c>
      <c r="AK211">
        <v>0</v>
      </c>
      <c r="AL211">
        <v>4.5999999999999996</v>
      </c>
      <c r="AM211">
        <v>0</v>
      </c>
      <c r="AN211" s="3" t="s">
        <v>45</v>
      </c>
      <c r="AO211" t="s">
        <v>79</v>
      </c>
      <c r="AP211">
        <v>10</v>
      </c>
      <c r="AQ211">
        <v>0</v>
      </c>
      <c r="AR211">
        <v>4.5999999999999996</v>
      </c>
      <c r="AS211">
        <v>0</v>
      </c>
      <c r="AT211">
        <v>2.0655911179772799</v>
      </c>
    </row>
    <row r="212" spans="1:47" x14ac:dyDescent="0.35">
      <c r="A212" t="s">
        <v>81</v>
      </c>
      <c r="B212">
        <v>5</v>
      </c>
      <c r="C212">
        <v>1</v>
      </c>
      <c r="D212">
        <v>4.8</v>
      </c>
      <c r="E212">
        <v>0.2</v>
      </c>
      <c r="F212" s="3" t="s">
        <v>46</v>
      </c>
      <c r="H212" t="s">
        <v>3</v>
      </c>
      <c r="I212">
        <v>12</v>
      </c>
      <c r="J212">
        <v>1</v>
      </c>
      <c r="K212">
        <v>4.67</v>
      </c>
      <c r="L212">
        <v>0.08</v>
      </c>
      <c r="M212" s="3" t="s">
        <v>55</v>
      </c>
      <c r="O212" t="s">
        <v>3</v>
      </c>
      <c r="P212">
        <v>12</v>
      </c>
      <c r="Q212">
        <v>1</v>
      </c>
      <c r="R212">
        <v>4.67</v>
      </c>
      <c r="S212">
        <v>0.08</v>
      </c>
      <c r="T212" s="3" t="s">
        <v>46</v>
      </c>
      <c r="W212" t="s">
        <v>24</v>
      </c>
      <c r="X212">
        <v>15</v>
      </c>
      <c r="Y212">
        <v>1</v>
      </c>
      <c r="Z212">
        <v>4.7300000000000004</v>
      </c>
      <c r="AA212">
        <v>7.0000000000000007E-2</v>
      </c>
      <c r="AB212" s="3"/>
      <c r="AC212" t="s">
        <v>24</v>
      </c>
      <c r="AD212">
        <v>15</v>
      </c>
      <c r="AE212">
        <v>1</v>
      </c>
      <c r="AF212">
        <v>4.7300000000000004</v>
      </c>
      <c r="AG212">
        <v>7.0000000000000007E-2</v>
      </c>
      <c r="AI212" t="s">
        <v>27</v>
      </c>
      <c r="AJ212">
        <v>13</v>
      </c>
      <c r="AK212">
        <v>0</v>
      </c>
      <c r="AL212">
        <v>4.62</v>
      </c>
      <c r="AM212">
        <v>0</v>
      </c>
      <c r="AN212" s="3" t="s">
        <v>45</v>
      </c>
      <c r="AO212" t="s">
        <v>27</v>
      </c>
      <c r="AP212">
        <v>13</v>
      </c>
      <c r="AQ212">
        <v>0</v>
      </c>
      <c r="AR212">
        <v>4.62</v>
      </c>
      <c r="AS212">
        <v>0</v>
      </c>
      <c r="AT212">
        <v>2.5993095730232398</v>
      </c>
    </row>
    <row r="213" spans="1:47" x14ac:dyDescent="0.35">
      <c r="A213" t="s">
        <v>31</v>
      </c>
      <c r="B213">
        <v>3</v>
      </c>
      <c r="C213">
        <v>0</v>
      </c>
      <c r="D213">
        <v>5</v>
      </c>
      <c r="E213">
        <v>0</v>
      </c>
      <c r="F213" s="3"/>
      <c r="H213" t="s">
        <v>1</v>
      </c>
      <c r="I213">
        <v>18</v>
      </c>
      <c r="J213">
        <v>1</v>
      </c>
      <c r="K213">
        <v>4.72</v>
      </c>
      <c r="L213">
        <v>0.06</v>
      </c>
      <c r="M213" s="3" t="s">
        <v>195</v>
      </c>
      <c r="O213" t="s">
        <v>50</v>
      </c>
      <c r="P213">
        <v>3</v>
      </c>
      <c r="Q213">
        <v>0</v>
      </c>
      <c r="R213">
        <v>4.67</v>
      </c>
      <c r="S213">
        <v>0</v>
      </c>
      <c r="T213" s="3" t="s">
        <v>233</v>
      </c>
      <c r="W213" t="s">
        <v>21</v>
      </c>
      <c r="X213">
        <v>8</v>
      </c>
      <c r="Y213">
        <v>0</v>
      </c>
      <c r="Z213">
        <v>4.75</v>
      </c>
      <c r="AA213">
        <v>0</v>
      </c>
      <c r="AB213" s="3"/>
      <c r="AC213" t="s">
        <v>21</v>
      </c>
      <c r="AD213">
        <v>8</v>
      </c>
      <c r="AE213">
        <v>0</v>
      </c>
      <c r="AF213">
        <v>4.75</v>
      </c>
      <c r="AG213">
        <v>0</v>
      </c>
      <c r="AI213" t="s">
        <v>24</v>
      </c>
      <c r="AJ213">
        <v>15</v>
      </c>
      <c r="AK213">
        <v>1</v>
      </c>
      <c r="AL213">
        <v>4.7300000000000004</v>
      </c>
      <c r="AM213">
        <v>7.0000000000000007E-2</v>
      </c>
      <c r="AN213" s="3" t="s">
        <v>46</v>
      </c>
      <c r="AO213" t="s">
        <v>24</v>
      </c>
      <c r="AP213">
        <v>15</v>
      </c>
      <c r="AQ213">
        <v>1</v>
      </c>
      <c r="AR213">
        <v>4.7300000000000004</v>
      </c>
      <c r="AS213">
        <v>7.0000000000000007E-2</v>
      </c>
      <c r="AT213">
        <v>2.0517124090680401</v>
      </c>
    </row>
    <row r="214" spans="1:47" x14ac:dyDescent="0.35">
      <c r="A214" t="s">
        <v>13</v>
      </c>
      <c r="B214">
        <v>10</v>
      </c>
      <c r="C214">
        <v>1</v>
      </c>
      <c r="D214">
        <v>5</v>
      </c>
      <c r="E214">
        <v>0.1</v>
      </c>
      <c r="F214" s="3"/>
      <c r="H214" t="s">
        <v>24</v>
      </c>
      <c r="I214">
        <v>15</v>
      </c>
      <c r="J214">
        <v>1</v>
      </c>
      <c r="K214">
        <v>4.7300000000000004</v>
      </c>
      <c r="L214">
        <v>7.0000000000000007E-2</v>
      </c>
      <c r="M214" s="3" t="s">
        <v>94</v>
      </c>
      <c r="O214" t="s">
        <v>24</v>
      </c>
      <c r="P214">
        <v>15</v>
      </c>
      <c r="Q214">
        <v>1</v>
      </c>
      <c r="R214">
        <v>4.7300000000000004</v>
      </c>
      <c r="S214">
        <v>7.0000000000000007E-2</v>
      </c>
      <c r="W214" t="s">
        <v>125</v>
      </c>
      <c r="X214">
        <v>5</v>
      </c>
      <c r="Y214">
        <v>0</v>
      </c>
      <c r="Z214">
        <v>4.8</v>
      </c>
      <c r="AA214">
        <v>0</v>
      </c>
      <c r="AB214" s="3"/>
      <c r="AC214" t="s">
        <v>125</v>
      </c>
      <c r="AD214">
        <v>5</v>
      </c>
      <c r="AE214">
        <v>0</v>
      </c>
      <c r="AF214">
        <v>4.8</v>
      </c>
      <c r="AG214">
        <v>0</v>
      </c>
      <c r="AI214" t="s">
        <v>21</v>
      </c>
      <c r="AJ214">
        <v>8</v>
      </c>
      <c r="AK214">
        <v>0</v>
      </c>
      <c r="AL214">
        <v>4.75</v>
      </c>
      <c r="AM214">
        <v>0</v>
      </c>
      <c r="AN214" s="3" t="s">
        <v>46</v>
      </c>
      <c r="AO214" t="s">
        <v>21</v>
      </c>
      <c r="AP214">
        <v>8</v>
      </c>
      <c r="AQ214">
        <v>0</v>
      </c>
      <c r="AR214">
        <v>4.75</v>
      </c>
      <c r="AS214">
        <v>0</v>
      </c>
      <c r="AT214">
        <v>2.0528725518857001</v>
      </c>
    </row>
    <row r="215" spans="1:47" x14ac:dyDescent="0.35">
      <c r="A215" t="s">
        <v>21</v>
      </c>
      <c r="B215">
        <v>6</v>
      </c>
      <c r="C215">
        <v>0</v>
      </c>
      <c r="D215">
        <v>5</v>
      </c>
      <c r="E215">
        <v>0</v>
      </c>
      <c r="F215" s="3"/>
      <c r="H215" t="s">
        <v>125</v>
      </c>
      <c r="I215">
        <v>5</v>
      </c>
      <c r="J215">
        <v>0</v>
      </c>
      <c r="K215">
        <v>4.8</v>
      </c>
      <c r="L215">
        <v>0</v>
      </c>
      <c r="M215" s="3" t="s">
        <v>55</v>
      </c>
      <c r="O215" t="s">
        <v>125</v>
      </c>
      <c r="P215">
        <v>5</v>
      </c>
      <c r="Q215">
        <v>0</v>
      </c>
      <c r="R215">
        <v>4.8</v>
      </c>
      <c r="S215">
        <v>0</v>
      </c>
      <c r="W215" t="s">
        <v>34</v>
      </c>
      <c r="X215">
        <v>5</v>
      </c>
      <c r="Y215">
        <v>1</v>
      </c>
      <c r="Z215">
        <v>5</v>
      </c>
      <c r="AA215">
        <v>0.2</v>
      </c>
      <c r="AB215" s="3"/>
      <c r="AC215" t="s">
        <v>34</v>
      </c>
      <c r="AD215">
        <v>5</v>
      </c>
      <c r="AE215">
        <v>1</v>
      </c>
      <c r="AF215">
        <v>5</v>
      </c>
      <c r="AG215">
        <v>0.2</v>
      </c>
      <c r="AI215" t="s">
        <v>125</v>
      </c>
      <c r="AJ215">
        <v>5</v>
      </c>
      <c r="AK215">
        <v>0</v>
      </c>
      <c r="AL215">
        <v>4.8</v>
      </c>
      <c r="AM215">
        <v>0</v>
      </c>
      <c r="AN215" s="3" t="s">
        <v>46</v>
      </c>
      <c r="AO215" t="s">
        <v>125</v>
      </c>
      <c r="AP215">
        <v>6</v>
      </c>
      <c r="AQ215">
        <v>0</v>
      </c>
      <c r="AR215">
        <v>5</v>
      </c>
      <c r="AS215">
        <v>0</v>
      </c>
      <c r="AT215">
        <v>2.3664319132398401</v>
      </c>
    </row>
    <row r="216" spans="1:47" x14ac:dyDescent="0.35">
      <c r="A216" t="s">
        <v>5</v>
      </c>
      <c r="B216">
        <v>3</v>
      </c>
      <c r="C216">
        <v>0</v>
      </c>
      <c r="D216">
        <v>5</v>
      </c>
      <c r="E216">
        <v>0</v>
      </c>
      <c r="F216" s="3"/>
      <c r="H216" t="s">
        <v>34</v>
      </c>
      <c r="I216" s="6">
        <v>5</v>
      </c>
      <c r="J216">
        <v>1</v>
      </c>
      <c r="K216">
        <v>5</v>
      </c>
      <c r="L216">
        <v>0.2</v>
      </c>
      <c r="M216" s="3" t="s">
        <v>195</v>
      </c>
      <c r="O216" t="s">
        <v>1</v>
      </c>
      <c r="P216" s="6">
        <v>19</v>
      </c>
      <c r="Q216">
        <v>1</v>
      </c>
      <c r="R216">
        <v>4.8899999999999997</v>
      </c>
      <c r="S216">
        <v>0.05</v>
      </c>
      <c r="T216" s="3" t="s">
        <v>54</v>
      </c>
      <c r="W216" t="s">
        <v>13</v>
      </c>
      <c r="X216">
        <v>10</v>
      </c>
      <c r="Y216">
        <v>1</v>
      </c>
      <c r="Z216">
        <v>5</v>
      </c>
      <c r="AA216">
        <v>0.1</v>
      </c>
      <c r="AB216" s="3"/>
      <c r="AC216" t="s">
        <v>13</v>
      </c>
      <c r="AD216">
        <v>10</v>
      </c>
      <c r="AE216">
        <v>1</v>
      </c>
      <c r="AF216">
        <v>5</v>
      </c>
      <c r="AG216">
        <v>0.1</v>
      </c>
      <c r="AI216" t="s">
        <v>34</v>
      </c>
      <c r="AJ216">
        <v>5</v>
      </c>
      <c r="AK216">
        <v>1</v>
      </c>
      <c r="AL216">
        <v>5</v>
      </c>
      <c r="AM216">
        <v>0.2</v>
      </c>
      <c r="AN216" s="3" t="s">
        <v>46</v>
      </c>
      <c r="AO216" t="s">
        <v>34</v>
      </c>
      <c r="AP216">
        <v>5</v>
      </c>
      <c r="AQ216">
        <v>1</v>
      </c>
      <c r="AR216">
        <v>5</v>
      </c>
      <c r="AS216">
        <v>0.2</v>
      </c>
      <c r="AT216">
        <v>2.2360679774997898</v>
      </c>
    </row>
    <row r="217" spans="1:47" x14ac:dyDescent="0.35">
      <c r="A217" t="s">
        <v>89</v>
      </c>
      <c r="B217">
        <v>3</v>
      </c>
      <c r="C217">
        <v>0</v>
      </c>
      <c r="D217">
        <v>5</v>
      </c>
      <c r="E217">
        <v>0</v>
      </c>
      <c r="F217" s="3"/>
      <c r="H217" t="s">
        <v>13</v>
      </c>
      <c r="I217">
        <v>10</v>
      </c>
      <c r="J217">
        <v>1</v>
      </c>
      <c r="K217">
        <v>5</v>
      </c>
      <c r="L217">
        <v>0.1</v>
      </c>
      <c r="M217" s="3" t="s">
        <v>54</v>
      </c>
      <c r="O217" t="s">
        <v>34</v>
      </c>
      <c r="P217">
        <v>5</v>
      </c>
      <c r="Q217">
        <v>1</v>
      </c>
      <c r="R217">
        <v>5</v>
      </c>
      <c r="S217">
        <v>0.2</v>
      </c>
      <c r="T217" s="3" t="s">
        <v>46</v>
      </c>
      <c r="W217" t="s">
        <v>30</v>
      </c>
      <c r="X217">
        <v>6</v>
      </c>
      <c r="Y217">
        <v>1</v>
      </c>
      <c r="Z217">
        <v>5</v>
      </c>
      <c r="AA217">
        <v>0.17</v>
      </c>
      <c r="AB217" s="3"/>
      <c r="AC217" t="s">
        <v>30</v>
      </c>
      <c r="AD217">
        <v>6</v>
      </c>
      <c r="AE217">
        <v>1</v>
      </c>
      <c r="AF217">
        <v>5</v>
      </c>
      <c r="AG217">
        <v>0.17</v>
      </c>
      <c r="AI217" t="s">
        <v>13</v>
      </c>
      <c r="AJ217">
        <v>10</v>
      </c>
      <c r="AK217">
        <v>1</v>
      </c>
      <c r="AL217">
        <v>5</v>
      </c>
      <c r="AM217">
        <v>0.1</v>
      </c>
      <c r="AN217" s="3" t="s">
        <v>46</v>
      </c>
      <c r="AO217" t="s">
        <v>30</v>
      </c>
      <c r="AP217">
        <v>6</v>
      </c>
      <c r="AQ217">
        <v>1</v>
      </c>
      <c r="AR217">
        <v>5</v>
      </c>
      <c r="AS217">
        <v>0.17</v>
      </c>
      <c r="AT217">
        <v>2.4494897427831699</v>
      </c>
      <c r="AU217" s="2" t="s">
        <v>44</v>
      </c>
    </row>
    <row r="218" spans="1:47" x14ac:dyDescent="0.35">
      <c r="A218" t="s">
        <v>99</v>
      </c>
      <c r="B218">
        <v>9</v>
      </c>
      <c r="C218">
        <v>1</v>
      </c>
      <c r="D218">
        <v>5.1100000000000003</v>
      </c>
      <c r="E218">
        <v>0.11</v>
      </c>
      <c r="F218" s="2" t="s">
        <v>44</v>
      </c>
      <c r="H218" t="s">
        <v>5</v>
      </c>
      <c r="I218">
        <v>3</v>
      </c>
      <c r="J218">
        <v>0</v>
      </c>
      <c r="K218">
        <v>5</v>
      </c>
      <c r="L218">
        <v>0</v>
      </c>
      <c r="M218" s="3" t="s">
        <v>54</v>
      </c>
      <c r="O218" t="s">
        <v>13</v>
      </c>
      <c r="P218">
        <v>10</v>
      </c>
      <c r="Q218">
        <v>1</v>
      </c>
      <c r="R218">
        <v>5</v>
      </c>
      <c r="S218">
        <v>0.1</v>
      </c>
      <c r="T218" s="3" t="s">
        <v>46</v>
      </c>
      <c r="W218" t="s">
        <v>1</v>
      </c>
      <c r="X218">
        <v>20</v>
      </c>
      <c r="Y218">
        <v>1</v>
      </c>
      <c r="Z218">
        <v>5.05</v>
      </c>
      <c r="AA218">
        <v>0.05</v>
      </c>
      <c r="AB218" s="3"/>
      <c r="AC218" t="s">
        <v>1</v>
      </c>
      <c r="AD218">
        <v>20</v>
      </c>
      <c r="AE218">
        <v>1</v>
      </c>
      <c r="AF218">
        <v>5.05</v>
      </c>
      <c r="AG218">
        <v>0.05</v>
      </c>
      <c r="AI218" t="s">
        <v>30</v>
      </c>
      <c r="AJ218">
        <v>6</v>
      </c>
      <c r="AK218">
        <v>1</v>
      </c>
      <c r="AL218">
        <v>5</v>
      </c>
      <c r="AM218">
        <v>0.17</v>
      </c>
      <c r="AN218" s="3" t="s">
        <v>46</v>
      </c>
      <c r="AO218" t="s">
        <v>1</v>
      </c>
      <c r="AP218">
        <v>20</v>
      </c>
      <c r="AQ218">
        <v>1</v>
      </c>
      <c r="AR218">
        <v>5.05</v>
      </c>
      <c r="AS218">
        <v>0.05</v>
      </c>
      <c r="AT218">
        <v>2.2354794611117801</v>
      </c>
      <c r="AU218" s="2" t="s">
        <v>44</v>
      </c>
    </row>
    <row r="219" spans="1:47" x14ac:dyDescent="0.35">
      <c r="A219" t="s">
        <v>29</v>
      </c>
      <c r="B219">
        <v>7</v>
      </c>
      <c r="C219">
        <v>0</v>
      </c>
      <c r="D219">
        <v>5.14</v>
      </c>
      <c r="E219">
        <v>0</v>
      </c>
      <c r="F219" s="2" t="s">
        <v>44</v>
      </c>
      <c r="H219" t="s">
        <v>99</v>
      </c>
      <c r="I219">
        <v>9</v>
      </c>
      <c r="J219">
        <v>1</v>
      </c>
      <c r="K219">
        <v>5.1100000000000003</v>
      </c>
      <c r="L219">
        <v>0.11</v>
      </c>
      <c r="M219" s="3" t="s">
        <v>46</v>
      </c>
      <c r="O219" t="s">
        <v>5</v>
      </c>
      <c r="P219">
        <v>3</v>
      </c>
      <c r="Q219">
        <v>0</v>
      </c>
      <c r="R219">
        <v>5</v>
      </c>
      <c r="S219">
        <v>0</v>
      </c>
      <c r="T219" s="3" t="s">
        <v>46</v>
      </c>
      <c r="W219" t="s">
        <v>99</v>
      </c>
      <c r="X219">
        <v>9</v>
      </c>
      <c r="Y219">
        <v>1</v>
      </c>
      <c r="Z219">
        <v>5.1100000000000003</v>
      </c>
      <c r="AA219">
        <v>0.11</v>
      </c>
      <c r="AB219" s="3"/>
      <c r="AC219" t="s">
        <v>25</v>
      </c>
      <c r="AD219" s="6">
        <v>28</v>
      </c>
      <c r="AE219">
        <v>3</v>
      </c>
      <c r="AF219">
        <v>5.07</v>
      </c>
      <c r="AG219">
        <v>0.11</v>
      </c>
      <c r="AH219" s="2" t="s">
        <v>133</v>
      </c>
      <c r="AI219" t="s">
        <v>1</v>
      </c>
      <c r="AJ219">
        <v>20</v>
      </c>
      <c r="AK219">
        <v>1</v>
      </c>
      <c r="AL219">
        <v>5.05</v>
      </c>
      <c r="AM219">
        <v>0.05</v>
      </c>
      <c r="AN219" s="3" t="s">
        <v>46</v>
      </c>
      <c r="AO219" t="s">
        <v>25</v>
      </c>
      <c r="AP219">
        <v>28</v>
      </c>
      <c r="AQ219">
        <v>3</v>
      </c>
      <c r="AR219">
        <v>5.07</v>
      </c>
      <c r="AS219">
        <v>0.11</v>
      </c>
      <c r="AT219">
        <v>2.3774822086445999</v>
      </c>
      <c r="AU219" s="2" t="s">
        <v>44</v>
      </c>
    </row>
    <row r="220" spans="1:47" x14ac:dyDescent="0.35">
      <c r="A220" t="s">
        <v>17</v>
      </c>
      <c r="B220">
        <v>6</v>
      </c>
      <c r="C220">
        <v>1</v>
      </c>
      <c r="D220">
        <v>5.17</v>
      </c>
      <c r="E220">
        <v>0.17</v>
      </c>
      <c r="F220" s="2" t="s">
        <v>44</v>
      </c>
      <c r="H220" t="s">
        <v>29</v>
      </c>
      <c r="I220">
        <v>7</v>
      </c>
      <c r="J220">
        <v>0</v>
      </c>
      <c r="K220">
        <v>5.14</v>
      </c>
      <c r="L220">
        <v>0</v>
      </c>
      <c r="M220" s="3" t="s">
        <v>46</v>
      </c>
      <c r="O220" t="s">
        <v>99</v>
      </c>
      <c r="P220">
        <v>9</v>
      </c>
      <c r="Q220">
        <v>1</v>
      </c>
      <c r="R220">
        <v>5.1100000000000003</v>
      </c>
      <c r="S220">
        <v>0.11</v>
      </c>
      <c r="T220" s="3" t="s">
        <v>46</v>
      </c>
      <c r="W220" t="s">
        <v>17</v>
      </c>
      <c r="X220">
        <v>6</v>
      </c>
      <c r="Y220">
        <v>1</v>
      </c>
      <c r="Z220">
        <v>5.17</v>
      </c>
      <c r="AA220">
        <v>0.17</v>
      </c>
      <c r="AB220" s="3"/>
      <c r="AC220" t="s">
        <v>99</v>
      </c>
      <c r="AD220">
        <v>9</v>
      </c>
      <c r="AE220">
        <v>1</v>
      </c>
      <c r="AF220">
        <v>5.1100000000000003</v>
      </c>
      <c r="AG220">
        <v>0.11</v>
      </c>
      <c r="AH220" s="3" t="s">
        <v>46</v>
      </c>
      <c r="AI220" t="s">
        <v>25</v>
      </c>
      <c r="AJ220">
        <v>28</v>
      </c>
      <c r="AK220">
        <v>3</v>
      </c>
      <c r="AL220">
        <v>5.07</v>
      </c>
      <c r="AM220">
        <v>0.11</v>
      </c>
      <c r="AN220" s="3" t="s">
        <v>46</v>
      </c>
      <c r="AO220" t="s">
        <v>99</v>
      </c>
      <c r="AP220">
        <v>9</v>
      </c>
      <c r="AQ220">
        <v>1</v>
      </c>
      <c r="AR220">
        <v>5.1100000000000003</v>
      </c>
      <c r="AS220">
        <v>0.11</v>
      </c>
      <c r="AT220">
        <v>2.4720661623652198</v>
      </c>
      <c r="AU220" s="2" t="s">
        <v>44</v>
      </c>
    </row>
    <row r="221" spans="1:47" x14ac:dyDescent="0.35">
      <c r="A221" t="s">
        <v>6</v>
      </c>
      <c r="B221" s="6">
        <v>30</v>
      </c>
      <c r="C221">
        <v>3</v>
      </c>
      <c r="D221">
        <v>5.23</v>
      </c>
      <c r="E221">
        <v>0.1</v>
      </c>
      <c r="F221" s="3" t="s">
        <v>54</v>
      </c>
      <c r="H221" t="s">
        <v>17</v>
      </c>
      <c r="I221">
        <v>6</v>
      </c>
      <c r="J221">
        <v>1</v>
      </c>
      <c r="K221">
        <v>5.17</v>
      </c>
      <c r="L221">
        <v>0.17</v>
      </c>
      <c r="M221" s="3" t="s">
        <v>46</v>
      </c>
      <c r="O221" t="s">
        <v>17</v>
      </c>
      <c r="P221">
        <v>6</v>
      </c>
      <c r="Q221">
        <v>1</v>
      </c>
      <c r="R221">
        <v>5.17</v>
      </c>
      <c r="S221">
        <v>0.17</v>
      </c>
      <c r="W221" t="s">
        <v>6</v>
      </c>
      <c r="X221">
        <v>30</v>
      </c>
      <c r="Y221">
        <v>3</v>
      </c>
      <c r="Z221">
        <v>5.23</v>
      </c>
      <c r="AA221">
        <v>0.1</v>
      </c>
      <c r="AB221" s="3"/>
      <c r="AC221" t="s">
        <v>17</v>
      </c>
      <c r="AD221">
        <v>6</v>
      </c>
      <c r="AE221">
        <v>1</v>
      </c>
      <c r="AF221">
        <v>5.17</v>
      </c>
      <c r="AG221">
        <v>0.17</v>
      </c>
      <c r="AH221" s="3" t="s">
        <v>46</v>
      </c>
      <c r="AI221" t="s">
        <v>99</v>
      </c>
      <c r="AJ221">
        <v>9</v>
      </c>
      <c r="AK221">
        <v>1</v>
      </c>
      <c r="AL221">
        <v>5.1100000000000003</v>
      </c>
      <c r="AM221">
        <v>0.11</v>
      </c>
      <c r="AN221" s="3" t="s">
        <v>46</v>
      </c>
      <c r="AO221" t="s">
        <v>17</v>
      </c>
      <c r="AP221">
        <v>6</v>
      </c>
      <c r="AQ221">
        <v>1</v>
      </c>
      <c r="AR221">
        <v>5.17</v>
      </c>
      <c r="AS221">
        <v>0.17</v>
      </c>
      <c r="AT221">
        <v>2.4832774042918899</v>
      </c>
      <c r="AU221" s="2" t="s">
        <v>44</v>
      </c>
    </row>
    <row r="222" spans="1:47" x14ac:dyDescent="0.35">
      <c r="A222" t="s">
        <v>16</v>
      </c>
      <c r="B222">
        <v>4</v>
      </c>
      <c r="C222">
        <v>0</v>
      </c>
      <c r="D222">
        <v>5.25</v>
      </c>
      <c r="E222">
        <v>0</v>
      </c>
      <c r="H222" t="s">
        <v>6</v>
      </c>
      <c r="I222">
        <v>30</v>
      </c>
      <c r="J222">
        <v>3</v>
      </c>
      <c r="K222">
        <v>5.23</v>
      </c>
      <c r="L222">
        <v>0.1</v>
      </c>
      <c r="M222" s="3" t="s">
        <v>46</v>
      </c>
      <c r="O222" t="s">
        <v>6</v>
      </c>
      <c r="P222">
        <v>30</v>
      </c>
      <c r="Q222">
        <v>3</v>
      </c>
      <c r="R222">
        <v>5.23</v>
      </c>
      <c r="S222">
        <v>0.1</v>
      </c>
      <c r="W222" t="s">
        <v>29</v>
      </c>
      <c r="X222">
        <v>8</v>
      </c>
      <c r="Y222">
        <v>0</v>
      </c>
      <c r="Z222">
        <v>5.25</v>
      </c>
      <c r="AA222">
        <v>0</v>
      </c>
      <c r="AB222" s="3"/>
      <c r="AC222" t="s">
        <v>6</v>
      </c>
      <c r="AD222">
        <v>30</v>
      </c>
      <c r="AE222">
        <v>3</v>
      </c>
      <c r="AF222">
        <v>5.23</v>
      </c>
      <c r="AG222">
        <v>0.1</v>
      </c>
      <c r="AH222" s="3" t="s">
        <v>46</v>
      </c>
      <c r="AI222" t="s">
        <v>17</v>
      </c>
      <c r="AJ222">
        <v>6</v>
      </c>
      <c r="AK222">
        <v>1</v>
      </c>
      <c r="AL222">
        <v>5.17</v>
      </c>
      <c r="AM222">
        <v>0.17</v>
      </c>
      <c r="AN222" s="3" t="s">
        <v>46</v>
      </c>
      <c r="AO222" t="s">
        <v>13</v>
      </c>
      <c r="AP222">
        <v>11</v>
      </c>
      <c r="AQ222">
        <v>1</v>
      </c>
      <c r="AR222">
        <v>5.18</v>
      </c>
      <c r="AS222">
        <v>0.09</v>
      </c>
      <c r="AT222">
        <v>2.35873617932068</v>
      </c>
      <c r="AU222" s="3" t="s">
        <v>94</v>
      </c>
    </row>
    <row r="223" spans="1:47" x14ac:dyDescent="0.35">
      <c r="A223" t="s">
        <v>25</v>
      </c>
      <c r="B223">
        <v>26</v>
      </c>
      <c r="C223">
        <v>3</v>
      </c>
      <c r="D223">
        <v>5.31</v>
      </c>
      <c r="E223">
        <v>0.12</v>
      </c>
      <c r="H223" t="s">
        <v>16</v>
      </c>
      <c r="I223">
        <v>4</v>
      </c>
      <c r="J223">
        <v>0</v>
      </c>
      <c r="K223">
        <v>5.25</v>
      </c>
      <c r="L223">
        <v>0</v>
      </c>
      <c r="M223" s="3" t="s">
        <v>46</v>
      </c>
      <c r="O223" t="s">
        <v>29</v>
      </c>
      <c r="P223" s="6">
        <v>8</v>
      </c>
      <c r="Q223">
        <v>0</v>
      </c>
      <c r="R223">
        <v>5.25</v>
      </c>
      <c r="S223">
        <v>0</v>
      </c>
      <c r="T223" s="3" t="s">
        <v>54</v>
      </c>
      <c r="W223" t="s">
        <v>25</v>
      </c>
      <c r="X223">
        <v>26</v>
      </c>
      <c r="Y223">
        <v>3</v>
      </c>
      <c r="Z223">
        <v>5.31</v>
      </c>
      <c r="AA223">
        <v>0.12</v>
      </c>
      <c r="AB223" s="3"/>
      <c r="AC223" t="s">
        <v>29</v>
      </c>
      <c r="AD223">
        <v>8</v>
      </c>
      <c r="AE223">
        <v>0</v>
      </c>
      <c r="AF223">
        <v>5.25</v>
      </c>
      <c r="AG223">
        <v>0</v>
      </c>
      <c r="AH223" s="3" t="s">
        <v>46</v>
      </c>
      <c r="AI223" t="s">
        <v>19</v>
      </c>
      <c r="AJ223">
        <v>5</v>
      </c>
      <c r="AK223">
        <v>1</v>
      </c>
      <c r="AL223">
        <v>5.2</v>
      </c>
      <c r="AM223">
        <v>0.2</v>
      </c>
      <c r="AN223" s="17" t="s">
        <v>85</v>
      </c>
      <c r="AO223" t="s">
        <v>19</v>
      </c>
      <c r="AP223">
        <v>5</v>
      </c>
      <c r="AQ223">
        <v>1</v>
      </c>
      <c r="AR223">
        <v>5.2</v>
      </c>
      <c r="AS223">
        <v>0.2</v>
      </c>
      <c r="AT223">
        <v>2.7748873851023199</v>
      </c>
    </row>
    <row r="224" spans="1:47" x14ac:dyDescent="0.35">
      <c r="A224" t="s">
        <v>80</v>
      </c>
      <c r="B224">
        <v>3</v>
      </c>
      <c r="C224">
        <v>0</v>
      </c>
      <c r="D224">
        <v>5.33</v>
      </c>
      <c r="E224">
        <v>0</v>
      </c>
      <c r="H224" t="s">
        <v>25</v>
      </c>
      <c r="I224">
        <v>26</v>
      </c>
      <c r="J224">
        <v>3</v>
      </c>
      <c r="K224">
        <v>5.31</v>
      </c>
      <c r="L224">
        <v>0.12</v>
      </c>
      <c r="M224" s="3" t="s">
        <v>46</v>
      </c>
      <c r="O224" t="s">
        <v>16</v>
      </c>
      <c r="P224">
        <v>4</v>
      </c>
      <c r="Q224">
        <v>0</v>
      </c>
      <c r="R224">
        <v>5.25</v>
      </c>
      <c r="S224">
        <v>0</v>
      </c>
      <c r="W224" t="s">
        <v>51</v>
      </c>
      <c r="X224">
        <v>16</v>
      </c>
      <c r="Y224">
        <v>0</v>
      </c>
      <c r="Z224">
        <v>5.38</v>
      </c>
      <c r="AA224">
        <v>0</v>
      </c>
      <c r="AB224" s="3"/>
      <c r="AC224" t="s">
        <v>51</v>
      </c>
      <c r="AD224">
        <v>16</v>
      </c>
      <c r="AE224">
        <v>0</v>
      </c>
      <c r="AF224">
        <v>5.38</v>
      </c>
      <c r="AG224">
        <v>0</v>
      </c>
      <c r="AI224" t="s">
        <v>6</v>
      </c>
      <c r="AJ224">
        <v>30</v>
      </c>
      <c r="AK224">
        <v>3</v>
      </c>
      <c r="AL224">
        <v>5.23</v>
      </c>
      <c r="AM224">
        <v>0.1</v>
      </c>
      <c r="AN224" s="3" t="s">
        <v>45</v>
      </c>
      <c r="AO224" t="s">
        <v>6</v>
      </c>
      <c r="AP224">
        <v>30</v>
      </c>
      <c r="AQ224">
        <v>3</v>
      </c>
      <c r="AR224">
        <v>5.23</v>
      </c>
      <c r="AS224">
        <v>0.1</v>
      </c>
      <c r="AT224">
        <v>2.2078751422302298</v>
      </c>
    </row>
    <row r="225" spans="1:46" x14ac:dyDescent="0.35">
      <c r="A225" t="s">
        <v>33</v>
      </c>
      <c r="B225">
        <v>3</v>
      </c>
      <c r="C225">
        <v>0</v>
      </c>
      <c r="D225">
        <v>5.33</v>
      </c>
      <c r="E225">
        <v>0</v>
      </c>
      <c r="H225" t="s">
        <v>80</v>
      </c>
      <c r="I225">
        <v>3</v>
      </c>
      <c r="J225">
        <v>0</v>
      </c>
      <c r="K225">
        <v>5.33</v>
      </c>
      <c r="L225">
        <v>0</v>
      </c>
      <c r="M225" s="3" t="s">
        <v>46</v>
      </c>
      <c r="O225" t="s">
        <v>25</v>
      </c>
      <c r="P225">
        <v>26</v>
      </c>
      <c r="Q225">
        <v>3</v>
      </c>
      <c r="R225">
        <v>5.31</v>
      </c>
      <c r="S225">
        <v>0.12</v>
      </c>
      <c r="T225" s="3" t="s">
        <v>46</v>
      </c>
      <c r="W225" t="s">
        <v>116</v>
      </c>
      <c r="X225">
        <v>5</v>
      </c>
      <c r="Y225">
        <v>0</v>
      </c>
      <c r="Z225">
        <v>5.4</v>
      </c>
      <c r="AA225">
        <v>0</v>
      </c>
      <c r="AB225" s="3"/>
      <c r="AC225" t="s">
        <v>116</v>
      </c>
      <c r="AD225">
        <v>5</v>
      </c>
      <c r="AE225">
        <v>0</v>
      </c>
      <c r="AF225">
        <v>5.4</v>
      </c>
      <c r="AG225">
        <v>0</v>
      </c>
      <c r="AI225" t="s">
        <v>29</v>
      </c>
      <c r="AJ225">
        <v>8</v>
      </c>
      <c r="AK225">
        <v>0</v>
      </c>
      <c r="AL225">
        <v>5.25</v>
      </c>
      <c r="AM225">
        <v>0</v>
      </c>
      <c r="AN225" s="3" t="s">
        <v>45</v>
      </c>
      <c r="AO225" t="s">
        <v>29</v>
      </c>
      <c r="AP225">
        <v>8</v>
      </c>
      <c r="AQ225">
        <v>0</v>
      </c>
      <c r="AR225">
        <v>5.25</v>
      </c>
      <c r="AS225">
        <v>0</v>
      </c>
      <c r="AT225">
        <v>2.3145502494313699</v>
      </c>
    </row>
    <row r="226" spans="1:46" x14ac:dyDescent="0.35">
      <c r="A226" t="s">
        <v>173</v>
      </c>
      <c r="B226">
        <v>3</v>
      </c>
      <c r="C226">
        <v>0</v>
      </c>
      <c r="D226">
        <v>5.33</v>
      </c>
      <c r="E226">
        <v>0</v>
      </c>
      <c r="H226" t="s">
        <v>33</v>
      </c>
      <c r="I226">
        <v>3</v>
      </c>
      <c r="J226">
        <v>0</v>
      </c>
      <c r="K226">
        <v>5.33</v>
      </c>
      <c r="L226">
        <v>0</v>
      </c>
      <c r="M226" s="3" t="s">
        <v>46</v>
      </c>
      <c r="O226" t="s">
        <v>80</v>
      </c>
      <c r="P226">
        <v>3</v>
      </c>
      <c r="Q226">
        <v>0</v>
      </c>
      <c r="R226">
        <v>5.33</v>
      </c>
      <c r="S226">
        <v>0</v>
      </c>
      <c r="T226" s="3" t="s">
        <v>46</v>
      </c>
      <c r="W226" t="s">
        <v>49</v>
      </c>
      <c r="X226">
        <v>5</v>
      </c>
      <c r="Y226">
        <v>1</v>
      </c>
      <c r="Z226">
        <v>5.4</v>
      </c>
      <c r="AA226">
        <v>0.2</v>
      </c>
      <c r="AB226" s="3"/>
      <c r="AC226" t="s">
        <v>49</v>
      </c>
      <c r="AD226">
        <v>5</v>
      </c>
      <c r="AE226">
        <v>1</v>
      </c>
      <c r="AF226">
        <v>5.4</v>
      </c>
      <c r="AG226">
        <v>0.2</v>
      </c>
      <c r="AI226" t="s">
        <v>116</v>
      </c>
      <c r="AJ226">
        <v>5</v>
      </c>
      <c r="AK226">
        <v>0</v>
      </c>
      <c r="AL226">
        <v>5.4</v>
      </c>
      <c r="AM226">
        <v>0</v>
      </c>
      <c r="AN226" s="3" t="s">
        <v>46</v>
      </c>
      <c r="AO226" t="s">
        <v>116</v>
      </c>
      <c r="AP226">
        <v>5</v>
      </c>
      <c r="AQ226">
        <v>0</v>
      </c>
      <c r="AR226">
        <v>5.4</v>
      </c>
      <c r="AS226">
        <v>0</v>
      </c>
      <c r="AT226">
        <v>1.51657508881031</v>
      </c>
    </row>
    <row r="227" spans="1:46" x14ac:dyDescent="0.35">
      <c r="A227" t="s">
        <v>197</v>
      </c>
      <c r="B227">
        <v>3</v>
      </c>
      <c r="C227">
        <v>0</v>
      </c>
      <c r="D227">
        <v>5.33</v>
      </c>
      <c r="E227">
        <v>0</v>
      </c>
      <c r="F227" s="12" t="s">
        <v>85</v>
      </c>
      <c r="H227" t="s">
        <v>173</v>
      </c>
      <c r="I227">
        <v>3</v>
      </c>
      <c r="J227">
        <v>0</v>
      </c>
      <c r="K227">
        <v>5.33</v>
      </c>
      <c r="L227">
        <v>0</v>
      </c>
      <c r="M227" s="3" t="s">
        <v>46</v>
      </c>
      <c r="O227" t="s">
        <v>33</v>
      </c>
      <c r="P227">
        <v>3</v>
      </c>
      <c r="Q227">
        <v>0</v>
      </c>
      <c r="R227">
        <v>5.33</v>
      </c>
      <c r="S227">
        <v>0</v>
      </c>
      <c r="T227" s="3" t="s">
        <v>46</v>
      </c>
      <c r="W227" t="s">
        <v>124</v>
      </c>
      <c r="X227">
        <v>6</v>
      </c>
      <c r="Y227">
        <v>0</v>
      </c>
      <c r="Z227">
        <v>5.5</v>
      </c>
      <c r="AA227">
        <v>0</v>
      </c>
      <c r="AB227" s="2"/>
      <c r="AC227" t="s">
        <v>124</v>
      </c>
      <c r="AD227">
        <v>6</v>
      </c>
      <c r="AE227">
        <v>0</v>
      </c>
      <c r="AF227">
        <v>5.5</v>
      </c>
      <c r="AG227">
        <v>0</v>
      </c>
      <c r="AI227" t="s">
        <v>49</v>
      </c>
      <c r="AJ227">
        <v>5</v>
      </c>
      <c r="AK227">
        <v>1</v>
      </c>
      <c r="AL227">
        <v>5.4</v>
      </c>
      <c r="AM227">
        <v>0.2</v>
      </c>
      <c r="AN227" s="3" t="s">
        <v>46</v>
      </c>
      <c r="AO227" t="s">
        <v>49</v>
      </c>
      <c r="AP227">
        <v>5</v>
      </c>
      <c r="AQ227">
        <v>1</v>
      </c>
      <c r="AR227">
        <v>5.4</v>
      </c>
      <c r="AS227">
        <v>0.2</v>
      </c>
      <c r="AT227">
        <v>2.88097205817758</v>
      </c>
    </row>
    <row r="228" spans="1:46" x14ac:dyDescent="0.35">
      <c r="A228" t="s">
        <v>116</v>
      </c>
      <c r="B228">
        <v>5</v>
      </c>
      <c r="C228">
        <v>0</v>
      </c>
      <c r="D228">
        <v>5.4</v>
      </c>
      <c r="E228">
        <v>0</v>
      </c>
      <c r="F228" s="3" t="s">
        <v>46</v>
      </c>
      <c r="H228" t="s">
        <v>197</v>
      </c>
      <c r="I228">
        <v>3</v>
      </c>
      <c r="J228">
        <v>0</v>
      </c>
      <c r="K228">
        <v>5.33</v>
      </c>
      <c r="L228">
        <v>0</v>
      </c>
      <c r="M228" s="3" t="s">
        <v>46</v>
      </c>
      <c r="O228" t="s">
        <v>173</v>
      </c>
      <c r="P228">
        <v>3</v>
      </c>
      <c r="Q228">
        <v>0</v>
      </c>
      <c r="R228">
        <v>5.33</v>
      </c>
      <c r="S228">
        <v>0</v>
      </c>
      <c r="T228" s="3" t="s">
        <v>46</v>
      </c>
      <c r="W228" t="s">
        <v>20</v>
      </c>
      <c r="X228">
        <v>11</v>
      </c>
      <c r="Y228">
        <v>1</v>
      </c>
      <c r="Z228">
        <v>5.82</v>
      </c>
      <c r="AA228">
        <v>0.09</v>
      </c>
      <c r="AB228" s="3"/>
      <c r="AC228" t="s">
        <v>20</v>
      </c>
      <c r="AD228">
        <v>11</v>
      </c>
      <c r="AE228">
        <v>1</v>
      </c>
      <c r="AF228">
        <v>5.82</v>
      </c>
      <c r="AG228">
        <v>0.09</v>
      </c>
      <c r="AI228" t="s">
        <v>51</v>
      </c>
      <c r="AJ228">
        <v>17</v>
      </c>
      <c r="AK228">
        <v>0</v>
      </c>
      <c r="AL228">
        <v>5.41</v>
      </c>
      <c r="AM228">
        <v>0</v>
      </c>
      <c r="AN228" s="3" t="s">
        <v>55</v>
      </c>
      <c r="AO228" t="s">
        <v>51</v>
      </c>
      <c r="AP228">
        <v>17</v>
      </c>
      <c r="AQ228">
        <v>0</v>
      </c>
      <c r="AR228">
        <v>5.41</v>
      </c>
      <c r="AS228">
        <v>0</v>
      </c>
      <c r="AT228">
        <v>2.1230527410256301</v>
      </c>
    </row>
    <row r="229" spans="1:46" x14ac:dyDescent="0.35">
      <c r="A229" t="s">
        <v>49</v>
      </c>
      <c r="B229">
        <v>5</v>
      </c>
      <c r="C229">
        <v>1</v>
      </c>
      <c r="D229">
        <v>5.4</v>
      </c>
      <c r="E229">
        <v>0.2</v>
      </c>
      <c r="F229" s="3" t="s">
        <v>46</v>
      </c>
      <c r="H229" t="s">
        <v>110</v>
      </c>
      <c r="I229" s="6">
        <v>3</v>
      </c>
      <c r="J229">
        <v>0</v>
      </c>
      <c r="K229">
        <v>5.33</v>
      </c>
      <c r="L229">
        <v>0</v>
      </c>
      <c r="M229" s="3" t="s">
        <v>220</v>
      </c>
      <c r="O229" t="s">
        <v>197</v>
      </c>
      <c r="P229">
        <v>3</v>
      </c>
      <c r="Q229">
        <v>0</v>
      </c>
      <c r="R229">
        <v>5.33</v>
      </c>
      <c r="S229">
        <v>0</v>
      </c>
      <c r="T229" s="3" t="s">
        <v>46</v>
      </c>
      <c r="W229" t="s">
        <v>32</v>
      </c>
      <c r="X229">
        <v>9</v>
      </c>
      <c r="Y229">
        <v>0</v>
      </c>
      <c r="Z229">
        <v>6.11</v>
      </c>
      <c r="AA229">
        <v>0</v>
      </c>
      <c r="AB229" s="3"/>
      <c r="AC229" t="s">
        <v>32</v>
      </c>
      <c r="AD229">
        <v>10</v>
      </c>
      <c r="AE229">
        <v>0</v>
      </c>
      <c r="AF229">
        <v>6.2</v>
      </c>
      <c r="AG229">
        <v>0</v>
      </c>
      <c r="AI229" t="s">
        <v>124</v>
      </c>
      <c r="AJ229">
        <v>6</v>
      </c>
      <c r="AK229">
        <v>0</v>
      </c>
      <c r="AL229">
        <v>5.5</v>
      </c>
      <c r="AM229">
        <v>0</v>
      </c>
      <c r="AN229" s="3" t="s">
        <v>45</v>
      </c>
      <c r="AO229" t="s">
        <v>124</v>
      </c>
      <c r="AP229">
        <v>6</v>
      </c>
      <c r="AQ229">
        <v>0</v>
      </c>
      <c r="AR229">
        <v>5.5</v>
      </c>
      <c r="AS229">
        <v>0</v>
      </c>
      <c r="AT229">
        <v>2.16794833886788</v>
      </c>
    </row>
    <row r="230" spans="1:46" x14ac:dyDescent="0.35">
      <c r="A230" t="s">
        <v>51</v>
      </c>
      <c r="B230">
        <v>15</v>
      </c>
      <c r="C230">
        <v>0</v>
      </c>
      <c r="D230">
        <v>5.47</v>
      </c>
      <c r="E230">
        <v>0</v>
      </c>
      <c r="F230" s="3" t="s">
        <v>46</v>
      </c>
      <c r="H230" t="s">
        <v>116</v>
      </c>
      <c r="I230">
        <v>5</v>
      </c>
      <c r="J230">
        <v>0</v>
      </c>
      <c r="K230">
        <v>5.4</v>
      </c>
      <c r="L230">
        <v>0</v>
      </c>
      <c r="M230" s="3" t="s">
        <v>45</v>
      </c>
      <c r="O230" t="s">
        <v>110</v>
      </c>
      <c r="P230">
        <v>3</v>
      </c>
      <c r="Q230">
        <v>0</v>
      </c>
      <c r="R230">
        <v>5.33</v>
      </c>
      <c r="S230">
        <v>0</v>
      </c>
      <c r="T230" s="3" t="s">
        <v>46</v>
      </c>
      <c r="AI230" t="s">
        <v>20</v>
      </c>
      <c r="AJ230">
        <v>11</v>
      </c>
      <c r="AK230">
        <v>1</v>
      </c>
      <c r="AL230">
        <v>5.82</v>
      </c>
      <c r="AM230">
        <v>0.09</v>
      </c>
      <c r="AN230" s="3" t="s">
        <v>45</v>
      </c>
      <c r="AO230" t="s">
        <v>20</v>
      </c>
      <c r="AP230">
        <v>11</v>
      </c>
      <c r="AQ230">
        <v>1</v>
      </c>
      <c r="AR230">
        <v>5.82</v>
      </c>
      <c r="AS230">
        <v>0.09</v>
      </c>
      <c r="AT230">
        <v>2.3159525823376299</v>
      </c>
    </row>
    <row r="231" spans="1:46" x14ac:dyDescent="0.35">
      <c r="A231" t="s">
        <v>105</v>
      </c>
      <c r="B231">
        <v>3</v>
      </c>
      <c r="C231">
        <v>0</v>
      </c>
      <c r="D231">
        <v>5.67</v>
      </c>
      <c r="E231">
        <v>0</v>
      </c>
      <c r="F231" s="3" t="s">
        <v>46</v>
      </c>
      <c r="H231" t="s">
        <v>49</v>
      </c>
      <c r="I231">
        <v>5</v>
      </c>
      <c r="J231">
        <v>1</v>
      </c>
      <c r="K231">
        <v>5.4</v>
      </c>
      <c r="L231">
        <v>0.2</v>
      </c>
      <c r="M231" s="3" t="s">
        <v>45</v>
      </c>
      <c r="O231" t="s">
        <v>51</v>
      </c>
      <c r="P231" s="6">
        <v>16</v>
      </c>
      <c r="Q231">
        <v>0</v>
      </c>
      <c r="R231">
        <v>5.38</v>
      </c>
      <c r="S231">
        <v>0</v>
      </c>
      <c r="T231" s="2" t="s">
        <v>44</v>
      </c>
      <c r="AI231" t="s">
        <v>31</v>
      </c>
      <c r="AJ231">
        <v>5</v>
      </c>
      <c r="AK231">
        <v>0</v>
      </c>
      <c r="AL231">
        <v>6</v>
      </c>
      <c r="AM231">
        <v>0</v>
      </c>
      <c r="AN231" s="17" t="s">
        <v>273</v>
      </c>
      <c r="AO231" t="s">
        <v>31</v>
      </c>
      <c r="AP231">
        <v>5</v>
      </c>
      <c r="AQ231">
        <v>0</v>
      </c>
      <c r="AR231">
        <v>6</v>
      </c>
      <c r="AS231">
        <v>0</v>
      </c>
      <c r="AT231">
        <v>1.58113883008418</v>
      </c>
    </row>
    <row r="232" spans="1:46" x14ac:dyDescent="0.35">
      <c r="A232" t="s">
        <v>137</v>
      </c>
      <c r="B232">
        <v>3</v>
      </c>
      <c r="C232">
        <v>0</v>
      </c>
      <c r="D232">
        <v>5.67</v>
      </c>
      <c r="E232">
        <v>0</v>
      </c>
      <c r="F232" s="3" t="s">
        <v>46</v>
      </c>
      <c r="H232" t="s">
        <v>51</v>
      </c>
      <c r="I232">
        <v>15</v>
      </c>
      <c r="J232">
        <v>0</v>
      </c>
      <c r="K232">
        <v>5.47</v>
      </c>
      <c r="L232">
        <v>0</v>
      </c>
      <c r="M232" s="3" t="s">
        <v>45</v>
      </c>
      <c r="O232" t="s">
        <v>116</v>
      </c>
      <c r="P232">
        <v>5</v>
      </c>
      <c r="Q232">
        <v>0</v>
      </c>
      <c r="R232">
        <v>5.4</v>
      </c>
      <c r="S232">
        <v>0</v>
      </c>
      <c r="T232" s="3" t="s">
        <v>45</v>
      </c>
      <c r="AI232" t="s">
        <v>32</v>
      </c>
      <c r="AJ232">
        <v>10</v>
      </c>
      <c r="AK232">
        <v>0</v>
      </c>
      <c r="AL232">
        <v>6.2</v>
      </c>
      <c r="AM232">
        <v>0</v>
      </c>
      <c r="AN232" s="3" t="s">
        <v>54</v>
      </c>
      <c r="AO232" t="s">
        <v>32</v>
      </c>
      <c r="AP232">
        <v>10</v>
      </c>
      <c r="AQ232">
        <v>0</v>
      </c>
      <c r="AR232">
        <v>6.2</v>
      </c>
      <c r="AS232">
        <v>0</v>
      </c>
      <c r="AT232">
        <v>1.6193277068654801</v>
      </c>
    </row>
    <row r="233" spans="1:46" x14ac:dyDescent="0.35">
      <c r="A233" t="s">
        <v>82</v>
      </c>
      <c r="B233">
        <v>3</v>
      </c>
      <c r="C233">
        <v>0</v>
      </c>
      <c r="D233">
        <v>5.67</v>
      </c>
      <c r="E233">
        <v>0</v>
      </c>
      <c r="F233" s="12" t="s">
        <v>85</v>
      </c>
      <c r="H233" t="s">
        <v>89</v>
      </c>
      <c r="I233" s="6">
        <v>4</v>
      </c>
      <c r="J233">
        <v>0</v>
      </c>
      <c r="K233">
        <v>5.5</v>
      </c>
      <c r="L233">
        <v>0</v>
      </c>
      <c r="M233" s="3" t="s">
        <v>221</v>
      </c>
      <c r="O233" t="s">
        <v>49</v>
      </c>
      <c r="P233">
        <v>5</v>
      </c>
      <c r="Q233">
        <v>1</v>
      </c>
      <c r="R233">
        <v>5.4</v>
      </c>
      <c r="S233">
        <v>0.2</v>
      </c>
      <c r="T233" s="3" t="s">
        <v>45</v>
      </c>
      <c r="AI233" t="s">
        <v>4</v>
      </c>
      <c r="AJ233">
        <v>5</v>
      </c>
      <c r="AK233">
        <v>0</v>
      </c>
      <c r="AL233">
        <v>6.4</v>
      </c>
      <c r="AM233">
        <v>0</v>
      </c>
      <c r="AN233" s="17" t="s">
        <v>274</v>
      </c>
      <c r="AO233" t="s">
        <v>4</v>
      </c>
      <c r="AP233">
        <v>5</v>
      </c>
      <c r="AQ233">
        <v>0</v>
      </c>
      <c r="AR233">
        <v>6.4</v>
      </c>
      <c r="AS233">
        <v>0</v>
      </c>
      <c r="AT233">
        <v>2.3021728866442599</v>
      </c>
    </row>
    <row r="234" spans="1:46" x14ac:dyDescent="0.35">
      <c r="A234" t="s">
        <v>20</v>
      </c>
      <c r="B234">
        <v>10</v>
      </c>
      <c r="C234">
        <v>1</v>
      </c>
      <c r="D234">
        <v>5.7</v>
      </c>
      <c r="E234">
        <v>0.1</v>
      </c>
      <c r="F234" s="3" t="s">
        <v>45</v>
      </c>
      <c r="H234" t="s">
        <v>105</v>
      </c>
      <c r="I234">
        <v>3</v>
      </c>
      <c r="J234">
        <v>0</v>
      </c>
      <c r="K234">
        <v>5.67</v>
      </c>
      <c r="L234">
        <v>0</v>
      </c>
      <c r="M234" s="3" t="s">
        <v>54</v>
      </c>
      <c r="O234" t="s">
        <v>89</v>
      </c>
      <c r="P234">
        <v>4</v>
      </c>
      <c r="Q234">
        <v>0</v>
      </c>
      <c r="R234">
        <v>5.5</v>
      </c>
      <c r="S234">
        <v>0</v>
      </c>
      <c r="T234" s="3" t="s">
        <v>46</v>
      </c>
    </row>
    <row r="235" spans="1:46" x14ac:dyDescent="0.35">
      <c r="A235" t="s">
        <v>12</v>
      </c>
      <c r="B235">
        <v>4</v>
      </c>
      <c r="C235">
        <v>0</v>
      </c>
      <c r="D235">
        <v>5.75</v>
      </c>
      <c r="E235">
        <v>0</v>
      </c>
      <c r="F235" s="3" t="s">
        <v>45</v>
      </c>
      <c r="H235" t="s">
        <v>137</v>
      </c>
      <c r="I235">
        <v>3</v>
      </c>
      <c r="J235">
        <v>0</v>
      </c>
      <c r="K235">
        <v>5.67</v>
      </c>
      <c r="L235">
        <v>0</v>
      </c>
      <c r="M235" s="3" t="s">
        <v>54</v>
      </c>
      <c r="O235" t="s">
        <v>105</v>
      </c>
      <c r="P235">
        <v>3</v>
      </c>
      <c r="Q235">
        <v>0</v>
      </c>
      <c r="R235">
        <v>5.67</v>
      </c>
      <c r="S235">
        <v>0</v>
      </c>
      <c r="T235" s="3" t="s">
        <v>46</v>
      </c>
    </row>
    <row r="236" spans="1:46" x14ac:dyDescent="0.35">
      <c r="A236" t="s">
        <v>30</v>
      </c>
      <c r="B236">
        <v>5</v>
      </c>
      <c r="C236">
        <v>0</v>
      </c>
      <c r="D236">
        <v>5.8</v>
      </c>
      <c r="E236">
        <v>0</v>
      </c>
      <c r="F236" s="3" t="s">
        <v>45</v>
      </c>
      <c r="H236" t="s">
        <v>82</v>
      </c>
      <c r="I236">
        <v>3</v>
      </c>
      <c r="J236">
        <v>0</v>
      </c>
      <c r="K236">
        <v>5.67</v>
      </c>
      <c r="L236">
        <v>0</v>
      </c>
      <c r="M236" s="3" t="s">
        <v>54</v>
      </c>
      <c r="O236" t="s">
        <v>137</v>
      </c>
      <c r="P236">
        <v>3</v>
      </c>
      <c r="Q236">
        <v>0</v>
      </c>
      <c r="R236">
        <v>5.67</v>
      </c>
      <c r="S236">
        <v>0</v>
      </c>
      <c r="T236" s="3" t="s">
        <v>46</v>
      </c>
    </row>
    <row r="237" spans="1:46" x14ac:dyDescent="0.35">
      <c r="A237" t="s">
        <v>87</v>
      </c>
      <c r="B237">
        <v>3</v>
      </c>
      <c r="C237">
        <v>0</v>
      </c>
      <c r="D237">
        <v>6</v>
      </c>
      <c r="E237">
        <v>0</v>
      </c>
      <c r="F237" s="3" t="s">
        <v>45</v>
      </c>
      <c r="H237" t="s">
        <v>20</v>
      </c>
      <c r="I237">
        <v>10</v>
      </c>
      <c r="J237">
        <v>1</v>
      </c>
      <c r="K237">
        <v>5.7</v>
      </c>
      <c r="L237">
        <v>0.1</v>
      </c>
      <c r="M237" s="3" t="s">
        <v>54</v>
      </c>
      <c r="O237" t="s">
        <v>82</v>
      </c>
      <c r="P237">
        <v>3</v>
      </c>
      <c r="Q237">
        <v>0</v>
      </c>
      <c r="R237">
        <v>5.67</v>
      </c>
      <c r="S237">
        <v>0</v>
      </c>
      <c r="T237" s="3" t="s">
        <v>46</v>
      </c>
    </row>
    <row r="238" spans="1:46" x14ac:dyDescent="0.35">
      <c r="A238" t="s">
        <v>32</v>
      </c>
      <c r="B238">
        <v>6</v>
      </c>
      <c r="C238">
        <v>0</v>
      </c>
      <c r="D238">
        <v>6</v>
      </c>
      <c r="E238">
        <v>0</v>
      </c>
      <c r="F238" s="3" t="s">
        <v>45</v>
      </c>
      <c r="H238" t="s">
        <v>31</v>
      </c>
      <c r="I238">
        <v>4</v>
      </c>
      <c r="J238">
        <v>0</v>
      </c>
      <c r="K238">
        <v>5.75</v>
      </c>
      <c r="L238">
        <v>0</v>
      </c>
      <c r="M238" s="3" t="s">
        <v>222</v>
      </c>
      <c r="O238" t="s">
        <v>90</v>
      </c>
      <c r="P238" s="6">
        <v>3</v>
      </c>
      <c r="Q238">
        <v>1</v>
      </c>
      <c r="R238">
        <v>5.67</v>
      </c>
      <c r="S238">
        <v>0.33</v>
      </c>
      <c r="T238" s="3" t="s">
        <v>85</v>
      </c>
    </row>
    <row r="239" spans="1:46" x14ac:dyDescent="0.35">
      <c r="A239" t="s">
        <v>124</v>
      </c>
      <c r="B239">
        <v>3</v>
      </c>
      <c r="C239">
        <v>0</v>
      </c>
      <c r="D239">
        <v>6.33</v>
      </c>
      <c r="E239">
        <v>0</v>
      </c>
      <c r="F239" s="3" t="s">
        <v>45</v>
      </c>
      <c r="H239" t="s">
        <v>12</v>
      </c>
      <c r="I239">
        <v>4</v>
      </c>
      <c r="J239">
        <v>0</v>
      </c>
      <c r="K239">
        <v>5.75</v>
      </c>
      <c r="L239">
        <v>0</v>
      </c>
      <c r="M239" s="3" t="s">
        <v>55</v>
      </c>
      <c r="O239" t="s">
        <v>20</v>
      </c>
      <c r="P239">
        <v>10</v>
      </c>
      <c r="Q239">
        <v>1</v>
      </c>
      <c r="R239">
        <v>5.7</v>
      </c>
      <c r="S239">
        <v>0.1</v>
      </c>
      <c r="T239" s="3" t="s">
        <v>45</v>
      </c>
    </row>
    <row r="240" spans="1:46" x14ac:dyDescent="0.35">
      <c r="H240" t="s">
        <v>30</v>
      </c>
      <c r="I240">
        <v>5</v>
      </c>
      <c r="J240">
        <v>0</v>
      </c>
      <c r="K240">
        <v>5.8</v>
      </c>
      <c r="L240">
        <v>0</v>
      </c>
      <c r="M240" s="3" t="s">
        <v>55</v>
      </c>
      <c r="O240" t="s">
        <v>31</v>
      </c>
      <c r="P240">
        <v>4</v>
      </c>
      <c r="Q240">
        <v>0</v>
      </c>
      <c r="R240">
        <v>5.75</v>
      </c>
      <c r="S240">
        <v>0</v>
      </c>
      <c r="T240" s="3" t="s">
        <v>46</v>
      </c>
    </row>
    <row r="241" spans="1:51" x14ac:dyDescent="0.35">
      <c r="H241" t="s">
        <v>87</v>
      </c>
      <c r="I241">
        <v>3</v>
      </c>
      <c r="J241">
        <v>0</v>
      </c>
      <c r="K241">
        <v>6</v>
      </c>
      <c r="L241">
        <v>0</v>
      </c>
      <c r="M241" s="3" t="s">
        <v>55</v>
      </c>
      <c r="O241" t="s">
        <v>12</v>
      </c>
      <c r="P241">
        <v>4</v>
      </c>
      <c r="Q241">
        <v>0</v>
      </c>
      <c r="R241">
        <v>5.75</v>
      </c>
      <c r="S241">
        <v>0</v>
      </c>
      <c r="T241" s="3" t="s">
        <v>46</v>
      </c>
    </row>
    <row r="242" spans="1:51" x14ac:dyDescent="0.35">
      <c r="H242" t="s">
        <v>32</v>
      </c>
      <c r="I242">
        <v>6</v>
      </c>
      <c r="J242">
        <v>0</v>
      </c>
      <c r="K242">
        <v>6</v>
      </c>
      <c r="L242">
        <v>0</v>
      </c>
      <c r="M242" s="3" t="s">
        <v>55</v>
      </c>
      <c r="O242" t="s">
        <v>30</v>
      </c>
      <c r="P242">
        <v>5</v>
      </c>
      <c r="Q242">
        <v>0</v>
      </c>
      <c r="R242">
        <v>5.8</v>
      </c>
      <c r="S242">
        <v>0</v>
      </c>
      <c r="T242" s="3" t="s">
        <v>45</v>
      </c>
    </row>
    <row r="243" spans="1:51" x14ac:dyDescent="0.35">
      <c r="H243" t="s">
        <v>124</v>
      </c>
      <c r="I243" s="6">
        <v>4</v>
      </c>
      <c r="J243">
        <v>0</v>
      </c>
      <c r="K243">
        <v>6.75</v>
      </c>
      <c r="L243">
        <v>0</v>
      </c>
      <c r="M243" s="3" t="s">
        <v>55</v>
      </c>
      <c r="O243" t="s">
        <v>124</v>
      </c>
      <c r="P243" s="6">
        <v>5</v>
      </c>
      <c r="Q243">
        <v>0</v>
      </c>
      <c r="R243">
        <v>5.8</v>
      </c>
      <c r="S243">
        <v>0</v>
      </c>
    </row>
    <row r="244" spans="1:51" x14ac:dyDescent="0.35">
      <c r="O244" t="s">
        <v>87</v>
      </c>
      <c r="P244">
        <v>3</v>
      </c>
      <c r="Q244">
        <v>0</v>
      </c>
      <c r="R244">
        <v>6</v>
      </c>
      <c r="S244">
        <v>0</v>
      </c>
      <c r="T244" s="3" t="s">
        <v>54</v>
      </c>
    </row>
    <row r="245" spans="1:51" x14ac:dyDescent="0.35">
      <c r="O245" t="s">
        <v>32</v>
      </c>
      <c r="P245">
        <v>8</v>
      </c>
      <c r="Q245">
        <v>0</v>
      </c>
      <c r="R245">
        <v>6</v>
      </c>
      <c r="S245">
        <v>0</v>
      </c>
      <c r="T245" s="3" t="s">
        <v>54</v>
      </c>
    </row>
    <row r="252" spans="1:51" x14ac:dyDescent="0.35">
      <c r="A252" s="4" t="s">
        <v>42</v>
      </c>
      <c r="B252" s="4" t="s">
        <v>38</v>
      </c>
      <c r="C252" s="4" t="s">
        <v>39</v>
      </c>
      <c r="D252" s="4" t="s">
        <v>40</v>
      </c>
      <c r="E252" s="4" t="s">
        <v>111</v>
      </c>
      <c r="F252" s="4" t="s">
        <v>275</v>
      </c>
      <c r="G252" s="4"/>
      <c r="H252" s="4" t="s">
        <v>42</v>
      </c>
      <c r="I252" s="4" t="s">
        <v>38</v>
      </c>
      <c r="J252" s="4" t="s">
        <v>39</v>
      </c>
      <c r="K252" s="4" t="s">
        <v>40</v>
      </c>
      <c r="L252" s="4" t="s">
        <v>111</v>
      </c>
      <c r="M252" s="4" t="s">
        <v>275</v>
      </c>
      <c r="O252" s="4" t="s">
        <v>42</v>
      </c>
      <c r="P252" s="4" t="s">
        <v>38</v>
      </c>
      <c r="Q252" s="4" t="s">
        <v>39</v>
      </c>
      <c r="R252" s="4" t="s">
        <v>40</v>
      </c>
      <c r="S252" s="4" t="s">
        <v>111</v>
      </c>
      <c r="T252" s="4" t="s">
        <v>275</v>
      </c>
      <c r="V252" s="4" t="s">
        <v>42</v>
      </c>
      <c r="W252" s="4" t="s">
        <v>38</v>
      </c>
      <c r="X252" s="4" t="s">
        <v>39</v>
      </c>
      <c r="Y252" s="4" t="s">
        <v>40</v>
      </c>
      <c r="Z252" s="4" t="s">
        <v>111</v>
      </c>
      <c r="AA252" s="4" t="s">
        <v>275</v>
      </c>
      <c r="AB252" s="4"/>
      <c r="AF252" s="4" t="s">
        <v>42</v>
      </c>
      <c r="AG252" s="4" t="s">
        <v>38</v>
      </c>
      <c r="AH252" s="4" t="s">
        <v>39</v>
      </c>
      <c r="AI252" s="4" t="s">
        <v>40</v>
      </c>
      <c r="AJ252" s="4" t="s">
        <v>111</v>
      </c>
      <c r="AK252" s="4" t="s">
        <v>275</v>
      </c>
      <c r="AM252" s="4" t="s">
        <v>42</v>
      </c>
      <c r="AN252" s="4" t="s">
        <v>38</v>
      </c>
      <c r="AO252" s="4" t="s">
        <v>39</v>
      </c>
      <c r="AP252" s="4" t="s">
        <v>40</v>
      </c>
      <c r="AQ252" s="4" t="s">
        <v>111</v>
      </c>
      <c r="AR252" s="4" t="s">
        <v>275</v>
      </c>
      <c r="AT252" s="4" t="s">
        <v>42</v>
      </c>
      <c r="AU252" s="4" t="s">
        <v>38</v>
      </c>
      <c r="AV252" s="4" t="s">
        <v>39</v>
      </c>
      <c r="AW252" s="4" t="s">
        <v>40</v>
      </c>
      <c r="AX252" s="4" t="s">
        <v>111</v>
      </c>
      <c r="AY252" s="4" t="s">
        <v>275</v>
      </c>
    </row>
    <row r="253" spans="1:51" x14ac:dyDescent="0.35">
      <c r="A253" t="s">
        <v>128</v>
      </c>
      <c r="B253">
        <v>25</v>
      </c>
      <c r="C253">
        <v>7</v>
      </c>
      <c r="D253">
        <v>2.92</v>
      </c>
      <c r="E253">
        <v>0.28000000000000003</v>
      </c>
      <c r="F253">
        <v>2.0190756961210399</v>
      </c>
      <c r="H253" t="s">
        <v>128</v>
      </c>
      <c r="I253">
        <v>25</v>
      </c>
      <c r="J253">
        <v>7</v>
      </c>
      <c r="K253">
        <v>2.92</v>
      </c>
      <c r="L253">
        <v>0.28000000000000003</v>
      </c>
      <c r="M253">
        <v>2.0190756961210399</v>
      </c>
      <c r="O253" t="s">
        <v>128</v>
      </c>
      <c r="P253" s="6">
        <v>26</v>
      </c>
      <c r="Q253">
        <v>7</v>
      </c>
      <c r="R253">
        <v>2.88</v>
      </c>
      <c r="S253">
        <v>0.27</v>
      </c>
      <c r="T253">
        <v>1.9864928507683699</v>
      </c>
      <c r="V253" t="s">
        <v>128</v>
      </c>
      <c r="W253" s="6">
        <v>28</v>
      </c>
      <c r="X253" s="6">
        <v>9</v>
      </c>
      <c r="Y253">
        <v>2.75</v>
      </c>
      <c r="Z253">
        <v>0.32</v>
      </c>
      <c r="AA253">
        <v>1.97437284932409</v>
      </c>
      <c r="AF253" t="s">
        <v>128</v>
      </c>
      <c r="AG253" s="6">
        <v>30</v>
      </c>
      <c r="AH253">
        <v>9</v>
      </c>
      <c r="AI253">
        <v>2.93</v>
      </c>
      <c r="AJ253">
        <v>0.3</v>
      </c>
      <c r="AK253">
        <v>2.0330600909302499</v>
      </c>
      <c r="AM253" t="s">
        <v>128</v>
      </c>
      <c r="AN253" s="6">
        <v>31</v>
      </c>
      <c r="AO253" s="7">
        <v>10</v>
      </c>
      <c r="AP253">
        <v>2.87</v>
      </c>
      <c r="AQ253">
        <v>0.32</v>
      </c>
      <c r="AR253">
        <v>1.97437284932409</v>
      </c>
      <c r="AT253" t="s">
        <v>128</v>
      </c>
      <c r="AU253" s="6">
        <v>32</v>
      </c>
      <c r="AV253" s="6">
        <v>11</v>
      </c>
      <c r="AW253">
        <v>2.81</v>
      </c>
      <c r="AX253">
        <v>0.34</v>
      </c>
      <c r="AY253">
        <v>2.0230526279570298</v>
      </c>
    </row>
    <row r="254" spans="1:51" x14ac:dyDescent="0.35">
      <c r="A254" t="s">
        <v>0</v>
      </c>
      <c r="B254">
        <v>25</v>
      </c>
      <c r="C254">
        <v>4</v>
      </c>
      <c r="D254">
        <v>3.36</v>
      </c>
      <c r="E254">
        <v>0.16</v>
      </c>
      <c r="F254">
        <v>2.0182500670960799</v>
      </c>
      <c r="H254" t="s">
        <v>78</v>
      </c>
      <c r="I254">
        <v>5</v>
      </c>
      <c r="J254">
        <v>1</v>
      </c>
      <c r="K254">
        <v>3.4</v>
      </c>
      <c r="L254">
        <v>0.2</v>
      </c>
      <c r="M254">
        <v>2.1908902300206599</v>
      </c>
      <c r="N254" s="2" t="s">
        <v>44</v>
      </c>
      <c r="O254" t="s">
        <v>78</v>
      </c>
      <c r="P254">
        <v>5</v>
      </c>
      <c r="Q254">
        <v>1</v>
      </c>
      <c r="R254">
        <v>3.4</v>
      </c>
      <c r="S254">
        <v>0.2</v>
      </c>
      <c r="T254">
        <v>2.1908902300206599</v>
      </c>
      <c r="V254" t="s">
        <v>78</v>
      </c>
      <c r="W254">
        <v>5</v>
      </c>
      <c r="X254">
        <v>1</v>
      </c>
      <c r="Y254">
        <v>3.4</v>
      </c>
      <c r="Z254">
        <v>0.2</v>
      </c>
      <c r="AA254">
        <v>2.1908902300206599</v>
      </c>
      <c r="AF254" t="s">
        <v>78</v>
      </c>
      <c r="AG254">
        <v>5</v>
      </c>
      <c r="AH254">
        <v>1</v>
      </c>
      <c r="AI254">
        <v>3.4</v>
      </c>
      <c r="AJ254">
        <v>0.2</v>
      </c>
      <c r="AK254">
        <v>2.1908902300206599</v>
      </c>
      <c r="AM254" t="s">
        <v>78</v>
      </c>
      <c r="AN254">
        <v>5</v>
      </c>
      <c r="AO254">
        <v>1</v>
      </c>
      <c r="AP254">
        <v>3.4</v>
      </c>
      <c r="AQ254">
        <v>0.2</v>
      </c>
      <c r="AR254">
        <v>2.1908902300206599</v>
      </c>
      <c r="AT254" t="s">
        <v>78</v>
      </c>
      <c r="AU254">
        <v>5</v>
      </c>
      <c r="AV254">
        <v>1</v>
      </c>
      <c r="AW254">
        <v>3.4</v>
      </c>
      <c r="AX254">
        <v>0.2</v>
      </c>
      <c r="AY254">
        <v>2.1908902300206599</v>
      </c>
    </row>
    <row r="255" spans="1:51" x14ac:dyDescent="0.35">
      <c r="A255" t="s">
        <v>78</v>
      </c>
      <c r="B255">
        <v>5</v>
      </c>
      <c r="C255">
        <v>1</v>
      </c>
      <c r="D255">
        <v>3.4</v>
      </c>
      <c r="E255">
        <v>0.2</v>
      </c>
      <c r="F255">
        <v>2.1908902300206599</v>
      </c>
      <c r="H255" t="s">
        <v>0</v>
      </c>
      <c r="I255">
        <v>26</v>
      </c>
      <c r="J255">
        <v>4</v>
      </c>
      <c r="K255">
        <v>3.42</v>
      </c>
      <c r="L255">
        <v>0.15</v>
      </c>
      <c r="M255">
        <v>2.0034585480728402</v>
      </c>
      <c r="N255" s="3" t="s">
        <v>46</v>
      </c>
      <c r="O255" t="s">
        <v>0</v>
      </c>
      <c r="P255">
        <v>26</v>
      </c>
      <c r="Q255">
        <v>4</v>
      </c>
      <c r="R255">
        <v>3.42</v>
      </c>
      <c r="S255">
        <v>0.15</v>
      </c>
      <c r="T255">
        <v>2.0034585480728402</v>
      </c>
      <c r="V255" t="s">
        <v>0</v>
      </c>
      <c r="W255">
        <v>26</v>
      </c>
      <c r="X255">
        <v>4</v>
      </c>
      <c r="Y255">
        <v>3.42</v>
      </c>
      <c r="Z255">
        <v>0.15</v>
      </c>
      <c r="AA255">
        <v>2.0034585480728402</v>
      </c>
      <c r="AF255" t="s">
        <v>0</v>
      </c>
      <c r="AG255">
        <v>26</v>
      </c>
      <c r="AH255">
        <v>4</v>
      </c>
      <c r="AI255">
        <v>3.42</v>
      </c>
      <c r="AJ255">
        <v>0.15</v>
      </c>
      <c r="AK255">
        <v>2.0034585480728402</v>
      </c>
      <c r="AM255" t="s">
        <v>0</v>
      </c>
      <c r="AN255">
        <v>26</v>
      </c>
      <c r="AO255">
        <v>4</v>
      </c>
      <c r="AP255">
        <v>3.42</v>
      </c>
      <c r="AQ255">
        <v>0.15</v>
      </c>
      <c r="AR255">
        <v>2.0034585480728402</v>
      </c>
      <c r="AT255" t="s">
        <v>0</v>
      </c>
      <c r="AU255">
        <v>26</v>
      </c>
      <c r="AV255">
        <v>4</v>
      </c>
      <c r="AW255">
        <v>3.42</v>
      </c>
      <c r="AX255">
        <v>0.15</v>
      </c>
      <c r="AY255">
        <v>2.0034585480728402</v>
      </c>
    </row>
    <row r="256" spans="1:51" x14ac:dyDescent="0.35">
      <c r="A256" t="s">
        <v>121</v>
      </c>
      <c r="B256">
        <v>11</v>
      </c>
      <c r="C256">
        <v>2</v>
      </c>
      <c r="D256">
        <v>3.45</v>
      </c>
      <c r="E256">
        <v>0.18</v>
      </c>
      <c r="F256">
        <v>2.0670576365276401</v>
      </c>
      <c r="H256" t="s">
        <v>121</v>
      </c>
      <c r="I256">
        <v>11</v>
      </c>
      <c r="J256">
        <v>2</v>
      </c>
      <c r="K256">
        <v>3.45</v>
      </c>
      <c r="L256">
        <v>0.18</v>
      </c>
      <c r="M256">
        <v>2.0670576365276401</v>
      </c>
      <c r="O256" t="s">
        <v>121</v>
      </c>
      <c r="P256">
        <v>11</v>
      </c>
      <c r="Q256">
        <v>2</v>
      </c>
      <c r="R256">
        <v>3.45</v>
      </c>
      <c r="S256">
        <v>0.18</v>
      </c>
      <c r="T256">
        <v>2.0670576365276401</v>
      </c>
      <c r="V256" t="s">
        <v>121</v>
      </c>
      <c r="W256">
        <v>11</v>
      </c>
      <c r="X256">
        <v>2</v>
      </c>
      <c r="Y256">
        <v>3.45</v>
      </c>
      <c r="Z256">
        <v>0.18</v>
      </c>
      <c r="AA256">
        <v>2.0670576365276401</v>
      </c>
      <c r="AF256" t="s">
        <v>121</v>
      </c>
      <c r="AG256">
        <v>11</v>
      </c>
      <c r="AH256">
        <v>2</v>
      </c>
      <c r="AI256">
        <v>3.45</v>
      </c>
      <c r="AJ256">
        <v>0.18</v>
      </c>
      <c r="AK256">
        <v>2.0670576365276401</v>
      </c>
      <c r="AM256" t="s">
        <v>121</v>
      </c>
      <c r="AN256">
        <v>11</v>
      </c>
      <c r="AO256">
        <v>2</v>
      </c>
      <c r="AP256">
        <v>3.45</v>
      </c>
      <c r="AQ256">
        <v>0.18</v>
      </c>
      <c r="AR256">
        <v>2.0670576365276401</v>
      </c>
      <c r="AT256" t="s">
        <v>121</v>
      </c>
      <c r="AU256">
        <v>11</v>
      </c>
      <c r="AV256">
        <v>2</v>
      </c>
      <c r="AW256">
        <v>3.45</v>
      </c>
      <c r="AX256">
        <v>0.18</v>
      </c>
      <c r="AY256">
        <v>2.0670576365276401</v>
      </c>
    </row>
    <row r="257" spans="1:52" x14ac:dyDescent="0.35">
      <c r="A257" t="s">
        <v>35</v>
      </c>
      <c r="B257">
        <v>22</v>
      </c>
      <c r="C257">
        <v>7</v>
      </c>
      <c r="D257">
        <v>3.64</v>
      </c>
      <c r="E257">
        <v>0.32</v>
      </c>
      <c r="F257">
        <v>2.5735921633733301</v>
      </c>
      <c r="H257" t="s">
        <v>52</v>
      </c>
      <c r="I257">
        <v>6</v>
      </c>
      <c r="J257">
        <v>0</v>
      </c>
      <c r="K257">
        <v>3.67</v>
      </c>
      <c r="L257">
        <v>0</v>
      </c>
      <c r="M257">
        <v>1.8618986725025199</v>
      </c>
      <c r="N257" s="2" t="s">
        <v>44</v>
      </c>
      <c r="O257" t="s">
        <v>52</v>
      </c>
      <c r="P257">
        <v>6</v>
      </c>
      <c r="Q257">
        <v>0</v>
      </c>
      <c r="R257">
        <v>3.67</v>
      </c>
      <c r="S257">
        <v>0</v>
      </c>
      <c r="T257">
        <v>1.8618986725025199</v>
      </c>
      <c r="V257" t="s">
        <v>52</v>
      </c>
      <c r="W257">
        <v>6</v>
      </c>
      <c r="X257">
        <v>0</v>
      </c>
      <c r="Y257">
        <v>3.67</v>
      </c>
      <c r="Z257">
        <v>0</v>
      </c>
      <c r="AA257">
        <v>1.8618986725025199</v>
      </c>
      <c r="AF257" t="s">
        <v>35</v>
      </c>
      <c r="AG257" s="6">
        <v>25</v>
      </c>
      <c r="AH257">
        <v>8</v>
      </c>
      <c r="AI257">
        <v>3.64</v>
      </c>
      <c r="AJ257">
        <v>0.32</v>
      </c>
      <c r="AK257">
        <v>2.6438608132804502</v>
      </c>
      <c r="AL257" s="2" t="s">
        <v>59</v>
      </c>
      <c r="AM257" t="s">
        <v>52</v>
      </c>
      <c r="AN257">
        <v>6</v>
      </c>
      <c r="AO257">
        <v>0</v>
      </c>
      <c r="AP257">
        <v>3.67</v>
      </c>
      <c r="AQ257">
        <v>0</v>
      </c>
      <c r="AR257">
        <v>1.8618986725025199</v>
      </c>
      <c r="AS257" s="2" t="s">
        <v>44</v>
      </c>
      <c r="AT257" t="s">
        <v>52</v>
      </c>
      <c r="AU257">
        <v>6</v>
      </c>
      <c r="AV257">
        <v>0</v>
      </c>
      <c r="AW257">
        <v>3.67</v>
      </c>
      <c r="AX257">
        <v>0</v>
      </c>
      <c r="AY257">
        <v>1.8618986725025199</v>
      </c>
    </row>
    <row r="258" spans="1:52" x14ac:dyDescent="0.35">
      <c r="A258" t="s">
        <v>52</v>
      </c>
      <c r="B258">
        <v>6</v>
      </c>
      <c r="C258">
        <v>0</v>
      </c>
      <c r="D258">
        <v>3.67</v>
      </c>
      <c r="E258">
        <v>0</v>
      </c>
      <c r="F258">
        <v>1.8618986725025199</v>
      </c>
      <c r="H258" t="s">
        <v>112</v>
      </c>
      <c r="I258">
        <v>8</v>
      </c>
      <c r="J258">
        <v>3</v>
      </c>
      <c r="K258">
        <v>3.75</v>
      </c>
      <c r="L258">
        <v>0.38</v>
      </c>
      <c r="M258">
        <v>2.6592157812837498</v>
      </c>
      <c r="N258" s="2" t="s">
        <v>44</v>
      </c>
      <c r="O258" t="s">
        <v>112</v>
      </c>
      <c r="P258">
        <v>8</v>
      </c>
      <c r="Q258">
        <v>3</v>
      </c>
      <c r="R258">
        <v>3.75</v>
      </c>
      <c r="S258" s="7">
        <v>0.38</v>
      </c>
      <c r="T258">
        <v>2.6592157812837498</v>
      </c>
      <c r="V258" t="s">
        <v>112</v>
      </c>
      <c r="W258">
        <v>8</v>
      </c>
      <c r="X258">
        <v>3</v>
      </c>
      <c r="Y258">
        <v>3.75</v>
      </c>
      <c r="Z258" s="7">
        <v>0.38</v>
      </c>
      <c r="AA258">
        <v>2.6592157812837498</v>
      </c>
      <c r="AF258" t="s">
        <v>52</v>
      </c>
      <c r="AG258">
        <v>6</v>
      </c>
      <c r="AH258">
        <v>0</v>
      </c>
      <c r="AI258">
        <v>3.67</v>
      </c>
      <c r="AJ258">
        <v>0</v>
      </c>
      <c r="AK258">
        <v>1.8618986725025199</v>
      </c>
      <c r="AL258" s="3" t="s">
        <v>46</v>
      </c>
      <c r="AM258" t="s">
        <v>35</v>
      </c>
      <c r="AN258" s="6">
        <v>26</v>
      </c>
      <c r="AO258">
        <v>8</v>
      </c>
      <c r="AP258">
        <v>3.73</v>
      </c>
      <c r="AQ258">
        <v>0.32</v>
      </c>
      <c r="AR258" s="23">
        <v>2.6739853455953102</v>
      </c>
      <c r="AS258" s="3" t="s">
        <v>46</v>
      </c>
      <c r="AT258" t="s">
        <v>35</v>
      </c>
      <c r="AU258">
        <v>26</v>
      </c>
      <c r="AV258">
        <v>8</v>
      </c>
      <c r="AW258">
        <v>3.73</v>
      </c>
      <c r="AX258">
        <v>0.32</v>
      </c>
      <c r="AY258" s="23">
        <v>2.6739853455953102</v>
      </c>
    </row>
    <row r="259" spans="1:52" x14ac:dyDescent="0.35">
      <c r="A259" t="s">
        <v>112</v>
      </c>
      <c r="B259">
        <v>8</v>
      </c>
      <c r="C259">
        <v>3</v>
      </c>
      <c r="D259">
        <v>3.75</v>
      </c>
      <c r="E259">
        <v>0.38</v>
      </c>
      <c r="F259">
        <v>2.6592157812837498</v>
      </c>
      <c r="H259" t="s">
        <v>35</v>
      </c>
      <c r="I259">
        <v>23</v>
      </c>
      <c r="J259">
        <v>7</v>
      </c>
      <c r="K259">
        <v>3.83</v>
      </c>
      <c r="L259">
        <v>0.3</v>
      </c>
      <c r="M259">
        <v>2.6739853455953102</v>
      </c>
      <c r="N259" s="3" t="s">
        <v>45</v>
      </c>
      <c r="O259" t="s">
        <v>35</v>
      </c>
      <c r="P259">
        <v>23</v>
      </c>
      <c r="Q259">
        <v>7</v>
      </c>
      <c r="R259">
        <v>3.83</v>
      </c>
      <c r="S259">
        <v>0.3</v>
      </c>
      <c r="T259">
        <v>2.6739853455953102</v>
      </c>
      <c r="V259" t="s">
        <v>141</v>
      </c>
      <c r="W259" s="6">
        <v>5</v>
      </c>
      <c r="X259">
        <v>1</v>
      </c>
      <c r="Y259">
        <v>3.8</v>
      </c>
      <c r="Z259">
        <v>0.2</v>
      </c>
      <c r="AA259">
        <v>2.16794833886788</v>
      </c>
      <c r="AB259" s="22" t="s">
        <v>285</v>
      </c>
      <c r="AF259" t="s">
        <v>112</v>
      </c>
      <c r="AG259">
        <v>8</v>
      </c>
      <c r="AH259">
        <v>3</v>
      </c>
      <c r="AI259">
        <v>3.75</v>
      </c>
      <c r="AJ259">
        <v>0.38</v>
      </c>
      <c r="AK259">
        <v>2.6592157812837498</v>
      </c>
      <c r="AL259" s="3" t="s">
        <v>46</v>
      </c>
      <c r="AM259" t="s">
        <v>112</v>
      </c>
      <c r="AN259">
        <v>8</v>
      </c>
      <c r="AO259">
        <v>3</v>
      </c>
      <c r="AP259">
        <v>3.75</v>
      </c>
      <c r="AQ259" s="7">
        <v>0.38</v>
      </c>
      <c r="AR259">
        <v>2.6592157812837498</v>
      </c>
      <c r="AS259" s="3"/>
      <c r="AT259" t="s">
        <v>112</v>
      </c>
      <c r="AU259">
        <v>8</v>
      </c>
      <c r="AV259">
        <v>3</v>
      </c>
      <c r="AW259">
        <v>3.75</v>
      </c>
      <c r="AX259" s="7">
        <v>0.38</v>
      </c>
      <c r="AY259">
        <v>2.6592157812837498</v>
      </c>
    </row>
    <row r="260" spans="1:52" x14ac:dyDescent="0.35">
      <c r="A260" t="s">
        <v>148</v>
      </c>
      <c r="B260">
        <v>7</v>
      </c>
      <c r="C260">
        <v>0</v>
      </c>
      <c r="D260">
        <v>3.86</v>
      </c>
      <c r="E260">
        <v>0</v>
      </c>
      <c r="F260">
        <v>1.8644544714716</v>
      </c>
      <c r="H260" t="s">
        <v>148</v>
      </c>
      <c r="I260">
        <v>7</v>
      </c>
      <c r="J260">
        <v>0</v>
      </c>
      <c r="K260">
        <v>3.86</v>
      </c>
      <c r="L260">
        <v>0</v>
      </c>
      <c r="M260">
        <v>1.8644544714716</v>
      </c>
      <c r="O260" t="s">
        <v>148</v>
      </c>
      <c r="P260">
        <v>7</v>
      </c>
      <c r="Q260">
        <v>0</v>
      </c>
      <c r="R260">
        <v>3.86</v>
      </c>
      <c r="S260">
        <v>0</v>
      </c>
      <c r="T260">
        <v>1.8644544714716</v>
      </c>
      <c r="V260" t="s">
        <v>35</v>
      </c>
      <c r="W260">
        <v>23</v>
      </c>
      <c r="X260">
        <v>7</v>
      </c>
      <c r="Y260">
        <v>3.83</v>
      </c>
      <c r="Z260">
        <v>0.3</v>
      </c>
      <c r="AA260">
        <v>2.6739853455953102</v>
      </c>
      <c r="AB260" s="3" t="s">
        <v>46</v>
      </c>
      <c r="AF260" t="s">
        <v>141</v>
      </c>
      <c r="AG260">
        <v>5</v>
      </c>
      <c r="AH260">
        <v>1</v>
      </c>
      <c r="AI260">
        <v>3.8</v>
      </c>
      <c r="AJ260">
        <v>0.2</v>
      </c>
      <c r="AK260">
        <v>2.16794833886788</v>
      </c>
      <c r="AL260" s="3" t="s">
        <v>46</v>
      </c>
      <c r="AM260" t="s">
        <v>141</v>
      </c>
      <c r="AN260">
        <v>5</v>
      </c>
      <c r="AO260">
        <v>1</v>
      </c>
      <c r="AP260">
        <v>3.8</v>
      </c>
      <c r="AQ260">
        <v>0.2</v>
      </c>
      <c r="AR260">
        <v>2.16794833886788</v>
      </c>
      <c r="AT260" t="s">
        <v>141</v>
      </c>
      <c r="AU260">
        <v>5</v>
      </c>
      <c r="AV260">
        <v>1</v>
      </c>
      <c r="AW260">
        <v>3.8</v>
      </c>
      <c r="AX260">
        <v>0.2</v>
      </c>
      <c r="AY260">
        <v>2.16794833886788</v>
      </c>
    </row>
    <row r="261" spans="1:52" x14ac:dyDescent="0.35">
      <c r="A261" t="s">
        <v>104</v>
      </c>
      <c r="B261">
        <v>19</v>
      </c>
      <c r="C261">
        <v>2</v>
      </c>
      <c r="D261">
        <v>4.05</v>
      </c>
      <c r="E261">
        <v>0.11</v>
      </c>
      <c r="F261">
        <v>2.3915054349957101</v>
      </c>
      <c r="G261" s="2" t="s">
        <v>133</v>
      </c>
      <c r="H261" t="s">
        <v>15</v>
      </c>
      <c r="I261">
        <v>61</v>
      </c>
      <c r="J261">
        <v>13</v>
      </c>
      <c r="K261">
        <v>4.1100000000000003</v>
      </c>
      <c r="L261">
        <v>0.21</v>
      </c>
      <c r="M261">
        <v>2.36065194292348</v>
      </c>
      <c r="N261" s="2" t="s">
        <v>47</v>
      </c>
      <c r="O261" t="s">
        <v>15</v>
      </c>
      <c r="P261">
        <v>61</v>
      </c>
      <c r="Q261" s="7">
        <v>13</v>
      </c>
      <c r="R261">
        <v>4.1100000000000003</v>
      </c>
      <c r="S261">
        <v>0.21</v>
      </c>
      <c r="T261">
        <v>2.36065194292348</v>
      </c>
      <c r="V261" t="s">
        <v>148</v>
      </c>
      <c r="W261">
        <v>7</v>
      </c>
      <c r="X261">
        <v>0</v>
      </c>
      <c r="Y261">
        <v>3.86</v>
      </c>
      <c r="Z261">
        <v>0</v>
      </c>
      <c r="AA261">
        <v>1.8644544714716</v>
      </c>
      <c r="AB261" s="3" t="s">
        <v>46</v>
      </c>
      <c r="AF261" t="s">
        <v>148</v>
      </c>
      <c r="AG261">
        <v>7</v>
      </c>
      <c r="AH261">
        <v>0</v>
      </c>
      <c r="AI261">
        <v>3.86</v>
      </c>
      <c r="AJ261">
        <v>0</v>
      </c>
      <c r="AK261">
        <v>1.8644544714716</v>
      </c>
      <c r="AM261" t="s">
        <v>148</v>
      </c>
      <c r="AN261">
        <v>7</v>
      </c>
      <c r="AO261">
        <v>0</v>
      </c>
      <c r="AP261">
        <v>3.86</v>
      </c>
      <c r="AQ261">
        <v>0</v>
      </c>
      <c r="AR261">
        <v>1.8644544714716</v>
      </c>
      <c r="AT261" t="s">
        <v>9</v>
      </c>
      <c r="AU261" s="6">
        <v>5</v>
      </c>
      <c r="AV261">
        <v>1</v>
      </c>
      <c r="AW261">
        <v>3.8</v>
      </c>
      <c r="AX261">
        <v>0.2</v>
      </c>
      <c r="AY261">
        <v>3.03315017762062</v>
      </c>
      <c r="AZ261" s="20" t="s">
        <v>297</v>
      </c>
    </row>
    <row r="262" spans="1:52" x14ac:dyDescent="0.35">
      <c r="A262" t="s">
        <v>129</v>
      </c>
      <c r="B262">
        <v>23</v>
      </c>
      <c r="C262">
        <v>5</v>
      </c>
      <c r="D262">
        <v>4.09</v>
      </c>
      <c r="E262">
        <v>0.22</v>
      </c>
      <c r="F262">
        <v>2.1087058391832398</v>
      </c>
      <c r="G262" s="3" t="s">
        <v>46</v>
      </c>
      <c r="H262" t="s">
        <v>22</v>
      </c>
      <c r="I262">
        <v>64</v>
      </c>
      <c r="J262">
        <v>10</v>
      </c>
      <c r="K262">
        <v>4.1100000000000003</v>
      </c>
      <c r="L262">
        <v>0.16</v>
      </c>
      <c r="M262">
        <v>2.3170670260427499</v>
      </c>
      <c r="N262" s="2" t="s">
        <v>59</v>
      </c>
      <c r="O262" t="s">
        <v>22</v>
      </c>
      <c r="P262" s="8">
        <v>65</v>
      </c>
      <c r="Q262">
        <v>10</v>
      </c>
      <c r="R262">
        <v>4.1100000000000003</v>
      </c>
      <c r="S262">
        <v>0.15</v>
      </c>
      <c r="T262">
        <v>2.298933699315</v>
      </c>
      <c r="V262" t="s">
        <v>15</v>
      </c>
      <c r="W262">
        <v>61</v>
      </c>
      <c r="X262">
        <v>13</v>
      </c>
      <c r="Y262">
        <v>4.1100000000000003</v>
      </c>
      <c r="Z262">
        <v>0.21</v>
      </c>
      <c r="AA262">
        <v>2.36065194292348</v>
      </c>
      <c r="AB262" s="3" t="s">
        <v>46</v>
      </c>
      <c r="AF262" t="s">
        <v>15</v>
      </c>
      <c r="AG262">
        <v>61</v>
      </c>
      <c r="AH262">
        <v>13</v>
      </c>
      <c r="AI262">
        <v>4.1100000000000003</v>
      </c>
      <c r="AJ262">
        <v>0.21</v>
      </c>
      <c r="AK262">
        <v>2.36065194292348</v>
      </c>
      <c r="AM262" t="s">
        <v>15</v>
      </c>
      <c r="AN262">
        <v>61</v>
      </c>
      <c r="AO262">
        <v>13</v>
      </c>
      <c r="AP262">
        <v>4.1100000000000003</v>
      </c>
      <c r="AQ262">
        <v>0.21</v>
      </c>
      <c r="AR262">
        <v>2.36065194292348</v>
      </c>
      <c r="AT262" t="s">
        <v>148</v>
      </c>
      <c r="AU262">
        <v>7</v>
      </c>
      <c r="AV262">
        <v>0</v>
      </c>
      <c r="AW262">
        <v>3.86</v>
      </c>
      <c r="AX262">
        <v>0</v>
      </c>
      <c r="AY262">
        <v>1.8644544714716</v>
      </c>
    </row>
    <row r="263" spans="1:52" x14ac:dyDescent="0.35">
      <c r="A263" t="s">
        <v>15</v>
      </c>
      <c r="B263">
        <v>61</v>
      </c>
      <c r="C263">
        <v>13</v>
      </c>
      <c r="D263">
        <v>4.1100000000000003</v>
      </c>
      <c r="E263">
        <v>0.21</v>
      </c>
      <c r="F263">
        <v>2.36065194292348</v>
      </c>
      <c r="G263" s="3" t="s">
        <v>46</v>
      </c>
      <c r="H263" t="s">
        <v>26</v>
      </c>
      <c r="I263">
        <v>9</v>
      </c>
      <c r="J263">
        <v>2</v>
      </c>
      <c r="K263">
        <v>4.1100000000000003</v>
      </c>
      <c r="L263">
        <v>0.22</v>
      </c>
      <c r="M263">
        <v>2.5712081034235799</v>
      </c>
      <c r="N263" s="2" t="s">
        <v>44</v>
      </c>
      <c r="O263" t="s">
        <v>26</v>
      </c>
      <c r="P263">
        <v>9</v>
      </c>
      <c r="Q263">
        <v>2</v>
      </c>
      <c r="R263">
        <v>4.1100000000000003</v>
      </c>
      <c r="S263">
        <v>0.22</v>
      </c>
      <c r="T263">
        <v>2.5712081034235799</v>
      </c>
      <c r="V263" t="s">
        <v>26</v>
      </c>
      <c r="W263">
        <v>9</v>
      </c>
      <c r="X263">
        <v>2</v>
      </c>
      <c r="Y263">
        <v>4.1100000000000003</v>
      </c>
      <c r="Z263">
        <v>0.22</v>
      </c>
      <c r="AA263">
        <v>2.5712081034235799</v>
      </c>
      <c r="AF263" t="s">
        <v>26</v>
      </c>
      <c r="AG263">
        <v>9</v>
      </c>
      <c r="AH263">
        <v>2</v>
      </c>
      <c r="AI263">
        <v>4.1100000000000003</v>
      </c>
      <c r="AJ263">
        <v>0.22</v>
      </c>
      <c r="AK263">
        <v>2.5712081034235799</v>
      </c>
      <c r="AM263" t="s">
        <v>26</v>
      </c>
      <c r="AN263">
        <v>9</v>
      </c>
      <c r="AO263">
        <v>2</v>
      </c>
      <c r="AP263">
        <v>4.1100000000000003</v>
      </c>
      <c r="AQ263">
        <v>0.22</v>
      </c>
      <c r="AR263">
        <v>2.5712081034235799</v>
      </c>
      <c r="AT263" t="s">
        <v>15</v>
      </c>
      <c r="AU263">
        <v>61</v>
      </c>
      <c r="AV263">
        <v>13</v>
      </c>
      <c r="AW263">
        <v>4.1100000000000003</v>
      </c>
      <c r="AX263">
        <v>0.21</v>
      </c>
      <c r="AY263">
        <v>2.36065194292348</v>
      </c>
    </row>
    <row r="264" spans="1:52" x14ac:dyDescent="0.35">
      <c r="A264" t="s">
        <v>26</v>
      </c>
      <c r="B264">
        <v>9</v>
      </c>
      <c r="C264">
        <v>2</v>
      </c>
      <c r="D264">
        <v>4.1100000000000003</v>
      </c>
      <c r="E264">
        <v>0.22</v>
      </c>
      <c r="F264">
        <v>2.5712081034235799</v>
      </c>
      <c r="G264" s="3" t="s">
        <v>46</v>
      </c>
      <c r="H264" t="s">
        <v>104</v>
      </c>
      <c r="I264">
        <v>20</v>
      </c>
      <c r="J264">
        <v>2</v>
      </c>
      <c r="K264">
        <v>4.1500000000000004</v>
      </c>
      <c r="L264">
        <v>0.1</v>
      </c>
      <c r="M264">
        <v>2.3680993933621299</v>
      </c>
      <c r="N264" s="3" t="s">
        <v>54</v>
      </c>
      <c r="O264" t="s">
        <v>104</v>
      </c>
      <c r="P264">
        <v>20</v>
      </c>
      <c r="Q264">
        <v>2</v>
      </c>
      <c r="R264">
        <v>4.1500000000000004</v>
      </c>
      <c r="S264">
        <v>0.1</v>
      </c>
      <c r="T264">
        <v>2.3680993933621299</v>
      </c>
      <c r="V264" t="s">
        <v>104</v>
      </c>
      <c r="W264">
        <v>20</v>
      </c>
      <c r="X264">
        <v>2</v>
      </c>
      <c r="Y264">
        <v>4.1500000000000004</v>
      </c>
      <c r="Z264">
        <v>0.1</v>
      </c>
      <c r="AA264">
        <v>2.3680993933621299</v>
      </c>
      <c r="AF264" t="s">
        <v>104</v>
      </c>
      <c r="AG264">
        <v>20</v>
      </c>
      <c r="AH264">
        <v>2</v>
      </c>
      <c r="AI264">
        <v>4.1500000000000004</v>
      </c>
      <c r="AJ264">
        <v>0.1</v>
      </c>
      <c r="AK264">
        <v>2.3680993933621299</v>
      </c>
      <c r="AM264" t="s">
        <v>104</v>
      </c>
      <c r="AN264">
        <v>20</v>
      </c>
      <c r="AO264">
        <v>2</v>
      </c>
      <c r="AP264">
        <v>4.1500000000000004</v>
      </c>
      <c r="AQ264">
        <v>0.1</v>
      </c>
      <c r="AR264" s="23">
        <v>2.3680993933621299</v>
      </c>
      <c r="AT264" t="s">
        <v>26</v>
      </c>
      <c r="AU264">
        <v>9</v>
      </c>
      <c r="AV264">
        <v>2</v>
      </c>
      <c r="AW264">
        <v>4.1100000000000003</v>
      </c>
      <c r="AX264">
        <v>0.22</v>
      </c>
      <c r="AY264">
        <v>2.5712081034235799</v>
      </c>
    </row>
    <row r="265" spans="1:52" x14ac:dyDescent="0.35">
      <c r="A265" t="s">
        <v>22</v>
      </c>
      <c r="B265">
        <v>63</v>
      </c>
      <c r="C265">
        <v>10</v>
      </c>
      <c r="D265">
        <v>4.1399999999999997</v>
      </c>
      <c r="E265">
        <v>0.16</v>
      </c>
      <c r="F265">
        <v>2.3200190687282398</v>
      </c>
      <c r="G265" s="3" t="s">
        <v>46</v>
      </c>
      <c r="H265" t="s">
        <v>63</v>
      </c>
      <c r="I265">
        <v>6</v>
      </c>
      <c r="J265">
        <v>1</v>
      </c>
      <c r="K265">
        <v>4.17</v>
      </c>
      <c r="L265">
        <v>0.17</v>
      </c>
      <c r="M265">
        <v>2.6394443859772201</v>
      </c>
      <c r="N265" s="2" t="s">
        <v>44</v>
      </c>
      <c r="O265" t="s">
        <v>63</v>
      </c>
      <c r="P265">
        <v>6</v>
      </c>
      <c r="Q265">
        <v>1</v>
      </c>
      <c r="R265">
        <v>4.17</v>
      </c>
      <c r="S265">
        <v>0.17</v>
      </c>
      <c r="T265">
        <v>2.6394443859772201</v>
      </c>
      <c r="V265" t="s">
        <v>22</v>
      </c>
      <c r="W265" s="8">
        <v>67</v>
      </c>
      <c r="X265">
        <v>10</v>
      </c>
      <c r="Y265">
        <v>4.1500000000000004</v>
      </c>
      <c r="Z265">
        <v>0.15</v>
      </c>
      <c r="AA265">
        <v>2.27804894820162</v>
      </c>
      <c r="AB265" s="3" t="s">
        <v>54</v>
      </c>
      <c r="AF265" t="s">
        <v>22</v>
      </c>
      <c r="AG265" s="8">
        <v>69</v>
      </c>
      <c r="AH265">
        <v>10</v>
      </c>
      <c r="AI265">
        <v>4.16</v>
      </c>
      <c r="AJ265">
        <v>0.14000000000000001</v>
      </c>
      <c r="AK265">
        <v>2.2597708655694202</v>
      </c>
      <c r="AM265" t="s">
        <v>22</v>
      </c>
      <c r="AN265" s="8">
        <v>70</v>
      </c>
      <c r="AO265">
        <v>10</v>
      </c>
      <c r="AP265">
        <v>4.16</v>
      </c>
      <c r="AQ265">
        <v>0.14000000000000001</v>
      </c>
      <c r="AR265" s="23">
        <v>2.27804894820162</v>
      </c>
      <c r="AT265" t="s">
        <v>22</v>
      </c>
      <c r="AU265" s="8">
        <v>71</v>
      </c>
      <c r="AV265">
        <v>10</v>
      </c>
      <c r="AW265">
        <v>4.1399999999999997</v>
      </c>
      <c r="AX265">
        <v>0.14000000000000001</v>
      </c>
      <c r="AY265">
        <v>2.2315643113416899</v>
      </c>
      <c r="AZ265" s="2"/>
    </row>
    <row r="266" spans="1:52" x14ac:dyDescent="0.35">
      <c r="A266" t="s">
        <v>63</v>
      </c>
      <c r="B266">
        <v>6</v>
      </c>
      <c r="C266">
        <v>1</v>
      </c>
      <c r="D266">
        <v>4.17</v>
      </c>
      <c r="E266">
        <v>0.17</v>
      </c>
      <c r="F266">
        <v>2.6394443859772201</v>
      </c>
      <c r="H266" t="s">
        <v>129</v>
      </c>
      <c r="I266">
        <v>24</v>
      </c>
      <c r="J266">
        <v>5</v>
      </c>
      <c r="K266">
        <v>4.21</v>
      </c>
      <c r="L266">
        <v>0.21</v>
      </c>
      <c r="M266">
        <v>2.1463653132612301</v>
      </c>
      <c r="N266" s="3" t="s">
        <v>55</v>
      </c>
      <c r="O266" t="s">
        <v>129</v>
      </c>
      <c r="P266">
        <v>24</v>
      </c>
      <c r="Q266">
        <v>5</v>
      </c>
      <c r="R266">
        <v>4.21</v>
      </c>
      <c r="S266">
        <v>0.21</v>
      </c>
      <c r="T266">
        <v>2.1463653132612301</v>
      </c>
      <c r="V266" t="s">
        <v>63</v>
      </c>
      <c r="W266">
        <v>6</v>
      </c>
      <c r="X266">
        <v>1</v>
      </c>
      <c r="Y266">
        <v>4.17</v>
      </c>
      <c r="Z266">
        <v>0.17</v>
      </c>
      <c r="AA266">
        <v>2.6394443859772201</v>
      </c>
      <c r="AB266" s="3" t="s">
        <v>46</v>
      </c>
      <c r="AF266" t="s">
        <v>63</v>
      </c>
      <c r="AG266">
        <v>6</v>
      </c>
      <c r="AH266">
        <v>1</v>
      </c>
      <c r="AI266">
        <v>4.17</v>
      </c>
      <c r="AJ266">
        <v>0.17</v>
      </c>
      <c r="AK266">
        <v>2.6394443859772201</v>
      </c>
      <c r="AM266" t="s">
        <v>63</v>
      </c>
      <c r="AN266">
        <v>6</v>
      </c>
      <c r="AO266">
        <v>1</v>
      </c>
      <c r="AP266">
        <v>4.17</v>
      </c>
      <c r="AQ266">
        <v>0.17</v>
      </c>
      <c r="AR266">
        <v>2.6394443859772201</v>
      </c>
      <c r="AT266" t="s">
        <v>63</v>
      </c>
      <c r="AU266">
        <v>6</v>
      </c>
      <c r="AV266">
        <v>1</v>
      </c>
      <c r="AW266">
        <v>4.17</v>
      </c>
      <c r="AX266">
        <v>0.17</v>
      </c>
      <c r="AY266">
        <v>2.6394443859772201</v>
      </c>
      <c r="AZ266" s="2"/>
    </row>
    <row r="267" spans="1:52" x14ac:dyDescent="0.35">
      <c r="A267" t="s">
        <v>14</v>
      </c>
      <c r="B267">
        <v>35</v>
      </c>
      <c r="C267">
        <v>3</v>
      </c>
      <c r="D267">
        <v>4.29</v>
      </c>
      <c r="E267">
        <v>0.09</v>
      </c>
      <c r="F267">
        <v>2.2566428549484501</v>
      </c>
      <c r="H267" t="s">
        <v>14</v>
      </c>
      <c r="I267">
        <v>35</v>
      </c>
      <c r="J267">
        <v>3</v>
      </c>
      <c r="K267">
        <v>4.29</v>
      </c>
      <c r="L267">
        <v>0.09</v>
      </c>
      <c r="M267">
        <v>2.2566428549484501</v>
      </c>
      <c r="O267" t="s">
        <v>14</v>
      </c>
      <c r="P267">
        <v>35</v>
      </c>
      <c r="Q267">
        <v>3</v>
      </c>
      <c r="R267">
        <v>4.29</v>
      </c>
      <c r="S267">
        <v>0.09</v>
      </c>
      <c r="T267">
        <v>2.2566428549484501</v>
      </c>
      <c r="V267" t="s">
        <v>129</v>
      </c>
      <c r="W267">
        <v>24</v>
      </c>
      <c r="X267">
        <v>5</v>
      </c>
      <c r="Y267">
        <v>4.21</v>
      </c>
      <c r="Z267">
        <v>0.21</v>
      </c>
      <c r="AA267">
        <v>2.1463653132612301</v>
      </c>
      <c r="AB267" s="3" t="s">
        <v>46</v>
      </c>
      <c r="AF267" t="s">
        <v>129</v>
      </c>
      <c r="AG267">
        <v>24</v>
      </c>
      <c r="AH267">
        <v>5</v>
      </c>
      <c r="AI267">
        <v>4.21</v>
      </c>
      <c r="AJ267">
        <v>0.21</v>
      </c>
      <c r="AK267">
        <v>2.1463653132612301</v>
      </c>
      <c r="AM267" t="s">
        <v>129</v>
      </c>
      <c r="AN267">
        <v>24</v>
      </c>
      <c r="AO267">
        <v>5</v>
      </c>
      <c r="AP267">
        <v>4.21</v>
      </c>
      <c r="AQ267">
        <v>0.21</v>
      </c>
      <c r="AR267">
        <v>2.1463653132612301</v>
      </c>
      <c r="AT267" t="s">
        <v>129</v>
      </c>
      <c r="AU267">
        <v>24</v>
      </c>
      <c r="AV267">
        <v>5</v>
      </c>
      <c r="AW267">
        <v>4.21</v>
      </c>
      <c r="AX267">
        <v>0.21</v>
      </c>
      <c r="AY267">
        <v>2.1463653132612301</v>
      </c>
      <c r="AZ267" s="2"/>
    </row>
    <row r="268" spans="1:52" x14ac:dyDescent="0.35">
      <c r="A268" t="s">
        <v>10</v>
      </c>
      <c r="B268">
        <v>24</v>
      </c>
      <c r="C268">
        <v>3</v>
      </c>
      <c r="D268">
        <v>4.29</v>
      </c>
      <c r="E268">
        <v>0.13</v>
      </c>
      <c r="F268">
        <v>2.17653826995523</v>
      </c>
      <c r="H268" t="s">
        <v>10</v>
      </c>
      <c r="I268">
        <v>24</v>
      </c>
      <c r="J268">
        <v>3</v>
      </c>
      <c r="K268">
        <v>4.29</v>
      </c>
      <c r="L268">
        <v>0.13</v>
      </c>
      <c r="M268">
        <v>2.17653826995523</v>
      </c>
      <c r="O268" t="s">
        <v>10</v>
      </c>
      <c r="P268">
        <v>24</v>
      </c>
      <c r="Q268">
        <v>3</v>
      </c>
      <c r="R268">
        <v>4.29</v>
      </c>
      <c r="S268">
        <v>0.13</v>
      </c>
      <c r="T268">
        <v>2.17653826995523</v>
      </c>
      <c r="V268" t="s">
        <v>14</v>
      </c>
      <c r="W268">
        <v>35</v>
      </c>
      <c r="X268">
        <v>3</v>
      </c>
      <c r="Y268">
        <v>4.29</v>
      </c>
      <c r="Z268">
        <v>0.09</v>
      </c>
      <c r="AA268">
        <v>2.2566428549484501</v>
      </c>
      <c r="AB268" s="3" t="s">
        <v>46</v>
      </c>
      <c r="AF268" t="s">
        <v>14</v>
      </c>
      <c r="AG268">
        <v>35</v>
      </c>
      <c r="AH268">
        <v>3</v>
      </c>
      <c r="AI268">
        <v>4.29</v>
      </c>
      <c r="AJ268">
        <v>0.09</v>
      </c>
      <c r="AK268">
        <v>2.2566428549484501</v>
      </c>
      <c r="AM268" t="s">
        <v>14</v>
      </c>
      <c r="AN268">
        <v>35</v>
      </c>
      <c r="AO268">
        <v>3</v>
      </c>
      <c r="AP268">
        <v>4.29</v>
      </c>
      <c r="AQ268">
        <v>0.09</v>
      </c>
      <c r="AR268" s="23">
        <v>2.2566428549484501</v>
      </c>
      <c r="AT268" t="s">
        <v>14</v>
      </c>
      <c r="AU268">
        <v>35</v>
      </c>
      <c r="AV268">
        <v>3</v>
      </c>
      <c r="AW268">
        <v>4.29</v>
      </c>
      <c r="AX268">
        <v>0.09</v>
      </c>
      <c r="AY268" s="23">
        <v>2.2566428549484501</v>
      </c>
      <c r="AZ268" s="2"/>
    </row>
    <row r="269" spans="1:52" x14ac:dyDescent="0.35">
      <c r="A269" t="s">
        <v>7</v>
      </c>
      <c r="B269">
        <v>7</v>
      </c>
      <c r="C269">
        <v>2</v>
      </c>
      <c r="D269">
        <v>4.29</v>
      </c>
      <c r="E269">
        <v>0.28999999999999998</v>
      </c>
      <c r="F269">
        <v>2.69037083653819</v>
      </c>
      <c r="H269" t="s">
        <v>7</v>
      </c>
      <c r="I269">
        <v>7</v>
      </c>
      <c r="J269">
        <v>2</v>
      </c>
      <c r="K269">
        <v>4.29</v>
      </c>
      <c r="L269">
        <v>0.28999999999999998</v>
      </c>
      <c r="M269">
        <v>2.69037083653819</v>
      </c>
      <c r="O269" t="s">
        <v>24</v>
      </c>
      <c r="P269" s="6">
        <v>17</v>
      </c>
      <c r="Q269">
        <v>3</v>
      </c>
      <c r="R269">
        <v>4.29</v>
      </c>
      <c r="S269">
        <v>0.18</v>
      </c>
      <c r="T269">
        <v>2.2848606599296399</v>
      </c>
      <c r="U269" s="19" t="s">
        <v>132</v>
      </c>
      <c r="V269" t="s">
        <v>10</v>
      </c>
      <c r="W269">
        <v>24</v>
      </c>
      <c r="X269">
        <v>3</v>
      </c>
      <c r="Y269">
        <v>4.29</v>
      </c>
      <c r="Z269">
        <v>0.13</v>
      </c>
      <c r="AA269">
        <v>2.17653826995523</v>
      </c>
      <c r="AB269" s="3" t="s">
        <v>46</v>
      </c>
      <c r="AF269" t="s">
        <v>10</v>
      </c>
      <c r="AG269">
        <v>24</v>
      </c>
      <c r="AH269">
        <v>3</v>
      </c>
      <c r="AI269">
        <v>4.29</v>
      </c>
      <c r="AJ269">
        <v>0.13</v>
      </c>
      <c r="AK269">
        <v>2.17653826995523</v>
      </c>
      <c r="AM269" t="s">
        <v>10</v>
      </c>
      <c r="AN269">
        <v>24</v>
      </c>
      <c r="AO269">
        <v>3</v>
      </c>
      <c r="AP269">
        <v>4.29</v>
      </c>
      <c r="AQ269">
        <v>0.13</v>
      </c>
      <c r="AR269">
        <v>2.17653826995523</v>
      </c>
      <c r="AT269" t="s">
        <v>7</v>
      </c>
      <c r="AU269">
        <v>7</v>
      </c>
      <c r="AV269">
        <v>2</v>
      </c>
      <c r="AW269">
        <v>4.29</v>
      </c>
      <c r="AX269">
        <v>0.28999999999999998</v>
      </c>
      <c r="AY269">
        <v>2.69037083653819</v>
      </c>
      <c r="AZ269" s="2" t="s">
        <v>44</v>
      </c>
    </row>
    <row r="270" spans="1:52" x14ac:dyDescent="0.35">
      <c r="A270" t="s">
        <v>8</v>
      </c>
      <c r="B270">
        <v>30</v>
      </c>
      <c r="C270">
        <v>5</v>
      </c>
      <c r="D270">
        <v>4.3</v>
      </c>
      <c r="E270">
        <v>0.17</v>
      </c>
      <c r="F270">
        <v>2.50723092206356</v>
      </c>
      <c r="H270" t="s">
        <v>8</v>
      </c>
      <c r="I270">
        <v>30</v>
      </c>
      <c r="J270">
        <v>5</v>
      </c>
      <c r="K270">
        <v>4.3</v>
      </c>
      <c r="L270">
        <v>0.17</v>
      </c>
      <c r="M270">
        <v>2.50723092206356</v>
      </c>
      <c r="O270" t="s">
        <v>7</v>
      </c>
      <c r="P270">
        <v>7</v>
      </c>
      <c r="Q270">
        <v>2</v>
      </c>
      <c r="R270">
        <v>4.29</v>
      </c>
      <c r="S270">
        <v>0.28999999999999998</v>
      </c>
      <c r="T270">
        <v>2.69037083653819</v>
      </c>
      <c r="U270" s="3" t="s">
        <v>46</v>
      </c>
      <c r="V270" t="s">
        <v>7</v>
      </c>
      <c r="W270">
        <v>7</v>
      </c>
      <c r="X270">
        <v>2</v>
      </c>
      <c r="Y270">
        <v>4.29</v>
      </c>
      <c r="Z270">
        <v>0.28999999999999998</v>
      </c>
      <c r="AA270">
        <v>2.69037083653819</v>
      </c>
      <c r="AF270" t="s">
        <v>7</v>
      </c>
      <c r="AG270">
        <v>7</v>
      </c>
      <c r="AH270">
        <v>2</v>
      </c>
      <c r="AI270">
        <v>4.29</v>
      </c>
      <c r="AJ270">
        <v>0.28999999999999998</v>
      </c>
      <c r="AK270">
        <v>2.69037083653819</v>
      </c>
      <c r="AM270" t="s">
        <v>7</v>
      </c>
      <c r="AN270">
        <v>7</v>
      </c>
      <c r="AO270">
        <v>2</v>
      </c>
      <c r="AP270">
        <v>4.29</v>
      </c>
      <c r="AQ270">
        <v>0.28999999999999998</v>
      </c>
      <c r="AR270">
        <v>2.69037083653819</v>
      </c>
      <c r="AT270" t="s">
        <v>8</v>
      </c>
      <c r="AU270">
        <v>30</v>
      </c>
      <c r="AV270">
        <v>5</v>
      </c>
      <c r="AW270">
        <v>4.3</v>
      </c>
      <c r="AX270">
        <v>0.17</v>
      </c>
      <c r="AY270" s="23">
        <v>2.50723092206356</v>
      </c>
      <c r="AZ270" s="2" t="s">
        <v>44</v>
      </c>
    </row>
    <row r="271" spans="1:52" x14ac:dyDescent="0.35">
      <c r="A271" t="s">
        <v>23</v>
      </c>
      <c r="B271">
        <v>10</v>
      </c>
      <c r="C271">
        <v>0</v>
      </c>
      <c r="D271">
        <v>4.3</v>
      </c>
      <c r="E271">
        <v>0</v>
      </c>
      <c r="F271">
        <v>1.6363916944844701</v>
      </c>
      <c r="G271" s="2" t="s">
        <v>59</v>
      </c>
      <c r="H271" t="s">
        <v>23</v>
      </c>
      <c r="I271">
        <v>10</v>
      </c>
      <c r="J271">
        <v>0</v>
      </c>
      <c r="K271">
        <v>4.3</v>
      </c>
      <c r="L271">
        <v>0</v>
      </c>
      <c r="M271">
        <v>1.6363916944844701</v>
      </c>
      <c r="O271" t="s">
        <v>8</v>
      </c>
      <c r="P271">
        <v>30</v>
      </c>
      <c r="Q271">
        <v>5</v>
      </c>
      <c r="R271">
        <v>4.3</v>
      </c>
      <c r="S271">
        <v>0.17</v>
      </c>
      <c r="T271">
        <v>2.50723092206356</v>
      </c>
      <c r="U271" s="3" t="s">
        <v>46</v>
      </c>
      <c r="V271" t="s">
        <v>8</v>
      </c>
      <c r="W271">
        <v>30</v>
      </c>
      <c r="X271">
        <v>5</v>
      </c>
      <c r="Y271">
        <v>4.3</v>
      </c>
      <c r="Z271">
        <v>0.17</v>
      </c>
      <c r="AA271">
        <v>2.50723092206356</v>
      </c>
      <c r="AF271" t="s">
        <v>8</v>
      </c>
      <c r="AG271">
        <v>30</v>
      </c>
      <c r="AH271">
        <v>5</v>
      </c>
      <c r="AI271">
        <v>4.3</v>
      </c>
      <c r="AJ271">
        <v>0.17</v>
      </c>
      <c r="AK271">
        <v>2.50723092206356</v>
      </c>
      <c r="AM271" t="s">
        <v>8</v>
      </c>
      <c r="AN271">
        <v>30</v>
      </c>
      <c r="AO271">
        <v>5</v>
      </c>
      <c r="AP271">
        <v>4.3</v>
      </c>
      <c r="AQ271">
        <v>0.17</v>
      </c>
      <c r="AR271" s="23">
        <v>2.50723092206356</v>
      </c>
      <c r="AT271" t="s">
        <v>23</v>
      </c>
      <c r="AU271">
        <v>10</v>
      </c>
      <c r="AV271">
        <v>0</v>
      </c>
      <c r="AW271">
        <v>4.3</v>
      </c>
      <c r="AX271">
        <v>0</v>
      </c>
      <c r="AY271">
        <v>1.6363916944844701</v>
      </c>
      <c r="AZ271" s="2" t="s">
        <v>44</v>
      </c>
    </row>
    <row r="272" spans="1:52" x14ac:dyDescent="0.35">
      <c r="A272" t="s">
        <v>232</v>
      </c>
      <c r="B272">
        <v>6</v>
      </c>
      <c r="C272">
        <v>0</v>
      </c>
      <c r="D272">
        <v>4.33</v>
      </c>
      <c r="E272">
        <v>0</v>
      </c>
      <c r="F272">
        <v>2.2509257354845502</v>
      </c>
      <c r="G272" s="3" t="s">
        <v>46</v>
      </c>
      <c r="H272" t="s">
        <v>232</v>
      </c>
      <c r="I272">
        <v>6</v>
      </c>
      <c r="J272">
        <v>0</v>
      </c>
      <c r="K272">
        <v>4.33</v>
      </c>
      <c r="L272">
        <v>0</v>
      </c>
      <c r="M272">
        <v>2.2509257354845502</v>
      </c>
      <c r="O272" t="s">
        <v>23</v>
      </c>
      <c r="P272">
        <v>10</v>
      </c>
      <c r="Q272">
        <v>0</v>
      </c>
      <c r="R272">
        <v>4.3</v>
      </c>
      <c r="S272">
        <v>0</v>
      </c>
      <c r="T272">
        <v>1.6363916944844701</v>
      </c>
      <c r="U272" s="3" t="s">
        <v>46</v>
      </c>
      <c r="V272" t="s">
        <v>23</v>
      </c>
      <c r="W272">
        <v>10</v>
      </c>
      <c r="X272">
        <v>0</v>
      </c>
      <c r="Y272">
        <v>4.3</v>
      </c>
      <c r="Z272">
        <v>0</v>
      </c>
      <c r="AA272">
        <v>1.6363916944844701</v>
      </c>
      <c r="AF272" t="s">
        <v>23</v>
      </c>
      <c r="AG272">
        <v>10</v>
      </c>
      <c r="AH272">
        <v>0</v>
      </c>
      <c r="AI272">
        <v>4.3</v>
      </c>
      <c r="AJ272">
        <v>0</v>
      </c>
      <c r="AK272">
        <v>1.6363916944844701</v>
      </c>
      <c r="AM272" t="s">
        <v>23</v>
      </c>
      <c r="AN272">
        <v>10</v>
      </c>
      <c r="AO272">
        <v>0</v>
      </c>
      <c r="AP272">
        <v>4.3</v>
      </c>
      <c r="AQ272">
        <v>0</v>
      </c>
      <c r="AR272">
        <v>1.6363916944844701</v>
      </c>
      <c r="AT272" t="s">
        <v>104</v>
      </c>
      <c r="AU272">
        <v>21</v>
      </c>
      <c r="AV272">
        <v>2</v>
      </c>
      <c r="AW272">
        <v>4.33</v>
      </c>
      <c r="AX272">
        <v>0.1</v>
      </c>
      <c r="AY272">
        <v>2.4562844569253999</v>
      </c>
      <c r="AZ272" s="3" t="s">
        <v>296</v>
      </c>
    </row>
    <row r="273" spans="1:52" x14ac:dyDescent="0.35">
      <c r="A273" t="s">
        <v>3</v>
      </c>
      <c r="B273">
        <v>13</v>
      </c>
      <c r="C273">
        <v>2</v>
      </c>
      <c r="D273">
        <v>4.38</v>
      </c>
      <c r="E273">
        <v>0.15</v>
      </c>
      <c r="F273">
        <v>2.2560460078960198</v>
      </c>
      <c r="G273" s="3" t="s">
        <v>46</v>
      </c>
      <c r="H273" t="s">
        <v>3</v>
      </c>
      <c r="I273">
        <v>13</v>
      </c>
      <c r="J273">
        <v>2</v>
      </c>
      <c r="K273">
        <v>4.38</v>
      </c>
      <c r="L273">
        <v>0.15</v>
      </c>
      <c r="M273">
        <v>2.2560460078960198</v>
      </c>
      <c r="O273" t="s">
        <v>232</v>
      </c>
      <c r="P273">
        <v>6</v>
      </c>
      <c r="Q273">
        <v>0</v>
      </c>
      <c r="R273">
        <v>4.33</v>
      </c>
      <c r="S273">
        <v>0</v>
      </c>
      <c r="T273">
        <v>2.2509257354845502</v>
      </c>
      <c r="U273" s="3" t="s">
        <v>46</v>
      </c>
      <c r="V273" t="s">
        <v>232</v>
      </c>
      <c r="W273">
        <v>6</v>
      </c>
      <c r="X273">
        <v>0</v>
      </c>
      <c r="Y273">
        <v>4.33</v>
      </c>
      <c r="Z273">
        <v>0</v>
      </c>
      <c r="AA273">
        <v>2.2509257354845502</v>
      </c>
      <c r="AF273" t="s">
        <v>232</v>
      </c>
      <c r="AG273">
        <v>6</v>
      </c>
      <c r="AH273">
        <v>0</v>
      </c>
      <c r="AI273">
        <v>4.33</v>
      </c>
      <c r="AJ273">
        <v>0</v>
      </c>
      <c r="AK273">
        <v>2.2509257354845502</v>
      </c>
      <c r="AM273" t="s">
        <v>232</v>
      </c>
      <c r="AN273">
        <v>6</v>
      </c>
      <c r="AO273">
        <v>0</v>
      </c>
      <c r="AP273">
        <v>4.33</v>
      </c>
      <c r="AQ273">
        <v>0</v>
      </c>
      <c r="AR273">
        <v>2.2509257354845502</v>
      </c>
      <c r="AT273" t="s">
        <v>232</v>
      </c>
      <c r="AU273">
        <v>6</v>
      </c>
      <c r="AV273">
        <v>0</v>
      </c>
      <c r="AW273">
        <v>4.33</v>
      </c>
      <c r="AX273">
        <v>0</v>
      </c>
      <c r="AY273">
        <v>2.2509257354845502</v>
      </c>
      <c r="AZ273" s="2"/>
    </row>
    <row r="274" spans="1:52" x14ac:dyDescent="0.35">
      <c r="A274" t="s">
        <v>81</v>
      </c>
      <c r="B274">
        <v>7</v>
      </c>
      <c r="C274">
        <v>1</v>
      </c>
      <c r="D274">
        <v>4.43</v>
      </c>
      <c r="E274">
        <v>0.14000000000000001</v>
      </c>
      <c r="F274">
        <v>1.77281052085583</v>
      </c>
      <c r="G274" s="3" t="s">
        <v>46</v>
      </c>
      <c r="H274" t="s">
        <v>81</v>
      </c>
      <c r="I274">
        <v>7</v>
      </c>
      <c r="J274">
        <v>1</v>
      </c>
      <c r="K274">
        <v>4.43</v>
      </c>
      <c r="L274">
        <v>0.14000000000000001</v>
      </c>
      <c r="M274">
        <v>1.77281052085583</v>
      </c>
      <c r="O274" t="s">
        <v>3</v>
      </c>
      <c r="P274">
        <v>13</v>
      </c>
      <c r="Q274">
        <v>2</v>
      </c>
      <c r="R274">
        <v>4.38</v>
      </c>
      <c r="S274">
        <v>0.15</v>
      </c>
      <c r="T274">
        <v>2.2560460078960198</v>
      </c>
      <c r="U274" s="3" t="s">
        <v>46</v>
      </c>
      <c r="V274" t="s">
        <v>3</v>
      </c>
      <c r="W274">
        <v>13</v>
      </c>
      <c r="X274">
        <v>2</v>
      </c>
      <c r="Y274">
        <v>4.38</v>
      </c>
      <c r="Z274">
        <v>0.15</v>
      </c>
      <c r="AA274">
        <v>2.2560460078960198</v>
      </c>
      <c r="AF274" t="s">
        <v>24</v>
      </c>
      <c r="AG274" s="6">
        <v>21</v>
      </c>
      <c r="AH274">
        <v>3</v>
      </c>
      <c r="AI274">
        <v>4.38</v>
      </c>
      <c r="AJ274">
        <v>0.14000000000000001</v>
      </c>
      <c r="AK274">
        <v>2.2688364964490102</v>
      </c>
      <c r="AL274" s="2" t="s">
        <v>47</v>
      </c>
      <c r="AM274" t="s">
        <v>24</v>
      </c>
      <c r="AN274">
        <v>21</v>
      </c>
      <c r="AO274">
        <v>3</v>
      </c>
      <c r="AP274">
        <v>4.38</v>
      </c>
      <c r="AQ274">
        <v>0.14000000000000001</v>
      </c>
      <c r="AR274">
        <v>2.2688364964490102</v>
      </c>
      <c r="AT274" t="s">
        <v>24</v>
      </c>
      <c r="AU274">
        <v>21</v>
      </c>
      <c r="AV274">
        <v>3</v>
      </c>
      <c r="AW274">
        <v>4.38</v>
      </c>
      <c r="AX274">
        <v>0.14000000000000001</v>
      </c>
      <c r="AY274">
        <v>2.2688364964490102</v>
      </c>
      <c r="AZ274" s="2"/>
    </row>
    <row r="275" spans="1:52" x14ac:dyDescent="0.35">
      <c r="A275" t="s">
        <v>117</v>
      </c>
      <c r="B275">
        <v>8</v>
      </c>
      <c r="C275">
        <v>2</v>
      </c>
      <c r="D275">
        <v>4.5</v>
      </c>
      <c r="E275">
        <v>0.25</v>
      </c>
      <c r="F275">
        <v>2.7774602993176498</v>
      </c>
      <c r="H275" t="s">
        <v>117</v>
      </c>
      <c r="I275">
        <v>8</v>
      </c>
      <c r="J275">
        <v>2</v>
      </c>
      <c r="K275">
        <v>4.5</v>
      </c>
      <c r="L275">
        <v>0.25</v>
      </c>
      <c r="M275">
        <v>2.7774602993176498</v>
      </c>
      <c r="O275" t="s">
        <v>81</v>
      </c>
      <c r="P275">
        <v>7</v>
      </c>
      <c r="Q275">
        <v>1</v>
      </c>
      <c r="R275">
        <v>4.43</v>
      </c>
      <c r="S275">
        <v>0.14000000000000001</v>
      </c>
      <c r="T275">
        <v>1.77281052085583</v>
      </c>
      <c r="U275" s="3" t="s">
        <v>46</v>
      </c>
      <c r="V275" t="s">
        <v>81</v>
      </c>
      <c r="W275">
        <v>7</v>
      </c>
      <c r="X275">
        <v>1</v>
      </c>
      <c r="Y275">
        <v>4.43</v>
      </c>
      <c r="Z275">
        <v>0.14000000000000001</v>
      </c>
      <c r="AA275">
        <v>1.77281052085583</v>
      </c>
      <c r="AF275" t="s">
        <v>3</v>
      </c>
      <c r="AG275">
        <v>13</v>
      </c>
      <c r="AH275">
        <v>2</v>
      </c>
      <c r="AI275">
        <v>4.38</v>
      </c>
      <c r="AJ275">
        <v>0.15</v>
      </c>
      <c r="AK275">
        <v>2.2560460078960198</v>
      </c>
      <c r="AL275" s="3" t="s">
        <v>46</v>
      </c>
      <c r="AM275" t="s">
        <v>3</v>
      </c>
      <c r="AN275">
        <v>13</v>
      </c>
      <c r="AO275">
        <v>2</v>
      </c>
      <c r="AP275">
        <v>4.38</v>
      </c>
      <c r="AQ275">
        <v>0.15</v>
      </c>
      <c r="AR275">
        <v>2.2560460078960198</v>
      </c>
      <c r="AT275" t="s">
        <v>3</v>
      </c>
      <c r="AU275">
        <v>13</v>
      </c>
      <c r="AV275">
        <v>2</v>
      </c>
      <c r="AW275">
        <v>4.38</v>
      </c>
      <c r="AX275">
        <v>0.15</v>
      </c>
      <c r="AY275">
        <v>2.2560460078960198</v>
      </c>
      <c r="AZ275" s="2"/>
    </row>
    <row r="276" spans="1:52" x14ac:dyDescent="0.35">
      <c r="A276" t="s">
        <v>24</v>
      </c>
      <c r="B276">
        <v>16</v>
      </c>
      <c r="C276">
        <v>2</v>
      </c>
      <c r="D276">
        <v>4.5</v>
      </c>
      <c r="E276">
        <v>0.13</v>
      </c>
      <c r="F276">
        <v>2.1908902300206599</v>
      </c>
      <c r="G276" s="2" t="s">
        <v>133</v>
      </c>
      <c r="H276" t="s">
        <v>24</v>
      </c>
      <c r="I276">
        <v>16</v>
      </c>
      <c r="J276">
        <v>2</v>
      </c>
      <c r="K276">
        <v>4.5</v>
      </c>
      <c r="L276">
        <v>0.13</v>
      </c>
      <c r="M276">
        <v>2.1908902300206599</v>
      </c>
      <c r="O276" t="s">
        <v>117</v>
      </c>
      <c r="P276">
        <v>8</v>
      </c>
      <c r="Q276">
        <v>2</v>
      </c>
      <c r="R276">
        <v>4.5</v>
      </c>
      <c r="S276">
        <v>0.25</v>
      </c>
      <c r="T276">
        <v>2.7774602993176498</v>
      </c>
      <c r="U276" s="3" t="s">
        <v>46</v>
      </c>
      <c r="V276" t="s">
        <v>24</v>
      </c>
      <c r="W276" s="6">
        <v>19</v>
      </c>
      <c r="X276">
        <v>3</v>
      </c>
      <c r="Y276">
        <v>4.47</v>
      </c>
      <c r="Z276">
        <v>0.16</v>
      </c>
      <c r="AA276">
        <v>2.31824696826027</v>
      </c>
      <c r="AB276" s="3" t="s">
        <v>282</v>
      </c>
      <c r="AF276" t="s">
        <v>81</v>
      </c>
      <c r="AG276">
        <v>7</v>
      </c>
      <c r="AH276">
        <v>1</v>
      </c>
      <c r="AI276">
        <v>4.43</v>
      </c>
      <c r="AJ276">
        <v>0.14000000000000001</v>
      </c>
      <c r="AK276">
        <v>1.77281052085583</v>
      </c>
      <c r="AL276" s="3" t="s">
        <v>46</v>
      </c>
      <c r="AM276" t="s">
        <v>81</v>
      </c>
      <c r="AN276">
        <v>7</v>
      </c>
      <c r="AO276">
        <v>1</v>
      </c>
      <c r="AP276">
        <v>4.43</v>
      </c>
      <c r="AQ276">
        <v>0.14000000000000001</v>
      </c>
      <c r="AR276">
        <v>1.77281052085583</v>
      </c>
      <c r="AT276" t="s">
        <v>10</v>
      </c>
      <c r="AU276" s="6">
        <v>25</v>
      </c>
      <c r="AV276">
        <v>3</v>
      </c>
      <c r="AW276">
        <v>4.4000000000000004</v>
      </c>
      <c r="AX276">
        <v>0.12</v>
      </c>
      <c r="AY276">
        <v>2.1984843263788201</v>
      </c>
      <c r="AZ276" s="3" t="s">
        <v>282</v>
      </c>
    </row>
    <row r="277" spans="1:52" x14ac:dyDescent="0.35">
      <c r="A277" t="s">
        <v>115</v>
      </c>
      <c r="B277">
        <v>7</v>
      </c>
      <c r="C277">
        <v>0</v>
      </c>
      <c r="D277">
        <v>4.57</v>
      </c>
      <c r="E277">
        <v>0</v>
      </c>
      <c r="F277">
        <v>1.71824938596844</v>
      </c>
      <c r="G277" s="3" t="s">
        <v>46</v>
      </c>
      <c r="H277" t="s">
        <v>115</v>
      </c>
      <c r="I277">
        <v>7</v>
      </c>
      <c r="J277">
        <v>0</v>
      </c>
      <c r="K277">
        <v>4.57</v>
      </c>
      <c r="L277">
        <v>0</v>
      </c>
      <c r="M277">
        <v>1.71824938596844</v>
      </c>
      <c r="O277" t="s">
        <v>115</v>
      </c>
      <c r="P277">
        <v>7</v>
      </c>
      <c r="Q277">
        <v>0</v>
      </c>
      <c r="R277">
        <v>4.57</v>
      </c>
      <c r="S277">
        <v>0</v>
      </c>
      <c r="T277">
        <v>1.71824938596844</v>
      </c>
      <c r="V277" t="s">
        <v>117</v>
      </c>
      <c r="W277">
        <v>8</v>
      </c>
      <c r="X277">
        <v>2</v>
      </c>
      <c r="Y277">
        <v>4.5</v>
      </c>
      <c r="Z277">
        <v>0.25</v>
      </c>
      <c r="AA277">
        <v>2.7774602993176498</v>
      </c>
      <c r="AB277" s="3" t="s">
        <v>46</v>
      </c>
      <c r="AF277" t="s">
        <v>117</v>
      </c>
      <c r="AG277">
        <v>8</v>
      </c>
      <c r="AH277">
        <v>2</v>
      </c>
      <c r="AI277">
        <v>4.5</v>
      </c>
      <c r="AJ277">
        <v>0.25</v>
      </c>
      <c r="AK277">
        <v>2.7774602993176498</v>
      </c>
      <c r="AM277" t="s">
        <v>27</v>
      </c>
      <c r="AN277" s="6">
        <v>14</v>
      </c>
      <c r="AO277">
        <v>0</v>
      </c>
      <c r="AP277">
        <v>4.5</v>
      </c>
      <c r="AQ277">
        <v>0</v>
      </c>
      <c r="AR277" s="23">
        <v>2.5993095730232398</v>
      </c>
      <c r="AS277" s="2" t="s">
        <v>133</v>
      </c>
      <c r="AT277" t="s">
        <v>81</v>
      </c>
      <c r="AU277">
        <v>7</v>
      </c>
      <c r="AV277">
        <v>1</v>
      </c>
      <c r="AW277">
        <v>4.43</v>
      </c>
      <c r="AX277">
        <v>0.14000000000000001</v>
      </c>
      <c r="AY277">
        <v>1.77281052085583</v>
      </c>
      <c r="AZ277" s="3" t="s">
        <v>46</v>
      </c>
    </row>
    <row r="278" spans="1:52" x14ac:dyDescent="0.35">
      <c r="A278" t="s">
        <v>37</v>
      </c>
      <c r="B278">
        <v>12</v>
      </c>
      <c r="C278">
        <v>2</v>
      </c>
      <c r="D278">
        <v>4.58</v>
      </c>
      <c r="E278">
        <v>0.17</v>
      </c>
      <c r="F278">
        <v>2.5390883594254201</v>
      </c>
      <c r="G278" s="3" t="s">
        <v>46</v>
      </c>
      <c r="H278" t="s">
        <v>37</v>
      </c>
      <c r="I278">
        <v>12</v>
      </c>
      <c r="J278">
        <v>2</v>
      </c>
      <c r="K278">
        <v>4.58</v>
      </c>
      <c r="L278">
        <v>0.17</v>
      </c>
      <c r="M278">
        <v>2.5390883594254201</v>
      </c>
      <c r="O278" t="s">
        <v>37</v>
      </c>
      <c r="P278">
        <v>12</v>
      </c>
      <c r="Q278">
        <v>2</v>
      </c>
      <c r="R278">
        <v>4.58</v>
      </c>
      <c r="S278">
        <v>0.17</v>
      </c>
      <c r="T278">
        <v>2.5390883594254201</v>
      </c>
      <c r="V278" t="s">
        <v>115</v>
      </c>
      <c r="W278">
        <v>7</v>
      </c>
      <c r="X278">
        <v>0</v>
      </c>
      <c r="Y278">
        <v>4.57</v>
      </c>
      <c r="Z278">
        <v>0</v>
      </c>
      <c r="AA278">
        <v>1.71824938596844</v>
      </c>
      <c r="AB278" s="3" t="s">
        <v>46</v>
      </c>
      <c r="AF278" t="s">
        <v>115</v>
      </c>
      <c r="AG278">
        <v>7</v>
      </c>
      <c r="AH278">
        <v>0</v>
      </c>
      <c r="AI278">
        <v>4.57</v>
      </c>
      <c r="AJ278">
        <v>0</v>
      </c>
      <c r="AK278">
        <v>1.71824938596844</v>
      </c>
      <c r="AM278" t="s">
        <v>117</v>
      </c>
      <c r="AN278">
        <v>8</v>
      </c>
      <c r="AO278">
        <v>2</v>
      </c>
      <c r="AP278">
        <v>4.5</v>
      </c>
      <c r="AQ278">
        <v>0.25</v>
      </c>
      <c r="AR278">
        <v>2.7774602993176498</v>
      </c>
      <c r="AS278" s="3" t="s">
        <v>46</v>
      </c>
      <c r="AT278" t="s">
        <v>27</v>
      </c>
      <c r="AU278">
        <v>14</v>
      </c>
      <c r="AV278">
        <v>0</v>
      </c>
      <c r="AW278">
        <v>4.5</v>
      </c>
      <c r="AX278">
        <v>0</v>
      </c>
      <c r="AY278" s="23">
        <v>2.5993095730232398</v>
      </c>
      <c r="AZ278" s="3" t="s">
        <v>46</v>
      </c>
    </row>
    <row r="279" spans="1:52" x14ac:dyDescent="0.35">
      <c r="A279" t="s">
        <v>79</v>
      </c>
      <c r="B279">
        <v>10</v>
      </c>
      <c r="C279">
        <v>0</v>
      </c>
      <c r="D279">
        <v>4.5999999999999996</v>
      </c>
      <c r="E279">
        <v>0</v>
      </c>
      <c r="F279">
        <v>2.0655911179772799</v>
      </c>
      <c r="G279" s="3" t="s">
        <v>46</v>
      </c>
      <c r="H279" t="s">
        <v>79</v>
      </c>
      <c r="I279">
        <v>10</v>
      </c>
      <c r="J279">
        <v>0</v>
      </c>
      <c r="K279">
        <v>4.5999999999999996</v>
      </c>
      <c r="L279">
        <v>0</v>
      </c>
      <c r="M279">
        <v>2.0655911179772799</v>
      </c>
      <c r="O279" t="s">
        <v>79</v>
      </c>
      <c r="P279" s="6">
        <v>11</v>
      </c>
      <c r="Q279">
        <v>0</v>
      </c>
      <c r="R279">
        <v>4.5999999999999996</v>
      </c>
      <c r="S279">
        <v>0</v>
      </c>
      <c r="T279">
        <v>2.51661147842358</v>
      </c>
      <c r="V279" t="s">
        <v>37</v>
      </c>
      <c r="W279">
        <v>12</v>
      </c>
      <c r="X279">
        <v>2</v>
      </c>
      <c r="Y279">
        <v>4.58</v>
      </c>
      <c r="Z279">
        <v>0.17</v>
      </c>
      <c r="AA279">
        <v>2.5390883594254201</v>
      </c>
      <c r="AB279" s="3" t="s">
        <v>46</v>
      </c>
      <c r="AF279" t="s">
        <v>37</v>
      </c>
      <c r="AG279">
        <v>12</v>
      </c>
      <c r="AH279">
        <v>2</v>
      </c>
      <c r="AI279">
        <v>4.58</v>
      </c>
      <c r="AJ279">
        <v>0.17</v>
      </c>
      <c r="AK279">
        <v>2.5390883594254201</v>
      </c>
      <c r="AM279" t="s">
        <v>115</v>
      </c>
      <c r="AN279">
        <v>7</v>
      </c>
      <c r="AO279">
        <v>0</v>
      </c>
      <c r="AP279">
        <v>4.57</v>
      </c>
      <c r="AQ279">
        <v>0</v>
      </c>
      <c r="AR279">
        <v>1.71824938596844</v>
      </c>
      <c r="AS279" s="3" t="s">
        <v>46</v>
      </c>
      <c r="AT279" t="s">
        <v>117</v>
      </c>
      <c r="AU279">
        <v>8</v>
      </c>
      <c r="AV279">
        <v>2</v>
      </c>
      <c r="AW279">
        <v>4.5</v>
      </c>
      <c r="AX279">
        <v>0.25</v>
      </c>
      <c r="AY279">
        <v>2.7774602993176498</v>
      </c>
      <c r="AZ279" s="3" t="s">
        <v>46</v>
      </c>
    </row>
    <row r="280" spans="1:52" x14ac:dyDescent="0.35">
      <c r="A280" t="s">
        <v>27</v>
      </c>
      <c r="B280">
        <v>13</v>
      </c>
      <c r="C280">
        <v>0</v>
      </c>
      <c r="D280">
        <v>4.62</v>
      </c>
      <c r="E280">
        <v>0</v>
      </c>
      <c r="F280">
        <v>2.5993095730232398</v>
      </c>
      <c r="G280" s="3" t="s">
        <v>46</v>
      </c>
      <c r="H280" t="s">
        <v>27</v>
      </c>
      <c r="I280">
        <v>13</v>
      </c>
      <c r="J280">
        <v>0</v>
      </c>
      <c r="K280">
        <v>4.62</v>
      </c>
      <c r="L280">
        <v>0</v>
      </c>
      <c r="M280">
        <v>2.5993095730232398</v>
      </c>
      <c r="O280" t="s">
        <v>27</v>
      </c>
      <c r="P280">
        <v>13</v>
      </c>
      <c r="Q280">
        <v>0</v>
      </c>
      <c r="R280">
        <v>4.62</v>
      </c>
      <c r="S280">
        <v>0</v>
      </c>
      <c r="T280">
        <v>2.5993095730232398</v>
      </c>
      <c r="V280" t="s">
        <v>79</v>
      </c>
      <c r="W280">
        <v>11</v>
      </c>
      <c r="X280">
        <v>0</v>
      </c>
      <c r="Y280">
        <v>4.5999999999999996</v>
      </c>
      <c r="Z280">
        <v>0</v>
      </c>
      <c r="AA280">
        <v>2.51661147842358</v>
      </c>
      <c r="AB280" s="3" t="s">
        <v>46</v>
      </c>
      <c r="AF280" t="s">
        <v>79</v>
      </c>
      <c r="AG280">
        <v>11</v>
      </c>
      <c r="AH280">
        <v>0</v>
      </c>
      <c r="AI280">
        <v>4.5999999999999996</v>
      </c>
      <c r="AJ280">
        <v>0</v>
      </c>
      <c r="AK280">
        <v>2.51661147842358</v>
      </c>
      <c r="AM280" t="s">
        <v>37</v>
      </c>
      <c r="AN280">
        <v>12</v>
      </c>
      <c r="AO280">
        <v>2</v>
      </c>
      <c r="AP280">
        <v>4.58</v>
      </c>
      <c r="AQ280">
        <v>0.17</v>
      </c>
      <c r="AR280" s="23">
        <v>2.5390883594254201</v>
      </c>
      <c r="AS280" s="3" t="s">
        <v>46</v>
      </c>
      <c r="AT280" t="s">
        <v>115</v>
      </c>
      <c r="AU280">
        <v>7</v>
      </c>
      <c r="AV280">
        <v>0</v>
      </c>
      <c r="AW280">
        <v>4.57</v>
      </c>
      <c r="AX280">
        <v>0</v>
      </c>
      <c r="AY280">
        <v>1.71824938596844</v>
      </c>
      <c r="AZ280" s="3" t="s">
        <v>46</v>
      </c>
    </row>
    <row r="281" spans="1:52" x14ac:dyDescent="0.35">
      <c r="A281" t="s">
        <v>21</v>
      </c>
      <c r="B281">
        <v>8</v>
      </c>
      <c r="C281">
        <v>0</v>
      </c>
      <c r="D281">
        <v>4.75</v>
      </c>
      <c r="E281">
        <v>0</v>
      </c>
      <c r="F281">
        <v>2.0528725518857001</v>
      </c>
      <c r="H281" t="s">
        <v>21</v>
      </c>
      <c r="I281">
        <v>8</v>
      </c>
      <c r="J281">
        <v>0</v>
      </c>
      <c r="K281">
        <v>4.75</v>
      </c>
      <c r="L281">
        <v>0</v>
      </c>
      <c r="M281">
        <v>2.0528725518857001</v>
      </c>
      <c r="O281" t="s">
        <v>21</v>
      </c>
      <c r="P281">
        <v>8</v>
      </c>
      <c r="Q281">
        <v>0</v>
      </c>
      <c r="R281">
        <v>4.75</v>
      </c>
      <c r="S281">
        <v>0</v>
      </c>
      <c r="T281">
        <v>2.0528725518857001</v>
      </c>
      <c r="V281" t="s">
        <v>27</v>
      </c>
      <c r="W281">
        <v>13</v>
      </c>
      <c r="X281">
        <v>0</v>
      </c>
      <c r="Y281">
        <v>4.62</v>
      </c>
      <c r="Z281">
        <v>0</v>
      </c>
      <c r="AA281">
        <v>2.5993095730232398</v>
      </c>
      <c r="AB281" s="3" t="s">
        <v>46</v>
      </c>
      <c r="AF281" t="s">
        <v>27</v>
      </c>
      <c r="AG281">
        <v>13</v>
      </c>
      <c r="AH281">
        <v>0</v>
      </c>
      <c r="AI281">
        <v>4.62</v>
      </c>
      <c r="AJ281">
        <v>0</v>
      </c>
      <c r="AK281">
        <v>2.5993095730232398</v>
      </c>
      <c r="AM281" t="s">
        <v>79</v>
      </c>
      <c r="AN281">
        <v>11</v>
      </c>
      <c r="AO281">
        <v>0</v>
      </c>
      <c r="AP281">
        <v>4.5999999999999996</v>
      </c>
      <c r="AQ281">
        <v>0</v>
      </c>
      <c r="AR281">
        <v>2.51661147842358</v>
      </c>
      <c r="AS281" s="3" t="s">
        <v>46</v>
      </c>
      <c r="AT281" t="s">
        <v>37</v>
      </c>
      <c r="AU281">
        <v>12</v>
      </c>
      <c r="AV281">
        <v>2</v>
      </c>
      <c r="AW281">
        <v>4.58</v>
      </c>
      <c r="AX281">
        <v>0.17</v>
      </c>
      <c r="AY281" s="23">
        <v>2.5390883594254201</v>
      </c>
      <c r="AZ281" s="3" t="s">
        <v>46</v>
      </c>
    </row>
    <row r="282" spans="1:52" x14ac:dyDescent="0.35">
      <c r="A282" t="s">
        <v>125</v>
      </c>
      <c r="B282">
        <v>6</v>
      </c>
      <c r="C282">
        <v>0</v>
      </c>
      <c r="D282">
        <v>5</v>
      </c>
      <c r="E282">
        <v>0</v>
      </c>
      <c r="F282">
        <v>2.3664319132398401</v>
      </c>
      <c r="H282" t="s">
        <v>125</v>
      </c>
      <c r="I282">
        <v>6</v>
      </c>
      <c r="J282">
        <v>0</v>
      </c>
      <c r="K282">
        <v>5</v>
      </c>
      <c r="L282">
        <v>0</v>
      </c>
      <c r="M282">
        <v>2.3664319132398401</v>
      </c>
      <c r="O282" t="s">
        <v>230</v>
      </c>
      <c r="P282" s="6">
        <v>5</v>
      </c>
      <c r="Q282">
        <v>1</v>
      </c>
      <c r="R282">
        <v>4.8</v>
      </c>
      <c r="S282">
        <v>0.2</v>
      </c>
      <c r="T282">
        <v>2.7748873851023199</v>
      </c>
      <c r="U282" s="20" t="s">
        <v>233</v>
      </c>
      <c r="V282" t="s">
        <v>21</v>
      </c>
      <c r="W282">
        <v>8</v>
      </c>
      <c r="X282">
        <v>0</v>
      </c>
      <c r="Y282">
        <v>4.75</v>
      </c>
      <c r="Z282">
        <v>0</v>
      </c>
      <c r="AA282">
        <v>2.0528725518857001</v>
      </c>
      <c r="AB282" s="3" t="s">
        <v>46</v>
      </c>
      <c r="AF282" t="s">
        <v>21</v>
      </c>
      <c r="AG282">
        <v>8</v>
      </c>
      <c r="AH282">
        <v>0</v>
      </c>
      <c r="AI282">
        <v>4.75</v>
      </c>
      <c r="AJ282">
        <v>0</v>
      </c>
      <c r="AK282">
        <v>2.0528725518857001</v>
      </c>
      <c r="AM282" t="s">
        <v>21</v>
      </c>
      <c r="AN282">
        <v>8</v>
      </c>
      <c r="AO282">
        <v>0</v>
      </c>
      <c r="AP282">
        <v>4.75</v>
      </c>
      <c r="AQ282">
        <v>0</v>
      </c>
      <c r="AR282">
        <v>2.0528725518857001</v>
      </c>
      <c r="AT282" t="s">
        <v>79</v>
      </c>
      <c r="AU282">
        <v>11</v>
      </c>
      <c r="AV282">
        <v>0</v>
      </c>
      <c r="AW282">
        <v>4.5999999999999996</v>
      </c>
      <c r="AX282">
        <v>0</v>
      </c>
      <c r="AY282">
        <v>2.51661147842358</v>
      </c>
      <c r="AZ282" s="3" t="s">
        <v>46</v>
      </c>
    </row>
    <row r="283" spans="1:52" x14ac:dyDescent="0.35">
      <c r="A283" t="s">
        <v>34</v>
      </c>
      <c r="B283">
        <v>5</v>
      </c>
      <c r="C283">
        <v>1</v>
      </c>
      <c r="D283">
        <v>5</v>
      </c>
      <c r="E283">
        <v>0.2</v>
      </c>
      <c r="F283">
        <v>2.2360679774997898</v>
      </c>
      <c r="H283" t="s">
        <v>34</v>
      </c>
      <c r="I283">
        <v>5</v>
      </c>
      <c r="J283">
        <v>1</v>
      </c>
      <c r="K283">
        <v>5</v>
      </c>
      <c r="L283">
        <v>0.2</v>
      </c>
      <c r="M283">
        <v>2.2360679774997898</v>
      </c>
      <c r="O283" t="s">
        <v>125</v>
      </c>
      <c r="P283">
        <v>6</v>
      </c>
      <c r="Q283">
        <v>0</v>
      </c>
      <c r="R283">
        <v>5</v>
      </c>
      <c r="S283">
        <v>0</v>
      </c>
      <c r="T283">
        <v>2.3664319132398401</v>
      </c>
      <c r="U283" s="3" t="s">
        <v>46</v>
      </c>
      <c r="V283" t="s">
        <v>13</v>
      </c>
      <c r="W283" s="6">
        <v>14</v>
      </c>
      <c r="X283">
        <v>1</v>
      </c>
      <c r="Y283">
        <v>4.79</v>
      </c>
      <c r="Z283">
        <v>0.08</v>
      </c>
      <c r="AA283">
        <v>2.2930856412793998</v>
      </c>
      <c r="AB283" s="2" t="s">
        <v>47</v>
      </c>
      <c r="AF283" t="s">
        <v>230</v>
      </c>
      <c r="AG283">
        <v>5</v>
      </c>
      <c r="AH283">
        <v>1</v>
      </c>
      <c r="AI283">
        <v>4.8</v>
      </c>
      <c r="AJ283">
        <v>0.2</v>
      </c>
      <c r="AK283">
        <v>2.7748873851023199</v>
      </c>
      <c r="AL283" s="2" t="s">
        <v>44</v>
      </c>
      <c r="AM283" t="s">
        <v>230</v>
      </c>
      <c r="AN283">
        <v>5</v>
      </c>
      <c r="AO283">
        <v>1</v>
      </c>
      <c r="AP283">
        <v>4.8</v>
      </c>
      <c r="AQ283">
        <v>0.2</v>
      </c>
      <c r="AR283">
        <v>2.7748873851023199</v>
      </c>
      <c r="AT283" t="s">
        <v>21</v>
      </c>
      <c r="AU283">
        <v>8</v>
      </c>
      <c r="AV283">
        <v>0</v>
      </c>
      <c r="AW283">
        <v>4.75</v>
      </c>
      <c r="AX283">
        <v>0</v>
      </c>
      <c r="AY283">
        <v>2.0528725518857001</v>
      </c>
      <c r="AZ283" s="3" t="s">
        <v>46</v>
      </c>
    </row>
    <row r="284" spans="1:52" x14ac:dyDescent="0.35">
      <c r="A284" t="s">
        <v>30</v>
      </c>
      <c r="B284">
        <v>6</v>
      </c>
      <c r="C284">
        <v>1</v>
      </c>
      <c r="D284">
        <v>5</v>
      </c>
      <c r="E284">
        <v>0.17</v>
      </c>
      <c r="F284">
        <v>2.4494897427831699</v>
      </c>
      <c r="H284" t="s">
        <v>13</v>
      </c>
      <c r="I284">
        <v>12</v>
      </c>
      <c r="J284">
        <v>1</v>
      </c>
      <c r="K284">
        <v>5</v>
      </c>
      <c r="L284">
        <v>0.08</v>
      </c>
      <c r="M284">
        <v>2.33549683248456</v>
      </c>
      <c r="N284" s="2" t="s">
        <v>88</v>
      </c>
      <c r="O284" t="s">
        <v>34</v>
      </c>
      <c r="P284">
        <v>5</v>
      </c>
      <c r="Q284">
        <v>1</v>
      </c>
      <c r="R284">
        <v>5</v>
      </c>
      <c r="S284">
        <v>0.2</v>
      </c>
      <c r="T284">
        <v>2.2360679774997898</v>
      </c>
      <c r="U284" s="3" t="s">
        <v>46</v>
      </c>
      <c r="V284" t="s">
        <v>230</v>
      </c>
      <c r="W284">
        <v>5</v>
      </c>
      <c r="X284">
        <v>1</v>
      </c>
      <c r="Y284">
        <v>4.8</v>
      </c>
      <c r="Z284">
        <v>0.2</v>
      </c>
      <c r="AA284">
        <v>2.7748873851023199</v>
      </c>
      <c r="AB284" s="3" t="s">
        <v>45</v>
      </c>
      <c r="AF284" t="s">
        <v>13</v>
      </c>
      <c r="AG284" s="6">
        <v>16</v>
      </c>
      <c r="AH284">
        <v>1</v>
      </c>
      <c r="AI284">
        <v>4.8099999999999996</v>
      </c>
      <c r="AJ284">
        <v>0.06</v>
      </c>
      <c r="AK284">
        <v>2.2573952541221698</v>
      </c>
      <c r="AL284" s="3" t="s">
        <v>46</v>
      </c>
      <c r="AM284" t="s">
        <v>13</v>
      </c>
      <c r="AN284" s="6">
        <v>17</v>
      </c>
      <c r="AO284">
        <v>1</v>
      </c>
      <c r="AP284">
        <v>4.82</v>
      </c>
      <c r="AQ284">
        <v>0.06</v>
      </c>
      <c r="AR284" s="23">
        <v>2.2930856412793998</v>
      </c>
      <c r="AT284" t="s">
        <v>230</v>
      </c>
      <c r="AU284">
        <v>5</v>
      </c>
      <c r="AV284">
        <v>1</v>
      </c>
      <c r="AW284">
        <v>4.8</v>
      </c>
      <c r="AX284">
        <v>0.2</v>
      </c>
      <c r="AY284">
        <v>2.7748873851023199</v>
      </c>
      <c r="AZ284" s="3" t="s">
        <v>46</v>
      </c>
    </row>
    <row r="285" spans="1:52" x14ac:dyDescent="0.35">
      <c r="A285" t="s">
        <v>25</v>
      </c>
      <c r="B285">
        <v>28</v>
      </c>
      <c r="C285">
        <v>3</v>
      </c>
      <c r="D285">
        <v>5.07</v>
      </c>
      <c r="E285">
        <v>0.11</v>
      </c>
      <c r="F285">
        <v>2.3774822086445999</v>
      </c>
      <c r="G285" s="2" t="s">
        <v>44</v>
      </c>
      <c r="H285" t="s">
        <v>30</v>
      </c>
      <c r="I285">
        <v>6</v>
      </c>
      <c r="J285">
        <v>1</v>
      </c>
      <c r="K285">
        <v>5</v>
      </c>
      <c r="L285">
        <v>0.17</v>
      </c>
      <c r="M285">
        <v>2.4494897427831699</v>
      </c>
      <c r="N285" s="3" t="s">
        <v>46</v>
      </c>
      <c r="O285" t="s">
        <v>13</v>
      </c>
      <c r="P285">
        <v>12</v>
      </c>
      <c r="Q285">
        <v>1</v>
      </c>
      <c r="R285">
        <v>5</v>
      </c>
      <c r="S285">
        <v>0.08</v>
      </c>
      <c r="T285">
        <v>2.33549683248456</v>
      </c>
      <c r="U285" s="3" t="s">
        <v>46</v>
      </c>
      <c r="V285" t="s">
        <v>125</v>
      </c>
      <c r="W285">
        <v>6</v>
      </c>
      <c r="X285">
        <v>0</v>
      </c>
      <c r="Y285">
        <v>5</v>
      </c>
      <c r="Z285">
        <v>0</v>
      </c>
      <c r="AA285">
        <v>2.3664319132398401</v>
      </c>
      <c r="AB285" s="3" t="s">
        <v>45</v>
      </c>
      <c r="AF285" t="s">
        <v>125</v>
      </c>
      <c r="AG285">
        <v>6</v>
      </c>
      <c r="AH285">
        <v>0</v>
      </c>
      <c r="AI285">
        <v>5</v>
      </c>
      <c r="AJ285">
        <v>0</v>
      </c>
      <c r="AK285">
        <v>2.3664319132398401</v>
      </c>
      <c r="AM285" t="s">
        <v>125</v>
      </c>
      <c r="AN285">
        <v>6</v>
      </c>
      <c r="AO285">
        <v>0</v>
      </c>
      <c r="AP285">
        <v>5</v>
      </c>
      <c r="AQ285">
        <v>0</v>
      </c>
      <c r="AR285" s="23">
        <v>2.3664319132398401</v>
      </c>
      <c r="AT285" t="s">
        <v>13</v>
      </c>
      <c r="AU285">
        <v>17</v>
      </c>
      <c r="AV285">
        <v>1</v>
      </c>
      <c r="AW285">
        <v>4.82</v>
      </c>
      <c r="AX285">
        <v>0.06</v>
      </c>
      <c r="AY285" s="23">
        <v>2.2930856412793998</v>
      </c>
      <c r="AZ285" s="3" t="s">
        <v>46</v>
      </c>
    </row>
    <row r="286" spans="1:52" x14ac:dyDescent="0.35">
      <c r="A286" t="s">
        <v>1</v>
      </c>
      <c r="B286">
        <v>21</v>
      </c>
      <c r="C286">
        <v>1</v>
      </c>
      <c r="D286">
        <v>5.0999999999999996</v>
      </c>
      <c r="E286">
        <v>0.05</v>
      </c>
      <c r="F286">
        <v>2.1887156486113399</v>
      </c>
      <c r="G286" s="3" t="s">
        <v>46</v>
      </c>
      <c r="H286" t="s">
        <v>25</v>
      </c>
      <c r="I286">
        <v>28</v>
      </c>
      <c r="J286">
        <v>3</v>
      </c>
      <c r="K286">
        <v>5.07</v>
      </c>
      <c r="L286">
        <v>0.11</v>
      </c>
      <c r="M286">
        <v>2.3774822086445999</v>
      </c>
      <c r="N286" s="3" t="s">
        <v>46</v>
      </c>
      <c r="O286" t="s">
        <v>30</v>
      </c>
      <c r="P286">
        <v>6</v>
      </c>
      <c r="Q286">
        <v>1</v>
      </c>
      <c r="R286">
        <v>5</v>
      </c>
      <c r="S286">
        <v>0.17</v>
      </c>
      <c r="T286">
        <v>2.4494897427831699</v>
      </c>
      <c r="U286" s="3" t="s">
        <v>46</v>
      </c>
      <c r="V286" t="s">
        <v>34</v>
      </c>
      <c r="W286">
        <v>5</v>
      </c>
      <c r="X286">
        <v>1</v>
      </c>
      <c r="Y286">
        <v>5</v>
      </c>
      <c r="Z286">
        <v>0.2</v>
      </c>
      <c r="AA286">
        <v>2.2360679774997898</v>
      </c>
      <c r="AB286" s="3" t="s">
        <v>45</v>
      </c>
      <c r="AF286" t="s">
        <v>34</v>
      </c>
      <c r="AG286">
        <v>5</v>
      </c>
      <c r="AH286">
        <v>1</v>
      </c>
      <c r="AI286">
        <v>5</v>
      </c>
      <c r="AJ286">
        <v>0.2</v>
      </c>
      <c r="AK286">
        <v>2.2360679774997898</v>
      </c>
      <c r="AM286" t="s">
        <v>34</v>
      </c>
      <c r="AN286">
        <v>5</v>
      </c>
      <c r="AO286">
        <v>1</v>
      </c>
      <c r="AP286">
        <v>5</v>
      </c>
      <c r="AQ286">
        <v>0.2</v>
      </c>
      <c r="AR286">
        <v>2.2360679774997898</v>
      </c>
      <c r="AT286" t="s">
        <v>25</v>
      </c>
      <c r="AU286" s="6">
        <v>29</v>
      </c>
      <c r="AV286">
        <v>3</v>
      </c>
      <c r="AW286">
        <v>4.97</v>
      </c>
      <c r="AX286">
        <v>0.1</v>
      </c>
      <c r="AY286">
        <v>2.3992944289131599</v>
      </c>
      <c r="AZ286" s="2" t="s">
        <v>59</v>
      </c>
    </row>
    <row r="287" spans="1:52" x14ac:dyDescent="0.35">
      <c r="A287" t="s">
        <v>99</v>
      </c>
      <c r="B287">
        <v>9</v>
      </c>
      <c r="C287">
        <v>1</v>
      </c>
      <c r="D287">
        <v>5.1100000000000003</v>
      </c>
      <c r="E287">
        <v>0.11</v>
      </c>
      <c r="F287">
        <v>2.4720661623652198</v>
      </c>
      <c r="H287" t="s">
        <v>1</v>
      </c>
      <c r="I287">
        <v>21</v>
      </c>
      <c r="J287">
        <v>1</v>
      </c>
      <c r="K287">
        <v>5.0999999999999996</v>
      </c>
      <c r="L287">
        <v>0.05</v>
      </c>
      <c r="M287">
        <v>2.1887156486113399</v>
      </c>
      <c r="N287" s="3" t="s">
        <v>46</v>
      </c>
      <c r="O287" t="s">
        <v>25</v>
      </c>
      <c r="P287">
        <v>28</v>
      </c>
      <c r="Q287">
        <v>3</v>
      </c>
      <c r="R287">
        <v>5.07</v>
      </c>
      <c r="S287">
        <v>0.11</v>
      </c>
      <c r="T287">
        <v>2.3774822086445999</v>
      </c>
      <c r="U287" s="3" t="s">
        <v>46</v>
      </c>
      <c r="V287" t="s">
        <v>30</v>
      </c>
      <c r="W287">
        <v>6</v>
      </c>
      <c r="X287">
        <v>1</v>
      </c>
      <c r="Y287">
        <v>5</v>
      </c>
      <c r="Z287">
        <v>0.17</v>
      </c>
      <c r="AA287">
        <v>2.4494897427831699</v>
      </c>
      <c r="AB287" s="3" t="s">
        <v>46</v>
      </c>
      <c r="AF287" t="s">
        <v>30</v>
      </c>
      <c r="AG287">
        <v>6</v>
      </c>
      <c r="AH287">
        <v>1</v>
      </c>
      <c r="AI287">
        <v>5</v>
      </c>
      <c r="AJ287">
        <v>0.17</v>
      </c>
      <c r="AK287">
        <v>2.4494897427831699</v>
      </c>
      <c r="AM287" t="s">
        <v>30</v>
      </c>
      <c r="AN287">
        <v>6</v>
      </c>
      <c r="AO287">
        <v>1</v>
      </c>
      <c r="AP287">
        <v>5</v>
      </c>
      <c r="AQ287">
        <v>0.17</v>
      </c>
      <c r="AR287">
        <v>2.4494897427831699</v>
      </c>
      <c r="AT287" t="s">
        <v>125</v>
      </c>
      <c r="AU287">
        <v>6</v>
      </c>
      <c r="AV287">
        <v>0</v>
      </c>
      <c r="AW287">
        <v>5</v>
      </c>
      <c r="AX287">
        <v>0</v>
      </c>
      <c r="AY287" s="23">
        <v>2.3664319132398401</v>
      </c>
      <c r="AZ287" s="3" t="s">
        <v>45</v>
      </c>
    </row>
    <row r="288" spans="1:52" x14ac:dyDescent="0.35">
      <c r="A288" t="s">
        <v>17</v>
      </c>
      <c r="B288">
        <v>6</v>
      </c>
      <c r="C288">
        <v>1</v>
      </c>
      <c r="D288">
        <v>5.17</v>
      </c>
      <c r="E288">
        <v>0.17</v>
      </c>
      <c r="F288">
        <v>2.4832774042918899</v>
      </c>
      <c r="H288" t="s">
        <v>99</v>
      </c>
      <c r="I288">
        <v>9</v>
      </c>
      <c r="J288">
        <v>1</v>
      </c>
      <c r="K288">
        <v>5.1100000000000003</v>
      </c>
      <c r="L288">
        <v>0.11</v>
      </c>
      <c r="M288">
        <v>2.4720661623652198</v>
      </c>
      <c r="N288" s="3" t="s">
        <v>46</v>
      </c>
      <c r="O288" t="s">
        <v>1</v>
      </c>
      <c r="P288">
        <v>21</v>
      </c>
      <c r="Q288">
        <v>1</v>
      </c>
      <c r="R288">
        <v>5.0999999999999996</v>
      </c>
      <c r="S288">
        <v>0.05</v>
      </c>
      <c r="T288">
        <v>2.1887156486113399</v>
      </c>
      <c r="U288" s="3" t="s">
        <v>46</v>
      </c>
      <c r="V288" t="s">
        <v>29</v>
      </c>
      <c r="W288" s="6">
        <v>10</v>
      </c>
      <c r="X288">
        <v>0</v>
      </c>
      <c r="Y288">
        <v>5</v>
      </c>
      <c r="Z288">
        <v>0</v>
      </c>
      <c r="AA288">
        <v>2.3094010767584998</v>
      </c>
      <c r="AB288" s="2" t="s">
        <v>88</v>
      </c>
      <c r="AF288" t="s">
        <v>29</v>
      </c>
      <c r="AG288">
        <v>10</v>
      </c>
      <c r="AH288">
        <v>0</v>
      </c>
      <c r="AI288">
        <v>5</v>
      </c>
      <c r="AJ288">
        <v>0</v>
      </c>
      <c r="AK288">
        <v>2.3094010767584998</v>
      </c>
      <c r="AM288" t="s">
        <v>29</v>
      </c>
      <c r="AN288">
        <v>10</v>
      </c>
      <c r="AO288">
        <v>0</v>
      </c>
      <c r="AP288">
        <v>5</v>
      </c>
      <c r="AQ288">
        <v>0</v>
      </c>
      <c r="AR288">
        <v>2.3094010767584998</v>
      </c>
      <c r="AT288" t="s">
        <v>34</v>
      </c>
      <c r="AU288">
        <v>5</v>
      </c>
      <c r="AV288">
        <v>1</v>
      </c>
      <c r="AW288">
        <v>5</v>
      </c>
      <c r="AX288">
        <v>0.2</v>
      </c>
      <c r="AY288">
        <v>2.2360679774997898</v>
      </c>
      <c r="AZ288" s="3" t="s">
        <v>45</v>
      </c>
    </row>
    <row r="289" spans="1:52" x14ac:dyDescent="0.35">
      <c r="A289" t="s">
        <v>13</v>
      </c>
      <c r="B289">
        <v>11</v>
      </c>
      <c r="C289">
        <v>1</v>
      </c>
      <c r="D289">
        <v>5.18</v>
      </c>
      <c r="E289">
        <v>0.09</v>
      </c>
      <c r="F289">
        <v>2.35873617932068</v>
      </c>
      <c r="H289" t="s">
        <v>51</v>
      </c>
      <c r="I289">
        <v>18</v>
      </c>
      <c r="J289">
        <v>1</v>
      </c>
      <c r="K289">
        <v>5.17</v>
      </c>
      <c r="L289">
        <v>0.06</v>
      </c>
      <c r="M289">
        <v>2.3072774891123702</v>
      </c>
      <c r="N289" s="2" t="s">
        <v>272</v>
      </c>
      <c r="O289" t="s">
        <v>99</v>
      </c>
      <c r="P289">
        <v>9</v>
      </c>
      <c r="Q289">
        <v>1</v>
      </c>
      <c r="R289">
        <v>5.1100000000000003</v>
      </c>
      <c r="S289">
        <v>0.11</v>
      </c>
      <c r="T289">
        <v>2.4720661623652198</v>
      </c>
      <c r="U289" s="3" t="s">
        <v>46</v>
      </c>
      <c r="V289" t="s">
        <v>25</v>
      </c>
      <c r="W289">
        <v>28</v>
      </c>
      <c r="X289">
        <v>3</v>
      </c>
      <c r="Y289">
        <v>5.07</v>
      </c>
      <c r="Z289">
        <v>0.11</v>
      </c>
      <c r="AA289">
        <v>2.3774822086445999</v>
      </c>
      <c r="AB289" s="3" t="s">
        <v>45</v>
      </c>
      <c r="AF289" t="s">
        <v>25</v>
      </c>
      <c r="AG289">
        <v>28</v>
      </c>
      <c r="AH289">
        <v>3</v>
      </c>
      <c r="AI289">
        <v>5.07</v>
      </c>
      <c r="AJ289">
        <v>0.11</v>
      </c>
      <c r="AK289">
        <v>2.3774822086445999</v>
      </c>
      <c r="AM289" t="s">
        <v>25</v>
      </c>
      <c r="AN289">
        <v>28</v>
      </c>
      <c r="AO289">
        <v>3</v>
      </c>
      <c r="AP289">
        <v>5.07</v>
      </c>
      <c r="AQ289">
        <v>0.11</v>
      </c>
      <c r="AR289">
        <v>2.3774822086445999</v>
      </c>
      <c r="AT289" t="s">
        <v>30</v>
      </c>
      <c r="AU289">
        <v>6</v>
      </c>
      <c r="AV289">
        <v>1</v>
      </c>
      <c r="AW289">
        <v>5</v>
      </c>
      <c r="AX289">
        <v>0.17</v>
      </c>
      <c r="AY289">
        <v>2.4494897427831699</v>
      </c>
      <c r="AZ289" s="3" t="s">
        <v>45</v>
      </c>
    </row>
    <row r="290" spans="1:52" x14ac:dyDescent="0.35">
      <c r="A290" t="s">
        <v>19</v>
      </c>
      <c r="B290">
        <v>6</v>
      </c>
      <c r="C290">
        <v>1</v>
      </c>
      <c r="D290">
        <v>5.2</v>
      </c>
      <c r="E290">
        <v>0.17</v>
      </c>
      <c r="F290">
        <v>2.4832774042918899</v>
      </c>
      <c r="H290" t="s">
        <v>17</v>
      </c>
      <c r="I290">
        <v>6</v>
      </c>
      <c r="J290">
        <v>1</v>
      </c>
      <c r="K290">
        <v>5.17</v>
      </c>
      <c r="L290">
        <v>0.17</v>
      </c>
      <c r="M290">
        <v>2.4832774042918899</v>
      </c>
      <c r="N290" s="3" t="s">
        <v>45</v>
      </c>
      <c r="O290" t="s">
        <v>51</v>
      </c>
      <c r="P290">
        <v>18</v>
      </c>
      <c r="Q290">
        <v>1</v>
      </c>
      <c r="R290">
        <v>5.17</v>
      </c>
      <c r="S290">
        <v>0.06</v>
      </c>
      <c r="T290">
        <v>2.3072774891123702</v>
      </c>
      <c r="U290" s="3" t="s">
        <v>46</v>
      </c>
      <c r="V290" t="s">
        <v>1</v>
      </c>
      <c r="W290">
        <v>21</v>
      </c>
      <c r="X290">
        <v>1</v>
      </c>
      <c r="Y290">
        <v>5.0999999999999996</v>
      </c>
      <c r="Z290">
        <v>0.05</v>
      </c>
      <c r="AA290">
        <v>2.1887156486113399</v>
      </c>
      <c r="AB290" s="3" t="s">
        <v>45</v>
      </c>
      <c r="AF290" t="s">
        <v>1</v>
      </c>
      <c r="AG290">
        <v>21</v>
      </c>
      <c r="AH290">
        <v>1</v>
      </c>
      <c r="AI290">
        <v>5.0999999999999996</v>
      </c>
      <c r="AJ290">
        <v>0.05</v>
      </c>
      <c r="AK290">
        <v>2.1887156486113399</v>
      </c>
      <c r="AM290" t="s">
        <v>1</v>
      </c>
      <c r="AN290">
        <v>21</v>
      </c>
      <c r="AO290">
        <v>1</v>
      </c>
      <c r="AP290">
        <v>5.0999999999999996</v>
      </c>
      <c r="AQ290">
        <v>0.05</v>
      </c>
      <c r="AR290">
        <v>2.1887156486113399</v>
      </c>
      <c r="AT290" t="s">
        <v>29</v>
      </c>
      <c r="AU290">
        <v>10</v>
      </c>
      <c r="AV290">
        <v>0</v>
      </c>
      <c r="AW290">
        <v>5</v>
      </c>
      <c r="AX290">
        <v>0</v>
      </c>
      <c r="AY290">
        <v>2.3094010767584998</v>
      </c>
      <c r="AZ290" s="3" t="s">
        <v>45</v>
      </c>
    </row>
    <row r="291" spans="1:52" x14ac:dyDescent="0.35">
      <c r="A291" t="s">
        <v>6</v>
      </c>
      <c r="B291">
        <v>30</v>
      </c>
      <c r="C291">
        <v>3</v>
      </c>
      <c r="D291">
        <v>5.23</v>
      </c>
      <c r="E291">
        <v>0.1</v>
      </c>
      <c r="F291">
        <v>2.2078751422302298</v>
      </c>
      <c r="H291" t="s">
        <v>19</v>
      </c>
      <c r="I291">
        <v>6</v>
      </c>
      <c r="J291">
        <v>1</v>
      </c>
      <c r="K291">
        <v>5.2</v>
      </c>
      <c r="L291">
        <v>0.17</v>
      </c>
      <c r="M291">
        <v>2.4832774042918899</v>
      </c>
      <c r="N291" s="3" t="s">
        <v>46</v>
      </c>
      <c r="O291" t="s">
        <v>17</v>
      </c>
      <c r="P291">
        <v>6</v>
      </c>
      <c r="Q291">
        <v>1</v>
      </c>
      <c r="R291">
        <v>5.17</v>
      </c>
      <c r="S291">
        <v>0.17</v>
      </c>
      <c r="T291">
        <v>2.4832774042918899</v>
      </c>
      <c r="U291" s="3" t="s">
        <v>46</v>
      </c>
      <c r="V291" t="s">
        <v>99</v>
      </c>
      <c r="W291">
        <v>9</v>
      </c>
      <c r="X291">
        <v>1</v>
      </c>
      <c r="Y291">
        <v>5.1100000000000003</v>
      </c>
      <c r="Z291">
        <v>0.11</v>
      </c>
      <c r="AA291">
        <v>2.4720661623652198</v>
      </c>
      <c r="AB291" s="3" t="s">
        <v>45</v>
      </c>
      <c r="AF291" t="s">
        <v>99</v>
      </c>
      <c r="AG291">
        <v>9</v>
      </c>
      <c r="AH291">
        <v>1</v>
      </c>
      <c r="AI291">
        <v>5.1100000000000003</v>
      </c>
      <c r="AJ291">
        <v>0.11</v>
      </c>
      <c r="AK291">
        <v>2.4720661623652198</v>
      </c>
      <c r="AM291" t="s">
        <v>99</v>
      </c>
      <c r="AN291">
        <v>9</v>
      </c>
      <c r="AO291">
        <v>1</v>
      </c>
      <c r="AP291">
        <v>5.1100000000000003</v>
      </c>
      <c r="AQ291">
        <v>0.11</v>
      </c>
      <c r="AR291">
        <v>2.4720661623652198</v>
      </c>
      <c r="AT291" t="s">
        <v>1</v>
      </c>
      <c r="AU291">
        <v>21</v>
      </c>
      <c r="AV291">
        <v>1</v>
      </c>
      <c r="AW291">
        <v>5.0999999999999996</v>
      </c>
      <c r="AX291">
        <v>0.05</v>
      </c>
      <c r="AY291">
        <v>2.1887156486113399</v>
      </c>
      <c r="AZ291" s="3" t="s">
        <v>46</v>
      </c>
    </row>
    <row r="292" spans="1:52" x14ac:dyDescent="0.35">
      <c r="A292" t="s">
        <v>29</v>
      </c>
      <c r="B292">
        <v>8</v>
      </c>
      <c r="C292">
        <v>0</v>
      </c>
      <c r="D292">
        <v>5.25</v>
      </c>
      <c r="E292">
        <v>0</v>
      </c>
      <c r="F292">
        <v>2.3145502494313699</v>
      </c>
      <c r="H292" t="s">
        <v>6</v>
      </c>
      <c r="I292">
        <v>30</v>
      </c>
      <c r="J292">
        <v>3</v>
      </c>
      <c r="K292">
        <v>5.23</v>
      </c>
      <c r="L292">
        <v>0.1</v>
      </c>
      <c r="M292">
        <v>2.2078751422302298</v>
      </c>
      <c r="N292" s="3" t="s">
        <v>46</v>
      </c>
      <c r="O292" t="s">
        <v>6</v>
      </c>
      <c r="P292">
        <v>30</v>
      </c>
      <c r="Q292">
        <v>3</v>
      </c>
      <c r="R292">
        <v>5.23</v>
      </c>
      <c r="S292">
        <v>0.1</v>
      </c>
      <c r="T292">
        <v>2.2078751422302298</v>
      </c>
      <c r="V292" t="s">
        <v>51</v>
      </c>
      <c r="W292">
        <v>18</v>
      </c>
      <c r="X292">
        <v>1</v>
      </c>
      <c r="Y292">
        <v>5.17</v>
      </c>
      <c r="Z292">
        <v>0.06</v>
      </c>
      <c r="AA292">
        <v>2.3072774891123702</v>
      </c>
      <c r="AB292" s="3" t="s">
        <v>45</v>
      </c>
      <c r="AF292" t="s">
        <v>51</v>
      </c>
      <c r="AG292">
        <v>18</v>
      </c>
      <c r="AH292">
        <v>1</v>
      </c>
      <c r="AI292">
        <v>5.17</v>
      </c>
      <c r="AJ292">
        <v>0.06</v>
      </c>
      <c r="AK292">
        <v>2.3072774891123702</v>
      </c>
      <c r="AM292" t="s">
        <v>51</v>
      </c>
      <c r="AN292">
        <v>18</v>
      </c>
      <c r="AO292">
        <v>1</v>
      </c>
      <c r="AP292">
        <v>5.17</v>
      </c>
      <c r="AQ292">
        <v>0.06</v>
      </c>
      <c r="AR292">
        <v>2.3072774891123702</v>
      </c>
      <c r="AT292" t="s">
        <v>99</v>
      </c>
      <c r="AU292">
        <v>9</v>
      </c>
      <c r="AV292">
        <v>1</v>
      </c>
      <c r="AW292">
        <v>5.1100000000000003</v>
      </c>
      <c r="AX292">
        <v>0.11</v>
      </c>
      <c r="AY292">
        <v>2.4720661623652198</v>
      </c>
      <c r="AZ292" s="3" t="s">
        <v>46</v>
      </c>
    </row>
    <row r="293" spans="1:52" x14ac:dyDescent="0.35">
      <c r="A293" t="s">
        <v>116</v>
      </c>
      <c r="B293">
        <v>5</v>
      </c>
      <c r="C293">
        <v>0</v>
      </c>
      <c r="D293">
        <v>5.4</v>
      </c>
      <c r="E293">
        <v>0</v>
      </c>
      <c r="F293">
        <v>1.51657508881031</v>
      </c>
      <c r="H293" t="s">
        <v>29</v>
      </c>
      <c r="I293">
        <v>8</v>
      </c>
      <c r="J293">
        <v>0</v>
      </c>
      <c r="K293">
        <v>5.25</v>
      </c>
      <c r="L293">
        <v>0</v>
      </c>
      <c r="M293">
        <v>2.3145502494313699</v>
      </c>
      <c r="N293" s="3" t="s">
        <v>46</v>
      </c>
      <c r="O293" t="s">
        <v>29</v>
      </c>
      <c r="P293">
        <v>8</v>
      </c>
      <c r="Q293">
        <v>0</v>
      </c>
      <c r="R293">
        <v>5.25</v>
      </c>
      <c r="S293">
        <v>0</v>
      </c>
      <c r="T293">
        <v>2.3145502494313699</v>
      </c>
      <c r="V293" t="s">
        <v>17</v>
      </c>
      <c r="W293">
        <v>6</v>
      </c>
      <c r="X293">
        <v>1</v>
      </c>
      <c r="Y293">
        <v>5.17</v>
      </c>
      <c r="Z293">
        <v>0.17</v>
      </c>
      <c r="AA293">
        <v>2.4832774042918899</v>
      </c>
      <c r="AB293" s="3" t="s">
        <v>45</v>
      </c>
      <c r="AF293" t="s">
        <v>17</v>
      </c>
      <c r="AG293">
        <v>6</v>
      </c>
      <c r="AH293">
        <v>1</v>
      </c>
      <c r="AI293">
        <v>5.17</v>
      </c>
      <c r="AJ293">
        <v>0.17</v>
      </c>
      <c r="AK293">
        <v>2.4832774042918899</v>
      </c>
      <c r="AM293" t="s">
        <v>17</v>
      </c>
      <c r="AN293">
        <v>6</v>
      </c>
      <c r="AO293">
        <v>1</v>
      </c>
      <c r="AP293">
        <v>5.17</v>
      </c>
      <c r="AQ293">
        <v>0.17</v>
      </c>
      <c r="AR293">
        <v>2.4832774042918899</v>
      </c>
      <c r="AT293" t="s">
        <v>51</v>
      </c>
      <c r="AU293">
        <v>18</v>
      </c>
      <c r="AV293">
        <v>1</v>
      </c>
      <c r="AW293">
        <v>5.17</v>
      </c>
      <c r="AX293">
        <v>0.06</v>
      </c>
      <c r="AY293">
        <v>2.3072774891123702</v>
      </c>
      <c r="AZ293" s="3" t="s">
        <v>46</v>
      </c>
    </row>
    <row r="294" spans="1:52" x14ac:dyDescent="0.35">
      <c r="A294" t="s">
        <v>49</v>
      </c>
      <c r="B294">
        <v>5</v>
      </c>
      <c r="C294">
        <v>1</v>
      </c>
      <c r="D294">
        <v>5.4</v>
      </c>
      <c r="E294">
        <v>0.2</v>
      </c>
      <c r="F294">
        <v>2.88097205817758</v>
      </c>
      <c r="H294" t="s">
        <v>116</v>
      </c>
      <c r="I294">
        <v>5</v>
      </c>
      <c r="J294">
        <v>0</v>
      </c>
      <c r="K294">
        <v>5.4</v>
      </c>
      <c r="L294">
        <v>0</v>
      </c>
      <c r="M294">
        <v>1.51657508881031</v>
      </c>
      <c r="N294" s="3" t="s">
        <v>46</v>
      </c>
      <c r="O294" t="s">
        <v>116</v>
      </c>
      <c r="P294">
        <v>5</v>
      </c>
      <c r="Q294">
        <v>0</v>
      </c>
      <c r="R294">
        <v>5.4</v>
      </c>
      <c r="S294">
        <v>0</v>
      </c>
      <c r="T294" s="7">
        <v>1.51657508881031</v>
      </c>
      <c r="V294" t="s">
        <v>6</v>
      </c>
      <c r="W294" s="6">
        <v>32</v>
      </c>
      <c r="X294">
        <v>3</v>
      </c>
      <c r="Y294">
        <v>5.22</v>
      </c>
      <c r="Z294">
        <v>0.09</v>
      </c>
      <c r="AA294">
        <v>2.1958079562304902</v>
      </c>
      <c r="AB294" s="3" t="s">
        <v>45</v>
      </c>
      <c r="AF294" t="s">
        <v>6</v>
      </c>
      <c r="AG294" s="6">
        <v>33</v>
      </c>
      <c r="AH294">
        <v>3</v>
      </c>
      <c r="AI294">
        <v>5.18</v>
      </c>
      <c r="AJ294">
        <v>0.09</v>
      </c>
      <c r="AK294">
        <v>2.1958079562304902</v>
      </c>
      <c r="AM294" t="s">
        <v>6</v>
      </c>
      <c r="AN294" s="6">
        <v>34</v>
      </c>
      <c r="AO294">
        <v>3</v>
      </c>
      <c r="AP294">
        <v>5.26</v>
      </c>
      <c r="AQ294">
        <v>0.09</v>
      </c>
      <c r="AR294" s="23">
        <v>2.1958079562304902</v>
      </c>
      <c r="AT294" t="s">
        <v>17</v>
      </c>
      <c r="AU294">
        <v>6</v>
      </c>
      <c r="AV294">
        <v>1</v>
      </c>
      <c r="AW294">
        <v>5.17</v>
      </c>
      <c r="AX294">
        <v>0.17</v>
      </c>
      <c r="AY294">
        <v>2.4832774042918899</v>
      </c>
      <c r="AZ294" s="3" t="s">
        <v>46</v>
      </c>
    </row>
    <row r="295" spans="1:52" x14ac:dyDescent="0.35">
      <c r="A295" t="s">
        <v>51</v>
      </c>
      <c r="B295">
        <v>17</v>
      </c>
      <c r="C295">
        <v>0</v>
      </c>
      <c r="D295">
        <v>5.41</v>
      </c>
      <c r="E295">
        <v>0</v>
      </c>
      <c r="F295">
        <v>2.1230527410256301</v>
      </c>
      <c r="H295" t="s">
        <v>49</v>
      </c>
      <c r="I295">
        <v>5</v>
      </c>
      <c r="J295">
        <v>1</v>
      </c>
      <c r="K295">
        <v>5.4</v>
      </c>
      <c r="L295">
        <v>0.2</v>
      </c>
      <c r="M295">
        <v>2.88097205817758</v>
      </c>
      <c r="N295" s="3" t="s">
        <v>46</v>
      </c>
      <c r="O295" t="s">
        <v>49</v>
      </c>
      <c r="P295">
        <v>5</v>
      </c>
      <c r="Q295">
        <v>1</v>
      </c>
      <c r="R295">
        <v>5.4</v>
      </c>
      <c r="S295">
        <v>0.2</v>
      </c>
      <c r="T295" s="7">
        <v>2.88097205817758</v>
      </c>
      <c r="V295" t="s">
        <v>116</v>
      </c>
      <c r="W295">
        <v>5</v>
      </c>
      <c r="X295">
        <v>0</v>
      </c>
      <c r="Y295">
        <v>5.4</v>
      </c>
      <c r="Z295">
        <v>0</v>
      </c>
      <c r="AA295" s="7">
        <v>1.51657508881031</v>
      </c>
      <c r="AB295" s="3" t="s">
        <v>46</v>
      </c>
      <c r="AF295" t="s">
        <v>116</v>
      </c>
      <c r="AG295">
        <v>5</v>
      </c>
      <c r="AH295">
        <v>0</v>
      </c>
      <c r="AI295">
        <v>5.4</v>
      </c>
      <c r="AJ295">
        <v>0</v>
      </c>
      <c r="AK295" s="7">
        <v>1.51657508881031</v>
      </c>
      <c r="AM295" t="s">
        <v>116</v>
      </c>
      <c r="AN295">
        <v>5</v>
      </c>
      <c r="AO295">
        <v>0</v>
      </c>
      <c r="AP295">
        <v>5.4</v>
      </c>
      <c r="AQ295">
        <v>0</v>
      </c>
      <c r="AR295">
        <v>1.51657508881031</v>
      </c>
      <c r="AT295" t="s">
        <v>6</v>
      </c>
      <c r="AU295">
        <v>34</v>
      </c>
      <c r="AV295">
        <v>3</v>
      </c>
      <c r="AW295">
        <v>5.26</v>
      </c>
      <c r="AX295">
        <v>0.09</v>
      </c>
      <c r="AY295" s="23">
        <v>2.1958079562304902</v>
      </c>
      <c r="AZ295" s="3" t="s">
        <v>46</v>
      </c>
    </row>
    <row r="296" spans="1:52" x14ac:dyDescent="0.35">
      <c r="A296" t="s">
        <v>124</v>
      </c>
      <c r="B296">
        <v>6</v>
      </c>
      <c r="C296">
        <v>0</v>
      </c>
      <c r="D296">
        <v>5.5</v>
      </c>
      <c r="E296">
        <v>0</v>
      </c>
      <c r="F296">
        <v>2.16794833886788</v>
      </c>
      <c r="H296" t="s">
        <v>124</v>
      </c>
      <c r="I296">
        <v>6</v>
      </c>
      <c r="J296">
        <v>0</v>
      </c>
      <c r="K296">
        <v>5.5</v>
      </c>
      <c r="L296">
        <v>0</v>
      </c>
      <c r="M296">
        <v>2.16794833886788</v>
      </c>
      <c r="O296" t="s">
        <v>124</v>
      </c>
      <c r="P296">
        <v>6</v>
      </c>
      <c r="Q296">
        <v>0</v>
      </c>
      <c r="R296">
        <v>5.5</v>
      </c>
      <c r="S296">
        <v>0</v>
      </c>
      <c r="T296">
        <v>2.16794833886788</v>
      </c>
      <c r="V296" t="s">
        <v>49</v>
      </c>
      <c r="W296">
        <v>5</v>
      </c>
      <c r="X296">
        <v>1</v>
      </c>
      <c r="Y296">
        <v>5.4</v>
      </c>
      <c r="Z296">
        <v>0.2</v>
      </c>
      <c r="AA296" s="7">
        <v>2.88097205817758</v>
      </c>
      <c r="AB296" s="3" t="s">
        <v>46</v>
      </c>
      <c r="AF296" t="s">
        <v>49</v>
      </c>
      <c r="AG296">
        <v>5</v>
      </c>
      <c r="AH296">
        <v>1</v>
      </c>
      <c r="AI296">
        <v>5.4</v>
      </c>
      <c r="AJ296">
        <v>0.2</v>
      </c>
      <c r="AK296">
        <v>2.88097205817758</v>
      </c>
      <c r="AM296" t="s">
        <v>49</v>
      </c>
      <c r="AN296">
        <v>5</v>
      </c>
      <c r="AO296">
        <v>1</v>
      </c>
      <c r="AP296">
        <v>5.4</v>
      </c>
      <c r="AQ296">
        <v>0.2</v>
      </c>
      <c r="AR296">
        <v>2.88097205817758</v>
      </c>
      <c r="AT296" t="s">
        <v>116</v>
      </c>
      <c r="AU296">
        <v>5</v>
      </c>
      <c r="AV296">
        <v>0</v>
      </c>
      <c r="AW296">
        <v>5.4</v>
      </c>
      <c r="AX296">
        <v>0</v>
      </c>
      <c r="AY296">
        <v>1.51657508881031</v>
      </c>
      <c r="AZ296" s="3" t="s">
        <v>46</v>
      </c>
    </row>
    <row r="297" spans="1:52" x14ac:dyDescent="0.35">
      <c r="A297" t="s">
        <v>20</v>
      </c>
      <c r="B297">
        <v>11</v>
      </c>
      <c r="C297">
        <v>1</v>
      </c>
      <c r="D297">
        <v>5.82</v>
      </c>
      <c r="E297">
        <v>0.09</v>
      </c>
      <c r="F297">
        <v>2.3159525823376299</v>
      </c>
      <c r="H297" t="s">
        <v>20</v>
      </c>
      <c r="I297">
        <v>11</v>
      </c>
      <c r="J297">
        <v>1</v>
      </c>
      <c r="K297">
        <v>5.82</v>
      </c>
      <c r="L297">
        <v>0.09</v>
      </c>
      <c r="M297">
        <v>2.3159525823376299</v>
      </c>
      <c r="O297" t="s">
        <v>19</v>
      </c>
      <c r="P297" s="6">
        <v>7</v>
      </c>
      <c r="Q297">
        <v>1</v>
      </c>
      <c r="R297">
        <v>5.57</v>
      </c>
      <c r="S297">
        <v>0.14000000000000001</v>
      </c>
      <c r="T297">
        <v>2.5071326821120299</v>
      </c>
      <c r="U297" s="3" t="s">
        <v>71</v>
      </c>
      <c r="V297" t="s">
        <v>124</v>
      </c>
      <c r="W297">
        <v>6</v>
      </c>
      <c r="X297">
        <v>0</v>
      </c>
      <c r="Y297">
        <v>5.5</v>
      </c>
      <c r="Z297">
        <v>0</v>
      </c>
      <c r="AA297">
        <v>2.16794833886788</v>
      </c>
      <c r="AB297" s="3" t="s">
        <v>46</v>
      </c>
      <c r="AF297" t="s">
        <v>124</v>
      </c>
      <c r="AG297">
        <v>6</v>
      </c>
      <c r="AH297">
        <v>0</v>
      </c>
      <c r="AI297">
        <v>5.5</v>
      </c>
      <c r="AJ297">
        <v>0</v>
      </c>
      <c r="AK297">
        <v>2.16794833886788</v>
      </c>
      <c r="AM297" t="s">
        <v>124</v>
      </c>
      <c r="AN297">
        <v>6</v>
      </c>
      <c r="AO297">
        <v>0</v>
      </c>
      <c r="AP297">
        <v>5.5</v>
      </c>
      <c r="AQ297">
        <v>0</v>
      </c>
      <c r="AR297">
        <v>2.16794833886788</v>
      </c>
      <c r="AT297" t="s">
        <v>49</v>
      </c>
      <c r="AU297">
        <v>5</v>
      </c>
      <c r="AV297">
        <v>1</v>
      </c>
      <c r="AW297">
        <v>5.4</v>
      </c>
      <c r="AX297">
        <v>0.2</v>
      </c>
      <c r="AY297">
        <v>2.88097205817758</v>
      </c>
      <c r="AZ297" s="3" t="s">
        <v>46</v>
      </c>
    </row>
    <row r="298" spans="1:52" x14ac:dyDescent="0.35">
      <c r="A298" t="s">
        <v>31</v>
      </c>
      <c r="B298">
        <v>5</v>
      </c>
      <c r="C298">
        <v>0</v>
      </c>
      <c r="D298">
        <v>6</v>
      </c>
      <c r="E298">
        <v>0</v>
      </c>
      <c r="F298">
        <v>1.58113883008418</v>
      </c>
      <c r="H298" t="s">
        <v>31</v>
      </c>
      <c r="I298">
        <v>5</v>
      </c>
      <c r="J298">
        <v>0</v>
      </c>
      <c r="K298">
        <v>6</v>
      </c>
      <c r="L298">
        <v>0</v>
      </c>
      <c r="M298">
        <v>1.58113883008418</v>
      </c>
      <c r="O298" t="s">
        <v>20</v>
      </c>
      <c r="P298">
        <v>11</v>
      </c>
      <c r="Q298">
        <v>1</v>
      </c>
      <c r="R298">
        <v>5.82</v>
      </c>
      <c r="S298">
        <v>0.09</v>
      </c>
      <c r="T298">
        <v>2.3159525823376299</v>
      </c>
      <c r="U298" s="3" t="s">
        <v>46</v>
      </c>
      <c r="V298" t="s">
        <v>19</v>
      </c>
      <c r="W298">
        <v>7</v>
      </c>
      <c r="X298">
        <v>1</v>
      </c>
      <c r="Y298">
        <v>5.57</v>
      </c>
      <c r="Z298">
        <v>0.14000000000000001</v>
      </c>
      <c r="AA298">
        <v>2.5071326821120299</v>
      </c>
      <c r="AB298" s="3" t="s">
        <v>46</v>
      </c>
      <c r="AF298" t="s">
        <v>19</v>
      </c>
      <c r="AG298">
        <v>7</v>
      </c>
      <c r="AH298">
        <v>1</v>
      </c>
      <c r="AI298">
        <v>5.57</v>
      </c>
      <c r="AJ298">
        <v>0.14000000000000001</v>
      </c>
      <c r="AK298">
        <v>2.5071326821120299</v>
      </c>
      <c r="AM298" t="s">
        <v>19</v>
      </c>
      <c r="AN298">
        <v>7</v>
      </c>
      <c r="AO298">
        <v>1</v>
      </c>
      <c r="AP298">
        <v>5.57</v>
      </c>
      <c r="AQ298">
        <v>0.14000000000000001</v>
      </c>
      <c r="AR298">
        <v>2.5071326821120299</v>
      </c>
      <c r="AT298" t="s">
        <v>19</v>
      </c>
      <c r="AU298" s="6">
        <v>8</v>
      </c>
      <c r="AV298">
        <v>1</v>
      </c>
      <c r="AW298">
        <v>5.5</v>
      </c>
      <c r="AX298">
        <v>1.3</v>
      </c>
      <c r="AY298">
        <v>2.3299294900428702</v>
      </c>
      <c r="AZ298" s="2"/>
    </row>
    <row r="299" spans="1:52" x14ac:dyDescent="0.35">
      <c r="A299" t="s">
        <v>32</v>
      </c>
      <c r="B299">
        <v>10</v>
      </c>
      <c r="C299">
        <v>0</v>
      </c>
      <c r="D299">
        <v>6.2</v>
      </c>
      <c r="E299">
        <v>0</v>
      </c>
      <c r="F299">
        <v>1.6193277068654801</v>
      </c>
      <c r="H299" t="s">
        <v>4</v>
      </c>
      <c r="I299">
        <v>6</v>
      </c>
      <c r="J299">
        <v>0</v>
      </c>
      <c r="K299">
        <v>6</v>
      </c>
      <c r="L299">
        <v>0</v>
      </c>
      <c r="M299">
        <v>2.2803508501982699</v>
      </c>
      <c r="N299" s="2" t="s">
        <v>44</v>
      </c>
      <c r="O299" t="s">
        <v>31</v>
      </c>
      <c r="P299">
        <v>5</v>
      </c>
      <c r="Q299">
        <v>0</v>
      </c>
      <c r="R299">
        <v>6</v>
      </c>
      <c r="S299">
        <v>0</v>
      </c>
      <c r="T299">
        <v>1.58113883008418</v>
      </c>
      <c r="U299" s="3" t="s">
        <v>46</v>
      </c>
      <c r="V299" t="s">
        <v>137</v>
      </c>
      <c r="W299" s="6">
        <v>5</v>
      </c>
      <c r="X299">
        <v>0</v>
      </c>
      <c r="Y299">
        <v>5.8</v>
      </c>
      <c r="Z299">
        <v>0</v>
      </c>
      <c r="AA299">
        <v>1.64316767251549</v>
      </c>
      <c r="AB299" s="3" t="s">
        <v>283</v>
      </c>
      <c r="AF299" t="s">
        <v>105</v>
      </c>
      <c r="AG299" s="6">
        <v>5</v>
      </c>
      <c r="AH299">
        <v>0</v>
      </c>
      <c r="AI299">
        <v>5.6</v>
      </c>
      <c r="AJ299">
        <v>0</v>
      </c>
      <c r="AK299">
        <v>1.8165902124584901</v>
      </c>
      <c r="AL299" s="12" t="s">
        <v>85</v>
      </c>
      <c r="AM299" t="s">
        <v>105</v>
      </c>
      <c r="AN299">
        <v>5</v>
      </c>
      <c r="AO299">
        <v>0</v>
      </c>
      <c r="AP299">
        <v>5.6</v>
      </c>
      <c r="AQ299">
        <v>0</v>
      </c>
      <c r="AR299" s="24">
        <v>1.41421356237309</v>
      </c>
      <c r="AT299" t="s">
        <v>124</v>
      </c>
      <c r="AU299">
        <v>6</v>
      </c>
      <c r="AV299">
        <v>0</v>
      </c>
      <c r="AW299">
        <v>5.5</v>
      </c>
      <c r="AX299">
        <v>0</v>
      </c>
      <c r="AY299">
        <v>2.16794833886788</v>
      </c>
      <c r="AZ299" s="3" t="s">
        <v>45</v>
      </c>
    </row>
    <row r="300" spans="1:52" x14ac:dyDescent="0.35">
      <c r="A300" t="s">
        <v>4</v>
      </c>
      <c r="B300">
        <v>5</v>
      </c>
      <c r="C300">
        <v>0</v>
      </c>
      <c r="D300">
        <v>6.4</v>
      </c>
      <c r="E300">
        <v>0</v>
      </c>
      <c r="F300">
        <v>2.3021728866442599</v>
      </c>
      <c r="H300" t="s">
        <v>32</v>
      </c>
      <c r="I300">
        <v>10</v>
      </c>
      <c r="J300">
        <v>0</v>
      </c>
      <c r="K300">
        <v>6.2</v>
      </c>
      <c r="L300">
        <v>0</v>
      </c>
      <c r="M300">
        <v>1.6193277068654801</v>
      </c>
      <c r="N300" s="3" t="s">
        <v>46</v>
      </c>
      <c r="O300" t="s">
        <v>4</v>
      </c>
      <c r="P300">
        <v>6</v>
      </c>
      <c r="Q300">
        <v>0</v>
      </c>
      <c r="R300">
        <v>6</v>
      </c>
      <c r="S300">
        <v>0</v>
      </c>
      <c r="T300">
        <v>2.2803508501982699</v>
      </c>
      <c r="U300" s="3" t="s">
        <v>46</v>
      </c>
      <c r="V300" t="s">
        <v>20</v>
      </c>
      <c r="W300">
        <v>11</v>
      </c>
      <c r="X300">
        <v>1</v>
      </c>
      <c r="Y300">
        <v>5.82</v>
      </c>
      <c r="Z300">
        <v>0.09</v>
      </c>
      <c r="AA300">
        <v>2.3159525823376299</v>
      </c>
      <c r="AB300" s="3" t="s">
        <v>45</v>
      </c>
      <c r="AF300" t="s">
        <v>137</v>
      </c>
      <c r="AG300">
        <v>5</v>
      </c>
      <c r="AH300">
        <v>0</v>
      </c>
      <c r="AI300">
        <v>5.8</v>
      </c>
      <c r="AJ300">
        <v>0</v>
      </c>
      <c r="AK300">
        <v>1.64316767251549</v>
      </c>
      <c r="AL300" s="3" t="s">
        <v>46</v>
      </c>
      <c r="AM300" t="s">
        <v>137</v>
      </c>
      <c r="AN300">
        <v>5</v>
      </c>
      <c r="AO300">
        <v>0</v>
      </c>
      <c r="AP300">
        <v>5.8</v>
      </c>
      <c r="AQ300">
        <v>0</v>
      </c>
      <c r="AR300">
        <v>1.64316767251549</v>
      </c>
      <c r="AT300" t="s">
        <v>105</v>
      </c>
      <c r="AU300">
        <v>5</v>
      </c>
      <c r="AV300">
        <v>0</v>
      </c>
      <c r="AW300">
        <v>5.6</v>
      </c>
      <c r="AX300">
        <v>0</v>
      </c>
      <c r="AY300" s="24">
        <v>1.41421356237309</v>
      </c>
      <c r="AZ300" s="3" t="s">
        <v>46</v>
      </c>
    </row>
    <row r="301" spans="1:52" x14ac:dyDescent="0.35">
      <c r="O301" t="s">
        <v>32</v>
      </c>
      <c r="P301" s="6">
        <v>11</v>
      </c>
      <c r="Q301">
        <v>0</v>
      </c>
      <c r="R301">
        <v>6.27</v>
      </c>
      <c r="S301">
        <v>0</v>
      </c>
      <c r="T301">
        <v>1.5550504230351501</v>
      </c>
      <c r="U301" s="3" t="s">
        <v>46</v>
      </c>
      <c r="V301" t="s">
        <v>31</v>
      </c>
      <c r="W301">
        <v>5</v>
      </c>
      <c r="X301">
        <v>0</v>
      </c>
      <c r="Y301">
        <v>6</v>
      </c>
      <c r="Z301">
        <v>0</v>
      </c>
      <c r="AA301">
        <v>1.58113883008418</v>
      </c>
      <c r="AB301" s="3" t="s">
        <v>45</v>
      </c>
      <c r="AF301" t="s">
        <v>20</v>
      </c>
      <c r="AG301">
        <v>11</v>
      </c>
      <c r="AH301">
        <v>1</v>
      </c>
      <c r="AI301">
        <v>5.82</v>
      </c>
      <c r="AJ301">
        <v>0.09</v>
      </c>
      <c r="AK301">
        <v>2.3159525823376299</v>
      </c>
      <c r="AL301" s="3" t="s">
        <v>46</v>
      </c>
      <c r="AM301" t="s">
        <v>20</v>
      </c>
      <c r="AN301">
        <v>11</v>
      </c>
      <c r="AO301">
        <v>1</v>
      </c>
      <c r="AP301">
        <v>5.82</v>
      </c>
      <c r="AQ301">
        <v>0.09</v>
      </c>
      <c r="AR301">
        <v>2.3159525823376299</v>
      </c>
      <c r="AT301" t="s">
        <v>137</v>
      </c>
      <c r="AU301">
        <v>5</v>
      </c>
      <c r="AV301">
        <v>0</v>
      </c>
      <c r="AW301">
        <v>5.8</v>
      </c>
      <c r="AX301">
        <v>0</v>
      </c>
      <c r="AY301">
        <v>1.64316767251549</v>
      </c>
      <c r="AZ301" s="3" t="s">
        <v>46</v>
      </c>
    </row>
    <row r="302" spans="1:52" x14ac:dyDescent="0.35">
      <c r="V302" t="s">
        <v>4</v>
      </c>
      <c r="W302">
        <v>6</v>
      </c>
      <c r="X302">
        <v>0</v>
      </c>
      <c r="Y302">
        <v>6</v>
      </c>
      <c r="Z302">
        <v>0</v>
      </c>
      <c r="AA302">
        <v>2.2803508501982699</v>
      </c>
      <c r="AB302" s="3" t="s">
        <v>45</v>
      </c>
      <c r="AF302" t="s">
        <v>32</v>
      </c>
      <c r="AG302" s="6">
        <v>12</v>
      </c>
      <c r="AH302">
        <v>1</v>
      </c>
      <c r="AI302">
        <v>5.83</v>
      </c>
      <c r="AJ302">
        <v>0.08</v>
      </c>
      <c r="AK302">
        <v>2.1248885888797799</v>
      </c>
      <c r="AL302" s="2" t="s">
        <v>47</v>
      </c>
      <c r="AM302" t="s">
        <v>32</v>
      </c>
      <c r="AN302">
        <v>12</v>
      </c>
      <c r="AO302">
        <v>1</v>
      </c>
      <c r="AP302">
        <v>5.83</v>
      </c>
      <c r="AQ302">
        <v>0.08</v>
      </c>
      <c r="AR302">
        <v>2.1248885888797799</v>
      </c>
      <c r="AT302" t="s">
        <v>20</v>
      </c>
      <c r="AU302">
        <v>11</v>
      </c>
      <c r="AV302">
        <v>1</v>
      </c>
      <c r="AW302">
        <v>5.82</v>
      </c>
      <c r="AX302">
        <v>0.09</v>
      </c>
      <c r="AY302">
        <v>2.3159525823376299</v>
      </c>
      <c r="AZ302" s="3" t="s">
        <v>46</v>
      </c>
    </row>
    <row r="303" spans="1:52" x14ac:dyDescent="0.35">
      <c r="V303" t="s">
        <v>33</v>
      </c>
      <c r="W303" s="6">
        <v>5</v>
      </c>
      <c r="X303">
        <v>0</v>
      </c>
      <c r="Y303">
        <v>6.2</v>
      </c>
      <c r="Z303">
        <v>0</v>
      </c>
      <c r="AA303">
        <v>2.3874672772626599</v>
      </c>
      <c r="AB303" s="21" t="s">
        <v>284</v>
      </c>
      <c r="AF303" t="s">
        <v>31</v>
      </c>
      <c r="AG303">
        <v>5</v>
      </c>
      <c r="AH303">
        <v>0</v>
      </c>
      <c r="AI303">
        <v>6</v>
      </c>
      <c r="AJ303">
        <v>0</v>
      </c>
      <c r="AK303">
        <v>1.58113883008418</v>
      </c>
      <c r="AM303" t="s">
        <v>31</v>
      </c>
      <c r="AN303">
        <v>5</v>
      </c>
      <c r="AO303">
        <v>0</v>
      </c>
      <c r="AP303">
        <v>6</v>
      </c>
      <c r="AQ303">
        <v>0</v>
      </c>
      <c r="AR303" s="23">
        <v>1.58113883008418</v>
      </c>
      <c r="AT303" t="s">
        <v>32</v>
      </c>
      <c r="AU303">
        <v>12</v>
      </c>
      <c r="AV303">
        <v>1</v>
      </c>
      <c r="AW303">
        <v>5.83</v>
      </c>
      <c r="AX303">
        <v>0.08</v>
      </c>
      <c r="AY303">
        <v>2.1248885888797799</v>
      </c>
      <c r="AZ303" s="3" t="s">
        <v>46</v>
      </c>
    </row>
    <row r="304" spans="1:52" x14ac:dyDescent="0.35">
      <c r="V304" t="s">
        <v>32</v>
      </c>
      <c r="W304">
        <v>11</v>
      </c>
      <c r="X304">
        <v>0</v>
      </c>
      <c r="Y304">
        <v>6.27</v>
      </c>
      <c r="Z304">
        <v>0</v>
      </c>
      <c r="AA304">
        <v>1.5550504230351501</v>
      </c>
      <c r="AB304" s="3" t="s">
        <v>54</v>
      </c>
      <c r="AF304" t="s">
        <v>90</v>
      </c>
      <c r="AG304" s="6">
        <v>5</v>
      </c>
      <c r="AH304">
        <v>1</v>
      </c>
      <c r="AI304">
        <v>6</v>
      </c>
      <c r="AJ304">
        <v>0.2</v>
      </c>
      <c r="AK304" s="7">
        <v>3.08220700148448</v>
      </c>
      <c r="AL304" s="12" t="s">
        <v>290</v>
      </c>
      <c r="AM304" t="s">
        <v>90</v>
      </c>
      <c r="AN304">
        <v>5</v>
      </c>
      <c r="AO304">
        <v>1</v>
      </c>
      <c r="AP304">
        <v>6</v>
      </c>
      <c r="AQ304">
        <v>0.2</v>
      </c>
      <c r="AR304" s="7">
        <v>3.08220700148448</v>
      </c>
      <c r="AT304" t="s">
        <v>4</v>
      </c>
      <c r="AU304" s="6">
        <v>8</v>
      </c>
      <c r="AV304">
        <v>0</v>
      </c>
      <c r="AW304">
        <v>5.88</v>
      </c>
      <c r="AX304">
        <v>0</v>
      </c>
      <c r="AY304">
        <v>2.1001700611412999</v>
      </c>
      <c r="AZ304" s="2" t="s">
        <v>44</v>
      </c>
    </row>
    <row r="305" spans="1:52" x14ac:dyDescent="0.35">
      <c r="AF305" t="s">
        <v>4</v>
      </c>
      <c r="AG305">
        <v>6</v>
      </c>
      <c r="AH305">
        <v>0</v>
      </c>
      <c r="AI305">
        <v>6</v>
      </c>
      <c r="AJ305">
        <v>0</v>
      </c>
      <c r="AK305">
        <v>2.2803508501982699</v>
      </c>
      <c r="AM305" t="s">
        <v>4</v>
      </c>
      <c r="AN305" s="6">
        <v>7</v>
      </c>
      <c r="AO305">
        <v>0</v>
      </c>
      <c r="AP305">
        <v>6.14</v>
      </c>
      <c r="AQ305">
        <v>0</v>
      </c>
      <c r="AR305" s="23">
        <v>2.2803508501982699</v>
      </c>
      <c r="AT305" t="s">
        <v>31</v>
      </c>
      <c r="AU305">
        <v>5</v>
      </c>
      <c r="AV305">
        <v>0</v>
      </c>
      <c r="AW305">
        <v>6</v>
      </c>
      <c r="AX305">
        <v>0</v>
      </c>
      <c r="AY305" s="23">
        <v>1.58113883008418</v>
      </c>
      <c r="AZ305" s="3" t="s">
        <v>45</v>
      </c>
    </row>
    <row r="306" spans="1:52" x14ac:dyDescent="0.35">
      <c r="AF306" t="s">
        <v>33</v>
      </c>
      <c r="AG306">
        <v>5</v>
      </c>
      <c r="AH306">
        <v>0</v>
      </c>
      <c r="AI306">
        <v>6.2</v>
      </c>
      <c r="AJ306">
        <v>0</v>
      </c>
      <c r="AK306">
        <v>2.3874672772626599</v>
      </c>
      <c r="AL306" s="11" t="s">
        <v>291</v>
      </c>
      <c r="AM306" t="s">
        <v>33</v>
      </c>
      <c r="AN306">
        <v>5</v>
      </c>
      <c r="AO306">
        <v>0</v>
      </c>
      <c r="AP306">
        <v>6.2</v>
      </c>
      <c r="AQ306">
        <v>0</v>
      </c>
      <c r="AR306">
        <v>2.3874672772626599</v>
      </c>
      <c r="AT306" t="s">
        <v>90</v>
      </c>
      <c r="AU306">
        <v>5</v>
      </c>
      <c r="AV306">
        <v>1</v>
      </c>
      <c r="AW306">
        <v>6</v>
      </c>
      <c r="AX306">
        <v>0.2</v>
      </c>
      <c r="AY306" s="7">
        <v>3.08220700148448</v>
      </c>
      <c r="AZ306" s="3" t="s">
        <v>45</v>
      </c>
    </row>
    <row r="307" spans="1:52" x14ac:dyDescent="0.35">
      <c r="AT307" t="s">
        <v>33</v>
      </c>
      <c r="AU307">
        <v>5</v>
      </c>
      <c r="AV307">
        <v>0</v>
      </c>
      <c r="AW307">
        <v>6.2</v>
      </c>
      <c r="AX307">
        <v>0</v>
      </c>
      <c r="AY307">
        <v>2.3874672772626599</v>
      </c>
      <c r="AZ307" s="3" t="s">
        <v>46</v>
      </c>
    </row>
    <row r="308" spans="1:52" x14ac:dyDescent="0.35">
      <c r="A308" s="4" t="s">
        <v>42</v>
      </c>
      <c r="B308" s="4" t="s">
        <v>38</v>
      </c>
      <c r="C308" s="4" t="s">
        <v>39</v>
      </c>
      <c r="D308" s="4" t="s">
        <v>40</v>
      </c>
      <c r="E308" s="4" t="s">
        <v>111</v>
      </c>
      <c r="F308" s="4" t="s">
        <v>275</v>
      </c>
      <c r="H308" s="4" t="s">
        <v>42</v>
      </c>
      <c r="I308" s="4" t="s">
        <v>38</v>
      </c>
      <c r="J308" s="4" t="s">
        <v>39</v>
      </c>
      <c r="K308" s="4" t="s">
        <v>40</v>
      </c>
      <c r="L308" s="4" t="s">
        <v>111</v>
      </c>
      <c r="M308" s="4" t="s">
        <v>275</v>
      </c>
      <c r="O308" s="4" t="s">
        <v>42</v>
      </c>
      <c r="P308" s="4" t="s">
        <v>38</v>
      </c>
      <c r="Q308" s="4" t="s">
        <v>39</v>
      </c>
      <c r="R308" s="4" t="s">
        <v>40</v>
      </c>
      <c r="S308" s="4" t="s">
        <v>111</v>
      </c>
      <c r="T308" s="4" t="s">
        <v>275</v>
      </c>
      <c r="U308" s="4"/>
      <c r="W308" s="4" t="s">
        <v>42</v>
      </c>
      <c r="X308" s="4" t="s">
        <v>38</v>
      </c>
      <c r="Y308" s="4" t="s">
        <v>39</v>
      </c>
      <c r="Z308" s="4" t="s">
        <v>40</v>
      </c>
      <c r="AA308" s="4" t="s">
        <v>111</v>
      </c>
      <c r="AB308" s="4" t="s">
        <v>275</v>
      </c>
      <c r="AD308" s="4" t="s">
        <v>42</v>
      </c>
      <c r="AE308" s="4" t="s">
        <v>38</v>
      </c>
      <c r="AF308" s="4" t="s">
        <v>39</v>
      </c>
      <c r="AG308" s="4" t="s">
        <v>40</v>
      </c>
      <c r="AH308" s="4" t="s">
        <v>111</v>
      </c>
      <c r="AI308" s="4" t="s">
        <v>275</v>
      </c>
      <c r="AK308" s="4" t="s">
        <v>42</v>
      </c>
      <c r="AL308" s="4" t="s">
        <v>38</v>
      </c>
      <c r="AM308" s="4" t="s">
        <v>39</v>
      </c>
      <c r="AN308" s="4" t="s">
        <v>40</v>
      </c>
      <c r="AO308" s="4" t="s">
        <v>111</v>
      </c>
      <c r="AP308" s="4" t="s">
        <v>275</v>
      </c>
      <c r="AQ308" s="4"/>
    </row>
    <row r="309" spans="1:52" x14ac:dyDescent="0.35">
      <c r="A309" t="s">
        <v>128</v>
      </c>
      <c r="B309">
        <v>32</v>
      </c>
      <c r="C309">
        <v>11</v>
      </c>
      <c r="D309">
        <v>2.81</v>
      </c>
      <c r="E309">
        <v>0.34</v>
      </c>
      <c r="F309">
        <v>2.0230526279570298</v>
      </c>
      <c r="H309" t="s">
        <v>128</v>
      </c>
      <c r="I309" s="6">
        <v>35</v>
      </c>
      <c r="J309" s="6">
        <v>12</v>
      </c>
      <c r="K309">
        <v>2.83</v>
      </c>
      <c r="L309">
        <v>0.34</v>
      </c>
      <c r="M309">
        <v>1.9924226206203499</v>
      </c>
      <c r="O309" t="s">
        <v>128</v>
      </c>
      <c r="P309" s="6">
        <v>37</v>
      </c>
      <c r="Q309" s="8">
        <v>13</v>
      </c>
      <c r="R309">
        <v>2.76</v>
      </c>
      <c r="S309">
        <v>0.35</v>
      </c>
      <c r="T309">
        <v>1.9636333302976501</v>
      </c>
      <c r="W309" t="s">
        <v>128</v>
      </c>
      <c r="X309">
        <v>37</v>
      </c>
      <c r="Y309" s="7">
        <v>13</v>
      </c>
      <c r="Z309">
        <v>2.76</v>
      </c>
      <c r="AA309">
        <v>0.35</v>
      </c>
      <c r="AB309">
        <v>1.9636333302976501</v>
      </c>
      <c r="AD309" t="s">
        <v>128</v>
      </c>
      <c r="AE309">
        <v>37</v>
      </c>
      <c r="AF309" s="7">
        <v>13</v>
      </c>
      <c r="AG309">
        <v>2.76</v>
      </c>
      <c r="AH309" s="7">
        <v>0.35</v>
      </c>
      <c r="AI309">
        <v>1.9636333302976501</v>
      </c>
      <c r="AK309" t="s">
        <v>128</v>
      </c>
      <c r="AL309" s="6">
        <v>40</v>
      </c>
      <c r="AM309" s="8">
        <v>14</v>
      </c>
      <c r="AN309">
        <v>2.83</v>
      </c>
      <c r="AO309" s="7">
        <v>0.35</v>
      </c>
      <c r="AP309">
        <v>2.0240540683971</v>
      </c>
    </row>
    <row r="310" spans="1:52" x14ac:dyDescent="0.35">
      <c r="A310" t="s">
        <v>78</v>
      </c>
      <c r="B310">
        <v>5</v>
      </c>
      <c r="C310">
        <v>1</v>
      </c>
      <c r="D310">
        <v>3.4</v>
      </c>
      <c r="E310">
        <v>0.2</v>
      </c>
      <c r="F310">
        <v>2.1908902300206599</v>
      </c>
      <c r="H310" t="s">
        <v>0</v>
      </c>
      <c r="I310" s="6">
        <v>28</v>
      </c>
      <c r="J310" s="6">
        <v>5</v>
      </c>
      <c r="K310">
        <v>3.32</v>
      </c>
      <c r="L310">
        <v>0.18</v>
      </c>
      <c r="M310">
        <v>1.9823960703890999</v>
      </c>
      <c r="N310" s="2" t="s">
        <v>44</v>
      </c>
      <c r="O310" t="s">
        <v>0</v>
      </c>
      <c r="P310">
        <v>28</v>
      </c>
      <c r="Q310">
        <v>5</v>
      </c>
      <c r="R310">
        <v>3.32</v>
      </c>
      <c r="S310">
        <v>0.18</v>
      </c>
      <c r="T310">
        <v>1.9823960703890999</v>
      </c>
      <c r="W310" t="s">
        <v>0</v>
      </c>
      <c r="X310">
        <v>28</v>
      </c>
      <c r="Y310">
        <v>5</v>
      </c>
      <c r="Z310">
        <v>3.32</v>
      </c>
      <c r="AA310">
        <v>0.18</v>
      </c>
      <c r="AB310">
        <v>1.9823960703890999</v>
      </c>
      <c r="AD310" t="s">
        <v>0</v>
      </c>
      <c r="AE310">
        <v>28</v>
      </c>
      <c r="AF310">
        <v>5</v>
      </c>
      <c r="AG310">
        <v>3.32</v>
      </c>
      <c r="AH310">
        <v>0.18</v>
      </c>
      <c r="AI310">
        <v>1.9823960703890999</v>
      </c>
      <c r="AK310" t="s">
        <v>121</v>
      </c>
      <c r="AL310">
        <v>19</v>
      </c>
      <c r="AM310">
        <v>5</v>
      </c>
      <c r="AN310">
        <v>3.37</v>
      </c>
      <c r="AO310">
        <v>0.26</v>
      </c>
      <c r="AP310">
        <v>2.1398475105532699</v>
      </c>
      <c r="AQ310" s="2" t="s">
        <v>44</v>
      </c>
    </row>
    <row r="311" spans="1:52" x14ac:dyDescent="0.35">
      <c r="A311" t="s">
        <v>0</v>
      </c>
      <c r="B311">
        <v>26</v>
      </c>
      <c r="C311">
        <v>4</v>
      </c>
      <c r="D311">
        <v>3.42</v>
      </c>
      <c r="E311">
        <v>0.15</v>
      </c>
      <c r="F311">
        <v>2.0034585480728402</v>
      </c>
      <c r="H311" t="s">
        <v>121</v>
      </c>
      <c r="I311" s="6">
        <v>15</v>
      </c>
      <c r="J311">
        <v>3</v>
      </c>
      <c r="K311">
        <v>3.53</v>
      </c>
      <c r="L311">
        <v>0.2</v>
      </c>
      <c r="M311">
        <v>2.13363093162359</v>
      </c>
      <c r="N311" s="2" t="s">
        <v>44</v>
      </c>
      <c r="O311" t="s">
        <v>121</v>
      </c>
      <c r="P311" s="6">
        <v>17</v>
      </c>
      <c r="Q311" s="6">
        <v>4</v>
      </c>
      <c r="R311">
        <v>3.35</v>
      </c>
      <c r="S311">
        <v>0.24</v>
      </c>
      <c r="T311">
        <v>2.0898916380577002</v>
      </c>
      <c r="W311" t="s">
        <v>121</v>
      </c>
      <c r="X311" s="6">
        <v>18</v>
      </c>
      <c r="Y311">
        <v>4</v>
      </c>
      <c r="Z311">
        <v>3.5</v>
      </c>
      <c r="AA311">
        <v>0.22</v>
      </c>
      <c r="AB311">
        <v>2.1213203435596402</v>
      </c>
      <c r="AD311" t="s">
        <v>121</v>
      </c>
      <c r="AE311" s="6">
        <v>19</v>
      </c>
      <c r="AF311" s="6">
        <v>5</v>
      </c>
      <c r="AG311">
        <v>3.37</v>
      </c>
      <c r="AH311">
        <v>0.26</v>
      </c>
      <c r="AI311">
        <v>2.1398475105532699</v>
      </c>
      <c r="AK311" t="s">
        <v>141</v>
      </c>
      <c r="AL311">
        <v>6</v>
      </c>
      <c r="AM311">
        <v>1</v>
      </c>
      <c r="AN311">
        <v>3.5</v>
      </c>
      <c r="AO311">
        <v>0.17</v>
      </c>
      <c r="AP311">
        <v>2.0736441353327701</v>
      </c>
      <c r="AQ311" s="2" t="s">
        <v>44</v>
      </c>
    </row>
    <row r="312" spans="1:52" x14ac:dyDescent="0.35">
      <c r="A312" t="s">
        <v>121</v>
      </c>
      <c r="B312">
        <v>13</v>
      </c>
      <c r="C312" s="6">
        <v>3</v>
      </c>
      <c r="D312">
        <v>3.46</v>
      </c>
      <c r="E312">
        <v>0.23</v>
      </c>
      <c r="F312">
        <v>2.1453587351685699</v>
      </c>
      <c r="H312" t="s">
        <v>35</v>
      </c>
      <c r="I312" s="6">
        <v>32</v>
      </c>
      <c r="J312" s="6">
        <v>11</v>
      </c>
      <c r="K312">
        <v>3.56</v>
      </c>
      <c r="L312">
        <v>0.34</v>
      </c>
      <c r="M312">
        <v>2.6388841727933698</v>
      </c>
      <c r="N312" s="2" t="s">
        <v>44</v>
      </c>
      <c r="O312" t="s">
        <v>2</v>
      </c>
      <c r="P312" s="6">
        <v>6</v>
      </c>
      <c r="Q312">
        <v>1</v>
      </c>
      <c r="R312">
        <v>3.5</v>
      </c>
      <c r="S312">
        <v>0.17</v>
      </c>
      <c r="T312">
        <v>2.4289915602982202</v>
      </c>
      <c r="U312" s="25" t="s">
        <v>333</v>
      </c>
      <c r="W312" t="s">
        <v>2</v>
      </c>
      <c r="X312">
        <v>6</v>
      </c>
      <c r="Y312">
        <v>1</v>
      </c>
      <c r="Z312">
        <v>3.5</v>
      </c>
      <c r="AA312">
        <v>0.17</v>
      </c>
      <c r="AB312">
        <v>2.4289915602982202</v>
      </c>
      <c r="AD312" t="s">
        <v>141</v>
      </c>
      <c r="AE312" s="6">
        <v>6</v>
      </c>
      <c r="AF312">
        <v>1</v>
      </c>
      <c r="AG312">
        <v>3.5</v>
      </c>
      <c r="AH312">
        <v>0.17</v>
      </c>
      <c r="AI312">
        <v>2.0736441353327701</v>
      </c>
      <c r="AJ312" s="2" t="s">
        <v>59</v>
      </c>
      <c r="AK312" t="s">
        <v>2</v>
      </c>
      <c r="AL312">
        <v>6</v>
      </c>
      <c r="AM312">
        <v>1</v>
      </c>
      <c r="AN312">
        <v>3.5</v>
      </c>
      <c r="AO312">
        <v>0.17</v>
      </c>
      <c r="AP312">
        <v>2.4289915602982202</v>
      </c>
      <c r="AQ312" s="2" t="s">
        <v>44</v>
      </c>
    </row>
    <row r="313" spans="1:52" x14ac:dyDescent="0.35">
      <c r="A313" t="s">
        <v>35</v>
      </c>
      <c r="B313" s="6">
        <v>28</v>
      </c>
      <c r="C313" s="6">
        <v>9</v>
      </c>
      <c r="D313">
        <v>3.64</v>
      </c>
      <c r="E313">
        <v>0.32</v>
      </c>
      <c r="F313">
        <v>2.5850608663123702</v>
      </c>
      <c r="G313" s="2" t="s">
        <v>44</v>
      </c>
      <c r="H313" t="s">
        <v>112</v>
      </c>
      <c r="I313">
        <v>8</v>
      </c>
      <c r="J313">
        <v>3</v>
      </c>
      <c r="K313">
        <v>3.75</v>
      </c>
      <c r="L313" s="7">
        <v>0.38</v>
      </c>
      <c r="M313">
        <v>2.6592157812837498</v>
      </c>
      <c r="N313" s="2" t="s">
        <v>47</v>
      </c>
      <c r="O313" t="s">
        <v>35</v>
      </c>
      <c r="P313">
        <v>32</v>
      </c>
      <c r="Q313">
        <v>11</v>
      </c>
      <c r="R313">
        <v>3.56</v>
      </c>
      <c r="S313">
        <v>0.34</v>
      </c>
      <c r="T313">
        <v>2.6388841727933698</v>
      </c>
      <c r="U313" s="3" t="s">
        <v>46</v>
      </c>
      <c r="W313" t="s">
        <v>35</v>
      </c>
      <c r="X313" s="6">
        <v>34</v>
      </c>
      <c r="Y313" s="6">
        <v>12</v>
      </c>
      <c r="Z313">
        <v>3.56</v>
      </c>
      <c r="AA313">
        <v>0.35</v>
      </c>
      <c r="AB313">
        <v>2.6307180316130099</v>
      </c>
      <c r="AD313" t="s">
        <v>2</v>
      </c>
      <c r="AE313">
        <v>6</v>
      </c>
      <c r="AF313">
        <v>1</v>
      </c>
      <c r="AG313">
        <v>3.5</v>
      </c>
      <c r="AH313">
        <v>0.17</v>
      </c>
      <c r="AI313">
        <v>2.4289915602982202</v>
      </c>
      <c r="AJ313" s="3" t="s">
        <v>46</v>
      </c>
      <c r="AK313" t="s">
        <v>35</v>
      </c>
      <c r="AL313">
        <v>34</v>
      </c>
      <c r="AM313">
        <v>12</v>
      </c>
      <c r="AN313">
        <v>3.56</v>
      </c>
      <c r="AO313" s="7">
        <v>0.35</v>
      </c>
      <c r="AP313">
        <v>2.6307180316130099</v>
      </c>
      <c r="AQ313" s="2" t="s">
        <v>44</v>
      </c>
    </row>
    <row r="314" spans="1:52" x14ac:dyDescent="0.35">
      <c r="A314" t="s">
        <v>52</v>
      </c>
      <c r="B314">
        <v>6</v>
      </c>
      <c r="C314">
        <v>0</v>
      </c>
      <c r="D314">
        <v>3.67</v>
      </c>
      <c r="E314">
        <v>0</v>
      </c>
      <c r="F314">
        <v>1.8618986725025199</v>
      </c>
      <c r="G314" s="3" t="s">
        <v>46</v>
      </c>
      <c r="H314" t="s">
        <v>141</v>
      </c>
      <c r="I314">
        <v>5</v>
      </c>
      <c r="J314">
        <v>1</v>
      </c>
      <c r="K314">
        <v>3.8</v>
      </c>
      <c r="L314">
        <v>0.2</v>
      </c>
      <c r="M314">
        <v>2.16794833886788</v>
      </c>
      <c r="N314" s="2" t="s">
        <v>47</v>
      </c>
      <c r="O314" t="s">
        <v>112</v>
      </c>
      <c r="P314">
        <v>8</v>
      </c>
      <c r="Q314">
        <v>3</v>
      </c>
      <c r="R314">
        <v>3.75</v>
      </c>
      <c r="S314" s="7">
        <v>0.38</v>
      </c>
      <c r="T314">
        <v>2.6592157812837498</v>
      </c>
      <c r="U314" s="3" t="s">
        <v>46</v>
      </c>
      <c r="W314" t="s">
        <v>9</v>
      </c>
      <c r="X314" s="6">
        <v>6</v>
      </c>
      <c r="Y314">
        <v>1</v>
      </c>
      <c r="Z314">
        <v>3.67</v>
      </c>
      <c r="AA314">
        <v>0.17</v>
      </c>
      <c r="AB314">
        <v>2.73252020425589</v>
      </c>
      <c r="AC314" s="2" t="s">
        <v>47</v>
      </c>
      <c r="AD314" t="s">
        <v>35</v>
      </c>
      <c r="AE314">
        <v>34</v>
      </c>
      <c r="AF314">
        <v>12</v>
      </c>
      <c r="AG314">
        <v>3.56</v>
      </c>
      <c r="AH314" s="7">
        <v>0.35</v>
      </c>
      <c r="AI314">
        <v>2.6307180316130099</v>
      </c>
      <c r="AJ314" s="3" t="s">
        <v>46</v>
      </c>
      <c r="AK314" t="s">
        <v>0</v>
      </c>
      <c r="AL314" s="6">
        <v>31</v>
      </c>
      <c r="AM314">
        <v>5</v>
      </c>
      <c r="AN314">
        <v>3.61</v>
      </c>
      <c r="AO314">
        <v>0.16</v>
      </c>
      <c r="AP314">
        <v>2.0924852744179301</v>
      </c>
      <c r="AQ314" s="3" t="s">
        <v>55</v>
      </c>
    </row>
    <row r="315" spans="1:52" x14ac:dyDescent="0.35">
      <c r="A315" t="s">
        <v>112</v>
      </c>
      <c r="B315">
        <v>8</v>
      </c>
      <c r="C315">
        <v>3</v>
      </c>
      <c r="D315">
        <v>3.75</v>
      </c>
      <c r="E315">
        <v>0.38</v>
      </c>
      <c r="F315">
        <v>2.6592157812837498</v>
      </c>
      <c r="H315" t="s">
        <v>9</v>
      </c>
      <c r="I315">
        <v>5</v>
      </c>
      <c r="J315">
        <v>1</v>
      </c>
      <c r="K315">
        <v>3.8</v>
      </c>
      <c r="L315">
        <v>0.2</v>
      </c>
      <c r="M315">
        <v>3.03315017762062</v>
      </c>
      <c r="N315" s="2" t="s">
        <v>47</v>
      </c>
      <c r="O315" t="s">
        <v>141</v>
      </c>
      <c r="P315">
        <v>5</v>
      </c>
      <c r="Q315">
        <v>1</v>
      </c>
      <c r="R315">
        <v>3.8</v>
      </c>
      <c r="S315">
        <v>0.2</v>
      </c>
      <c r="T315">
        <v>2.16794833886788</v>
      </c>
      <c r="U315" s="3" t="s">
        <v>46</v>
      </c>
      <c r="W315" t="s">
        <v>141</v>
      </c>
      <c r="X315">
        <v>5</v>
      </c>
      <c r="Y315">
        <v>1</v>
      </c>
      <c r="Z315">
        <v>3.8</v>
      </c>
      <c r="AA315">
        <v>0.2</v>
      </c>
      <c r="AB315">
        <v>2.16794833886788</v>
      </c>
      <c r="AD315" t="s">
        <v>9</v>
      </c>
      <c r="AE315">
        <v>6</v>
      </c>
      <c r="AF315">
        <v>1</v>
      </c>
      <c r="AG315">
        <v>3.67</v>
      </c>
      <c r="AH315">
        <v>0.17</v>
      </c>
      <c r="AI315">
        <v>2.73252020425589</v>
      </c>
      <c r="AJ315" s="3" t="s">
        <v>46</v>
      </c>
      <c r="AK315" t="s">
        <v>9</v>
      </c>
      <c r="AL315">
        <v>6</v>
      </c>
      <c r="AM315">
        <v>1</v>
      </c>
      <c r="AN315">
        <v>3.67</v>
      </c>
      <c r="AO315">
        <v>0.17</v>
      </c>
      <c r="AP315">
        <v>2.73252020425589</v>
      </c>
    </row>
    <row r="316" spans="1:52" x14ac:dyDescent="0.35">
      <c r="A316" t="s">
        <v>141</v>
      </c>
      <c r="B316">
        <v>5</v>
      </c>
      <c r="C316">
        <v>1</v>
      </c>
      <c r="D316">
        <v>3.8</v>
      </c>
      <c r="E316">
        <v>0.2</v>
      </c>
      <c r="F316">
        <v>2.16794833886788</v>
      </c>
      <c r="H316" t="s">
        <v>148</v>
      </c>
      <c r="I316">
        <v>7</v>
      </c>
      <c r="J316">
        <v>0</v>
      </c>
      <c r="K316">
        <v>3.86</v>
      </c>
      <c r="L316">
        <v>0</v>
      </c>
      <c r="M316">
        <v>1.8644544714716</v>
      </c>
      <c r="N316" s="2" t="s">
        <v>47</v>
      </c>
      <c r="O316" t="s">
        <v>9</v>
      </c>
      <c r="P316">
        <v>5</v>
      </c>
      <c r="Q316">
        <v>1</v>
      </c>
      <c r="R316">
        <v>3.8</v>
      </c>
      <c r="S316">
        <v>0.2</v>
      </c>
      <c r="T316">
        <v>3.03315017762062</v>
      </c>
      <c r="U316" s="3" t="s">
        <v>46</v>
      </c>
      <c r="W316" t="s">
        <v>139</v>
      </c>
      <c r="X316" s="6">
        <v>5</v>
      </c>
      <c r="Y316">
        <v>1</v>
      </c>
      <c r="Z316">
        <v>3.8</v>
      </c>
      <c r="AA316">
        <v>0.2</v>
      </c>
      <c r="AB316">
        <v>2.16794833886788</v>
      </c>
      <c r="AC316" s="25" t="s">
        <v>346</v>
      </c>
      <c r="AD316" t="s">
        <v>139</v>
      </c>
      <c r="AE316">
        <v>5</v>
      </c>
      <c r="AF316">
        <v>1</v>
      </c>
      <c r="AG316">
        <v>3.8</v>
      </c>
      <c r="AH316">
        <v>0.2</v>
      </c>
      <c r="AI316">
        <v>2.16794833886788</v>
      </c>
      <c r="AK316" t="s">
        <v>139</v>
      </c>
      <c r="AL316">
        <v>5</v>
      </c>
      <c r="AM316">
        <v>1</v>
      </c>
      <c r="AN316">
        <v>3.8</v>
      </c>
      <c r="AO316">
        <v>0.2</v>
      </c>
      <c r="AP316">
        <v>2.16794833886788</v>
      </c>
    </row>
    <row r="317" spans="1:52" x14ac:dyDescent="0.35">
      <c r="A317" t="s">
        <v>9</v>
      </c>
      <c r="B317">
        <v>5</v>
      </c>
      <c r="C317">
        <v>1</v>
      </c>
      <c r="D317">
        <v>3.8</v>
      </c>
      <c r="E317">
        <v>0.2</v>
      </c>
      <c r="F317">
        <v>3.03315017762062</v>
      </c>
      <c r="H317" t="s">
        <v>15</v>
      </c>
      <c r="I317">
        <v>61</v>
      </c>
      <c r="J317" s="7">
        <v>13</v>
      </c>
      <c r="K317">
        <v>4.1100000000000003</v>
      </c>
      <c r="L317">
        <v>0.21</v>
      </c>
      <c r="M317">
        <v>2.36065194292348</v>
      </c>
      <c r="N317" s="2" t="s">
        <v>47</v>
      </c>
      <c r="O317" t="s">
        <v>15</v>
      </c>
      <c r="P317">
        <v>61</v>
      </c>
      <c r="Q317" s="7">
        <v>13</v>
      </c>
      <c r="R317">
        <v>4.1100000000000003</v>
      </c>
      <c r="S317">
        <v>0.21</v>
      </c>
      <c r="T317">
        <v>2.36065194292348</v>
      </c>
      <c r="W317" t="s">
        <v>15</v>
      </c>
      <c r="X317">
        <v>61</v>
      </c>
      <c r="Y317" s="7">
        <v>13</v>
      </c>
      <c r="Z317">
        <v>4.1100000000000003</v>
      </c>
      <c r="AA317">
        <v>0.21</v>
      </c>
      <c r="AB317">
        <v>2.36065194292348</v>
      </c>
      <c r="AD317" t="s">
        <v>26</v>
      </c>
      <c r="AE317">
        <v>9</v>
      </c>
      <c r="AF317">
        <v>2</v>
      </c>
      <c r="AG317">
        <v>4.1100000000000003</v>
      </c>
      <c r="AH317">
        <v>0.22</v>
      </c>
      <c r="AI317">
        <v>2.5712081034235799</v>
      </c>
      <c r="AJ317" s="2" t="s">
        <v>44</v>
      </c>
      <c r="AK317" t="s">
        <v>26</v>
      </c>
      <c r="AL317">
        <v>9</v>
      </c>
      <c r="AM317">
        <v>2</v>
      </c>
      <c r="AN317">
        <v>4.1100000000000003</v>
      </c>
      <c r="AO317">
        <v>0.22</v>
      </c>
      <c r="AP317">
        <v>2.5712081034235799</v>
      </c>
    </row>
    <row r="318" spans="1:52" x14ac:dyDescent="0.35">
      <c r="A318" t="s">
        <v>148</v>
      </c>
      <c r="B318">
        <v>7</v>
      </c>
      <c r="C318">
        <v>0</v>
      </c>
      <c r="D318">
        <v>3.86</v>
      </c>
      <c r="E318">
        <v>0</v>
      </c>
      <c r="F318">
        <v>1.8644544714716</v>
      </c>
      <c r="H318" t="s">
        <v>26</v>
      </c>
      <c r="I318">
        <v>9</v>
      </c>
      <c r="J318">
        <v>2</v>
      </c>
      <c r="K318">
        <v>4.1100000000000003</v>
      </c>
      <c r="L318">
        <v>0.22</v>
      </c>
      <c r="M318">
        <v>2.5712081034235799</v>
      </c>
      <c r="N318" s="2" t="s">
        <v>47</v>
      </c>
      <c r="O318" t="s">
        <v>26</v>
      </c>
      <c r="P318">
        <v>9</v>
      </c>
      <c r="Q318">
        <v>2</v>
      </c>
      <c r="R318">
        <v>4.1100000000000003</v>
      </c>
      <c r="S318">
        <v>0.22</v>
      </c>
      <c r="T318">
        <v>2.5712081034235799</v>
      </c>
      <c r="W318" t="s">
        <v>26</v>
      </c>
      <c r="X318">
        <v>9</v>
      </c>
      <c r="Y318">
        <v>2</v>
      </c>
      <c r="Z318">
        <v>4.1100000000000003</v>
      </c>
      <c r="AA318">
        <v>0.22</v>
      </c>
      <c r="AB318">
        <v>2.5712081034235799</v>
      </c>
      <c r="AD318" t="s">
        <v>15</v>
      </c>
      <c r="AE318" s="6">
        <v>62</v>
      </c>
      <c r="AF318" s="7">
        <v>13</v>
      </c>
      <c r="AG318">
        <v>4.16</v>
      </c>
      <c r="AH318">
        <v>0.21</v>
      </c>
      <c r="AI318">
        <v>2.3687659979939402</v>
      </c>
      <c r="AJ318" s="3" t="s">
        <v>46</v>
      </c>
      <c r="AK318" t="s">
        <v>15</v>
      </c>
      <c r="AL318">
        <v>62</v>
      </c>
      <c r="AM318">
        <v>13</v>
      </c>
      <c r="AN318">
        <v>4.16</v>
      </c>
      <c r="AO318">
        <v>0.21</v>
      </c>
      <c r="AP318">
        <v>2.3687659979939402</v>
      </c>
    </row>
    <row r="319" spans="1:52" x14ac:dyDescent="0.35">
      <c r="A319" t="s">
        <v>15</v>
      </c>
      <c r="B319">
        <v>61</v>
      </c>
      <c r="C319">
        <v>13</v>
      </c>
      <c r="D319">
        <v>4.1100000000000003</v>
      </c>
      <c r="E319">
        <v>0.21</v>
      </c>
      <c r="F319">
        <v>2.36065194292348</v>
      </c>
      <c r="H319" t="s">
        <v>63</v>
      </c>
      <c r="I319">
        <v>6</v>
      </c>
      <c r="J319">
        <v>1</v>
      </c>
      <c r="K319">
        <v>4.17</v>
      </c>
      <c r="L319">
        <v>0.17</v>
      </c>
      <c r="M319">
        <v>2.6394443859772201</v>
      </c>
      <c r="N319" s="2" t="s">
        <v>47</v>
      </c>
      <c r="O319" t="s">
        <v>63</v>
      </c>
      <c r="P319">
        <v>6</v>
      </c>
      <c r="Q319">
        <v>1</v>
      </c>
      <c r="R319">
        <v>4.17</v>
      </c>
      <c r="S319">
        <v>0.17</v>
      </c>
      <c r="T319">
        <v>2.6394443859772201</v>
      </c>
      <c r="W319" t="s">
        <v>63</v>
      </c>
      <c r="X319">
        <v>6</v>
      </c>
      <c r="Y319">
        <v>1</v>
      </c>
      <c r="Z319">
        <v>4.17</v>
      </c>
      <c r="AA319">
        <v>0.17</v>
      </c>
      <c r="AB319">
        <v>2.6394443859772201</v>
      </c>
      <c r="AD319" t="s">
        <v>63</v>
      </c>
      <c r="AE319">
        <v>6</v>
      </c>
      <c r="AF319">
        <v>1</v>
      </c>
      <c r="AG319">
        <v>4.17</v>
      </c>
      <c r="AH319">
        <v>0.17</v>
      </c>
      <c r="AI319">
        <v>2.6394443859772201</v>
      </c>
      <c r="AK319" t="s">
        <v>63</v>
      </c>
      <c r="AL319">
        <v>6</v>
      </c>
      <c r="AM319">
        <v>1</v>
      </c>
      <c r="AN319">
        <v>4.17</v>
      </c>
      <c r="AO319">
        <v>0.17</v>
      </c>
      <c r="AP319">
        <v>2.6394443859772201</v>
      </c>
    </row>
    <row r="320" spans="1:52" x14ac:dyDescent="0.35">
      <c r="A320" t="s">
        <v>26</v>
      </c>
      <c r="B320">
        <v>9</v>
      </c>
      <c r="C320">
        <v>2</v>
      </c>
      <c r="D320">
        <v>4.1100000000000003</v>
      </c>
      <c r="E320">
        <v>0.22</v>
      </c>
      <c r="F320">
        <v>2.5712081034235799</v>
      </c>
      <c r="H320" t="s">
        <v>78</v>
      </c>
      <c r="I320" s="6">
        <v>6</v>
      </c>
      <c r="J320">
        <v>1</v>
      </c>
      <c r="K320">
        <v>4.17</v>
      </c>
      <c r="L320">
        <v>0.17</v>
      </c>
      <c r="M320">
        <v>2.7141603981096298</v>
      </c>
      <c r="N320" s="3" t="s">
        <v>320</v>
      </c>
      <c r="O320" t="s">
        <v>78</v>
      </c>
      <c r="P320">
        <v>6</v>
      </c>
      <c r="Q320">
        <v>1</v>
      </c>
      <c r="R320">
        <v>4.17</v>
      </c>
      <c r="S320">
        <v>0.17</v>
      </c>
      <c r="T320">
        <v>2.7141603981096298</v>
      </c>
      <c r="W320" t="s">
        <v>78</v>
      </c>
      <c r="X320">
        <v>6</v>
      </c>
      <c r="Y320">
        <v>1</v>
      </c>
      <c r="Z320">
        <v>4.17</v>
      </c>
      <c r="AA320">
        <v>0.17</v>
      </c>
      <c r="AB320">
        <v>2.7141603981096298</v>
      </c>
      <c r="AD320" t="s">
        <v>78</v>
      </c>
      <c r="AE320">
        <v>6</v>
      </c>
      <c r="AF320">
        <v>1</v>
      </c>
      <c r="AG320">
        <v>4.17</v>
      </c>
      <c r="AH320">
        <v>0.17</v>
      </c>
      <c r="AI320">
        <v>2.7141603981096298</v>
      </c>
      <c r="AK320" t="s">
        <v>78</v>
      </c>
      <c r="AL320">
        <v>6</v>
      </c>
      <c r="AM320">
        <v>1</v>
      </c>
      <c r="AN320">
        <v>4.17</v>
      </c>
      <c r="AO320">
        <v>0.17</v>
      </c>
      <c r="AP320">
        <v>2.7141603981096298</v>
      </c>
    </row>
    <row r="321" spans="1:43" x14ac:dyDescent="0.35">
      <c r="A321" t="s">
        <v>63</v>
      </c>
      <c r="B321">
        <v>6</v>
      </c>
      <c r="C321">
        <v>1</v>
      </c>
      <c r="D321">
        <v>4.17</v>
      </c>
      <c r="E321">
        <v>0.17</v>
      </c>
      <c r="F321">
        <v>2.6394443859772201</v>
      </c>
      <c r="G321" s="2" t="s">
        <v>44</v>
      </c>
      <c r="H321" t="s">
        <v>27</v>
      </c>
      <c r="I321" s="6">
        <v>16</v>
      </c>
      <c r="J321">
        <v>0</v>
      </c>
      <c r="K321">
        <v>4.1900000000000004</v>
      </c>
      <c r="L321">
        <v>0</v>
      </c>
      <c r="M321">
        <v>2.5091499224504901</v>
      </c>
      <c r="N321" s="2" t="s">
        <v>321</v>
      </c>
      <c r="O321" t="s">
        <v>27</v>
      </c>
      <c r="P321">
        <v>16</v>
      </c>
      <c r="Q321">
        <v>0</v>
      </c>
      <c r="R321">
        <v>4.1900000000000004</v>
      </c>
      <c r="S321">
        <v>0</v>
      </c>
      <c r="T321">
        <v>2.5091499224504901</v>
      </c>
      <c r="W321" t="s">
        <v>27</v>
      </c>
      <c r="X321">
        <v>16</v>
      </c>
      <c r="Y321">
        <v>0</v>
      </c>
      <c r="Z321">
        <v>4.1900000000000004</v>
      </c>
      <c r="AA321">
        <v>0</v>
      </c>
      <c r="AB321">
        <v>2.5091499224504901</v>
      </c>
      <c r="AD321" t="s">
        <v>27</v>
      </c>
      <c r="AE321">
        <v>16</v>
      </c>
      <c r="AF321">
        <v>0</v>
      </c>
      <c r="AG321">
        <v>4.1900000000000004</v>
      </c>
      <c r="AH321">
        <v>0</v>
      </c>
      <c r="AI321">
        <v>2.5091499224504901</v>
      </c>
      <c r="AK321" t="s">
        <v>27</v>
      </c>
      <c r="AL321">
        <v>16</v>
      </c>
      <c r="AM321">
        <v>0</v>
      </c>
      <c r="AN321">
        <v>4.1900000000000004</v>
      </c>
      <c r="AO321">
        <v>0</v>
      </c>
      <c r="AP321">
        <v>2.5091499224504901</v>
      </c>
    </row>
    <row r="322" spans="1:43" x14ac:dyDescent="0.35">
      <c r="A322" t="s">
        <v>117</v>
      </c>
      <c r="B322" s="6">
        <v>9</v>
      </c>
      <c r="C322">
        <v>2</v>
      </c>
      <c r="D322">
        <v>4.2</v>
      </c>
      <c r="E322">
        <v>0.25</v>
      </c>
      <c r="F322">
        <v>2.7284509239574799</v>
      </c>
      <c r="G322" s="2" t="s">
        <v>304</v>
      </c>
      <c r="H322" t="s">
        <v>117</v>
      </c>
      <c r="I322">
        <v>9</v>
      </c>
      <c r="J322">
        <v>2</v>
      </c>
      <c r="K322">
        <v>4.2</v>
      </c>
      <c r="L322">
        <v>0.25</v>
      </c>
      <c r="M322">
        <v>2.7284509239574799</v>
      </c>
      <c r="O322" t="s">
        <v>117</v>
      </c>
      <c r="P322">
        <v>9</v>
      </c>
      <c r="Q322">
        <v>2</v>
      </c>
      <c r="R322">
        <v>4.2</v>
      </c>
      <c r="S322">
        <v>0.25</v>
      </c>
      <c r="T322">
        <v>2.7284509239574799</v>
      </c>
      <c r="W322" t="s">
        <v>117</v>
      </c>
      <c r="X322">
        <v>9</v>
      </c>
      <c r="Y322">
        <v>2</v>
      </c>
      <c r="Z322">
        <v>4.2</v>
      </c>
      <c r="AA322">
        <v>0.25</v>
      </c>
      <c r="AB322">
        <v>2.7284509239574799</v>
      </c>
      <c r="AD322" t="s">
        <v>117</v>
      </c>
      <c r="AE322">
        <v>9</v>
      </c>
      <c r="AF322">
        <v>2</v>
      </c>
      <c r="AG322">
        <v>4.2</v>
      </c>
      <c r="AH322">
        <v>0.25</v>
      </c>
      <c r="AI322">
        <v>2.7284509239574799</v>
      </c>
      <c r="AK322" t="s">
        <v>117</v>
      </c>
      <c r="AL322">
        <v>9</v>
      </c>
      <c r="AM322">
        <v>2</v>
      </c>
      <c r="AN322">
        <v>4.2</v>
      </c>
      <c r="AO322">
        <v>0.25</v>
      </c>
      <c r="AP322">
        <v>2.7284509239574799</v>
      </c>
    </row>
    <row r="323" spans="1:43" x14ac:dyDescent="0.35">
      <c r="A323" t="s">
        <v>22</v>
      </c>
      <c r="B323" s="6">
        <v>73</v>
      </c>
      <c r="C323">
        <v>10</v>
      </c>
      <c r="D323">
        <v>4.21</v>
      </c>
      <c r="E323">
        <v>0.14000000000000001</v>
      </c>
      <c r="F323">
        <v>2.2482023937012698</v>
      </c>
      <c r="G323" s="3" t="s">
        <v>45</v>
      </c>
      <c r="H323" t="s">
        <v>28</v>
      </c>
      <c r="I323" s="6">
        <v>5</v>
      </c>
      <c r="J323">
        <v>0</v>
      </c>
      <c r="K323">
        <v>4.2</v>
      </c>
      <c r="L323">
        <v>0</v>
      </c>
      <c r="M323" s="7">
        <v>1.30384048104052</v>
      </c>
      <c r="N323" s="2" t="s">
        <v>233</v>
      </c>
      <c r="O323" t="s">
        <v>28</v>
      </c>
      <c r="P323">
        <v>5</v>
      </c>
      <c r="Q323">
        <v>0</v>
      </c>
      <c r="R323">
        <v>4.2</v>
      </c>
      <c r="S323">
        <v>0</v>
      </c>
      <c r="T323" s="7">
        <v>1.30384048104052</v>
      </c>
      <c r="W323" t="s">
        <v>28</v>
      </c>
      <c r="X323">
        <v>5</v>
      </c>
      <c r="Y323">
        <v>0</v>
      </c>
      <c r="Z323">
        <v>4.2</v>
      </c>
      <c r="AA323">
        <v>0</v>
      </c>
      <c r="AB323" s="7">
        <v>1.30384048104052</v>
      </c>
      <c r="AD323" t="s">
        <v>28</v>
      </c>
      <c r="AE323">
        <v>5</v>
      </c>
      <c r="AF323">
        <v>0</v>
      </c>
      <c r="AG323">
        <v>4.2</v>
      </c>
      <c r="AH323">
        <v>0</v>
      </c>
      <c r="AI323" s="7">
        <v>1.30384048104052</v>
      </c>
      <c r="AK323" t="s">
        <v>28</v>
      </c>
      <c r="AL323">
        <v>5</v>
      </c>
      <c r="AM323">
        <v>0</v>
      </c>
      <c r="AN323">
        <v>4.2</v>
      </c>
      <c r="AO323">
        <v>0</v>
      </c>
      <c r="AP323" s="7">
        <v>1.30384048104052</v>
      </c>
    </row>
    <row r="324" spans="1:43" x14ac:dyDescent="0.35">
      <c r="A324" t="s">
        <v>129</v>
      </c>
      <c r="B324">
        <v>24</v>
      </c>
      <c r="C324">
        <v>5</v>
      </c>
      <c r="D324">
        <v>4.21</v>
      </c>
      <c r="E324">
        <v>0.21</v>
      </c>
      <c r="F324">
        <v>2.1463653132612301</v>
      </c>
      <c r="G324" s="3" t="s">
        <v>46</v>
      </c>
      <c r="H324" t="s">
        <v>113</v>
      </c>
      <c r="I324" s="6">
        <v>5</v>
      </c>
      <c r="J324">
        <v>0</v>
      </c>
      <c r="K324">
        <v>4.2</v>
      </c>
      <c r="L324">
        <v>0</v>
      </c>
      <c r="M324">
        <v>2.4899799195977401</v>
      </c>
      <c r="N324" s="2" t="s">
        <v>233</v>
      </c>
      <c r="O324" t="s">
        <v>113</v>
      </c>
      <c r="P324">
        <v>5</v>
      </c>
      <c r="Q324">
        <v>0</v>
      </c>
      <c r="R324">
        <v>4.2</v>
      </c>
      <c r="S324">
        <v>0</v>
      </c>
      <c r="T324">
        <v>2.4899799195977401</v>
      </c>
      <c r="W324" t="s">
        <v>113</v>
      </c>
      <c r="X324">
        <v>5</v>
      </c>
      <c r="Y324">
        <v>0</v>
      </c>
      <c r="Z324">
        <v>4.2</v>
      </c>
      <c r="AA324">
        <v>0</v>
      </c>
      <c r="AB324">
        <v>2.4899799195977401</v>
      </c>
      <c r="AD324" t="s">
        <v>113</v>
      </c>
      <c r="AE324">
        <v>5</v>
      </c>
      <c r="AF324">
        <v>0</v>
      </c>
      <c r="AG324">
        <v>4.2</v>
      </c>
      <c r="AH324">
        <v>0</v>
      </c>
      <c r="AI324">
        <v>2.4899799195977401</v>
      </c>
      <c r="AK324" t="s">
        <v>135</v>
      </c>
      <c r="AL324" s="6">
        <v>5</v>
      </c>
      <c r="AM324">
        <v>1</v>
      </c>
      <c r="AN324">
        <v>4.2</v>
      </c>
      <c r="AO324">
        <v>0.2</v>
      </c>
      <c r="AP324">
        <v>2.16794833886788</v>
      </c>
      <c r="AQ324" s="26" t="s">
        <v>348</v>
      </c>
    </row>
    <row r="325" spans="1:43" x14ac:dyDescent="0.35">
      <c r="A325" t="s">
        <v>8</v>
      </c>
      <c r="B325" s="6">
        <v>31</v>
      </c>
      <c r="C325">
        <v>5</v>
      </c>
      <c r="D325">
        <v>4.2300000000000004</v>
      </c>
      <c r="E325">
        <v>0.16</v>
      </c>
      <c r="F325">
        <v>2.4994623077688098</v>
      </c>
      <c r="G325" s="2" t="s">
        <v>44</v>
      </c>
      <c r="H325" t="s">
        <v>129</v>
      </c>
      <c r="I325">
        <v>24</v>
      </c>
      <c r="J325">
        <v>5</v>
      </c>
      <c r="K325">
        <v>4.21</v>
      </c>
      <c r="L325">
        <v>0.21</v>
      </c>
      <c r="M325">
        <v>2.1463653132612301</v>
      </c>
      <c r="N325" s="3" t="s">
        <v>46</v>
      </c>
      <c r="O325" t="s">
        <v>8</v>
      </c>
      <c r="P325">
        <v>31</v>
      </c>
      <c r="Q325">
        <v>5</v>
      </c>
      <c r="R325">
        <v>4.2300000000000004</v>
      </c>
      <c r="S325">
        <v>0.16</v>
      </c>
      <c r="T325">
        <v>2.4994623077688098</v>
      </c>
      <c r="U325" s="2" t="s">
        <v>44</v>
      </c>
      <c r="W325" t="s">
        <v>112</v>
      </c>
      <c r="X325" s="6">
        <v>9</v>
      </c>
      <c r="Y325">
        <v>3</v>
      </c>
      <c r="Z325">
        <v>4.22</v>
      </c>
      <c r="AA325">
        <v>0.33</v>
      </c>
      <c r="AB325">
        <v>2.8625940062196098</v>
      </c>
      <c r="AC325" s="3" t="s">
        <v>347</v>
      </c>
      <c r="AD325" t="s">
        <v>112</v>
      </c>
      <c r="AE325">
        <v>9</v>
      </c>
      <c r="AF325">
        <v>3</v>
      </c>
      <c r="AG325">
        <v>4.22</v>
      </c>
      <c r="AH325">
        <v>0.33</v>
      </c>
      <c r="AI325">
        <v>2.8625940062196098</v>
      </c>
      <c r="AK325" t="s">
        <v>113</v>
      </c>
      <c r="AL325">
        <v>5</v>
      </c>
      <c r="AM325">
        <v>0</v>
      </c>
      <c r="AN325">
        <v>4.2</v>
      </c>
      <c r="AO325">
        <v>0</v>
      </c>
      <c r="AP325">
        <v>2.4899799195977401</v>
      </c>
      <c r="AQ325" s="3" t="s">
        <v>46</v>
      </c>
    </row>
    <row r="326" spans="1:43" x14ac:dyDescent="0.35">
      <c r="A326" t="s">
        <v>14</v>
      </c>
      <c r="B326">
        <v>35</v>
      </c>
      <c r="C326">
        <v>3</v>
      </c>
      <c r="D326">
        <v>4.29</v>
      </c>
      <c r="E326">
        <v>0.09</v>
      </c>
      <c r="F326" s="23">
        <v>2.2566428549484501</v>
      </c>
      <c r="G326" s="3" t="s">
        <v>45</v>
      </c>
      <c r="H326" t="s">
        <v>8</v>
      </c>
      <c r="I326">
        <v>31</v>
      </c>
      <c r="J326">
        <v>5</v>
      </c>
      <c r="K326">
        <v>4.2300000000000004</v>
      </c>
      <c r="L326">
        <v>0.16</v>
      </c>
      <c r="M326">
        <v>2.4994623077688098</v>
      </c>
      <c r="N326" s="3" t="s">
        <v>46</v>
      </c>
      <c r="O326" t="s">
        <v>22</v>
      </c>
      <c r="P326" s="7">
        <v>75</v>
      </c>
      <c r="Q326">
        <v>10</v>
      </c>
      <c r="R326">
        <v>4.2300000000000004</v>
      </c>
      <c r="S326">
        <v>0.13</v>
      </c>
      <c r="T326">
        <v>2.22742933478066</v>
      </c>
      <c r="U326" s="2" t="s">
        <v>44</v>
      </c>
      <c r="W326" t="s">
        <v>8</v>
      </c>
      <c r="X326">
        <v>31</v>
      </c>
      <c r="Y326">
        <v>5</v>
      </c>
      <c r="Z326">
        <v>4.2300000000000004</v>
      </c>
      <c r="AA326">
        <v>0.16</v>
      </c>
      <c r="AB326">
        <v>2.4994623077688098</v>
      </c>
      <c r="AC326" s="3" t="s">
        <v>46</v>
      </c>
      <c r="AD326" t="s">
        <v>22</v>
      </c>
      <c r="AE326" s="8">
        <v>76</v>
      </c>
      <c r="AF326">
        <v>10</v>
      </c>
      <c r="AG326">
        <v>4.22</v>
      </c>
      <c r="AH326">
        <v>0.13</v>
      </c>
      <c r="AI326">
        <v>2.2126827409912799</v>
      </c>
      <c r="AJ326" s="2" t="s">
        <v>44</v>
      </c>
      <c r="AK326" t="s">
        <v>112</v>
      </c>
      <c r="AL326">
        <v>9</v>
      </c>
      <c r="AM326">
        <v>3</v>
      </c>
      <c r="AN326">
        <v>4.22</v>
      </c>
      <c r="AO326">
        <v>0.33</v>
      </c>
      <c r="AP326">
        <v>2.8625940062196098</v>
      </c>
      <c r="AQ326" s="3" t="s">
        <v>46</v>
      </c>
    </row>
    <row r="327" spans="1:43" x14ac:dyDescent="0.35">
      <c r="A327" t="s">
        <v>7</v>
      </c>
      <c r="B327">
        <v>7</v>
      </c>
      <c r="C327">
        <v>2</v>
      </c>
      <c r="D327">
        <v>4.29</v>
      </c>
      <c r="E327">
        <v>0.28999999999999998</v>
      </c>
      <c r="F327">
        <v>2.69037083653819</v>
      </c>
      <c r="G327" s="3" t="s">
        <v>45</v>
      </c>
      <c r="H327" t="s">
        <v>22</v>
      </c>
      <c r="I327" s="8">
        <v>75</v>
      </c>
      <c r="J327">
        <v>10</v>
      </c>
      <c r="K327">
        <v>4.2300000000000004</v>
      </c>
      <c r="L327">
        <v>0.13</v>
      </c>
      <c r="M327">
        <v>2.22742933478066</v>
      </c>
      <c r="N327" s="3" t="s">
        <v>55</v>
      </c>
      <c r="O327" t="s">
        <v>148</v>
      </c>
      <c r="P327" s="6">
        <v>8</v>
      </c>
      <c r="Q327">
        <v>0</v>
      </c>
      <c r="R327">
        <v>4.25</v>
      </c>
      <c r="S327">
        <v>0</v>
      </c>
      <c r="T327">
        <v>2.0528725518857001</v>
      </c>
      <c r="U327" s="3" t="s">
        <v>334</v>
      </c>
      <c r="W327" t="s">
        <v>22</v>
      </c>
      <c r="X327" s="7">
        <v>75</v>
      </c>
      <c r="Y327">
        <v>10</v>
      </c>
      <c r="Z327">
        <v>4.2300000000000004</v>
      </c>
      <c r="AA327">
        <v>0.13</v>
      </c>
      <c r="AB327">
        <v>2.22742933478066</v>
      </c>
      <c r="AC327" s="3" t="s">
        <v>46</v>
      </c>
      <c r="AD327" t="s">
        <v>8</v>
      </c>
      <c r="AE327">
        <v>31</v>
      </c>
      <c r="AF327">
        <v>5</v>
      </c>
      <c r="AG327">
        <v>4.2300000000000004</v>
      </c>
      <c r="AH327">
        <v>0.16</v>
      </c>
      <c r="AI327">
        <v>2.4994623077688098</v>
      </c>
      <c r="AJ327" s="3" t="s">
        <v>46</v>
      </c>
      <c r="AK327" t="s">
        <v>10</v>
      </c>
      <c r="AL327" s="6">
        <v>27</v>
      </c>
      <c r="AM327" s="6">
        <v>4</v>
      </c>
      <c r="AN327">
        <v>4.22</v>
      </c>
      <c r="AO327">
        <v>0.15</v>
      </c>
      <c r="AP327">
        <v>2.2245714078711698</v>
      </c>
      <c r="AQ327" s="2" t="s">
        <v>194</v>
      </c>
    </row>
    <row r="328" spans="1:43" x14ac:dyDescent="0.35">
      <c r="A328" t="s">
        <v>23</v>
      </c>
      <c r="B328">
        <v>10</v>
      </c>
      <c r="C328">
        <v>0</v>
      </c>
      <c r="D328">
        <v>4.3</v>
      </c>
      <c r="E328">
        <v>0</v>
      </c>
      <c r="F328">
        <v>1.6363916944844701</v>
      </c>
      <c r="G328" s="3" t="s">
        <v>46</v>
      </c>
      <c r="H328" t="s">
        <v>14</v>
      </c>
      <c r="I328">
        <v>35</v>
      </c>
      <c r="J328">
        <v>3</v>
      </c>
      <c r="K328">
        <v>4.29</v>
      </c>
      <c r="L328">
        <v>0.09</v>
      </c>
      <c r="M328" s="23">
        <v>2.2566428549484501</v>
      </c>
      <c r="N328" s="3" t="s">
        <v>45</v>
      </c>
      <c r="O328" t="s">
        <v>129</v>
      </c>
      <c r="P328" s="6">
        <v>25</v>
      </c>
      <c r="Q328">
        <v>5</v>
      </c>
      <c r="R328">
        <v>4.28</v>
      </c>
      <c r="S328">
        <v>0.2</v>
      </c>
      <c r="T328">
        <v>2.1315096371664199</v>
      </c>
      <c r="U328" s="3" t="s">
        <v>54</v>
      </c>
      <c r="W328" t="s">
        <v>148</v>
      </c>
      <c r="X328">
        <v>8</v>
      </c>
      <c r="Y328">
        <v>0</v>
      </c>
      <c r="Z328">
        <v>4.25</v>
      </c>
      <c r="AA328">
        <v>0</v>
      </c>
      <c r="AB328">
        <v>2.0528725518857001</v>
      </c>
      <c r="AC328" s="3" t="s">
        <v>46</v>
      </c>
      <c r="AD328" t="s">
        <v>148</v>
      </c>
      <c r="AE328">
        <v>8</v>
      </c>
      <c r="AF328">
        <v>0</v>
      </c>
      <c r="AG328">
        <v>4.25</v>
      </c>
      <c r="AH328">
        <v>0</v>
      </c>
      <c r="AI328">
        <v>2.0528725518857001</v>
      </c>
      <c r="AK328" t="s">
        <v>8</v>
      </c>
      <c r="AL328">
        <v>31</v>
      </c>
      <c r="AM328">
        <v>5</v>
      </c>
      <c r="AN328">
        <v>4.2300000000000004</v>
      </c>
      <c r="AO328">
        <v>0.16</v>
      </c>
      <c r="AP328">
        <v>2.4994623077688098</v>
      </c>
      <c r="AQ328" s="3" t="s">
        <v>46</v>
      </c>
    </row>
    <row r="329" spans="1:43" x14ac:dyDescent="0.35">
      <c r="A329" t="s">
        <v>104</v>
      </c>
      <c r="B329">
        <v>21</v>
      </c>
      <c r="C329">
        <v>2</v>
      </c>
      <c r="D329">
        <v>4.33</v>
      </c>
      <c r="E329">
        <v>0.1</v>
      </c>
      <c r="F329">
        <v>2.4562844569253999</v>
      </c>
      <c r="G329" s="3" t="s">
        <v>46</v>
      </c>
      <c r="H329" t="s">
        <v>52</v>
      </c>
      <c r="I329" s="6">
        <v>7</v>
      </c>
      <c r="J329">
        <v>0</v>
      </c>
      <c r="K329">
        <v>4.29</v>
      </c>
      <c r="L329">
        <v>0</v>
      </c>
      <c r="M329">
        <v>2.3603873774083199</v>
      </c>
      <c r="N329" s="3" t="s">
        <v>322</v>
      </c>
      <c r="O329" t="s">
        <v>14</v>
      </c>
      <c r="P329">
        <v>35</v>
      </c>
      <c r="Q329">
        <v>3</v>
      </c>
      <c r="R329">
        <v>4.29</v>
      </c>
      <c r="S329">
        <v>0.09</v>
      </c>
      <c r="T329">
        <v>2.2566428549484501</v>
      </c>
      <c r="U329" s="3" t="s">
        <v>46</v>
      </c>
      <c r="W329" t="s">
        <v>129</v>
      </c>
      <c r="X329">
        <v>25</v>
      </c>
      <c r="Y329">
        <v>5</v>
      </c>
      <c r="Z329">
        <v>4.28</v>
      </c>
      <c r="AA329">
        <v>0.2</v>
      </c>
      <c r="AB329">
        <v>2.1315096371664199</v>
      </c>
      <c r="AC329" s="3" t="s">
        <v>46</v>
      </c>
      <c r="AD329" t="s">
        <v>129</v>
      </c>
      <c r="AE329">
        <v>25</v>
      </c>
      <c r="AF329">
        <v>5</v>
      </c>
      <c r="AG329">
        <v>4.28</v>
      </c>
      <c r="AH329">
        <v>0.2</v>
      </c>
      <c r="AI329">
        <v>2.1315096371664199</v>
      </c>
      <c r="AK329" t="s">
        <v>22</v>
      </c>
      <c r="AL329" s="8">
        <v>80</v>
      </c>
      <c r="AM329" s="6">
        <v>11</v>
      </c>
      <c r="AN329">
        <v>4.2300000000000004</v>
      </c>
      <c r="AO329">
        <v>0.14000000000000001</v>
      </c>
      <c r="AP329">
        <v>2.2274183273609101</v>
      </c>
      <c r="AQ329" s="3" t="s">
        <v>54</v>
      </c>
    </row>
    <row r="330" spans="1:43" x14ac:dyDescent="0.35">
      <c r="A330" t="s">
        <v>232</v>
      </c>
      <c r="B330">
        <v>6</v>
      </c>
      <c r="C330">
        <v>0</v>
      </c>
      <c r="D330">
        <v>4.33</v>
      </c>
      <c r="E330">
        <v>0</v>
      </c>
      <c r="F330">
        <v>2.2509257354845502</v>
      </c>
      <c r="G330" s="3" t="s">
        <v>46</v>
      </c>
      <c r="H330" t="s">
        <v>7</v>
      </c>
      <c r="I330">
        <v>7</v>
      </c>
      <c r="J330">
        <v>2</v>
      </c>
      <c r="K330">
        <v>4.29</v>
      </c>
      <c r="L330">
        <v>0.28999999999999998</v>
      </c>
      <c r="M330">
        <v>2.69037083653819</v>
      </c>
      <c r="N330" s="3" t="s">
        <v>54</v>
      </c>
      <c r="O330" t="s">
        <v>52</v>
      </c>
      <c r="P330">
        <v>7</v>
      </c>
      <c r="Q330">
        <v>0</v>
      </c>
      <c r="R330">
        <v>4.29</v>
      </c>
      <c r="S330">
        <v>0</v>
      </c>
      <c r="T330">
        <v>2.3603873774083199</v>
      </c>
      <c r="U330" s="3" t="s">
        <v>46</v>
      </c>
      <c r="W330" t="s">
        <v>14</v>
      </c>
      <c r="X330">
        <v>35</v>
      </c>
      <c r="Y330">
        <v>3</v>
      </c>
      <c r="Z330">
        <v>4.29</v>
      </c>
      <c r="AA330">
        <v>0.09</v>
      </c>
      <c r="AB330">
        <v>2.2566428549484501</v>
      </c>
      <c r="AC330" s="3" t="s">
        <v>46</v>
      </c>
      <c r="AD330" t="s">
        <v>14</v>
      </c>
      <c r="AE330">
        <v>35</v>
      </c>
      <c r="AF330">
        <v>3</v>
      </c>
      <c r="AG330">
        <v>4.29</v>
      </c>
      <c r="AH330">
        <v>0.09</v>
      </c>
      <c r="AI330">
        <v>2.2566428549484501</v>
      </c>
      <c r="AK330" t="s">
        <v>148</v>
      </c>
      <c r="AL330">
        <v>8</v>
      </c>
      <c r="AM330">
        <v>0</v>
      </c>
      <c r="AN330">
        <v>4.25</v>
      </c>
      <c r="AO330">
        <v>0</v>
      </c>
      <c r="AP330">
        <v>2.0528725518857001</v>
      </c>
      <c r="AQ330" s="3" t="s">
        <v>45</v>
      </c>
    </row>
    <row r="331" spans="1:43" x14ac:dyDescent="0.35">
      <c r="A331" t="s">
        <v>3</v>
      </c>
      <c r="B331">
        <v>13</v>
      </c>
      <c r="C331">
        <v>2</v>
      </c>
      <c r="D331">
        <v>4.38</v>
      </c>
      <c r="E331">
        <v>0.15</v>
      </c>
      <c r="F331">
        <v>2.2560460078960198</v>
      </c>
      <c r="H331" t="s">
        <v>23</v>
      </c>
      <c r="I331">
        <v>10</v>
      </c>
      <c r="J331">
        <v>0</v>
      </c>
      <c r="K331">
        <v>4.3</v>
      </c>
      <c r="L331">
        <v>0</v>
      </c>
      <c r="M331">
        <v>1.6363916944844701</v>
      </c>
      <c r="N331" s="3" t="s">
        <v>54</v>
      </c>
      <c r="O331" t="s">
        <v>7</v>
      </c>
      <c r="P331">
        <v>7</v>
      </c>
      <c r="Q331">
        <v>2</v>
      </c>
      <c r="R331">
        <v>4.29</v>
      </c>
      <c r="S331">
        <v>0.28999999999999998</v>
      </c>
      <c r="T331">
        <v>2.69037083653819</v>
      </c>
      <c r="U331" s="3" t="s">
        <v>46</v>
      </c>
      <c r="W331" t="s">
        <v>52</v>
      </c>
      <c r="X331">
        <v>7</v>
      </c>
      <c r="Y331">
        <v>0</v>
      </c>
      <c r="Z331">
        <v>4.29</v>
      </c>
      <c r="AA331">
        <v>0</v>
      </c>
      <c r="AB331">
        <v>2.3603873774083199</v>
      </c>
      <c r="AC331" s="3" t="s">
        <v>46</v>
      </c>
      <c r="AD331" t="s">
        <v>52</v>
      </c>
      <c r="AE331">
        <v>7</v>
      </c>
      <c r="AF331">
        <v>0</v>
      </c>
      <c r="AG331">
        <v>4.29</v>
      </c>
      <c r="AH331">
        <v>0</v>
      </c>
      <c r="AI331">
        <v>2.3603873774083199</v>
      </c>
      <c r="AK331" t="s">
        <v>129</v>
      </c>
      <c r="AL331">
        <v>25</v>
      </c>
      <c r="AM331">
        <v>5</v>
      </c>
      <c r="AN331">
        <v>4.28</v>
      </c>
      <c r="AO331">
        <v>0.2</v>
      </c>
      <c r="AP331">
        <v>2.1315096371664199</v>
      </c>
      <c r="AQ331" s="3" t="s">
        <v>45</v>
      </c>
    </row>
    <row r="332" spans="1:43" x14ac:dyDescent="0.35">
      <c r="A332" t="s">
        <v>10</v>
      </c>
      <c r="B332">
        <v>25</v>
      </c>
      <c r="C332">
        <v>3</v>
      </c>
      <c r="D332">
        <v>4.4000000000000004</v>
      </c>
      <c r="E332">
        <v>0.12</v>
      </c>
      <c r="F332">
        <v>2.1984843263788201</v>
      </c>
      <c r="H332" t="s">
        <v>104</v>
      </c>
      <c r="I332">
        <v>21</v>
      </c>
      <c r="J332">
        <v>2</v>
      </c>
      <c r="K332">
        <v>4.33</v>
      </c>
      <c r="L332">
        <v>0.1</v>
      </c>
      <c r="M332">
        <v>2.4562844569253999</v>
      </c>
      <c r="N332" s="3" t="s">
        <v>54</v>
      </c>
      <c r="O332" t="s">
        <v>23</v>
      </c>
      <c r="P332">
        <v>10</v>
      </c>
      <c r="Q332">
        <v>0</v>
      </c>
      <c r="R332">
        <v>4.3</v>
      </c>
      <c r="S332">
        <v>0</v>
      </c>
      <c r="T332">
        <v>1.6363916944844701</v>
      </c>
      <c r="U332" s="3" t="s">
        <v>46</v>
      </c>
      <c r="W332" t="s">
        <v>7</v>
      </c>
      <c r="X332">
        <v>7</v>
      </c>
      <c r="Y332">
        <v>2</v>
      </c>
      <c r="Z332">
        <v>4.29</v>
      </c>
      <c r="AA332">
        <v>0.28999999999999998</v>
      </c>
      <c r="AB332">
        <v>2.69037083653819</v>
      </c>
      <c r="AC332" s="3" t="s">
        <v>46</v>
      </c>
      <c r="AD332" t="s">
        <v>7</v>
      </c>
      <c r="AE332">
        <v>7</v>
      </c>
      <c r="AF332">
        <v>2</v>
      </c>
      <c r="AG332">
        <v>4.29</v>
      </c>
      <c r="AH332">
        <v>0.28999999999999998</v>
      </c>
      <c r="AI332">
        <v>2.69037083653819</v>
      </c>
      <c r="AK332" t="s">
        <v>14</v>
      </c>
      <c r="AL332">
        <v>35</v>
      </c>
      <c r="AM332">
        <v>3</v>
      </c>
      <c r="AN332">
        <v>4.29</v>
      </c>
      <c r="AO332">
        <v>0.09</v>
      </c>
      <c r="AP332">
        <v>2.2566428549484501</v>
      </c>
      <c r="AQ332" s="3" t="s">
        <v>45</v>
      </c>
    </row>
    <row r="333" spans="1:43" x14ac:dyDescent="0.35">
      <c r="A333" t="s">
        <v>81</v>
      </c>
      <c r="B333">
        <v>7</v>
      </c>
      <c r="C333">
        <v>1</v>
      </c>
      <c r="D333">
        <v>4.43</v>
      </c>
      <c r="E333">
        <v>0.14000000000000001</v>
      </c>
      <c r="F333">
        <v>1.77281052085583</v>
      </c>
      <c r="H333" t="s">
        <v>232</v>
      </c>
      <c r="I333">
        <v>6</v>
      </c>
      <c r="J333">
        <v>0</v>
      </c>
      <c r="K333">
        <v>4.33</v>
      </c>
      <c r="L333">
        <v>0</v>
      </c>
      <c r="M333">
        <v>2.2509257354845502</v>
      </c>
      <c r="N333" s="3" t="s">
        <v>54</v>
      </c>
      <c r="O333" t="s">
        <v>104</v>
      </c>
      <c r="P333">
        <v>21</v>
      </c>
      <c r="Q333">
        <v>2</v>
      </c>
      <c r="R333">
        <v>4.33</v>
      </c>
      <c r="S333">
        <v>0.1</v>
      </c>
      <c r="T333">
        <v>2.4562844569253999</v>
      </c>
      <c r="U333" s="3" t="s">
        <v>46</v>
      </c>
      <c r="W333" t="s">
        <v>23</v>
      </c>
      <c r="X333">
        <v>10</v>
      </c>
      <c r="Y333">
        <v>0</v>
      </c>
      <c r="Z333">
        <v>4.3</v>
      </c>
      <c r="AA333">
        <v>0</v>
      </c>
      <c r="AB333">
        <v>1.6363916944844701</v>
      </c>
      <c r="AC333" s="3" t="s">
        <v>46</v>
      </c>
      <c r="AD333" t="s">
        <v>23</v>
      </c>
      <c r="AE333">
        <v>10</v>
      </c>
      <c r="AF333">
        <v>0</v>
      </c>
      <c r="AG333">
        <v>4.3</v>
      </c>
      <c r="AH333">
        <v>0</v>
      </c>
      <c r="AI333">
        <v>1.6363916944844701</v>
      </c>
      <c r="AK333" t="s">
        <v>52</v>
      </c>
      <c r="AL333">
        <v>7</v>
      </c>
      <c r="AM333">
        <v>0</v>
      </c>
      <c r="AN333">
        <v>4.29</v>
      </c>
      <c r="AO333">
        <v>0</v>
      </c>
      <c r="AP333">
        <v>2.3603873774083199</v>
      </c>
      <c r="AQ333" s="3" t="s">
        <v>45</v>
      </c>
    </row>
    <row r="334" spans="1:43" x14ac:dyDescent="0.35">
      <c r="A334" t="s">
        <v>24</v>
      </c>
      <c r="B334" s="6">
        <v>23</v>
      </c>
      <c r="C334">
        <v>3</v>
      </c>
      <c r="D334">
        <v>4.43</v>
      </c>
      <c r="E334">
        <v>0.13</v>
      </c>
      <c r="F334">
        <v>2.1914313910095302</v>
      </c>
      <c r="G334" s="3" t="s">
        <v>55</v>
      </c>
      <c r="H334" t="s">
        <v>122</v>
      </c>
      <c r="I334">
        <v>6</v>
      </c>
      <c r="J334">
        <v>0</v>
      </c>
      <c r="K334">
        <v>4.33</v>
      </c>
      <c r="L334">
        <v>0</v>
      </c>
      <c r="M334">
        <v>1.6329931618554501</v>
      </c>
      <c r="N334" s="2" t="s">
        <v>233</v>
      </c>
      <c r="O334" t="s">
        <v>232</v>
      </c>
      <c r="P334">
        <v>6</v>
      </c>
      <c r="Q334">
        <v>0</v>
      </c>
      <c r="R334">
        <v>4.33</v>
      </c>
      <c r="S334">
        <v>0</v>
      </c>
      <c r="T334">
        <v>2.2509257354845502</v>
      </c>
      <c r="U334" s="3" t="s">
        <v>46</v>
      </c>
      <c r="W334" t="s">
        <v>104</v>
      </c>
      <c r="X334">
        <v>21</v>
      </c>
      <c r="Y334">
        <v>2</v>
      </c>
      <c r="Z334">
        <v>4.33</v>
      </c>
      <c r="AA334">
        <v>0.1</v>
      </c>
      <c r="AB334">
        <v>2.4562844569253999</v>
      </c>
      <c r="AC334" s="3" t="s">
        <v>46</v>
      </c>
      <c r="AD334" t="s">
        <v>104</v>
      </c>
      <c r="AE334">
        <v>21</v>
      </c>
      <c r="AF334">
        <v>2</v>
      </c>
      <c r="AG334">
        <v>4.33</v>
      </c>
      <c r="AH334">
        <v>0.1</v>
      </c>
      <c r="AI334">
        <v>2.4562844569253999</v>
      </c>
      <c r="AK334" t="s">
        <v>7</v>
      </c>
      <c r="AL334">
        <v>7</v>
      </c>
      <c r="AM334">
        <v>2</v>
      </c>
      <c r="AN334">
        <v>4.29</v>
      </c>
      <c r="AO334">
        <v>0.28999999999999998</v>
      </c>
      <c r="AP334">
        <v>2.69037083653819</v>
      </c>
      <c r="AQ334" s="3" t="s">
        <v>45</v>
      </c>
    </row>
    <row r="335" spans="1:43" x14ac:dyDescent="0.35">
      <c r="A335" t="s">
        <v>27</v>
      </c>
      <c r="B335">
        <v>14</v>
      </c>
      <c r="C335">
        <v>0</v>
      </c>
      <c r="D335">
        <v>4.5</v>
      </c>
      <c r="E335">
        <v>0</v>
      </c>
      <c r="F335" s="23">
        <v>2.5993095730232398</v>
      </c>
      <c r="G335" s="3" t="s">
        <v>46</v>
      </c>
      <c r="H335" t="s">
        <v>3</v>
      </c>
      <c r="I335">
        <v>13</v>
      </c>
      <c r="J335">
        <v>2</v>
      </c>
      <c r="K335">
        <v>4.38</v>
      </c>
      <c r="L335">
        <v>0.15</v>
      </c>
      <c r="M335">
        <v>2.2560460078960198</v>
      </c>
      <c r="N335" s="3" t="s">
        <v>55</v>
      </c>
      <c r="O335" t="s">
        <v>122</v>
      </c>
      <c r="P335">
        <v>6</v>
      </c>
      <c r="Q335">
        <v>0</v>
      </c>
      <c r="R335">
        <v>4.33</v>
      </c>
      <c r="S335">
        <v>0</v>
      </c>
      <c r="T335">
        <v>1.6329931618554501</v>
      </c>
      <c r="U335" s="3" t="s">
        <v>46</v>
      </c>
      <c r="W335" t="s">
        <v>232</v>
      </c>
      <c r="X335">
        <v>6</v>
      </c>
      <c r="Y335">
        <v>0</v>
      </c>
      <c r="Z335">
        <v>4.33</v>
      </c>
      <c r="AA335">
        <v>0</v>
      </c>
      <c r="AB335">
        <v>2.2509257354845502</v>
      </c>
      <c r="AC335" s="3" t="s">
        <v>46</v>
      </c>
      <c r="AD335" t="s">
        <v>232</v>
      </c>
      <c r="AE335">
        <v>6</v>
      </c>
      <c r="AF335">
        <v>0</v>
      </c>
      <c r="AG335">
        <v>4.33</v>
      </c>
      <c r="AH335">
        <v>0</v>
      </c>
      <c r="AI335">
        <v>2.2509257354845502</v>
      </c>
      <c r="AK335" t="s">
        <v>23</v>
      </c>
      <c r="AL335">
        <v>10</v>
      </c>
      <c r="AM335">
        <v>0</v>
      </c>
      <c r="AN335">
        <v>4.3</v>
      </c>
      <c r="AO335">
        <v>0</v>
      </c>
      <c r="AP335">
        <v>1.6363916944844701</v>
      </c>
      <c r="AQ335" s="3" t="s">
        <v>45</v>
      </c>
    </row>
    <row r="336" spans="1:43" x14ac:dyDescent="0.35">
      <c r="A336" t="s">
        <v>115</v>
      </c>
      <c r="B336">
        <v>7</v>
      </c>
      <c r="C336">
        <v>0</v>
      </c>
      <c r="D336">
        <v>4.57</v>
      </c>
      <c r="E336">
        <v>0</v>
      </c>
      <c r="F336">
        <v>1.71824938596844</v>
      </c>
      <c r="H336" t="s">
        <v>10</v>
      </c>
      <c r="I336">
        <v>25</v>
      </c>
      <c r="J336">
        <v>3</v>
      </c>
      <c r="K336">
        <v>4.4000000000000004</v>
      </c>
      <c r="L336">
        <v>0.12</v>
      </c>
      <c r="M336">
        <v>2.1984843263788201</v>
      </c>
      <c r="N336" s="3" t="s">
        <v>55</v>
      </c>
      <c r="O336" t="s">
        <v>3</v>
      </c>
      <c r="P336">
        <v>13</v>
      </c>
      <c r="Q336">
        <v>2</v>
      </c>
      <c r="R336">
        <v>4.38</v>
      </c>
      <c r="S336">
        <v>0.15</v>
      </c>
      <c r="T336">
        <v>2.7748873851023199</v>
      </c>
      <c r="U336" s="3" t="s">
        <v>46</v>
      </c>
      <c r="W336" t="s">
        <v>58</v>
      </c>
      <c r="X336" s="6">
        <v>6</v>
      </c>
      <c r="Y336">
        <v>0</v>
      </c>
      <c r="Z336">
        <v>4.33</v>
      </c>
      <c r="AA336">
        <v>0</v>
      </c>
      <c r="AB336">
        <v>2.33809038890002</v>
      </c>
      <c r="AC336" s="26" t="s">
        <v>348</v>
      </c>
      <c r="AD336" t="s">
        <v>58</v>
      </c>
      <c r="AE336">
        <v>6</v>
      </c>
      <c r="AF336">
        <v>0</v>
      </c>
      <c r="AG336">
        <v>4.33</v>
      </c>
      <c r="AH336">
        <v>0</v>
      </c>
      <c r="AI336">
        <v>2.33809038890002</v>
      </c>
      <c r="AK336" t="s">
        <v>104</v>
      </c>
      <c r="AL336">
        <v>21</v>
      </c>
      <c r="AM336">
        <v>2</v>
      </c>
      <c r="AN336">
        <v>4.33</v>
      </c>
      <c r="AO336">
        <v>0.1</v>
      </c>
      <c r="AP336">
        <v>2.4562844569253999</v>
      </c>
      <c r="AQ336" s="3" t="s">
        <v>45</v>
      </c>
    </row>
    <row r="337" spans="1:43" x14ac:dyDescent="0.35">
      <c r="A337" t="s">
        <v>37</v>
      </c>
      <c r="B337">
        <v>12</v>
      </c>
      <c r="C337">
        <v>2</v>
      </c>
      <c r="D337">
        <v>4.58</v>
      </c>
      <c r="E337">
        <v>0.17</v>
      </c>
      <c r="F337" s="23">
        <v>2.5390883594254201</v>
      </c>
      <c r="H337" t="s">
        <v>81</v>
      </c>
      <c r="I337">
        <v>7</v>
      </c>
      <c r="J337">
        <v>1</v>
      </c>
      <c r="K337">
        <v>4.43</v>
      </c>
      <c r="L337">
        <v>0.14000000000000001</v>
      </c>
      <c r="M337">
        <v>1.77281052085583</v>
      </c>
      <c r="N337" s="3" t="s">
        <v>55</v>
      </c>
      <c r="O337" t="s">
        <v>10</v>
      </c>
      <c r="P337">
        <v>25</v>
      </c>
      <c r="Q337">
        <v>3</v>
      </c>
      <c r="R337">
        <v>4.4000000000000004</v>
      </c>
      <c r="S337">
        <v>0.12</v>
      </c>
      <c r="T337">
        <v>2.1984843263788201</v>
      </c>
      <c r="U337" s="3" t="s">
        <v>46</v>
      </c>
      <c r="W337" t="s">
        <v>122</v>
      </c>
      <c r="X337">
        <v>6</v>
      </c>
      <c r="Y337">
        <v>0</v>
      </c>
      <c r="Z337">
        <v>4.33</v>
      </c>
      <c r="AA337">
        <v>0</v>
      </c>
      <c r="AB337">
        <v>1.6329931618554501</v>
      </c>
      <c r="AC337" s="3" t="s">
        <v>45</v>
      </c>
      <c r="AD337" t="s">
        <v>122</v>
      </c>
      <c r="AE337">
        <v>6</v>
      </c>
      <c r="AF337">
        <v>0</v>
      </c>
      <c r="AG337">
        <v>4.33</v>
      </c>
      <c r="AH337">
        <v>0</v>
      </c>
      <c r="AI337">
        <v>1.6329931618554501</v>
      </c>
      <c r="AK337" t="s">
        <v>232</v>
      </c>
      <c r="AL337">
        <v>6</v>
      </c>
      <c r="AM337">
        <v>0</v>
      </c>
      <c r="AN337">
        <v>4.33</v>
      </c>
      <c r="AO337">
        <v>0</v>
      </c>
      <c r="AP337">
        <v>2.2509257354845502</v>
      </c>
      <c r="AQ337" s="3" t="s">
        <v>45</v>
      </c>
    </row>
    <row r="338" spans="1:43" x14ac:dyDescent="0.35">
      <c r="A338" t="s">
        <v>79</v>
      </c>
      <c r="B338">
        <v>11</v>
      </c>
      <c r="C338">
        <v>0</v>
      </c>
      <c r="D338">
        <v>4.5999999999999996</v>
      </c>
      <c r="E338">
        <v>0</v>
      </c>
      <c r="F338">
        <v>2.51661147842358</v>
      </c>
      <c r="H338" t="s">
        <v>24</v>
      </c>
      <c r="I338">
        <v>23</v>
      </c>
      <c r="J338">
        <v>3</v>
      </c>
      <c r="K338">
        <v>4.43</v>
      </c>
      <c r="L338">
        <v>0.13</v>
      </c>
      <c r="M338">
        <v>2.1914313910095302</v>
      </c>
      <c r="N338" s="3" t="s">
        <v>55</v>
      </c>
      <c r="O338" t="s">
        <v>81</v>
      </c>
      <c r="P338">
        <v>7</v>
      </c>
      <c r="Q338">
        <v>1</v>
      </c>
      <c r="R338">
        <v>4.43</v>
      </c>
      <c r="S338">
        <v>0.14000000000000001</v>
      </c>
      <c r="T338">
        <v>1.77281052085583</v>
      </c>
      <c r="U338" s="3" t="s">
        <v>46</v>
      </c>
      <c r="W338" t="s">
        <v>10</v>
      </c>
      <c r="X338" s="6">
        <v>26</v>
      </c>
      <c r="Y338">
        <v>3</v>
      </c>
      <c r="Z338">
        <v>4.3499999999999996</v>
      </c>
      <c r="AA338">
        <v>0.12</v>
      </c>
      <c r="AB338">
        <v>2.1714936369661801</v>
      </c>
      <c r="AC338" s="3" t="s">
        <v>46</v>
      </c>
      <c r="AD338" t="s">
        <v>10</v>
      </c>
      <c r="AE338">
        <v>26</v>
      </c>
      <c r="AF338">
        <v>3</v>
      </c>
      <c r="AG338">
        <v>4.3499999999999996</v>
      </c>
      <c r="AH338">
        <v>0.12</v>
      </c>
      <c r="AI338">
        <v>2.1714936369661801</v>
      </c>
      <c r="AK338" t="s">
        <v>58</v>
      </c>
      <c r="AL338">
        <v>6</v>
      </c>
      <c r="AM338">
        <v>0</v>
      </c>
      <c r="AN338">
        <v>4.33</v>
      </c>
      <c r="AO338">
        <v>0</v>
      </c>
      <c r="AP338">
        <v>2.33809038890002</v>
      </c>
      <c r="AQ338" s="3" t="s">
        <v>45</v>
      </c>
    </row>
    <row r="339" spans="1:43" x14ac:dyDescent="0.35">
      <c r="A339" t="s">
        <v>29</v>
      </c>
      <c r="B339" s="6">
        <v>12</v>
      </c>
      <c r="C339">
        <v>0</v>
      </c>
      <c r="D339">
        <v>4.67</v>
      </c>
      <c r="E339">
        <v>0</v>
      </c>
      <c r="F339">
        <v>2.22928171609085</v>
      </c>
      <c r="G339" s="2" t="s">
        <v>305</v>
      </c>
      <c r="H339" t="s">
        <v>115</v>
      </c>
      <c r="I339">
        <v>7</v>
      </c>
      <c r="J339">
        <v>0</v>
      </c>
      <c r="K339">
        <v>4.57</v>
      </c>
      <c r="L339">
        <v>0</v>
      </c>
      <c r="M339">
        <v>1.71824938596844</v>
      </c>
      <c r="N339" s="3" t="s">
        <v>54</v>
      </c>
      <c r="O339" t="s">
        <v>115</v>
      </c>
      <c r="P339">
        <v>7</v>
      </c>
      <c r="Q339">
        <v>0</v>
      </c>
      <c r="R339">
        <v>4.57</v>
      </c>
      <c r="S339">
        <v>0</v>
      </c>
      <c r="T339">
        <v>1.71824938596844</v>
      </c>
      <c r="W339" t="s">
        <v>3</v>
      </c>
      <c r="X339">
        <v>13</v>
      </c>
      <c r="Y339">
        <v>2</v>
      </c>
      <c r="Z339">
        <v>4.38</v>
      </c>
      <c r="AA339">
        <v>0.15</v>
      </c>
      <c r="AB339">
        <v>2.7748873851023199</v>
      </c>
      <c r="AC339" s="3" t="s">
        <v>54</v>
      </c>
      <c r="AD339" t="s">
        <v>3</v>
      </c>
      <c r="AE339">
        <v>13</v>
      </c>
      <c r="AF339">
        <v>2</v>
      </c>
      <c r="AG339">
        <v>4.38</v>
      </c>
      <c r="AH339">
        <v>0.15</v>
      </c>
      <c r="AI339">
        <v>2.7748873851023199</v>
      </c>
      <c r="AK339" t="s">
        <v>122</v>
      </c>
      <c r="AL339">
        <v>6</v>
      </c>
      <c r="AM339">
        <v>0</v>
      </c>
      <c r="AN339">
        <v>4.33</v>
      </c>
      <c r="AO339">
        <v>0</v>
      </c>
      <c r="AP339">
        <v>1.6329931618554501</v>
      </c>
      <c r="AQ339" s="3" t="s">
        <v>45</v>
      </c>
    </row>
    <row r="340" spans="1:43" x14ac:dyDescent="0.35">
      <c r="A340" t="s">
        <v>21</v>
      </c>
      <c r="B340">
        <v>8</v>
      </c>
      <c r="C340">
        <v>0</v>
      </c>
      <c r="D340">
        <v>4.75</v>
      </c>
      <c r="E340">
        <v>0</v>
      </c>
      <c r="F340">
        <v>2.0528725518857001</v>
      </c>
      <c r="G340" s="3" t="s">
        <v>46</v>
      </c>
      <c r="H340" t="s">
        <v>29</v>
      </c>
      <c r="I340">
        <v>12</v>
      </c>
      <c r="J340">
        <v>0</v>
      </c>
      <c r="K340">
        <v>4.67</v>
      </c>
      <c r="L340">
        <v>0</v>
      </c>
      <c r="M340">
        <v>2.22928171609085</v>
      </c>
      <c r="N340" s="3" t="s">
        <v>46</v>
      </c>
      <c r="O340" t="s">
        <v>24</v>
      </c>
      <c r="P340" s="6">
        <v>25</v>
      </c>
      <c r="Q340">
        <v>3</v>
      </c>
      <c r="R340">
        <v>4.6399999999999997</v>
      </c>
      <c r="S340">
        <v>0.12</v>
      </c>
      <c r="T340">
        <v>2.2338307903688599</v>
      </c>
      <c r="U340" s="3" t="s">
        <v>45</v>
      </c>
      <c r="W340" t="s">
        <v>147</v>
      </c>
      <c r="X340" s="6">
        <v>5</v>
      </c>
      <c r="Y340">
        <v>0</v>
      </c>
      <c r="Z340">
        <v>4.4000000000000004</v>
      </c>
      <c r="AA340">
        <v>0</v>
      </c>
      <c r="AB340">
        <v>1.94935886896179</v>
      </c>
      <c r="AC340" s="26" t="s">
        <v>348</v>
      </c>
      <c r="AD340" t="s">
        <v>147</v>
      </c>
      <c r="AE340">
        <v>5</v>
      </c>
      <c r="AF340">
        <v>0</v>
      </c>
      <c r="AG340">
        <v>4.4000000000000004</v>
      </c>
      <c r="AH340">
        <v>0</v>
      </c>
      <c r="AI340">
        <v>1.94935886896179</v>
      </c>
      <c r="AK340" t="s">
        <v>147</v>
      </c>
      <c r="AL340">
        <v>5</v>
      </c>
      <c r="AM340">
        <v>0</v>
      </c>
      <c r="AN340">
        <v>4.4000000000000004</v>
      </c>
      <c r="AO340">
        <v>0</v>
      </c>
      <c r="AP340">
        <v>1.94935886896179</v>
      </c>
    </row>
    <row r="341" spans="1:43" x14ac:dyDescent="0.35">
      <c r="A341" t="s">
        <v>230</v>
      </c>
      <c r="B341">
        <v>5</v>
      </c>
      <c r="C341">
        <v>1</v>
      </c>
      <c r="D341">
        <v>4.8</v>
      </c>
      <c r="E341">
        <v>0.2</v>
      </c>
      <c r="F341">
        <v>2.7748873851023199</v>
      </c>
      <c r="G341" s="3" t="s">
        <v>46</v>
      </c>
      <c r="H341" t="s">
        <v>21</v>
      </c>
      <c r="I341">
        <v>8</v>
      </c>
      <c r="J341">
        <v>0</v>
      </c>
      <c r="K341">
        <v>4.75</v>
      </c>
      <c r="L341">
        <v>0</v>
      </c>
      <c r="M341">
        <v>2.0528725518857001</v>
      </c>
      <c r="N341" s="3" t="s">
        <v>46</v>
      </c>
      <c r="O341" t="s">
        <v>29</v>
      </c>
      <c r="P341">
        <v>12</v>
      </c>
      <c r="Q341">
        <v>0</v>
      </c>
      <c r="R341">
        <v>4.67</v>
      </c>
      <c r="S341">
        <v>0</v>
      </c>
      <c r="T341">
        <v>2.22928171609085</v>
      </c>
      <c r="U341" s="3" t="s">
        <v>46</v>
      </c>
      <c r="W341" t="s">
        <v>81</v>
      </c>
      <c r="X341">
        <v>7</v>
      </c>
      <c r="Y341">
        <v>1</v>
      </c>
      <c r="Z341">
        <v>4.43</v>
      </c>
      <c r="AA341">
        <v>0.14000000000000001</v>
      </c>
      <c r="AB341">
        <v>1.77281052085583</v>
      </c>
      <c r="AC341" s="3" t="s">
        <v>54</v>
      </c>
      <c r="AD341" t="s">
        <v>81</v>
      </c>
      <c r="AE341">
        <v>7</v>
      </c>
      <c r="AF341">
        <v>1</v>
      </c>
      <c r="AG341">
        <v>4.43</v>
      </c>
      <c r="AH341">
        <v>0.14000000000000001</v>
      </c>
      <c r="AI341">
        <v>1.77281052085583</v>
      </c>
      <c r="AK341" t="s">
        <v>81</v>
      </c>
      <c r="AL341">
        <v>7</v>
      </c>
      <c r="AM341">
        <v>1</v>
      </c>
      <c r="AN341">
        <v>4.43</v>
      </c>
      <c r="AO341">
        <v>0.14000000000000001</v>
      </c>
      <c r="AP341">
        <v>1.77281052085583</v>
      </c>
    </row>
    <row r="342" spans="1:43" x14ac:dyDescent="0.35">
      <c r="A342" t="s">
        <v>13</v>
      </c>
      <c r="B342">
        <v>17</v>
      </c>
      <c r="C342">
        <v>1</v>
      </c>
      <c r="D342">
        <v>4.82</v>
      </c>
      <c r="E342">
        <v>0.06</v>
      </c>
      <c r="F342" s="23">
        <v>2.2930856412793998</v>
      </c>
      <c r="G342" s="3" t="s">
        <v>46</v>
      </c>
      <c r="H342" t="s">
        <v>37</v>
      </c>
      <c r="I342" s="6">
        <v>13</v>
      </c>
      <c r="J342">
        <v>2</v>
      </c>
      <c r="K342">
        <v>4.7699999999999996</v>
      </c>
      <c r="L342">
        <v>0.15</v>
      </c>
      <c r="M342">
        <v>2.5217006878244601</v>
      </c>
      <c r="N342" s="3" t="s">
        <v>94</v>
      </c>
      <c r="O342" t="s">
        <v>21</v>
      </c>
      <c r="P342">
        <v>8</v>
      </c>
      <c r="Q342">
        <v>0</v>
      </c>
      <c r="R342">
        <v>4.75</v>
      </c>
      <c r="S342">
        <v>0</v>
      </c>
      <c r="T342">
        <v>2.0528725518857001</v>
      </c>
      <c r="U342" s="3" t="s">
        <v>46</v>
      </c>
      <c r="W342" t="s">
        <v>115</v>
      </c>
      <c r="X342">
        <v>7</v>
      </c>
      <c r="Y342">
        <v>0</v>
      </c>
      <c r="Z342">
        <v>4.57</v>
      </c>
      <c r="AA342">
        <v>0</v>
      </c>
      <c r="AB342">
        <v>1.71824938596844</v>
      </c>
      <c r="AC342" s="3" t="s">
        <v>54</v>
      </c>
      <c r="AD342" t="s">
        <v>115</v>
      </c>
      <c r="AE342">
        <v>7</v>
      </c>
      <c r="AF342">
        <v>0</v>
      </c>
      <c r="AG342">
        <v>4.57</v>
      </c>
      <c r="AH342">
        <v>0</v>
      </c>
      <c r="AI342">
        <v>1.71824938596844</v>
      </c>
      <c r="AK342" t="s">
        <v>29</v>
      </c>
      <c r="AL342" s="6">
        <v>15</v>
      </c>
      <c r="AM342">
        <v>0</v>
      </c>
      <c r="AN342">
        <v>4.47</v>
      </c>
      <c r="AO342">
        <v>0</v>
      </c>
      <c r="AP342">
        <v>2.0655911179772799</v>
      </c>
      <c r="AQ342" s="2" t="s">
        <v>47</v>
      </c>
    </row>
    <row r="343" spans="1:43" x14ac:dyDescent="0.35">
      <c r="A343" t="s">
        <v>25</v>
      </c>
      <c r="B343">
        <v>29</v>
      </c>
      <c r="C343">
        <v>3</v>
      </c>
      <c r="D343">
        <v>4.97</v>
      </c>
      <c r="E343">
        <v>0.1</v>
      </c>
      <c r="F343">
        <v>2.3992944289131599</v>
      </c>
      <c r="G343" s="3" t="s">
        <v>46</v>
      </c>
      <c r="H343" t="s">
        <v>230</v>
      </c>
      <c r="I343">
        <v>5</v>
      </c>
      <c r="J343">
        <v>1</v>
      </c>
      <c r="K343">
        <v>4.8</v>
      </c>
      <c r="L343">
        <v>0.2</v>
      </c>
      <c r="M343">
        <v>2.7748873851023199</v>
      </c>
      <c r="N343" s="3" t="s">
        <v>45</v>
      </c>
      <c r="O343" t="s">
        <v>37</v>
      </c>
      <c r="P343">
        <v>13</v>
      </c>
      <c r="Q343">
        <v>2</v>
      </c>
      <c r="R343">
        <v>4.7699999999999996</v>
      </c>
      <c r="S343">
        <v>0.15</v>
      </c>
      <c r="T343">
        <v>2.5217006878244601</v>
      </c>
      <c r="U343" s="3" t="s">
        <v>46</v>
      </c>
      <c r="W343" t="s">
        <v>24</v>
      </c>
      <c r="X343" s="6">
        <v>27</v>
      </c>
      <c r="Y343">
        <v>3</v>
      </c>
      <c r="Z343">
        <v>4.63</v>
      </c>
      <c r="AA343">
        <v>0.11</v>
      </c>
      <c r="AB343">
        <v>2.2557302782733299</v>
      </c>
      <c r="AC343" s="3" t="s">
        <v>54</v>
      </c>
      <c r="AD343" t="s">
        <v>24</v>
      </c>
      <c r="AE343">
        <v>27</v>
      </c>
      <c r="AF343">
        <v>3</v>
      </c>
      <c r="AG343">
        <v>4.63</v>
      </c>
      <c r="AH343">
        <v>0.11</v>
      </c>
      <c r="AI343">
        <v>2.2557302782733299</v>
      </c>
      <c r="AK343" t="s">
        <v>115</v>
      </c>
      <c r="AL343">
        <v>7</v>
      </c>
      <c r="AM343">
        <v>0</v>
      </c>
      <c r="AN343">
        <v>4.57</v>
      </c>
      <c r="AO343">
        <v>0</v>
      </c>
      <c r="AP343">
        <v>1.71824938596844</v>
      </c>
      <c r="AQ343" s="3" t="s">
        <v>46</v>
      </c>
    </row>
    <row r="344" spans="1:43" x14ac:dyDescent="0.35">
      <c r="A344" t="s">
        <v>125</v>
      </c>
      <c r="B344">
        <v>6</v>
      </c>
      <c r="C344">
        <v>0</v>
      </c>
      <c r="D344">
        <v>5</v>
      </c>
      <c r="E344">
        <v>0</v>
      </c>
      <c r="F344" s="23">
        <v>2.3664319132398401</v>
      </c>
      <c r="G344" s="3" t="s">
        <v>46</v>
      </c>
      <c r="H344" t="s">
        <v>13</v>
      </c>
      <c r="I344">
        <v>17</v>
      </c>
      <c r="J344">
        <v>1</v>
      </c>
      <c r="K344">
        <v>4.82</v>
      </c>
      <c r="L344">
        <v>0.06</v>
      </c>
      <c r="M344" s="23">
        <v>2.2930856412793998</v>
      </c>
      <c r="N344" s="3" t="s">
        <v>45</v>
      </c>
      <c r="O344" t="s">
        <v>230</v>
      </c>
      <c r="P344">
        <v>5</v>
      </c>
      <c r="Q344">
        <v>1</v>
      </c>
      <c r="R344">
        <v>4.8</v>
      </c>
      <c r="S344">
        <v>0.2</v>
      </c>
      <c r="T344">
        <v>2.2560460078960198</v>
      </c>
      <c r="U344" s="3" t="s">
        <v>46</v>
      </c>
      <c r="W344" t="s">
        <v>29</v>
      </c>
      <c r="X344" s="6">
        <v>12</v>
      </c>
      <c r="Y344">
        <v>0</v>
      </c>
      <c r="Z344">
        <v>4.67</v>
      </c>
      <c r="AA344">
        <v>0</v>
      </c>
      <c r="AB344">
        <v>2.22928171609085</v>
      </c>
      <c r="AC344" s="3" t="s">
        <v>54</v>
      </c>
      <c r="AD344" t="s">
        <v>29</v>
      </c>
      <c r="AE344" s="6">
        <v>13</v>
      </c>
      <c r="AF344">
        <v>0</v>
      </c>
      <c r="AG344">
        <v>4.6900000000000004</v>
      </c>
      <c r="AH344">
        <v>0</v>
      </c>
      <c r="AI344">
        <v>2.13637603527622</v>
      </c>
      <c r="AK344" t="s">
        <v>21</v>
      </c>
      <c r="AL344" s="6">
        <v>10</v>
      </c>
      <c r="AM344">
        <v>0</v>
      </c>
      <c r="AN344">
        <v>4.5999999999999996</v>
      </c>
      <c r="AO344">
        <v>0</v>
      </c>
      <c r="AP344">
        <v>2.0655911179772799</v>
      </c>
      <c r="AQ344" s="2" t="s">
        <v>44</v>
      </c>
    </row>
    <row r="345" spans="1:43" x14ac:dyDescent="0.35">
      <c r="A345" t="s">
        <v>34</v>
      </c>
      <c r="B345">
        <v>5</v>
      </c>
      <c r="C345">
        <v>1</v>
      </c>
      <c r="D345">
        <v>5</v>
      </c>
      <c r="E345">
        <v>0.2</v>
      </c>
      <c r="F345">
        <v>2.2360679774997898</v>
      </c>
      <c r="G345" s="3" t="s">
        <v>46</v>
      </c>
      <c r="H345" t="s">
        <v>79</v>
      </c>
      <c r="I345" s="6">
        <v>12</v>
      </c>
      <c r="J345">
        <v>0</v>
      </c>
      <c r="K345">
        <v>4.83</v>
      </c>
      <c r="L345">
        <v>0</v>
      </c>
      <c r="M345">
        <v>2.51661147842358</v>
      </c>
      <c r="N345" s="3" t="s">
        <v>69</v>
      </c>
      <c r="O345" t="s">
        <v>13</v>
      </c>
      <c r="P345" s="6">
        <v>18</v>
      </c>
      <c r="Q345">
        <v>1</v>
      </c>
      <c r="R345">
        <v>4.83</v>
      </c>
      <c r="S345">
        <v>0.06</v>
      </c>
      <c r="T345">
        <v>2.1213203435596402</v>
      </c>
      <c r="U345" s="3" t="s">
        <v>46</v>
      </c>
      <c r="W345" t="s">
        <v>21</v>
      </c>
      <c r="X345">
        <v>8</v>
      </c>
      <c r="Y345">
        <v>0</v>
      </c>
      <c r="Z345">
        <v>4.75</v>
      </c>
      <c r="AA345">
        <v>0</v>
      </c>
      <c r="AB345">
        <v>2.0528725518857001</v>
      </c>
      <c r="AC345" s="3" t="s">
        <v>54</v>
      </c>
      <c r="AD345" t="s">
        <v>21</v>
      </c>
      <c r="AE345">
        <v>8</v>
      </c>
      <c r="AF345">
        <v>0</v>
      </c>
      <c r="AG345">
        <v>4.75</v>
      </c>
      <c r="AH345">
        <v>0</v>
      </c>
      <c r="AI345">
        <v>2.0528725518857001</v>
      </c>
      <c r="AK345" t="s">
        <v>24</v>
      </c>
      <c r="AL345" s="6">
        <v>28</v>
      </c>
      <c r="AM345">
        <v>3</v>
      </c>
      <c r="AN345">
        <v>4.6100000000000003</v>
      </c>
      <c r="AO345">
        <v>0.11</v>
      </c>
      <c r="AP345">
        <v>2.2167591578746499</v>
      </c>
      <c r="AQ345" s="3" t="s">
        <v>45</v>
      </c>
    </row>
    <row r="346" spans="1:43" x14ac:dyDescent="0.35">
      <c r="A346" t="s">
        <v>30</v>
      </c>
      <c r="B346">
        <v>6</v>
      </c>
      <c r="C346">
        <v>1</v>
      </c>
      <c r="D346">
        <v>5</v>
      </c>
      <c r="E346">
        <v>0.17</v>
      </c>
      <c r="F346">
        <v>2.4494897427831699</v>
      </c>
      <c r="G346" s="3" t="s">
        <v>46</v>
      </c>
      <c r="H346" t="s">
        <v>25</v>
      </c>
      <c r="I346">
        <v>29</v>
      </c>
      <c r="J346">
        <v>3</v>
      </c>
      <c r="K346">
        <v>4.97</v>
      </c>
      <c r="L346">
        <v>0.1</v>
      </c>
      <c r="M346">
        <v>2.3992944289131599</v>
      </c>
      <c r="N346" s="3" t="s">
        <v>54</v>
      </c>
      <c r="O346" t="s">
        <v>25</v>
      </c>
      <c r="P346">
        <v>29</v>
      </c>
      <c r="Q346">
        <v>3</v>
      </c>
      <c r="R346">
        <v>4.97</v>
      </c>
      <c r="S346">
        <v>0.1</v>
      </c>
      <c r="T346">
        <v>2.3992944289131599</v>
      </c>
      <c r="W346" t="s">
        <v>37</v>
      </c>
      <c r="X346">
        <v>13</v>
      </c>
      <c r="Y346">
        <v>2</v>
      </c>
      <c r="Z346">
        <v>4.7699999999999996</v>
      </c>
      <c r="AA346">
        <v>0.15</v>
      </c>
      <c r="AB346">
        <v>2.5217006878244601</v>
      </c>
      <c r="AC346" s="3" t="s">
        <v>54</v>
      </c>
      <c r="AD346" t="s">
        <v>37</v>
      </c>
      <c r="AE346">
        <v>13</v>
      </c>
      <c r="AF346">
        <v>2</v>
      </c>
      <c r="AG346">
        <v>4.7699999999999996</v>
      </c>
      <c r="AH346">
        <v>0.15</v>
      </c>
      <c r="AI346">
        <v>2.5217006878244601</v>
      </c>
      <c r="AK346" t="s">
        <v>3</v>
      </c>
      <c r="AL346" s="6">
        <v>14</v>
      </c>
      <c r="AM346">
        <v>2</v>
      </c>
      <c r="AN346">
        <v>4.6399999999999997</v>
      </c>
      <c r="AO346">
        <v>0.14000000000000001</v>
      </c>
      <c r="AP346">
        <v>2.3731557327466102</v>
      </c>
      <c r="AQ346" s="3" t="s">
        <v>69</v>
      </c>
    </row>
    <row r="347" spans="1:43" x14ac:dyDescent="0.35">
      <c r="A347" t="s">
        <v>1</v>
      </c>
      <c r="B347">
        <v>21</v>
      </c>
      <c r="C347">
        <v>1</v>
      </c>
      <c r="D347">
        <v>5.0999999999999996</v>
      </c>
      <c r="E347">
        <v>0.05</v>
      </c>
      <c r="F347">
        <v>2.1887156486113399</v>
      </c>
      <c r="H347" t="s">
        <v>125</v>
      </c>
      <c r="I347" s="6">
        <v>7</v>
      </c>
      <c r="J347">
        <v>0</v>
      </c>
      <c r="K347">
        <v>5</v>
      </c>
      <c r="L347">
        <v>0</v>
      </c>
      <c r="M347">
        <v>2.3664319132398401</v>
      </c>
      <c r="N347" s="3" t="s">
        <v>54</v>
      </c>
      <c r="O347" t="s">
        <v>125</v>
      </c>
      <c r="P347">
        <v>7</v>
      </c>
      <c r="Q347">
        <v>0</v>
      </c>
      <c r="R347">
        <v>5</v>
      </c>
      <c r="S347">
        <v>0</v>
      </c>
      <c r="T347">
        <v>2.3664319132398401</v>
      </c>
      <c r="W347" t="s">
        <v>230</v>
      </c>
      <c r="X347">
        <v>5</v>
      </c>
      <c r="Y347">
        <v>1</v>
      </c>
      <c r="Z347">
        <v>4.8</v>
      </c>
      <c r="AA347">
        <v>0.2</v>
      </c>
      <c r="AB347">
        <v>2.2560460078960198</v>
      </c>
      <c r="AC347" s="3" t="s">
        <v>54</v>
      </c>
      <c r="AD347" t="s">
        <v>230</v>
      </c>
      <c r="AE347">
        <v>5</v>
      </c>
      <c r="AF347">
        <v>1</v>
      </c>
      <c r="AG347">
        <v>4.8</v>
      </c>
      <c r="AH347">
        <v>0.2</v>
      </c>
      <c r="AI347">
        <v>2.2560460078960198</v>
      </c>
      <c r="AK347" t="s">
        <v>37</v>
      </c>
      <c r="AL347" s="6">
        <v>14</v>
      </c>
      <c r="AM347">
        <v>2</v>
      </c>
      <c r="AN347">
        <v>4.79</v>
      </c>
      <c r="AO347">
        <v>0.14000000000000001</v>
      </c>
      <c r="AP347">
        <v>2.4235565546581199</v>
      </c>
      <c r="AQ347" s="3" t="s">
        <v>46</v>
      </c>
    </row>
    <row r="348" spans="1:43" x14ac:dyDescent="0.35">
      <c r="A348" t="s">
        <v>99</v>
      </c>
      <c r="B348">
        <v>9</v>
      </c>
      <c r="C348">
        <v>1</v>
      </c>
      <c r="D348">
        <v>5.1100000000000003</v>
      </c>
      <c r="E348">
        <v>0.11</v>
      </c>
      <c r="F348">
        <v>2.4720661623652198</v>
      </c>
      <c r="H348" t="s">
        <v>34</v>
      </c>
      <c r="I348">
        <v>5</v>
      </c>
      <c r="J348">
        <v>1</v>
      </c>
      <c r="K348">
        <v>5</v>
      </c>
      <c r="L348">
        <v>0.2</v>
      </c>
      <c r="M348">
        <v>2.2360679774997898</v>
      </c>
      <c r="N348" s="3" t="s">
        <v>54</v>
      </c>
      <c r="O348" t="s">
        <v>34</v>
      </c>
      <c r="P348">
        <v>5</v>
      </c>
      <c r="Q348">
        <v>1</v>
      </c>
      <c r="R348">
        <v>5</v>
      </c>
      <c r="S348">
        <v>0.2</v>
      </c>
      <c r="T348">
        <v>2.2360679774997898</v>
      </c>
      <c r="W348" t="s">
        <v>13</v>
      </c>
      <c r="X348">
        <v>18</v>
      </c>
      <c r="Y348">
        <v>1</v>
      </c>
      <c r="Z348">
        <v>4.83</v>
      </c>
      <c r="AA348">
        <v>0.06</v>
      </c>
      <c r="AB348">
        <v>2.1213203435596402</v>
      </c>
      <c r="AC348" s="3" t="s">
        <v>54</v>
      </c>
      <c r="AD348" t="s">
        <v>13</v>
      </c>
      <c r="AE348">
        <v>18</v>
      </c>
      <c r="AF348">
        <v>1</v>
      </c>
      <c r="AG348">
        <v>4.83</v>
      </c>
      <c r="AH348">
        <v>0.06</v>
      </c>
      <c r="AI348">
        <v>2.1213203435596402</v>
      </c>
      <c r="AK348" t="s">
        <v>230</v>
      </c>
      <c r="AL348">
        <v>5</v>
      </c>
      <c r="AM348">
        <v>1</v>
      </c>
      <c r="AN348">
        <v>4.8</v>
      </c>
      <c r="AO348">
        <v>0.2</v>
      </c>
      <c r="AP348">
        <v>2.2560460078960198</v>
      </c>
      <c r="AQ348" s="3" t="s">
        <v>46</v>
      </c>
    </row>
    <row r="349" spans="1:43" x14ac:dyDescent="0.35">
      <c r="A349" t="s">
        <v>51</v>
      </c>
      <c r="B349">
        <v>18</v>
      </c>
      <c r="C349">
        <v>1</v>
      </c>
      <c r="D349">
        <v>5.17</v>
      </c>
      <c r="E349">
        <v>0.06</v>
      </c>
      <c r="F349">
        <v>2.3072774891123702</v>
      </c>
      <c r="H349" t="s">
        <v>116</v>
      </c>
      <c r="I349" s="6">
        <v>6</v>
      </c>
      <c r="J349">
        <v>0</v>
      </c>
      <c r="K349">
        <v>5</v>
      </c>
      <c r="L349">
        <v>0</v>
      </c>
      <c r="M349">
        <v>1.67332005306815</v>
      </c>
      <c r="N349" s="2" t="s">
        <v>59</v>
      </c>
      <c r="O349" t="s">
        <v>116</v>
      </c>
      <c r="P349">
        <v>6</v>
      </c>
      <c r="Q349">
        <v>0</v>
      </c>
      <c r="R349">
        <v>5</v>
      </c>
      <c r="S349">
        <v>0</v>
      </c>
      <c r="T349">
        <v>1.67332005306815</v>
      </c>
      <c r="W349" t="s">
        <v>30</v>
      </c>
      <c r="X349" s="6">
        <v>7</v>
      </c>
      <c r="Y349">
        <v>1</v>
      </c>
      <c r="Z349">
        <v>4.8600000000000003</v>
      </c>
      <c r="AA349">
        <v>0.17</v>
      </c>
      <c r="AB349">
        <v>2.2677868380553599</v>
      </c>
      <c r="AC349" s="2" t="s">
        <v>44</v>
      </c>
      <c r="AD349" t="s">
        <v>30</v>
      </c>
      <c r="AE349">
        <v>7</v>
      </c>
      <c r="AF349">
        <v>1</v>
      </c>
      <c r="AG349">
        <v>4.8600000000000003</v>
      </c>
      <c r="AH349">
        <v>0.17</v>
      </c>
      <c r="AI349">
        <v>2.2677868380553599</v>
      </c>
      <c r="AK349" t="s">
        <v>13</v>
      </c>
      <c r="AL349">
        <v>18</v>
      </c>
      <c r="AM349">
        <v>1</v>
      </c>
      <c r="AN349">
        <v>4.83</v>
      </c>
      <c r="AO349">
        <v>0.06</v>
      </c>
      <c r="AP349">
        <v>2.1213203435596402</v>
      </c>
      <c r="AQ349" s="3" t="s">
        <v>46</v>
      </c>
    </row>
    <row r="350" spans="1:43" x14ac:dyDescent="0.35">
      <c r="A350" t="s">
        <v>17</v>
      </c>
      <c r="B350">
        <v>6</v>
      </c>
      <c r="C350">
        <v>1</v>
      </c>
      <c r="D350">
        <v>5.17</v>
      </c>
      <c r="E350">
        <v>0.17</v>
      </c>
      <c r="F350">
        <v>2.4832774042918899</v>
      </c>
      <c r="H350" t="s">
        <v>30</v>
      </c>
      <c r="I350">
        <v>6</v>
      </c>
      <c r="J350">
        <v>1</v>
      </c>
      <c r="K350">
        <v>5</v>
      </c>
      <c r="L350">
        <v>0.17</v>
      </c>
      <c r="M350">
        <v>2.4494897427831699</v>
      </c>
      <c r="N350" s="3" t="s">
        <v>55</v>
      </c>
      <c r="O350" t="s">
        <v>30</v>
      </c>
      <c r="P350">
        <v>6</v>
      </c>
      <c r="Q350">
        <v>1</v>
      </c>
      <c r="R350">
        <v>5</v>
      </c>
      <c r="S350">
        <v>0.17</v>
      </c>
      <c r="T350">
        <v>2.4494897427831699</v>
      </c>
      <c r="W350" t="s">
        <v>25</v>
      </c>
      <c r="X350">
        <v>29</v>
      </c>
      <c r="Y350">
        <v>3</v>
      </c>
      <c r="Z350">
        <v>4.97</v>
      </c>
      <c r="AA350">
        <v>0.1</v>
      </c>
      <c r="AB350">
        <v>2.3992944289131599</v>
      </c>
      <c r="AC350" s="3" t="s">
        <v>55</v>
      </c>
      <c r="AD350" t="s">
        <v>25</v>
      </c>
      <c r="AE350">
        <v>29</v>
      </c>
      <c r="AF350">
        <v>3</v>
      </c>
      <c r="AG350">
        <v>4.97</v>
      </c>
      <c r="AH350">
        <v>0.1</v>
      </c>
      <c r="AI350">
        <v>2.3992944289131599</v>
      </c>
      <c r="AK350" t="s">
        <v>25</v>
      </c>
      <c r="AL350">
        <v>29</v>
      </c>
      <c r="AM350">
        <v>3</v>
      </c>
      <c r="AN350">
        <v>4.97</v>
      </c>
      <c r="AO350">
        <v>0.1</v>
      </c>
      <c r="AP350">
        <v>2.3992944289131599</v>
      </c>
    </row>
    <row r="351" spans="1:43" x14ac:dyDescent="0.35">
      <c r="A351" t="s">
        <v>6</v>
      </c>
      <c r="B351" s="6">
        <v>36</v>
      </c>
      <c r="C351">
        <v>3</v>
      </c>
      <c r="D351">
        <v>5.39</v>
      </c>
      <c r="E351">
        <v>0.08</v>
      </c>
      <c r="F351">
        <v>2.1945097438546499</v>
      </c>
      <c r="H351" t="s">
        <v>1</v>
      </c>
      <c r="I351">
        <v>21</v>
      </c>
      <c r="J351">
        <v>1</v>
      </c>
      <c r="K351">
        <v>5.0999999999999996</v>
      </c>
      <c r="L351">
        <v>0.05</v>
      </c>
      <c r="M351">
        <v>2.1887156486113399</v>
      </c>
      <c r="N351" s="3" t="s">
        <v>55</v>
      </c>
      <c r="O351" t="s">
        <v>79</v>
      </c>
      <c r="P351" s="6">
        <v>13</v>
      </c>
      <c r="Q351">
        <v>0</v>
      </c>
      <c r="R351">
        <v>5</v>
      </c>
      <c r="S351">
        <v>0</v>
      </c>
      <c r="T351">
        <v>2</v>
      </c>
      <c r="U351" s="3" t="s">
        <v>71</v>
      </c>
      <c r="W351" t="s">
        <v>125</v>
      </c>
      <c r="X351">
        <v>7</v>
      </c>
      <c r="Y351">
        <v>0</v>
      </c>
      <c r="Z351">
        <v>5</v>
      </c>
      <c r="AA351">
        <v>0</v>
      </c>
      <c r="AB351">
        <v>2.3664319132398401</v>
      </c>
      <c r="AC351" s="3" t="s">
        <v>55</v>
      </c>
      <c r="AD351" t="s">
        <v>125</v>
      </c>
      <c r="AE351">
        <v>7</v>
      </c>
      <c r="AF351">
        <v>0</v>
      </c>
      <c r="AG351">
        <v>5</v>
      </c>
      <c r="AH351">
        <v>0</v>
      </c>
      <c r="AI351">
        <v>2.3664319132398401</v>
      </c>
      <c r="AK351" t="s">
        <v>125</v>
      </c>
      <c r="AL351">
        <v>7</v>
      </c>
      <c r="AM351">
        <v>0</v>
      </c>
      <c r="AN351">
        <v>5</v>
      </c>
      <c r="AO351">
        <v>0</v>
      </c>
      <c r="AP351">
        <v>2.3664319132398401</v>
      </c>
    </row>
    <row r="352" spans="1:43" x14ac:dyDescent="0.35">
      <c r="A352" t="s">
        <v>116</v>
      </c>
      <c r="B352">
        <v>5</v>
      </c>
      <c r="C352">
        <v>0</v>
      </c>
      <c r="D352">
        <v>5.4</v>
      </c>
      <c r="E352">
        <v>0</v>
      </c>
      <c r="F352">
        <v>1.51657508881031</v>
      </c>
      <c r="H352" t="s">
        <v>99</v>
      </c>
      <c r="I352">
        <v>9</v>
      </c>
      <c r="J352">
        <v>1</v>
      </c>
      <c r="K352">
        <v>5.1100000000000003</v>
      </c>
      <c r="L352">
        <v>0.11</v>
      </c>
      <c r="M352">
        <v>2.4720661623652198</v>
      </c>
      <c r="N352" s="3" t="s">
        <v>55</v>
      </c>
      <c r="O352" t="s">
        <v>1</v>
      </c>
      <c r="P352">
        <v>21</v>
      </c>
      <c r="Q352">
        <v>1</v>
      </c>
      <c r="R352">
        <v>5.0999999999999996</v>
      </c>
      <c r="S352">
        <v>0.05</v>
      </c>
      <c r="T352">
        <v>2.1887156486113399</v>
      </c>
      <c r="U352" s="3" t="s">
        <v>46</v>
      </c>
      <c r="W352" t="s">
        <v>34</v>
      </c>
      <c r="X352">
        <v>5</v>
      </c>
      <c r="Y352">
        <v>1</v>
      </c>
      <c r="Z352">
        <v>5</v>
      </c>
      <c r="AA352">
        <v>0.2</v>
      </c>
      <c r="AB352">
        <v>2.2360679774997898</v>
      </c>
      <c r="AC352" s="3" t="s">
        <v>55</v>
      </c>
      <c r="AD352" t="s">
        <v>34</v>
      </c>
      <c r="AE352">
        <v>5</v>
      </c>
      <c r="AF352">
        <v>1</v>
      </c>
      <c r="AG352">
        <v>5</v>
      </c>
      <c r="AH352">
        <v>0.2</v>
      </c>
      <c r="AI352">
        <v>2.2360679774997898</v>
      </c>
      <c r="AK352" t="s">
        <v>34</v>
      </c>
      <c r="AL352">
        <v>5</v>
      </c>
      <c r="AM352">
        <v>1</v>
      </c>
      <c r="AN352">
        <v>5</v>
      </c>
      <c r="AO352">
        <v>0.2</v>
      </c>
      <c r="AP352">
        <v>2.2360679774997898</v>
      </c>
    </row>
    <row r="353" spans="1:43" x14ac:dyDescent="0.35">
      <c r="A353" t="s">
        <v>49</v>
      </c>
      <c r="B353">
        <v>5</v>
      </c>
      <c r="C353">
        <v>1</v>
      </c>
      <c r="D353">
        <v>5.4</v>
      </c>
      <c r="E353">
        <v>0.2</v>
      </c>
      <c r="F353">
        <v>2.88097205817758</v>
      </c>
      <c r="H353" t="s">
        <v>51</v>
      </c>
      <c r="I353">
        <v>18</v>
      </c>
      <c r="J353">
        <v>1</v>
      </c>
      <c r="K353">
        <v>5.17</v>
      </c>
      <c r="L353">
        <v>0.06</v>
      </c>
      <c r="M353">
        <v>2.3072774891123702</v>
      </c>
      <c r="N353" s="3" t="s">
        <v>55</v>
      </c>
      <c r="O353" t="s">
        <v>99</v>
      </c>
      <c r="P353">
        <v>9</v>
      </c>
      <c r="Q353">
        <v>1</v>
      </c>
      <c r="R353">
        <v>5.1100000000000003</v>
      </c>
      <c r="S353">
        <v>0.11</v>
      </c>
      <c r="T353">
        <v>2.4720661623652198</v>
      </c>
      <c r="U353" s="3" t="s">
        <v>46</v>
      </c>
      <c r="W353" t="s">
        <v>116</v>
      </c>
      <c r="X353">
        <v>6</v>
      </c>
      <c r="Y353">
        <v>0</v>
      </c>
      <c r="Z353">
        <v>5</v>
      </c>
      <c r="AA353">
        <v>0</v>
      </c>
      <c r="AB353">
        <v>1.67332005306815</v>
      </c>
      <c r="AC353" s="3" t="s">
        <v>55</v>
      </c>
      <c r="AD353" t="s">
        <v>116</v>
      </c>
      <c r="AE353">
        <v>6</v>
      </c>
      <c r="AF353">
        <v>0</v>
      </c>
      <c r="AG353">
        <v>5</v>
      </c>
      <c r="AH353">
        <v>0</v>
      </c>
      <c r="AI353">
        <v>1.67332005306815</v>
      </c>
      <c r="AK353" t="s">
        <v>116</v>
      </c>
      <c r="AL353">
        <v>6</v>
      </c>
      <c r="AM353">
        <v>0</v>
      </c>
      <c r="AN353">
        <v>5</v>
      </c>
      <c r="AO353">
        <v>0</v>
      </c>
      <c r="AP353">
        <v>1.67332005306815</v>
      </c>
    </row>
    <row r="354" spans="1:43" x14ac:dyDescent="0.35">
      <c r="A354" t="s">
        <v>19</v>
      </c>
      <c r="B354">
        <v>8</v>
      </c>
      <c r="C354">
        <v>1</v>
      </c>
      <c r="D354">
        <v>5.5</v>
      </c>
      <c r="E354">
        <v>1.3</v>
      </c>
      <c r="F354">
        <v>2.3299294900428702</v>
      </c>
      <c r="H354" t="s">
        <v>17</v>
      </c>
      <c r="I354">
        <v>6</v>
      </c>
      <c r="J354">
        <v>1</v>
      </c>
      <c r="K354">
        <v>5.17</v>
      </c>
      <c r="L354">
        <v>0.17</v>
      </c>
      <c r="M354">
        <v>2.4832774042918899</v>
      </c>
      <c r="N354" s="3" t="s">
        <v>55</v>
      </c>
      <c r="O354" t="s">
        <v>51</v>
      </c>
      <c r="P354">
        <v>18</v>
      </c>
      <c r="Q354">
        <v>1</v>
      </c>
      <c r="R354">
        <v>5.17</v>
      </c>
      <c r="S354">
        <v>0.06</v>
      </c>
      <c r="T354">
        <v>2.3072774891123702</v>
      </c>
      <c r="U354" s="3" t="s">
        <v>46</v>
      </c>
      <c r="W354" t="s">
        <v>79</v>
      </c>
      <c r="X354">
        <v>13</v>
      </c>
      <c r="Y354">
        <v>0</v>
      </c>
      <c r="Z354">
        <v>5</v>
      </c>
      <c r="AA354">
        <v>0</v>
      </c>
      <c r="AB354">
        <v>2</v>
      </c>
      <c r="AC354" s="3" t="s">
        <v>54</v>
      </c>
      <c r="AD354" t="s">
        <v>79</v>
      </c>
      <c r="AE354">
        <v>13</v>
      </c>
      <c r="AF354">
        <v>0</v>
      </c>
      <c r="AG354">
        <v>5</v>
      </c>
      <c r="AH354">
        <v>0</v>
      </c>
      <c r="AI354">
        <v>2</v>
      </c>
      <c r="AK354" t="s">
        <v>197</v>
      </c>
      <c r="AL354" s="6">
        <v>8</v>
      </c>
      <c r="AM354">
        <v>0</v>
      </c>
      <c r="AN354">
        <v>5</v>
      </c>
      <c r="AO354">
        <v>0</v>
      </c>
      <c r="AP354">
        <v>2.39045721866878</v>
      </c>
      <c r="AQ354" s="2" t="s">
        <v>216</v>
      </c>
    </row>
    <row r="355" spans="1:43" x14ac:dyDescent="0.35">
      <c r="A355" t="s">
        <v>124</v>
      </c>
      <c r="B355">
        <v>6</v>
      </c>
      <c r="C355">
        <v>0</v>
      </c>
      <c r="D355">
        <v>5.5</v>
      </c>
      <c r="E355">
        <v>0</v>
      </c>
      <c r="F355">
        <v>2.16794833886788</v>
      </c>
      <c r="H355" t="s">
        <v>6</v>
      </c>
      <c r="I355">
        <v>36</v>
      </c>
      <c r="J355">
        <v>3</v>
      </c>
      <c r="K355">
        <v>5.39</v>
      </c>
      <c r="L355">
        <v>0.08</v>
      </c>
      <c r="M355">
        <v>2.1945097438546499</v>
      </c>
      <c r="N355" s="3" t="s">
        <v>55</v>
      </c>
      <c r="O355" t="s">
        <v>5</v>
      </c>
      <c r="P355" s="6">
        <v>6</v>
      </c>
      <c r="Q355">
        <v>0</v>
      </c>
      <c r="R355">
        <v>5.17</v>
      </c>
      <c r="S355">
        <v>0</v>
      </c>
      <c r="T355">
        <v>1.60208197875972</v>
      </c>
      <c r="U355" s="3" t="s">
        <v>85</v>
      </c>
      <c r="W355" t="s">
        <v>1</v>
      </c>
      <c r="X355">
        <v>21</v>
      </c>
      <c r="Y355">
        <v>1</v>
      </c>
      <c r="Z355">
        <v>5.0999999999999996</v>
      </c>
      <c r="AA355">
        <v>0.05</v>
      </c>
      <c r="AB355">
        <v>2.1887156486113399</v>
      </c>
      <c r="AC355" s="3" t="s">
        <v>54</v>
      </c>
      <c r="AD355" t="s">
        <v>1</v>
      </c>
      <c r="AE355">
        <v>21</v>
      </c>
      <c r="AF355">
        <v>1</v>
      </c>
      <c r="AG355">
        <v>5.0999999999999996</v>
      </c>
      <c r="AH355">
        <v>0.05</v>
      </c>
      <c r="AI355">
        <v>2.1887156486113399</v>
      </c>
      <c r="AK355" t="s">
        <v>79</v>
      </c>
      <c r="AL355">
        <v>13</v>
      </c>
      <c r="AM355">
        <v>0</v>
      </c>
      <c r="AN355">
        <v>5</v>
      </c>
      <c r="AO355">
        <v>0</v>
      </c>
      <c r="AP355">
        <v>2</v>
      </c>
      <c r="AQ355" s="3" t="s">
        <v>46</v>
      </c>
    </row>
    <row r="356" spans="1:43" x14ac:dyDescent="0.35">
      <c r="A356" t="s">
        <v>105</v>
      </c>
      <c r="B356">
        <v>5</v>
      </c>
      <c r="C356">
        <v>0</v>
      </c>
      <c r="D356">
        <v>5.6</v>
      </c>
      <c r="E356">
        <v>0</v>
      </c>
      <c r="F356" s="23">
        <v>1.41421356237309</v>
      </c>
      <c r="H356" t="s">
        <v>49</v>
      </c>
      <c r="I356">
        <v>5</v>
      </c>
      <c r="J356">
        <v>1</v>
      </c>
      <c r="K356">
        <v>5.4</v>
      </c>
      <c r="L356">
        <v>0.2</v>
      </c>
      <c r="M356">
        <v>2.88097205817758</v>
      </c>
      <c r="N356" s="3" t="s">
        <v>54</v>
      </c>
      <c r="O356" t="s">
        <v>17</v>
      </c>
      <c r="P356">
        <v>6</v>
      </c>
      <c r="Q356">
        <v>1</v>
      </c>
      <c r="R356">
        <v>5.17</v>
      </c>
      <c r="S356">
        <v>0.17</v>
      </c>
      <c r="T356">
        <v>2.4832774042918899</v>
      </c>
      <c r="U356" s="3" t="s">
        <v>45</v>
      </c>
      <c r="W356" t="s">
        <v>99</v>
      </c>
      <c r="X356">
        <v>9</v>
      </c>
      <c r="Y356">
        <v>1</v>
      </c>
      <c r="Z356">
        <v>5.1100000000000003</v>
      </c>
      <c r="AA356">
        <v>0.11</v>
      </c>
      <c r="AB356">
        <v>2.4720661623652198</v>
      </c>
      <c r="AC356" s="3" t="s">
        <v>54</v>
      </c>
      <c r="AD356" t="s">
        <v>99</v>
      </c>
      <c r="AE356">
        <v>9</v>
      </c>
      <c r="AF356">
        <v>1</v>
      </c>
      <c r="AG356">
        <v>5.1100000000000003</v>
      </c>
      <c r="AH356">
        <v>0.11</v>
      </c>
      <c r="AI356">
        <v>2.4720661623652198</v>
      </c>
      <c r="AK356" t="s">
        <v>1</v>
      </c>
      <c r="AL356">
        <v>21</v>
      </c>
      <c r="AM356">
        <v>1</v>
      </c>
      <c r="AN356">
        <v>5.0999999999999996</v>
      </c>
      <c r="AO356">
        <v>0.05</v>
      </c>
      <c r="AP356">
        <v>2.1887156486113399</v>
      </c>
      <c r="AQ356" s="3" t="s">
        <v>46</v>
      </c>
    </row>
    <row r="357" spans="1:43" x14ac:dyDescent="0.35">
      <c r="A357" t="s">
        <v>137</v>
      </c>
      <c r="B357">
        <v>5</v>
      </c>
      <c r="C357">
        <v>0</v>
      </c>
      <c r="D357">
        <v>5.8</v>
      </c>
      <c r="E357">
        <v>0</v>
      </c>
      <c r="F357">
        <v>1.64316767251549</v>
      </c>
      <c r="H357" t="s">
        <v>19</v>
      </c>
      <c r="I357">
        <v>8</v>
      </c>
      <c r="J357">
        <v>1</v>
      </c>
      <c r="K357">
        <v>5.5</v>
      </c>
      <c r="L357">
        <v>0.13</v>
      </c>
      <c r="M357">
        <v>2.3299294900428702</v>
      </c>
      <c r="N357" s="3" t="s">
        <v>54</v>
      </c>
      <c r="O357" t="s">
        <v>16</v>
      </c>
      <c r="P357" s="6">
        <v>5</v>
      </c>
      <c r="Q357">
        <v>0</v>
      </c>
      <c r="R357">
        <v>5.2</v>
      </c>
      <c r="S357">
        <v>0</v>
      </c>
      <c r="T357" s="7">
        <v>1.30384048104052</v>
      </c>
      <c r="U357" s="3" t="s">
        <v>85</v>
      </c>
      <c r="W357" t="s">
        <v>51</v>
      </c>
      <c r="X357">
        <v>18</v>
      </c>
      <c r="Y357">
        <v>1</v>
      </c>
      <c r="Z357">
        <v>5.17</v>
      </c>
      <c r="AA357">
        <v>0.06</v>
      </c>
      <c r="AB357">
        <v>2.3072774891123702</v>
      </c>
      <c r="AC357" s="3" t="s">
        <v>54</v>
      </c>
      <c r="AD357" t="s">
        <v>51</v>
      </c>
      <c r="AE357">
        <v>18</v>
      </c>
      <c r="AF357">
        <v>1</v>
      </c>
      <c r="AG357">
        <v>5.17</v>
      </c>
      <c r="AH357">
        <v>0.06</v>
      </c>
      <c r="AI357">
        <v>2.3072774891123702</v>
      </c>
      <c r="AK357" t="s">
        <v>99</v>
      </c>
      <c r="AL357">
        <v>9</v>
      </c>
      <c r="AM357">
        <v>1</v>
      </c>
      <c r="AN357">
        <v>5.1100000000000003</v>
      </c>
      <c r="AO357">
        <v>0.11</v>
      </c>
      <c r="AP357">
        <v>2.4720661623652198</v>
      </c>
      <c r="AQ357" s="3" t="s">
        <v>46</v>
      </c>
    </row>
    <row r="358" spans="1:43" x14ac:dyDescent="0.35">
      <c r="A358" t="s">
        <v>20</v>
      </c>
      <c r="B358">
        <v>11</v>
      </c>
      <c r="C358">
        <v>1</v>
      </c>
      <c r="D358">
        <v>5.82</v>
      </c>
      <c r="E358">
        <v>0.09</v>
      </c>
      <c r="F358">
        <v>2.3159525823376299</v>
      </c>
      <c r="H358" t="s">
        <v>124</v>
      </c>
      <c r="I358">
        <v>6</v>
      </c>
      <c r="J358">
        <v>0</v>
      </c>
      <c r="K358">
        <v>5.5</v>
      </c>
      <c r="L358">
        <v>0</v>
      </c>
      <c r="M358">
        <v>2.16794833886788</v>
      </c>
      <c r="N358" s="3" t="s">
        <v>54</v>
      </c>
      <c r="O358" t="s">
        <v>6</v>
      </c>
      <c r="P358">
        <v>36</v>
      </c>
      <c r="Q358">
        <v>3</v>
      </c>
      <c r="R358">
        <v>5.39</v>
      </c>
      <c r="S358">
        <v>0.08</v>
      </c>
      <c r="T358">
        <v>2.1945097438546499</v>
      </c>
      <c r="U358" s="3" t="s">
        <v>54</v>
      </c>
      <c r="W358" t="s">
        <v>5</v>
      </c>
      <c r="X358">
        <v>6</v>
      </c>
      <c r="Y358">
        <v>0</v>
      </c>
      <c r="Z358">
        <v>5.17</v>
      </c>
      <c r="AA358">
        <v>0</v>
      </c>
      <c r="AB358">
        <v>1.60208197875972</v>
      </c>
      <c r="AC358" s="3" t="s">
        <v>54</v>
      </c>
      <c r="AD358" t="s">
        <v>5</v>
      </c>
      <c r="AE358">
        <v>6</v>
      </c>
      <c r="AF358">
        <v>0</v>
      </c>
      <c r="AG358">
        <v>5.17</v>
      </c>
      <c r="AH358">
        <v>0</v>
      </c>
      <c r="AI358">
        <v>1.60208197875972</v>
      </c>
      <c r="AK358" t="s">
        <v>30</v>
      </c>
      <c r="AL358" s="6">
        <v>8</v>
      </c>
      <c r="AM358">
        <v>1</v>
      </c>
      <c r="AN358">
        <v>5.13</v>
      </c>
      <c r="AO358">
        <v>0.13</v>
      </c>
      <c r="AP358">
        <v>2.2320714274285298</v>
      </c>
      <c r="AQ358" s="3" t="s">
        <v>84</v>
      </c>
    </row>
    <row r="359" spans="1:43" x14ac:dyDescent="0.35">
      <c r="A359" t="s">
        <v>32</v>
      </c>
      <c r="B359">
        <v>12</v>
      </c>
      <c r="C359">
        <v>1</v>
      </c>
      <c r="D359">
        <v>5.83</v>
      </c>
      <c r="E359">
        <v>0.08</v>
      </c>
      <c r="F359">
        <v>2.1248885888797799</v>
      </c>
      <c r="H359" t="s">
        <v>105</v>
      </c>
      <c r="I359">
        <v>5</v>
      </c>
      <c r="J359">
        <v>0</v>
      </c>
      <c r="K359">
        <v>5.6</v>
      </c>
      <c r="L359">
        <v>0</v>
      </c>
      <c r="M359" s="23">
        <v>1.41421356237309</v>
      </c>
      <c r="N359" s="3" t="s">
        <v>54</v>
      </c>
      <c r="O359" t="s">
        <v>49</v>
      </c>
      <c r="P359">
        <v>5</v>
      </c>
      <c r="Q359">
        <v>1</v>
      </c>
      <c r="R359">
        <v>5.4</v>
      </c>
      <c r="S359">
        <v>0.2</v>
      </c>
      <c r="T359">
        <v>2.88097205817758</v>
      </c>
      <c r="U359" s="3" t="s">
        <v>54</v>
      </c>
      <c r="W359" t="s">
        <v>17</v>
      </c>
      <c r="X359">
        <v>6</v>
      </c>
      <c r="Y359">
        <v>1</v>
      </c>
      <c r="Z359">
        <v>5.17</v>
      </c>
      <c r="AA359">
        <v>0.17</v>
      </c>
      <c r="AB359">
        <v>2.4832774042918899</v>
      </c>
      <c r="AC359" s="3" t="s">
        <v>54</v>
      </c>
      <c r="AD359" t="s">
        <v>17</v>
      </c>
      <c r="AE359">
        <v>6</v>
      </c>
      <c r="AF359">
        <v>1</v>
      </c>
      <c r="AG359">
        <v>5.17</v>
      </c>
      <c r="AH359">
        <v>0.17</v>
      </c>
      <c r="AI359">
        <v>2.4832774042918899</v>
      </c>
      <c r="AK359" t="s">
        <v>51</v>
      </c>
      <c r="AL359">
        <v>18</v>
      </c>
      <c r="AM359">
        <v>1</v>
      </c>
      <c r="AN359">
        <v>5.17</v>
      </c>
      <c r="AO359">
        <v>0.06</v>
      </c>
      <c r="AP359">
        <v>2.3072774891123702</v>
      </c>
      <c r="AQ359" s="3" t="s">
        <v>45</v>
      </c>
    </row>
    <row r="360" spans="1:43" x14ac:dyDescent="0.35">
      <c r="A360" t="s">
        <v>4</v>
      </c>
      <c r="B360">
        <v>8</v>
      </c>
      <c r="C360">
        <v>0</v>
      </c>
      <c r="D360">
        <v>5.88</v>
      </c>
      <c r="E360">
        <v>0</v>
      </c>
      <c r="F360">
        <v>2.1001700611412999</v>
      </c>
      <c r="H360" t="s">
        <v>197</v>
      </c>
      <c r="I360" s="6">
        <v>5</v>
      </c>
      <c r="J360">
        <v>0</v>
      </c>
      <c r="K360">
        <v>5.6</v>
      </c>
      <c r="L360">
        <v>0</v>
      </c>
      <c r="M360">
        <v>1.67332005306815</v>
      </c>
      <c r="N360" s="3" t="s">
        <v>85</v>
      </c>
      <c r="O360" t="s">
        <v>19</v>
      </c>
      <c r="P360">
        <v>8</v>
      </c>
      <c r="Q360">
        <v>1</v>
      </c>
      <c r="R360">
        <v>5.5</v>
      </c>
      <c r="S360">
        <v>0.13</v>
      </c>
      <c r="T360">
        <v>2.3299294900428702</v>
      </c>
      <c r="U360" s="3" t="s">
        <v>54</v>
      </c>
      <c r="W360" t="s">
        <v>16</v>
      </c>
      <c r="X360">
        <v>5</v>
      </c>
      <c r="Y360">
        <v>0</v>
      </c>
      <c r="Z360">
        <v>5.2</v>
      </c>
      <c r="AA360">
        <v>0</v>
      </c>
      <c r="AB360" s="7">
        <v>1.30384048104052</v>
      </c>
      <c r="AC360" s="3" t="s">
        <v>54</v>
      </c>
      <c r="AD360" t="s">
        <v>50</v>
      </c>
      <c r="AE360" s="6">
        <v>5</v>
      </c>
      <c r="AF360">
        <v>0</v>
      </c>
      <c r="AG360">
        <v>5.2</v>
      </c>
      <c r="AH360">
        <v>0</v>
      </c>
      <c r="AI360">
        <v>2.6832815729997401</v>
      </c>
      <c r="AJ360" s="12" t="s">
        <v>85</v>
      </c>
      <c r="AK360" t="s">
        <v>5</v>
      </c>
      <c r="AL360">
        <v>6</v>
      </c>
      <c r="AM360">
        <v>0</v>
      </c>
      <c r="AN360">
        <v>5.17</v>
      </c>
      <c r="AO360">
        <v>0</v>
      </c>
      <c r="AP360">
        <v>1.60208197875972</v>
      </c>
      <c r="AQ360" s="3" t="s">
        <v>45</v>
      </c>
    </row>
    <row r="361" spans="1:43" x14ac:dyDescent="0.35">
      <c r="A361" t="s">
        <v>31</v>
      </c>
      <c r="B361">
        <v>5</v>
      </c>
      <c r="C361">
        <v>0</v>
      </c>
      <c r="D361">
        <v>6</v>
      </c>
      <c r="E361">
        <v>0</v>
      </c>
      <c r="F361" s="23">
        <v>1.58113883008418</v>
      </c>
      <c r="H361" t="s">
        <v>137</v>
      </c>
      <c r="I361">
        <v>5</v>
      </c>
      <c r="J361">
        <v>0</v>
      </c>
      <c r="K361">
        <v>5.8</v>
      </c>
      <c r="L361">
        <v>0</v>
      </c>
      <c r="M361">
        <v>1.64316767251549</v>
      </c>
      <c r="N361" s="3" t="s">
        <v>55</v>
      </c>
      <c r="O361" t="s">
        <v>124</v>
      </c>
      <c r="P361">
        <v>6</v>
      </c>
      <c r="Q361">
        <v>0</v>
      </c>
      <c r="R361">
        <v>5.5</v>
      </c>
      <c r="S361">
        <v>0</v>
      </c>
      <c r="T361">
        <v>2.16794833886788</v>
      </c>
      <c r="U361" s="3" t="s">
        <v>54</v>
      </c>
      <c r="W361" t="s">
        <v>6</v>
      </c>
      <c r="X361">
        <v>36</v>
      </c>
      <c r="Y361">
        <v>3</v>
      </c>
      <c r="Z361">
        <v>5.39</v>
      </c>
      <c r="AA361">
        <v>0.08</v>
      </c>
      <c r="AB361">
        <v>2.1945097438546499</v>
      </c>
      <c r="AC361" s="3" t="s">
        <v>54</v>
      </c>
      <c r="AD361" t="s">
        <v>16</v>
      </c>
      <c r="AE361">
        <v>5</v>
      </c>
      <c r="AF361">
        <v>0</v>
      </c>
      <c r="AG361">
        <v>5.2</v>
      </c>
      <c r="AH361">
        <v>0</v>
      </c>
      <c r="AI361" s="7">
        <v>1.30384048104052</v>
      </c>
      <c r="AJ361" s="3" t="s">
        <v>46</v>
      </c>
      <c r="AK361" t="s">
        <v>17</v>
      </c>
      <c r="AL361">
        <v>6</v>
      </c>
      <c r="AM361">
        <v>1</v>
      </c>
      <c r="AN361">
        <v>5.17</v>
      </c>
      <c r="AO361">
        <v>0.17</v>
      </c>
      <c r="AP361">
        <v>2.4832774042918899</v>
      </c>
      <c r="AQ361" s="3" t="s">
        <v>45</v>
      </c>
    </row>
    <row r="362" spans="1:43" x14ac:dyDescent="0.35">
      <c r="A362" t="s">
        <v>90</v>
      </c>
      <c r="B362">
        <v>5</v>
      </c>
      <c r="C362">
        <v>1</v>
      </c>
      <c r="D362">
        <v>6</v>
      </c>
      <c r="E362">
        <v>0.2</v>
      </c>
      <c r="F362">
        <v>3.08220700148448</v>
      </c>
      <c r="H362" t="s">
        <v>20</v>
      </c>
      <c r="I362">
        <v>11</v>
      </c>
      <c r="J362">
        <v>1</v>
      </c>
      <c r="K362">
        <v>5.82</v>
      </c>
      <c r="L362">
        <v>0.09</v>
      </c>
      <c r="M362">
        <v>2.3159525823376299</v>
      </c>
      <c r="N362" s="3" t="s">
        <v>55</v>
      </c>
      <c r="O362" t="s">
        <v>105</v>
      </c>
      <c r="P362">
        <v>5</v>
      </c>
      <c r="Q362">
        <v>0</v>
      </c>
      <c r="R362">
        <v>5.6</v>
      </c>
      <c r="S362">
        <v>0</v>
      </c>
      <c r="T362">
        <v>1.8165902124584901</v>
      </c>
      <c r="U362" s="3" t="s">
        <v>54</v>
      </c>
      <c r="W362" t="s">
        <v>49</v>
      </c>
      <c r="X362">
        <v>5</v>
      </c>
      <c r="Y362">
        <v>1</v>
      </c>
      <c r="Z362">
        <v>5.4</v>
      </c>
      <c r="AA362">
        <v>0.2</v>
      </c>
      <c r="AB362">
        <v>2.88097205817758</v>
      </c>
      <c r="AC362" s="3" t="s">
        <v>54</v>
      </c>
      <c r="AD362" t="s">
        <v>6</v>
      </c>
      <c r="AE362">
        <v>36</v>
      </c>
      <c r="AF362">
        <v>3</v>
      </c>
      <c r="AG362">
        <v>5.39</v>
      </c>
      <c r="AH362">
        <v>0.08</v>
      </c>
      <c r="AI362">
        <v>2.1945097438546499</v>
      </c>
      <c r="AJ362" s="3" t="s">
        <v>46</v>
      </c>
      <c r="AK362" t="s">
        <v>50</v>
      </c>
      <c r="AL362">
        <v>5</v>
      </c>
      <c r="AM362">
        <v>0</v>
      </c>
      <c r="AN362">
        <v>5.2</v>
      </c>
      <c r="AO362">
        <v>0</v>
      </c>
      <c r="AP362">
        <v>2.6832815729997401</v>
      </c>
      <c r="AQ362" s="3" t="s">
        <v>45</v>
      </c>
    </row>
    <row r="363" spans="1:43" x14ac:dyDescent="0.35">
      <c r="A363" t="s">
        <v>12</v>
      </c>
      <c r="B363">
        <v>5</v>
      </c>
      <c r="C363">
        <v>0</v>
      </c>
      <c r="D363">
        <v>6</v>
      </c>
      <c r="E363">
        <v>0</v>
      </c>
      <c r="F363">
        <v>2.54950975679639</v>
      </c>
      <c r="G363" s="12" t="s">
        <v>306</v>
      </c>
      <c r="H363" t="s">
        <v>32</v>
      </c>
      <c r="I363">
        <v>12</v>
      </c>
      <c r="J363">
        <v>1</v>
      </c>
      <c r="K363">
        <v>5.83</v>
      </c>
      <c r="L363">
        <v>0.08</v>
      </c>
      <c r="M363">
        <v>2.1248885888797799</v>
      </c>
      <c r="N363" s="3" t="s">
        <v>55</v>
      </c>
      <c r="O363" t="s">
        <v>197</v>
      </c>
      <c r="P363">
        <v>5</v>
      </c>
      <c r="Q363">
        <v>0</v>
      </c>
      <c r="R363">
        <v>5.6</v>
      </c>
      <c r="S363">
        <v>0</v>
      </c>
      <c r="T363">
        <v>1.67332005306815</v>
      </c>
      <c r="U363" s="3" t="s">
        <v>54</v>
      </c>
      <c r="W363" t="s">
        <v>19</v>
      </c>
      <c r="X363">
        <v>8</v>
      </c>
      <c r="Y363">
        <v>1</v>
      </c>
      <c r="Z363">
        <v>5.5</v>
      </c>
      <c r="AA363">
        <v>0.13</v>
      </c>
      <c r="AB363">
        <v>2.3299294900428702</v>
      </c>
      <c r="AC363" s="3" t="s">
        <v>54</v>
      </c>
      <c r="AD363" t="s">
        <v>49</v>
      </c>
      <c r="AE363">
        <v>5</v>
      </c>
      <c r="AF363">
        <v>1</v>
      </c>
      <c r="AG363">
        <v>5.4</v>
      </c>
      <c r="AH363">
        <v>0.2</v>
      </c>
      <c r="AI363" s="7">
        <v>2.88097205817758</v>
      </c>
      <c r="AJ363" s="3" t="s">
        <v>46</v>
      </c>
      <c r="AK363" t="s">
        <v>16</v>
      </c>
      <c r="AL363">
        <v>5</v>
      </c>
      <c r="AM363">
        <v>0</v>
      </c>
      <c r="AN363">
        <v>5.2</v>
      </c>
      <c r="AO363">
        <v>0</v>
      </c>
      <c r="AP363" s="7">
        <v>1.30384048104052</v>
      </c>
      <c r="AQ363" s="3" t="s">
        <v>45</v>
      </c>
    </row>
    <row r="364" spans="1:43" x14ac:dyDescent="0.35">
      <c r="A364" t="s">
        <v>33</v>
      </c>
      <c r="B364">
        <v>5</v>
      </c>
      <c r="C364">
        <v>0</v>
      </c>
      <c r="D364">
        <v>6.2</v>
      </c>
      <c r="E364">
        <v>0</v>
      </c>
      <c r="F364">
        <v>2.3874672772626599</v>
      </c>
      <c r="H364" t="s">
        <v>4</v>
      </c>
      <c r="I364">
        <v>8</v>
      </c>
      <c r="J364">
        <v>0</v>
      </c>
      <c r="K364">
        <v>5.88</v>
      </c>
      <c r="L364">
        <v>0</v>
      </c>
      <c r="M364">
        <v>2.1001700611412999</v>
      </c>
      <c r="N364" s="3" t="s">
        <v>55</v>
      </c>
      <c r="O364" t="s">
        <v>82</v>
      </c>
      <c r="P364" s="6">
        <v>5</v>
      </c>
      <c r="Q364">
        <v>0</v>
      </c>
      <c r="R364">
        <v>5.8</v>
      </c>
      <c r="S364">
        <v>0</v>
      </c>
      <c r="T364">
        <v>2.16794833886788</v>
      </c>
      <c r="U364" s="3" t="s">
        <v>85</v>
      </c>
      <c r="W364" t="s">
        <v>124</v>
      </c>
      <c r="X364">
        <v>6</v>
      </c>
      <c r="Y364">
        <v>0</v>
      </c>
      <c r="Z364">
        <v>5.5</v>
      </c>
      <c r="AA364">
        <v>0</v>
      </c>
      <c r="AB364">
        <v>2.16794833886788</v>
      </c>
      <c r="AC364" s="3" t="s">
        <v>54</v>
      </c>
      <c r="AD364" t="s">
        <v>19</v>
      </c>
      <c r="AE364">
        <v>8</v>
      </c>
      <c r="AF364">
        <v>1</v>
      </c>
      <c r="AG364">
        <v>5.5</v>
      </c>
      <c r="AH364">
        <v>0.13</v>
      </c>
      <c r="AI364">
        <v>2.3299294900428702</v>
      </c>
      <c r="AJ364" s="3" t="s">
        <v>46</v>
      </c>
      <c r="AK364" t="s">
        <v>6</v>
      </c>
      <c r="AL364" s="6">
        <v>37</v>
      </c>
      <c r="AM364">
        <v>3</v>
      </c>
      <c r="AN364">
        <v>5.38</v>
      </c>
      <c r="AO364">
        <v>0.08</v>
      </c>
      <c r="AP364">
        <v>2.1647600758943599</v>
      </c>
      <c r="AQ364" s="3" t="s">
        <v>45</v>
      </c>
    </row>
    <row r="365" spans="1:43" x14ac:dyDescent="0.35">
      <c r="H365" t="s">
        <v>90</v>
      </c>
      <c r="I365">
        <v>5</v>
      </c>
      <c r="J365">
        <v>1</v>
      </c>
      <c r="K365">
        <v>6</v>
      </c>
      <c r="L365">
        <v>0.2</v>
      </c>
      <c r="M365" s="7">
        <v>3.08220700148448</v>
      </c>
      <c r="N365" s="3" t="s">
        <v>54</v>
      </c>
      <c r="O365" t="s">
        <v>137</v>
      </c>
      <c r="P365">
        <v>5</v>
      </c>
      <c r="Q365">
        <v>0</v>
      </c>
      <c r="R365">
        <v>5.8</v>
      </c>
      <c r="S365">
        <v>0</v>
      </c>
      <c r="T365">
        <v>1.64316767251549</v>
      </c>
      <c r="U365" s="3" t="s">
        <v>55</v>
      </c>
      <c r="W365" t="s">
        <v>105</v>
      </c>
      <c r="X365">
        <v>5</v>
      </c>
      <c r="Y365">
        <v>0</v>
      </c>
      <c r="Z365">
        <v>5.6</v>
      </c>
      <c r="AA365">
        <v>0</v>
      </c>
      <c r="AB365">
        <v>1.8165902124584901</v>
      </c>
      <c r="AC365" s="3" t="s">
        <v>54</v>
      </c>
      <c r="AD365" t="s">
        <v>124</v>
      </c>
      <c r="AE365">
        <v>6</v>
      </c>
      <c r="AF365">
        <v>0</v>
      </c>
      <c r="AG365">
        <v>5.5</v>
      </c>
      <c r="AH365">
        <v>0</v>
      </c>
      <c r="AI365">
        <v>2.16794833886788</v>
      </c>
      <c r="AJ365" s="3" t="s">
        <v>46</v>
      </c>
      <c r="AK365" t="s">
        <v>49</v>
      </c>
      <c r="AL365">
        <v>5</v>
      </c>
      <c r="AM365">
        <v>1</v>
      </c>
      <c r="AN365">
        <v>5.4</v>
      </c>
      <c r="AO365">
        <v>0.2</v>
      </c>
      <c r="AP365" s="7">
        <v>2.88097205817758</v>
      </c>
      <c r="AQ365" s="3" t="s">
        <v>45</v>
      </c>
    </row>
    <row r="366" spans="1:43" x14ac:dyDescent="0.35">
      <c r="H366" t="s">
        <v>12</v>
      </c>
      <c r="I366">
        <v>5</v>
      </c>
      <c r="J366">
        <v>0</v>
      </c>
      <c r="K366">
        <v>6</v>
      </c>
      <c r="L366">
        <v>0</v>
      </c>
      <c r="M366">
        <v>2.54950975679639</v>
      </c>
      <c r="N366" s="3" t="s">
        <v>54</v>
      </c>
      <c r="O366" t="s">
        <v>20</v>
      </c>
      <c r="P366">
        <v>11</v>
      </c>
      <c r="Q366">
        <v>1</v>
      </c>
      <c r="R366">
        <v>5.82</v>
      </c>
      <c r="S366">
        <v>0.09</v>
      </c>
      <c r="T366">
        <v>2.3159525823376299</v>
      </c>
      <c r="U366" s="3" t="s">
        <v>55</v>
      </c>
      <c r="W366" t="s">
        <v>197</v>
      </c>
      <c r="X366">
        <v>5</v>
      </c>
      <c r="Y366">
        <v>0</v>
      </c>
      <c r="Z366">
        <v>5.6</v>
      </c>
      <c r="AA366">
        <v>0</v>
      </c>
      <c r="AB366">
        <v>1.67332005306815</v>
      </c>
      <c r="AC366" s="3" t="s">
        <v>54</v>
      </c>
      <c r="AD366" t="s">
        <v>105</v>
      </c>
      <c r="AE366">
        <v>5</v>
      </c>
      <c r="AF366">
        <v>0</v>
      </c>
      <c r="AG366">
        <v>5.6</v>
      </c>
      <c r="AH366">
        <v>0</v>
      </c>
      <c r="AI366">
        <v>1.8165902124584901</v>
      </c>
      <c r="AJ366" s="3" t="s">
        <v>46</v>
      </c>
      <c r="AK366" t="s">
        <v>19</v>
      </c>
      <c r="AL366">
        <v>8</v>
      </c>
      <c r="AM366">
        <v>1</v>
      </c>
      <c r="AN366">
        <v>5.5</v>
      </c>
      <c r="AO366">
        <v>0.13</v>
      </c>
      <c r="AP366">
        <v>2.3299294900428702</v>
      </c>
      <c r="AQ366" s="3" t="s">
        <v>45</v>
      </c>
    </row>
    <row r="367" spans="1:43" x14ac:dyDescent="0.35">
      <c r="H367" t="s">
        <v>31</v>
      </c>
      <c r="I367">
        <v>6</v>
      </c>
      <c r="J367">
        <v>0</v>
      </c>
      <c r="K367">
        <v>6.17</v>
      </c>
      <c r="L367">
        <v>0</v>
      </c>
      <c r="M367">
        <v>1.47196014438797</v>
      </c>
      <c r="N367" s="3" t="s">
        <v>195</v>
      </c>
      <c r="O367" t="s">
        <v>32</v>
      </c>
      <c r="P367">
        <v>12</v>
      </c>
      <c r="Q367">
        <v>1</v>
      </c>
      <c r="R367">
        <v>5.83</v>
      </c>
      <c r="S367">
        <v>0.08</v>
      </c>
      <c r="T367">
        <v>2.1248885888797799</v>
      </c>
      <c r="U367" s="3" t="s">
        <v>55</v>
      </c>
      <c r="W367" t="s">
        <v>82</v>
      </c>
      <c r="X367">
        <v>5</v>
      </c>
      <c r="Y367">
        <v>0</v>
      </c>
      <c r="Z367">
        <v>5.8</v>
      </c>
      <c r="AA367">
        <v>0</v>
      </c>
      <c r="AB367">
        <v>2.16794833886788</v>
      </c>
      <c r="AC367" s="3" t="s">
        <v>54</v>
      </c>
      <c r="AD367" t="s">
        <v>197</v>
      </c>
      <c r="AE367">
        <v>5</v>
      </c>
      <c r="AF367">
        <v>0</v>
      </c>
      <c r="AG367">
        <v>5.6</v>
      </c>
      <c r="AH367">
        <v>0</v>
      </c>
      <c r="AI367">
        <v>1.67332005306815</v>
      </c>
      <c r="AJ367" s="3" t="s">
        <v>46</v>
      </c>
      <c r="AK367" t="s">
        <v>124</v>
      </c>
      <c r="AL367">
        <v>6</v>
      </c>
      <c r="AM367">
        <v>0</v>
      </c>
      <c r="AN367">
        <v>5.5</v>
      </c>
      <c r="AO367">
        <v>0</v>
      </c>
      <c r="AP367">
        <v>2.16794833886788</v>
      </c>
      <c r="AQ367" s="3" t="s">
        <v>45</v>
      </c>
    </row>
    <row r="368" spans="1:43" x14ac:dyDescent="0.35">
      <c r="H368" t="s">
        <v>33</v>
      </c>
      <c r="I368">
        <v>5</v>
      </c>
      <c r="J368">
        <v>0</v>
      </c>
      <c r="K368">
        <v>6.2</v>
      </c>
      <c r="L368">
        <v>0</v>
      </c>
      <c r="M368">
        <v>2.3874672772626599</v>
      </c>
      <c r="N368" s="3" t="s">
        <v>323</v>
      </c>
      <c r="O368" t="s">
        <v>4</v>
      </c>
      <c r="P368">
        <v>8</v>
      </c>
      <c r="Q368">
        <v>0</v>
      </c>
      <c r="R368">
        <v>5.88</v>
      </c>
      <c r="S368">
        <v>0</v>
      </c>
      <c r="T368">
        <v>2.1001700611412999</v>
      </c>
      <c r="U368" s="3" t="s">
        <v>55</v>
      </c>
      <c r="W368" t="s">
        <v>137</v>
      </c>
      <c r="X368">
        <v>5</v>
      </c>
      <c r="Y368">
        <v>0</v>
      </c>
      <c r="Z368">
        <v>5.8</v>
      </c>
      <c r="AA368">
        <v>0</v>
      </c>
      <c r="AB368">
        <v>1.64316767251549</v>
      </c>
      <c r="AC368" s="3" t="s">
        <v>54</v>
      </c>
      <c r="AD368" t="s">
        <v>82</v>
      </c>
      <c r="AE368">
        <v>5</v>
      </c>
      <c r="AF368">
        <v>0</v>
      </c>
      <c r="AG368">
        <v>5.8</v>
      </c>
      <c r="AH368">
        <v>0</v>
      </c>
      <c r="AI368">
        <v>2.16794833886788</v>
      </c>
      <c r="AJ368" s="3" t="s">
        <v>46</v>
      </c>
      <c r="AK368" t="s">
        <v>105</v>
      </c>
      <c r="AL368">
        <v>5</v>
      </c>
      <c r="AM368">
        <v>0</v>
      </c>
      <c r="AN368">
        <v>5.6</v>
      </c>
      <c r="AO368">
        <v>0</v>
      </c>
      <c r="AP368">
        <v>1.8165902124584901</v>
      </c>
      <c r="AQ368" s="3" t="s">
        <v>45</v>
      </c>
    </row>
    <row r="369" spans="1:57" x14ac:dyDescent="0.35">
      <c r="O369" t="s">
        <v>90</v>
      </c>
      <c r="P369">
        <v>5</v>
      </c>
      <c r="Q369">
        <v>1</v>
      </c>
      <c r="R369">
        <v>6</v>
      </c>
      <c r="S369">
        <v>0.2</v>
      </c>
      <c r="T369" s="7">
        <v>3.08220700148448</v>
      </c>
      <c r="U369" s="3" t="s">
        <v>55</v>
      </c>
      <c r="W369" t="s">
        <v>20</v>
      </c>
      <c r="X369">
        <v>11</v>
      </c>
      <c r="Y369">
        <v>1</v>
      </c>
      <c r="Z369">
        <v>5.82</v>
      </c>
      <c r="AA369">
        <v>0.09</v>
      </c>
      <c r="AB369">
        <v>2.3159525823376299</v>
      </c>
      <c r="AC369" s="3" t="s">
        <v>54</v>
      </c>
      <c r="AD369" t="s">
        <v>137</v>
      </c>
      <c r="AE369">
        <v>5</v>
      </c>
      <c r="AF369">
        <v>0</v>
      </c>
      <c r="AG369">
        <v>5.8</v>
      </c>
      <c r="AH369">
        <v>0</v>
      </c>
      <c r="AI369">
        <v>1.64316767251549</v>
      </c>
      <c r="AJ369" s="3" t="s">
        <v>46</v>
      </c>
      <c r="AK369" t="s">
        <v>82</v>
      </c>
      <c r="AL369">
        <v>5</v>
      </c>
      <c r="AM369">
        <v>0</v>
      </c>
      <c r="AN369">
        <v>5.8</v>
      </c>
      <c r="AO369">
        <v>0</v>
      </c>
      <c r="AP369">
        <v>2.16794833886788</v>
      </c>
      <c r="AQ369" s="3" t="s">
        <v>46</v>
      </c>
    </row>
    <row r="370" spans="1:57" x14ac:dyDescent="0.35">
      <c r="O370" t="s">
        <v>12</v>
      </c>
      <c r="P370">
        <v>5</v>
      </c>
      <c r="Q370">
        <v>0</v>
      </c>
      <c r="R370">
        <v>6</v>
      </c>
      <c r="S370">
        <v>0</v>
      </c>
      <c r="T370">
        <v>2.54950975679639</v>
      </c>
      <c r="U370" s="3" t="s">
        <v>55</v>
      </c>
      <c r="W370" t="s">
        <v>32</v>
      </c>
      <c r="X370">
        <v>12</v>
      </c>
      <c r="Y370">
        <v>1</v>
      </c>
      <c r="Z370">
        <v>5.83</v>
      </c>
      <c r="AA370">
        <v>0.08</v>
      </c>
      <c r="AB370">
        <v>2.1248885888797799</v>
      </c>
      <c r="AC370" s="3" t="s">
        <v>54</v>
      </c>
      <c r="AD370" t="s">
        <v>20</v>
      </c>
      <c r="AE370">
        <v>11</v>
      </c>
      <c r="AF370">
        <v>1</v>
      </c>
      <c r="AG370">
        <v>5.82</v>
      </c>
      <c r="AH370">
        <v>0.09</v>
      </c>
      <c r="AI370">
        <v>2.3159525823376299</v>
      </c>
      <c r="AJ370" s="3" t="s">
        <v>46</v>
      </c>
      <c r="AK370" t="s">
        <v>137</v>
      </c>
      <c r="AL370">
        <v>5</v>
      </c>
      <c r="AM370">
        <v>0</v>
      </c>
      <c r="AN370">
        <v>5.8</v>
      </c>
      <c r="AO370">
        <v>0</v>
      </c>
      <c r="AP370">
        <v>1.64316767251549</v>
      </c>
      <c r="AQ370" s="3" t="s">
        <v>46</v>
      </c>
    </row>
    <row r="371" spans="1:57" x14ac:dyDescent="0.35">
      <c r="O371" t="s">
        <v>31</v>
      </c>
      <c r="P371">
        <v>6</v>
      </c>
      <c r="Q371">
        <v>0</v>
      </c>
      <c r="R371">
        <v>6.17</v>
      </c>
      <c r="S371">
        <v>0</v>
      </c>
      <c r="T371">
        <v>1.47196014438797</v>
      </c>
      <c r="U371" s="3" t="s">
        <v>55</v>
      </c>
      <c r="W371" t="s">
        <v>4</v>
      </c>
      <c r="X371">
        <v>8</v>
      </c>
      <c r="Y371">
        <v>0</v>
      </c>
      <c r="Z371">
        <v>5.88</v>
      </c>
      <c r="AA371">
        <v>0</v>
      </c>
      <c r="AB371">
        <v>2.1001700611412999</v>
      </c>
      <c r="AC371" s="3" t="s">
        <v>54</v>
      </c>
      <c r="AD371" t="s">
        <v>32</v>
      </c>
      <c r="AE371">
        <v>12</v>
      </c>
      <c r="AF371">
        <v>1</v>
      </c>
      <c r="AG371">
        <v>5.83</v>
      </c>
      <c r="AH371">
        <v>0.08</v>
      </c>
      <c r="AI371">
        <v>2.1248885888797799</v>
      </c>
      <c r="AJ371" s="3" t="s">
        <v>46</v>
      </c>
      <c r="AK371" t="s">
        <v>20</v>
      </c>
      <c r="AL371">
        <v>11</v>
      </c>
      <c r="AM371">
        <v>1</v>
      </c>
      <c r="AN371">
        <v>5.82</v>
      </c>
      <c r="AO371">
        <v>0.09</v>
      </c>
      <c r="AP371">
        <v>2.3159525823376299</v>
      </c>
      <c r="AQ371" s="3" t="s">
        <v>46</v>
      </c>
    </row>
    <row r="372" spans="1:57" x14ac:dyDescent="0.35">
      <c r="O372" t="s">
        <v>33</v>
      </c>
      <c r="P372">
        <v>5</v>
      </c>
      <c r="Q372">
        <v>0</v>
      </c>
      <c r="R372">
        <v>6.2</v>
      </c>
      <c r="S372">
        <v>0</v>
      </c>
      <c r="T372">
        <v>2.3874672772626599</v>
      </c>
      <c r="U372" s="3" t="s">
        <v>323</v>
      </c>
      <c r="W372" t="s">
        <v>31</v>
      </c>
      <c r="X372">
        <v>7</v>
      </c>
      <c r="Y372">
        <v>0</v>
      </c>
      <c r="Z372">
        <v>6</v>
      </c>
      <c r="AA372">
        <v>0</v>
      </c>
      <c r="AB372">
        <v>1.41421356237309</v>
      </c>
      <c r="AC372" s="3" t="s">
        <v>46</v>
      </c>
      <c r="AD372" t="s">
        <v>4</v>
      </c>
      <c r="AE372">
        <v>8</v>
      </c>
      <c r="AF372">
        <v>0</v>
      </c>
      <c r="AG372">
        <v>5.88</v>
      </c>
      <c r="AH372">
        <v>0</v>
      </c>
      <c r="AI372">
        <v>2.1001700611412999</v>
      </c>
      <c r="AJ372" s="3" t="s">
        <v>46</v>
      </c>
      <c r="AK372" t="s">
        <v>32</v>
      </c>
      <c r="AL372">
        <v>12</v>
      </c>
      <c r="AM372">
        <v>1</v>
      </c>
      <c r="AN372">
        <v>5.83</v>
      </c>
      <c r="AO372">
        <v>0.08</v>
      </c>
      <c r="AP372">
        <v>2.1248885888797799</v>
      </c>
      <c r="AQ372" s="3" t="s">
        <v>46</v>
      </c>
    </row>
    <row r="373" spans="1:57" x14ac:dyDescent="0.35">
      <c r="W373" t="s">
        <v>90</v>
      </c>
      <c r="X373">
        <v>5</v>
      </c>
      <c r="Y373">
        <v>1</v>
      </c>
      <c r="Z373">
        <v>6</v>
      </c>
      <c r="AA373">
        <v>0.2</v>
      </c>
      <c r="AB373" s="7">
        <v>3.08220700148448</v>
      </c>
      <c r="AC373" s="3" t="s">
        <v>55</v>
      </c>
      <c r="AD373" t="s">
        <v>31</v>
      </c>
      <c r="AE373">
        <v>7</v>
      </c>
      <c r="AF373">
        <v>0</v>
      </c>
      <c r="AG373">
        <v>6</v>
      </c>
      <c r="AH373">
        <v>0</v>
      </c>
      <c r="AI373">
        <v>1.41421356237309</v>
      </c>
      <c r="AJ373" s="3" t="s">
        <v>46</v>
      </c>
      <c r="AK373" t="s">
        <v>4</v>
      </c>
      <c r="AL373">
        <v>8</v>
      </c>
      <c r="AM373">
        <v>0</v>
      </c>
      <c r="AN373">
        <v>5.88</v>
      </c>
      <c r="AO373">
        <v>0</v>
      </c>
      <c r="AP373">
        <v>2.1001700611412999</v>
      </c>
      <c r="AQ373" s="3" t="s">
        <v>46</v>
      </c>
    </row>
    <row r="374" spans="1:57" x14ac:dyDescent="0.35">
      <c r="W374" t="s">
        <v>12</v>
      </c>
      <c r="X374">
        <v>5</v>
      </c>
      <c r="Y374">
        <v>0</v>
      </c>
      <c r="Z374">
        <v>6</v>
      </c>
      <c r="AA374">
        <v>0</v>
      </c>
      <c r="AB374">
        <v>2.54950975679639</v>
      </c>
      <c r="AC374" s="3" t="s">
        <v>55</v>
      </c>
      <c r="AD374" t="s">
        <v>90</v>
      </c>
      <c r="AE374" s="6">
        <v>6</v>
      </c>
      <c r="AF374">
        <v>1</v>
      </c>
      <c r="AG374">
        <v>6</v>
      </c>
      <c r="AH374">
        <v>0.17</v>
      </c>
      <c r="AI374">
        <v>2.7568097504180402</v>
      </c>
      <c r="AJ374" s="3" t="s">
        <v>46</v>
      </c>
      <c r="AK374" t="s">
        <v>31</v>
      </c>
      <c r="AL374">
        <v>7</v>
      </c>
      <c r="AM374">
        <v>0</v>
      </c>
      <c r="AN374">
        <v>6</v>
      </c>
      <c r="AO374">
        <v>0</v>
      </c>
      <c r="AP374">
        <v>1.41421356237309</v>
      </c>
      <c r="AQ374" s="3" t="s">
        <v>46</v>
      </c>
    </row>
    <row r="375" spans="1:57" x14ac:dyDescent="0.35">
      <c r="W375" t="s">
        <v>33</v>
      </c>
      <c r="X375">
        <v>5</v>
      </c>
      <c r="Y375">
        <v>0</v>
      </c>
      <c r="Z375">
        <v>6.2</v>
      </c>
      <c r="AA375">
        <v>0</v>
      </c>
      <c r="AB375">
        <v>2.3874672772626599</v>
      </c>
      <c r="AC375" s="3" t="s">
        <v>349</v>
      </c>
      <c r="AD375" t="s">
        <v>12</v>
      </c>
      <c r="AE375">
        <v>5</v>
      </c>
      <c r="AF375">
        <v>0</v>
      </c>
      <c r="AG375">
        <v>6</v>
      </c>
      <c r="AH375">
        <v>0</v>
      </c>
      <c r="AI375">
        <v>2.54950975679639</v>
      </c>
      <c r="AJ375" s="3" t="s">
        <v>46</v>
      </c>
      <c r="AK375" t="s">
        <v>90</v>
      </c>
      <c r="AL375">
        <v>6</v>
      </c>
      <c r="AM375">
        <v>1</v>
      </c>
      <c r="AN375">
        <v>6</v>
      </c>
      <c r="AO375">
        <v>0.17</v>
      </c>
      <c r="AP375">
        <v>2.7568097504180402</v>
      </c>
      <c r="AQ375" s="3" t="s">
        <v>46</v>
      </c>
    </row>
    <row r="376" spans="1:57" x14ac:dyDescent="0.35">
      <c r="AD376" t="s">
        <v>33</v>
      </c>
      <c r="AE376">
        <v>5</v>
      </c>
      <c r="AF376">
        <v>0</v>
      </c>
      <c r="AG376">
        <v>6.2</v>
      </c>
      <c r="AH376">
        <v>0</v>
      </c>
      <c r="AI376">
        <v>2.3874672772626599</v>
      </c>
      <c r="AJ376" s="3" t="s">
        <v>358</v>
      </c>
      <c r="AK376" t="s">
        <v>12</v>
      </c>
      <c r="AL376">
        <v>5</v>
      </c>
      <c r="AM376">
        <v>0</v>
      </c>
      <c r="AN376">
        <v>6</v>
      </c>
      <c r="AO376">
        <v>0</v>
      </c>
      <c r="AP376">
        <v>2.54950975679639</v>
      </c>
      <c r="AQ376" s="3" t="s">
        <v>46</v>
      </c>
    </row>
    <row r="377" spans="1:57" x14ac:dyDescent="0.35">
      <c r="AK377" t="s">
        <v>33</v>
      </c>
      <c r="AL377">
        <v>5</v>
      </c>
      <c r="AM377">
        <v>0</v>
      </c>
      <c r="AN377">
        <v>6.2</v>
      </c>
      <c r="AO377">
        <v>0</v>
      </c>
      <c r="AP377">
        <v>2.3874672772626599</v>
      </c>
      <c r="AQ377" s="3" t="s">
        <v>46</v>
      </c>
    </row>
    <row r="379" spans="1:57" x14ac:dyDescent="0.35">
      <c r="A379" s="4" t="s">
        <v>42</v>
      </c>
      <c r="B379" s="4" t="s">
        <v>38</v>
      </c>
      <c r="C379" s="4" t="s">
        <v>39</v>
      </c>
      <c r="D379" s="4" t="s">
        <v>40</v>
      </c>
      <c r="E379" s="4" t="s">
        <v>111</v>
      </c>
      <c r="F379" s="4" t="s">
        <v>275</v>
      </c>
      <c r="H379" s="4" t="s">
        <v>42</v>
      </c>
      <c r="I379" s="4" t="s">
        <v>38</v>
      </c>
      <c r="J379" s="4" t="s">
        <v>39</v>
      </c>
      <c r="K379" s="4" t="s">
        <v>40</v>
      </c>
      <c r="L379" s="4" t="s">
        <v>111</v>
      </c>
      <c r="M379" s="4" t="s">
        <v>275</v>
      </c>
      <c r="O379" s="4" t="s">
        <v>42</v>
      </c>
      <c r="P379" s="4" t="s">
        <v>38</v>
      </c>
      <c r="Q379" s="4" t="s">
        <v>39</v>
      </c>
      <c r="R379" s="4" t="s">
        <v>40</v>
      </c>
      <c r="S379" s="4" t="s">
        <v>111</v>
      </c>
      <c r="T379" s="4" t="s">
        <v>275</v>
      </c>
      <c r="W379" s="4" t="s">
        <v>42</v>
      </c>
      <c r="X379" s="4" t="s">
        <v>38</v>
      </c>
      <c r="Y379" s="4" t="s">
        <v>39</v>
      </c>
      <c r="Z379" s="4" t="s">
        <v>40</v>
      </c>
      <c r="AA379" s="4" t="s">
        <v>111</v>
      </c>
      <c r="AB379" s="4" t="s">
        <v>275</v>
      </c>
      <c r="AD379" s="4" t="s">
        <v>42</v>
      </c>
      <c r="AE379" s="4" t="s">
        <v>38</v>
      </c>
      <c r="AF379" s="4" t="s">
        <v>39</v>
      </c>
      <c r="AG379" s="4" t="s">
        <v>40</v>
      </c>
      <c r="AH379" s="4" t="s">
        <v>111</v>
      </c>
      <c r="AI379" s="4" t="s">
        <v>275</v>
      </c>
      <c r="AK379" s="4" t="s">
        <v>42</v>
      </c>
      <c r="AL379" s="4" t="s">
        <v>38</v>
      </c>
      <c r="AM379" s="4" t="s">
        <v>39</v>
      </c>
      <c r="AN379" s="4" t="s">
        <v>40</v>
      </c>
      <c r="AO379" s="4" t="s">
        <v>111</v>
      </c>
      <c r="AP379" s="4" t="s">
        <v>275</v>
      </c>
      <c r="AR379" s="4" t="s">
        <v>42</v>
      </c>
      <c r="AS379" s="4" t="s">
        <v>38</v>
      </c>
      <c r="AT379" s="4" t="s">
        <v>39</v>
      </c>
      <c r="AU379" s="4" t="s">
        <v>40</v>
      </c>
      <c r="AV379" s="4" t="s">
        <v>111</v>
      </c>
      <c r="AW379" s="4" t="s">
        <v>275</v>
      </c>
      <c r="AY379" s="4" t="s">
        <v>42</v>
      </c>
      <c r="AZ379" s="4" t="s">
        <v>38</v>
      </c>
      <c r="BA379" s="4" t="s">
        <v>39</v>
      </c>
      <c r="BB379" s="4" t="s">
        <v>40</v>
      </c>
      <c r="BC379" s="4" t="s">
        <v>111</v>
      </c>
      <c r="BD379" s="4" t="s">
        <v>275</v>
      </c>
    </row>
    <row r="380" spans="1:57" x14ac:dyDescent="0.35">
      <c r="A380" t="s">
        <v>128</v>
      </c>
      <c r="B380">
        <v>41</v>
      </c>
      <c r="C380" s="7">
        <v>14</v>
      </c>
      <c r="D380">
        <v>2.9</v>
      </c>
      <c r="E380">
        <v>0.34</v>
      </c>
      <c r="F380">
        <v>2.0240540683971</v>
      </c>
      <c r="H380" t="s">
        <v>128</v>
      </c>
      <c r="I380">
        <v>41</v>
      </c>
      <c r="J380" s="7">
        <v>14</v>
      </c>
      <c r="K380">
        <v>2.9</v>
      </c>
      <c r="L380">
        <v>0.34</v>
      </c>
      <c r="M380">
        <v>2.05918525209341</v>
      </c>
      <c r="O380" t="s">
        <v>2</v>
      </c>
      <c r="P380" s="6">
        <v>9</v>
      </c>
      <c r="Q380" s="6">
        <v>3</v>
      </c>
      <c r="R380">
        <v>2.78</v>
      </c>
      <c r="S380">
        <v>0.33</v>
      </c>
      <c r="T380">
        <v>2.22361067735438</v>
      </c>
      <c r="U380" s="2" t="s">
        <v>44</v>
      </c>
      <c r="W380" t="s">
        <v>2</v>
      </c>
      <c r="X380">
        <v>9</v>
      </c>
      <c r="Y380">
        <v>3</v>
      </c>
      <c r="Z380">
        <v>2.78</v>
      </c>
      <c r="AA380">
        <v>0.33</v>
      </c>
      <c r="AB380">
        <v>2.22361067735438</v>
      </c>
      <c r="AD380" t="s">
        <v>2</v>
      </c>
      <c r="AE380">
        <v>9</v>
      </c>
      <c r="AF380">
        <v>3</v>
      </c>
      <c r="AG380">
        <v>2.78</v>
      </c>
      <c r="AH380">
        <v>0.33</v>
      </c>
      <c r="AI380">
        <v>2.22361067735438</v>
      </c>
      <c r="AK380" t="s">
        <v>128</v>
      </c>
      <c r="AL380">
        <v>43</v>
      </c>
      <c r="AM380">
        <v>15</v>
      </c>
      <c r="AN380">
        <v>2.86</v>
      </c>
      <c r="AO380">
        <v>0.35</v>
      </c>
      <c r="AP380">
        <v>2.03049835952651</v>
      </c>
      <c r="AQ380" s="2" t="s">
        <v>44</v>
      </c>
      <c r="AR380" t="s">
        <v>128</v>
      </c>
      <c r="AS380">
        <v>43</v>
      </c>
      <c r="AT380" s="7">
        <v>15</v>
      </c>
      <c r="AU380">
        <v>2.86</v>
      </c>
      <c r="AV380" s="7">
        <v>0.35</v>
      </c>
      <c r="AW380">
        <v>2.03049835952651</v>
      </c>
      <c r="AY380" t="s">
        <v>128</v>
      </c>
      <c r="AZ380">
        <v>43</v>
      </c>
      <c r="BA380" s="7">
        <v>15</v>
      </c>
      <c r="BB380">
        <v>2.86</v>
      </c>
      <c r="BC380" s="7">
        <v>0.35</v>
      </c>
      <c r="BD380">
        <v>2.4994623077688098</v>
      </c>
    </row>
    <row r="381" spans="1:57" x14ac:dyDescent="0.35">
      <c r="A381" t="s">
        <v>121</v>
      </c>
      <c r="B381">
        <v>19</v>
      </c>
      <c r="C381">
        <v>5</v>
      </c>
      <c r="D381">
        <v>3.37</v>
      </c>
      <c r="E381">
        <v>0.26</v>
      </c>
      <c r="F381">
        <v>2.1398475105532699</v>
      </c>
      <c r="H381" t="s">
        <v>2</v>
      </c>
      <c r="I381" s="6">
        <v>7</v>
      </c>
      <c r="J381">
        <v>2</v>
      </c>
      <c r="K381">
        <v>3.14</v>
      </c>
      <c r="L381">
        <v>0.28999999999999998</v>
      </c>
      <c r="M381">
        <v>2.4102953780654701</v>
      </c>
      <c r="N381" s="2" t="s">
        <v>47</v>
      </c>
      <c r="O381" t="s">
        <v>128</v>
      </c>
      <c r="P381" s="6">
        <v>43</v>
      </c>
      <c r="Q381" s="8">
        <v>15</v>
      </c>
      <c r="R381">
        <v>2.86</v>
      </c>
      <c r="S381" s="7">
        <v>0.35</v>
      </c>
      <c r="T381">
        <v>2.03049835952651</v>
      </c>
      <c r="U381" s="3" t="s">
        <v>46</v>
      </c>
      <c r="W381" t="s">
        <v>128</v>
      </c>
      <c r="X381">
        <v>43</v>
      </c>
      <c r="Y381" s="7">
        <v>15</v>
      </c>
      <c r="Z381">
        <v>2.86</v>
      </c>
      <c r="AA381" s="7">
        <v>0.35</v>
      </c>
      <c r="AB381">
        <v>2.03049835952651</v>
      </c>
      <c r="AD381" t="s">
        <v>128</v>
      </c>
      <c r="AE381">
        <v>43</v>
      </c>
      <c r="AF381" s="7">
        <v>15</v>
      </c>
      <c r="AG381">
        <v>2.86</v>
      </c>
      <c r="AH381">
        <v>0.35</v>
      </c>
      <c r="AI381">
        <v>2.03049835952651</v>
      </c>
      <c r="AK381" t="s">
        <v>2</v>
      </c>
      <c r="AL381" s="6">
        <v>10</v>
      </c>
      <c r="AM381">
        <v>3</v>
      </c>
      <c r="AN381">
        <v>2.9</v>
      </c>
      <c r="AO381">
        <v>0.3</v>
      </c>
      <c r="AP381">
        <v>2.1317702607092599</v>
      </c>
      <c r="AQ381" s="3" t="s">
        <v>46</v>
      </c>
      <c r="AR381" t="s">
        <v>2</v>
      </c>
      <c r="AS381">
        <v>10</v>
      </c>
      <c r="AT381">
        <v>3</v>
      </c>
      <c r="AU381">
        <v>2.9</v>
      </c>
      <c r="AV381">
        <v>0.3</v>
      </c>
      <c r="AW381">
        <v>2.1317702607092599</v>
      </c>
      <c r="AY381" t="s">
        <v>2</v>
      </c>
      <c r="AZ381" s="6">
        <v>13</v>
      </c>
      <c r="BA381">
        <v>3</v>
      </c>
      <c r="BB381">
        <v>3.38</v>
      </c>
      <c r="BC381">
        <v>0.23</v>
      </c>
      <c r="BD381">
        <v>2.3992520201950902</v>
      </c>
    </row>
    <row r="382" spans="1:57" x14ac:dyDescent="0.35">
      <c r="A382" t="s">
        <v>141</v>
      </c>
      <c r="B382">
        <v>6</v>
      </c>
      <c r="C382">
        <v>1</v>
      </c>
      <c r="D382">
        <v>3.5</v>
      </c>
      <c r="E382">
        <v>0.17</v>
      </c>
      <c r="F382">
        <v>2.0736441353327701</v>
      </c>
      <c r="H382" t="s">
        <v>121</v>
      </c>
      <c r="I382" s="6">
        <v>21</v>
      </c>
      <c r="J382">
        <v>5</v>
      </c>
      <c r="K382">
        <v>3.43</v>
      </c>
      <c r="L382">
        <v>0.24</v>
      </c>
      <c r="M382">
        <v>2.1347465557163501</v>
      </c>
      <c r="N382" s="3" t="s">
        <v>46</v>
      </c>
      <c r="O382" t="s">
        <v>121</v>
      </c>
      <c r="P382">
        <v>21</v>
      </c>
      <c r="Q382">
        <v>5</v>
      </c>
      <c r="R382">
        <v>3.43</v>
      </c>
      <c r="S382">
        <v>0.24</v>
      </c>
      <c r="T382">
        <v>2.1347465557163501</v>
      </c>
      <c r="W382" t="s">
        <v>121</v>
      </c>
      <c r="X382" s="6">
        <v>23</v>
      </c>
      <c r="Y382">
        <v>5</v>
      </c>
      <c r="Z382">
        <v>3.43</v>
      </c>
      <c r="AA382">
        <v>0.22</v>
      </c>
      <c r="AB382">
        <v>2.0410800829801699</v>
      </c>
      <c r="AD382" t="s">
        <v>0</v>
      </c>
      <c r="AE382" s="6">
        <v>33</v>
      </c>
      <c r="AF382">
        <v>6</v>
      </c>
      <c r="AG382">
        <v>3.48</v>
      </c>
      <c r="AH382">
        <v>0.18</v>
      </c>
      <c r="AI382">
        <v>2.0934602354895002</v>
      </c>
      <c r="AJ382" s="2" t="s">
        <v>47</v>
      </c>
      <c r="AK382" t="s">
        <v>35</v>
      </c>
      <c r="AL382">
        <v>35</v>
      </c>
      <c r="AM382">
        <v>13</v>
      </c>
      <c r="AN382">
        <v>3.49</v>
      </c>
      <c r="AO382">
        <v>0.37</v>
      </c>
      <c r="AP382">
        <v>2.62758476184352</v>
      </c>
      <c r="AQ382" s="2" t="s">
        <v>44</v>
      </c>
      <c r="AR382" t="s">
        <v>141</v>
      </c>
      <c r="AS382">
        <v>6</v>
      </c>
      <c r="AT382">
        <v>1</v>
      </c>
      <c r="AU382">
        <v>3.5</v>
      </c>
      <c r="AV382">
        <v>0.17</v>
      </c>
      <c r="AW382">
        <v>2.0736441353327701</v>
      </c>
      <c r="AY382" t="s">
        <v>141</v>
      </c>
      <c r="AZ382">
        <v>6</v>
      </c>
      <c r="BA382">
        <v>1</v>
      </c>
      <c r="BB382">
        <v>3.5</v>
      </c>
      <c r="BC382">
        <v>0.17</v>
      </c>
      <c r="BD382">
        <v>2.0736441353327701</v>
      </c>
    </row>
    <row r="383" spans="1:57" x14ac:dyDescent="0.35">
      <c r="A383" t="s">
        <v>2</v>
      </c>
      <c r="B383">
        <v>6</v>
      </c>
      <c r="C383">
        <v>1</v>
      </c>
      <c r="D383">
        <v>3.5</v>
      </c>
      <c r="E383">
        <v>0.17</v>
      </c>
      <c r="F383">
        <v>2.4289915602982202</v>
      </c>
      <c r="H383" t="s">
        <v>141</v>
      </c>
      <c r="I383">
        <v>6</v>
      </c>
      <c r="J383">
        <v>1</v>
      </c>
      <c r="K383">
        <v>3.5</v>
      </c>
      <c r="L383">
        <v>0.17</v>
      </c>
      <c r="M383">
        <v>2.0736441353327701</v>
      </c>
      <c r="N383" s="3" t="s">
        <v>46</v>
      </c>
      <c r="O383" t="s">
        <v>141</v>
      </c>
      <c r="P383">
        <v>6</v>
      </c>
      <c r="Q383">
        <v>1</v>
      </c>
      <c r="R383">
        <v>3.5</v>
      </c>
      <c r="S383">
        <v>0.17</v>
      </c>
      <c r="T383">
        <v>2.0736441353327701</v>
      </c>
      <c r="W383" t="s">
        <v>141</v>
      </c>
      <c r="X383">
        <v>6</v>
      </c>
      <c r="Y383">
        <v>1</v>
      </c>
      <c r="Z383">
        <v>3.5</v>
      </c>
      <c r="AA383">
        <v>0.17</v>
      </c>
      <c r="AB383">
        <v>2.0736441353327701</v>
      </c>
      <c r="AD383" t="s">
        <v>35</v>
      </c>
      <c r="AE383" s="6">
        <v>35</v>
      </c>
      <c r="AF383">
        <v>13</v>
      </c>
      <c r="AG383">
        <v>3.49</v>
      </c>
      <c r="AH383" s="7">
        <v>0.37</v>
      </c>
      <c r="AI383">
        <v>2.62758476184352</v>
      </c>
      <c r="AJ383" s="2" t="s">
        <v>47</v>
      </c>
      <c r="AK383" t="s">
        <v>141</v>
      </c>
      <c r="AL383">
        <v>6</v>
      </c>
      <c r="AM383">
        <v>1</v>
      </c>
      <c r="AN383">
        <v>3.5</v>
      </c>
      <c r="AO383">
        <v>0.17</v>
      </c>
      <c r="AP383">
        <v>2.0736441353327701</v>
      </c>
      <c r="AQ383" s="2" t="s">
        <v>44</v>
      </c>
      <c r="AR383" t="s">
        <v>35</v>
      </c>
      <c r="AS383" s="6">
        <v>37</v>
      </c>
      <c r="AT383">
        <v>13</v>
      </c>
      <c r="AU383">
        <v>3.51</v>
      </c>
      <c r="AV383" s="7">
        <v>0.35</v>
      </c>
      <c r="AW383">
        <v>2.5562735641035199</v>
      </c>
      <c r="AX383" s="3" t="s">
        <v>46</v>
      </c>
      <c r="AY383" t="s">
        <v>35</v>
      </c>
      <c r="AZ383">
        <v>37</v>
      </c>
      <c r="BA383">
        <v>13</v>
      </c>
      <c r="BB383">
        <v>3.51</v>
      </c>
      <c r="BC383" s="7">
        <v>0.35</v>
      </c>
      <c r="BD383">
        <v>2.5562735641035199</v>
      </c>
    </row>
    <row r="384" spans="1:57" x14ac:dyDescent="0.35">
      <c r="A384" t="s">
        <v>0</v>
      </c>
      <c r="B384" s="6">
        <v>32</v>
      </c>
      <c r="C384" s="6">
        <v>6</v>
      </c>
      <c r="D384">
        <v>3.53</v>
      </c>
      <c r="E384">
        <v>0.19</v>
      </c>
      <c r="F384">
        <v>2.1096456666250001</v>
      </c>
      <c r="G384" s="2" t="s">
        <v>44</v>
      </c>
      <c r="H384" t="s">
        <v>0</v>
      </c>
      <c r="I384">
        <v>32</v>
      </c>
      <c r="J384">
        <v>6</v>
      </c>
      <c r="K384">
        <v>3.53</v>
      </c>
      <c r="L384">
        <v>0.19</v>
      </c>
      <c r="M384">
        <v>2.1096456666250001</v>
      </c>
      <c r="O384" t="s">
        <v>0</v>
      </c>
      <c r="P384">
        <v>32</v>
      </c>
      <c r="Q384">
        <v>6</v>
      </c>
      <c r="R384">
        <v>3.53</v>
      </c>
      <c r="S384">
        <v>0.19</v>
      </c>
      <c r="T384">
        <v>2.1096456666250001</v>
      </c>
      <c r="W384" t="s">
        <v>0</v>
      </c>
      <c r="X384">
        <v>32</v>
      </c>
      <c r="Y384">
        <v>6</v>
      </c>
      <c r="Z384">
        <v>3.53</v>
      </c>
      <c r="AA384">
        <v>0.19</v>
      </c>
      <c r="AB384">
        <v>2.1096456666250001</v>
      </c>
      <c r="AD384" t="s">
        <v>141</v>
      </c>
      <c r="AE384">
        <v>6</v>
      </c>
      <c r="AF384">
        <v>1</v>
      </c>
      <c r="AG384">
        <v>3.5</v>
      </c>
      <c r="AH384">
        <v>0.17</v>
      </c>
      <c r="AI384">
        <v>2.0736441353327701</v>
      </c>
      <c r="AJ384" s="3" t="s">
        <v>46</v>
      </c>
      <c r="AK384" t="s">
        <v>0</v>
      </c>
      <c r="AL384" s="6">
        <v>34</v>
      </c>
      <c r="AM384">
        <v>6</v>
      </c>
      <c r="AN384">
        <v>3.59</v>
      </c>
      <c r="AO384">
        <v>0.18</v>
      </c>
      <c r="AP384">
        <v>2.1478339625859699</v>
      </c>
      <c r="AQ384" s="3" t="s">
        <v>45</v>
      </c>
      <c r="AR384" t="s">
        <v>0</v>
      </c>
      <c r="AS384">
        <v>34</v>
      </c>
      <c r="AT384">
        <v>6</v>
      </c>
      <c r="AU384">
        <v>3.59</v>
      </c>
      <c r="AV384">
        <v>0.18</v>
      </c>
      <c r="AW384">
        <v>2.1478339625859699</v>
      </c>
      <c r="AY384" t="s">
        <v>139</v>
      </c>
      <c r="AZ384" s="6">
        <v>13</v>
      </c>
      <c r="BA384" s="6">
        <v>2</v>
      </c>
      <c r="BB384">
        <v>3.54</v>
      </c>
      <c r="BC384">
        <v>0.15</v>
      </c>
      <c r="BD384">
        <v>1.6641005886756799</v>
      </c>
      <c r="BE384" s="2" t="s">
        <v>47</v>
      </c>
    </row>
    <row r="385" spans="1:57" x14ac:dyDescent="0.35">
      <c r="A385" t="s">
        <v>35</v>
      </c>
      <c r="B385">
        <v>34</v>
      </c>
      <c r="C385">
        <v>12</v>
      </c>
      <c r="D385">
        <v>3.56</v>
      </c>
      <c r="E385" s="7">
        <v>0.35</v>
      </c>
      <c r="F385">
        <v>2.6307180316130099</v>
      </c>
      <c r="G385" s="3" t="s">
        <v>46</v>
      </c>
      <c r="H385" t="s">
        <v>35</v>
      </c>
      <c r="I385">
        <v>34</v>
      </c>
      <c r="J385">
        <v>12</v>
      </c>
      <c r="K385">
        <v>3.56</v>
      </c>
      <c r="L385" s="7">
        <v>0.35</v>
      </c>
      <c r="M385">
        <v>2.6307180316130099</v>
      </c>
      <c r="O385" t="s">
        <v>35</v>
      </c>
      <c r="P385">
        <v>34</v>
      </c>
      <c r="Q385">
        <v>12</v>
      </c>
      <c r="R385">
        <v>3.56</v>
      </c>
      <c r="S385" s="7">
        <v>0.35</v>
      </c>
      <c r="T385">
        <v>2.6307180316130099</v>
      </c>
      <c r="W385" t="s">
        <v>35</v>
      </c>
      <c r="X385">
        <v>34</v>
      </c>
      <c r="Y385">
        <v>12</v>
      </c>
      <c r="Z385">
        <v>3.56</v>
      </c>
      <c r="AA385">
        <v>0.35</v>
      </c>
      <c r="AB385">
        <v>2.6307180316130099</v>
      </c>
      <c r="AD385" t="s">
        <v>121</v>
      </c>
      <c r="AE385" s="6">
        <v>24</v>
      </c>
      <c r="AF385">
        <v>5</v>
      </c>
      <c r="AG385">
        <v>3.63</v>
      </c>
      <c r="AH385">
        <v>0.21</v>
      </c>
      <c r="AI385">
        <v>2.2030117724527001</v>
      </c>
      <c r="AJ385" s="3" t="s">
        <v>54</v>
      </c>
      <c r="AK385" t="s">
        <v>121</v>
      </c>
      <c r="AL385">
        <v>24</v>
      </c>
      <c r="AM385">
        <v>5</v>
      </c>
      <c r="AN385">
        <v>3.63</v>
      </c>
      <c r="AO385">
        <v>0.21</v>
      </c>
      <c r="AP385">
        <v>2.2030117724527001</v>
      </c>
      <c r="AR385" t="s">
        <v>121</v>
      </c>
      <c r="AS385">
        <v>24</v>
      </c>
      <c r="AT385">
        <v>5</v>
      </c>
      <c r="AU385">
        <v>3.63</v>
      </c>
      <c r="AV385">
        <v>0.21</v>
      </c>
      <c r="AW385">
        <v>2.2030117724527001</v>
      </c>
      <c r="AY385" t="s">
        <v>121</v>
      </c>
      <c r="AZ385" s="6">
        <v>27</v>
      </c>
      <c r="BA385">
        <v>6</v>
      </c>
      <c r="BB385">
        <v>3.59</v>
      </c>
      <c r="BC385">
        <v>0.22</v>
      </c>
      <c r="BD385">
        <v>2.1884181020028501</v>
      </c>
    </row>
    <row r="386" spans="1:57" x14ac:dyDescent="0.35">
      <c r="A386" t="s">
        <v>9</v>
      </c>
      <c r="B386">
        <v>6</v>
      </c>
      <c r="C386">
        <v>1</v>
      </c>
      <c r="D386">
        <v>3.67</v>
      </c>
      <c r="E386">
        <v>0.17</v>
      </c>
      <c r="F386">
        <v>2.73252020425589</v>
      </c>
      <c r="H386" t="s">
        <v>9</v>
      </c>
      <c r="I386">
        <v>6</v>
      </c>
      <c r="J386">
        <v>1</v>
      </c>
      <c r="K386">
        <v>3.67</v>
      </c>
      <c r="L386">
        <v>0.17</v>
      </c>
      <c r="M386">
        <v>2.73252020425589</v>
      </c>
      <c r="O386" t="s">
        <v>9</v>
      </c>
      <c r="P386">
        <v>6</v>
      </c>
      <c r="Q386">
        <v>1</v>
      </c>
      <c r="R386">
        <v>3.67</v>
      </c>
      <c r="S386">
        <v>0.17</v>
      </c>
      <c r="T386">
        <v>2.73252020425589</v>
      </c>
      <c r="W386" t="s">
        <v>9</v>
      </c>
      <c r="X386">
        <v>6</v>
      </c>
      <c r="Y386">
        <v>1</v>
      </c>
      <c r="Z386">
        <v>3.67</v>
      </c>
      <c r="AA386">
        <v>0.17</v>
      </c>
      <c r="AB386">
        <v>2.73252020425589</v>
      </c>
      <c r="AD386" t="s">
        <v>361</v>
      </c>
      <c r="AE386">
        <v>5</v>
      </c>
      <c r="AF386">
        <v>1</v>
      </c>
      <c r="AG386">
        <v>4</v>
      </c>
      <c r="AH386">
        <v>0.2</v>
      </c>
      <c r="AI386" s="7">
        <v>3.2403703492039302</v>
      </c>
      <c r="AJ386" s="2" t="s">
        <v>44</v>
      </c>
      <c r="AK386" t="s">
        <v>139</v>
      </c>
      <c r="AL386" s="6">
        <v>10</v>
      </c>
      <c r="AM386">
        <v>1</v>
      </c>
      <c r="AN386">
        <v>3.8</v>
      </c>
      <c r="AO386">
        <v>0.1</v>
      </c>
      <c r="AP386">
        <v>1.6865480854231301</v>
      </c>
      <c r="AQ386" s="2" t="s">
        <v>47</v>
      </c>
      <c r="AR386" t="s">
        <v>139</v>
      </c>
      <c r="AS386">
        <v>10</v>
      </c>
      <c r="AT386">
        <v>1</v>
      </c>
      <c r="AU386">
        <v>3.8</v>
      </c>
      <c r="AV386">
        <v>0.1</v>
      </c>
      <c r="AW386">
        <v>1.6865480854231301</v>
      </c>
      <c r="AY386" t="s">
        <v>0</v>
      </c>
      <c r="AZ386" s="6">
        <v>36</v>
      </c>
      <c r="BA386">
        <v>6</v>
      </c>
      <c r="BB386">
        <v>3.67</v>
      </c>
      <c r="BC386">
        <v>0.17</v>
      </c>
      <c r="BD386">
        <v>2.16465107712866</v>
      </c>
      <c r="BE386" s="3" t="s">
        <v>45</v>
      </c>
    </row>
    <row r="387" spans="1:57" x14ac:dyDescent="0.35">
      <c r="A387" t="s">
        <v>139</v>
      </c>
      <c r="B387">
        <v>5</v>
      </c>
      <c r="C387">
        <v>1</v>
      </c>
      <c r="D387">
        <v>3.8</v>
      </c>
      <c r="E387">
        <v>0.2</v>
      </c>
      <c r="F387">
        <v>2.16794833886788</v>
      </c>
      <c r="H387" t="s">
        <v>26</v>
      </c>
      <c r="I387">
        <v>9</v>
      </c>
      <c r="J387">
        <v>2</v>
      </c>
      <c r="K387">
        <v>4.1100000000000003</v>
      </c>
      <c r="L387">
        <v>0.22</v>
      </c>
      <c r="M387">
        <v>2.5712081034235799</v>
      </c>
      <c r="N387" s="2" t="s">
        <v>44</v>
      </c>
      <c r="O387" t="s">
        <v>26</v>
      </c>
      <c r="P387">
        <v>9</v>
      </c>
      <c r="Q387">
        <v>2</v>
      </c>
      <c r="R387">
        <v>4.1100000000000003</v>
      </c>
      <c r="S387">
        <v>0.22</v>
      </c>
      <c r="T387">
        <v>2.5712081034235799</v>
      </c>
      <c r="W387" t="s">
        <v>361</v>
      </c>
      <c r="X387" s="6">
        <v>5</v>
      </c>
      <c r="Y387" s="6">
        <v>1</v>
      </c>
      <c r="Z387">
        <v>4</v>
      </c>
      <c r="AA387">
        <v>0.2</v>
      </c>
      <c r="AB387" s="7">
        <v>3.2403703492039302</v>
      </c>
      <c r="AC387" s="14" t="s">
        <v>362</v>
      </c>
      <c r="AD387" t="s">
        <v>9</v>
      </c>
      <c r="AE387" s="6">
        <v>7</v>
      </c>
      <c r="AF387">
        <v>1</v>
      </c>
      <c r="AG387">
        <v>4</v>
      </c>
      <c r="AH387">
        <v>0.14000000000000001</v>
      </c>
      <c r="AI387">
        <v>2.6457513110645898</v>
      </c>
      <c r="AJ387" s="3" t="s">
        <v>46</v>
      </c>
      <c r="AK387" t="s">
        <v>361</v>
      </c>
      <c r="AL387">
        <v>5</v>
      </c>
      <c r="AM387">
        <v>1</v>
      </c>
      <c r="AN387">
        <v>4</v>
      </c>
      <c r="AO387">
        <v>0.2</v>
      </c>
      <c r="AP387">
        <v>3.2403703492039302</v>
      </c>
      <c r="AQ387" s="3" t="s">
        <v>46</v>
      </c>
      <c r="AR387" t="s">
        <v>9</v>
      </c>
      <c r="AS387">
        <v>7</v>
      </c>
      <c r="AT387">
        <v>1</v>
      </c>
      <c r="AU387">
        <v>4</v>
      </c>
      <c r="AV387">
        <v>0.14000000000000001</v>
      </c>
      <c r="AW387">
        <v>2.6457513110645898</v>
      </c>
      <c r="AX387" s="2"/>
      <c r="AY387" t="s">
        <v>9</v>
      </c>
      <c r="AZ387" s="6">
        <v>9</v>
      </c>
      <c r="BA387">
        <v>1</v>
      </c>
      <c r="BB387">
        <v>3.89</v>
      </c>
      <c r="BC387">
        <v>0.13</v>
      </c>
      <c r="BD387">
        <v>2.42097317438899</v>
      </c>
    </row>
    <row r="388" spans="1:57" x14ac:dyDescent="0.35">
      <c r="A388" t="s">
        <v>26</v>
      </c>
      <c r="B388">
        <v>9</v>
      </c>
      <c r="C388">
        <v>2</v>
      </c>
      <c r="D388">
        <v>4.1100000000000003</v>
      </c>
      <c r="E388">
        <v>0.22</v>
      </c>
      <c r="F388">
        <v>2.5712081034235799</v>
      </c>
      <c r="H388" t="s">
        <v>139</v>
      </c>
      <c r="I388" s="6">
        <v>7</v>
      </c>
      <c r="J388">
        <v>1</v>
      </c>
      <c r="K388">
        <v>4.1399999999999997</v>
      </c>
      <c r="L388">
        <v>0.14000000000000001</v>
      </c>
      <c r="M388">
        <v>1.8644544714716</v>
      </c>
      <c r="N388" s="3" t="s">
        <v>46</v>
      </c>
      <c r="O388" t="s">
        <v>15</v>
      </c>
      <c r="P388" s="6">
        <v>64</v>
      </c>
      <c r="Q388">
        <v>13</v>
      </c>
      <c r="R388">
        <v>4.13</v>
      </c>
      <c r="S388">
        <v>0.2</v>
      </c>
      <c r="T388">
        <v>2.3472691833378598</v>
      </c>
      <c r="U388" s="2" t="s">
        <v>44</v>
      </c>
      <c r="W388" t="s">
        <v>26</v>
      </c>
      <c r="X388">
        <v>9</v>
      </c>
      <c r="Y388">
        <v>2</v>
      </c>
      <c r="Z388">
        <v>4.1100000000000003</v>
      </c>
      <c r="AA388">
        <v>0.22</v>
      </c>
      <c r="AB388">
        <v>2.5712081034235799</v>
      </c>
      <c r="AC388" s="3" t="s">
        <v>46</v>
      </c>
      <c r="AD388" t="s">
        <v>139</v>
      </c>
      <c r="AE388" s="6">
        <v>9</v>
      </c>
      <c r="AF388">
        <v>1</v>
      </c>
      <c r="AG388">
        <v>4</v>
      </c>
      <c r="AH388">
        <v>0.11</v>
      </c>
      <c r="AI388">
        <v>1.6583123951776999</v>
      </c>
      <c r="AJ388" s="2" t="s">
        <v>47</v>
      </c>
      <c r="AK388" t="s">
        <v>9</v>
      </c>
      <c r="AL388">
        <v>7</v>
      </c>
      <c r="AM388">
        <v>1</v>
      </c>
      <c r="AN388">
        <v>4</v>
      </c>
      <c r="AO388">
        <v>0.14000000000000001</v>
      </c>
      <c r="AP388">
        <v>2.6457513110645898</v>
      </c>
      <c r="AQ388" s="3" t="s">
        <v>46</v>
      </c>
      <c r="AR388" t="s">
        <v>361</v>
      </c>
      <c r="AS388">
        <v>5</v>
      </c>
      <c r="AT388">
        <v>1</v>
      </c>
      <c r="AU388">
        <v>4</v>
      </c>
      <c r="AV388">
        <v>0.2</v>
      </c>
      <c r="AW388" s="7">
        <v>3.2403703492039302</v>
      </c>
      <c r="AY388" t="s">
        <v>361</v>
      </c>
      <c r="AZ388">
        <v>5</v>
      </c>
      <c r="BA388">
        <v>1</v>
      </c>
      <c r="BB388">
        <v>4</v>
      </c>
      <c r="BC388">
        <v>0.2</v>
      </c>
      <c r="BD388" s="7">
        <v>3.2403703492039302</v>
      </c>
    </row>
    <row r="389" spans="1:57" x14ac:dyDescent="0.35">
      <c r="A389" t="s">
        <v>15</v>
      </c>
      <c r="B389">
        <v>62</v>
      </c>
      <c r="C389">
        <v>13</v>
      </c>
      <c r="D389">
        <v>4.16</v>
      </c>
      <c r="E389">
        <v>0.21</v>
      </c>
      <c r="F389">
        <v>2.3687659979939402</v>
      </c>
      <c r="H389" t="s">
        <v>15</v>
      </c>
      <c r="I389">
        <v>62</v>
      </c>
      <c r="J389">
        <v>13</v>
      </c>
      <c r="K389">
        <v>4.16</v>
      </c>
      <c r="L389">
        <v>0.21</v>
      </c>
      <c r="M389">
        <v>2.3687659979939402</v>
      </c>
      <c r="O389" t="s">
        <v>139</v>
      </c>
      <c r="P389" s="6">
        <v>8</v>
      </c>
      <c r="Q389">
        <v>1</v>
      </c>
      <c r="R389">
        <v>4.13</v>
      </c>
      <c r="S389">
        <v>0.13</v>
      </c>
      <c r="T389">
        <v>1.72688820053379</v>
      </c>
      <c r="U389" s="3" t="s">
        <v>46</v>
      </c>
      <c r="W389" t="s">
        <v>15</v>
      </c>
      <c r="X389">
        <v>64</v>
      </c>
      <c r="Y389">
        <v>13</v>
      </c>
      <c r="Z389">
        <v>4.13</v>
      </c>
      <c r="AA389">
        <v>0.2</v>
      </c>
      <c r="AB389">
        <v>2.3472691833378598</v>
      </c>
      <c r="AC389" s="3" t="s">
        <v>46</v>
      </c>
      <c r="AD389" t="s">
        <v>26</v>
      </c>
      <c r="AE389">
        <v>9</v>
      </c>
      <c r="AF389">
        <v>2</v>
      </c>
      <c r="AG389">
        <v>4.1100000000000003</v>
      </c>
      <c r="AH389">
        <v>0.22</v>
      </c>
      <c r="AI389">
        <v>2.5712081034235799</v>
      </c>
      <c r="AJ389" s="3" t="s">
        <v>46</v>
      </c>
      <c r="AK389" t="s">
        <v>26</v>
      </c>
      <c r="AL389">
        <v>9</v>
      </c>
      <c r="AM389">
        <v>2</v>
      </c>
      <c r="AN389">
        <v>4.1100000000000003</v>
      </c>
      <c r="AO389">
        <v>0.22</v>
      </c>
      <c r="AP389">
        <v>2.5712081034235799</v>
      </c>
      <c r="AR389" t="s">
        <v>26</v>
      </c>
      <c r="AS389">
        <v>9</v>
      </c>
      <c r="AT389">
        <v>2</v>
      </c>
      <c r="AU389">
        <v>4.1100000000000003</v>
      </c>
      <c r="AV389">
        <v>0.22</v>
      </c>
      <c r="AW389">
        <v>2.5712081034235799</v>
      </c>
      <c r="AY389" t="s">
        <v>15</v>
      </c>
      <c r="AZ389" s="6">
        <v>69</v>
      </c>
      <c r="BA389" s="8">
        <v>15</v>
      </c>
      <c r="BB389">
        <v>4.09</v>
      </c>
      <c r="BC389">
        <v>0.22</v>
      </c>
      <c r="BD389">
        <v>2.36340384813104</v>
      </c>
      <c r="BE389" s="2" t="s">
        <v>44</v>
      </c>
    </row>
    <row r="390" spans="1:57" x14ac:dyDescent="0.35">
      <c r="A390" t="s">
        <v>63</v>
      </c>
      <c r="B390">
        <v>6</v>
      </c>
      <c r="C390">
        <v>1</v>
      </c>
      <c r="D390">
        <v>4.17</v>
      </c>
      <c r="E390">
        <v>0.17</v>
      </c>
      <c r="F390">
        <v>2.6394443859772201</v>
      </c>
      <c r="H390" t="s">
        <v>63</v>
      </c>
      <c r="I390">
        <v>6</v>
      </c>
      <c r="J390">
        <v>1</v>
      </c>
      <c r="K390">
        <v>4.17</v>
      </c>
      <c r="L390">
        <v>0.17</v>
      </c>
      <c r="M390">
        <v>2.6394443859772201</v>
      </c>
      <c r="O390" t="s">
        <v>63</v>
      </c>
      <c r="P390">
        <v>6</v>
      </c>
      <c r="Q390">
        <v>1</v>
      </c>
      <c r="R390">
        <v>4.17</v>
      </c>
      <c r="S390">
        <v>0.17</v>
      </c>
      <c r="T390">
        <v>2.6394443859772201</v>
      </c>
      <c r="W390" t="s">
        <v>139</v>
      </c>
      <c r="X390">
        <v>8</v>
      </c>
      <c r="Y390">
        <v>1</v>
      </c>
      <c r="Z390">
        <v>4.13</v>
      </c>
      <c r="AA390">
        <v>0.13</v>
      </c>
      <c r="AB390">
        <v>1.72688820053379</v>
      </c>
      <c r="AC390" s="3" t="s">
        <v>46</v>
      </c>
      <c r="AD390" t="s">
        <v>15</v>
      </c>
      <c r="AE390" s="6">
        <v>65</v>
      </c>
      <c r="AF390">
        <v>13</v>
      </c>
      <c r="AG390">
        <v>4.17</v>
      </c>
      <c r="AH390">
        <v>0.2</v>
      </c>
      <c r="AI390">
        <v>2.3551294264614402</v>
      </c>
      <c r="AJ390" s="3" t="s">
        <v>46</v>
      </c>
      <c r="AK390" t="s">
        <v>15</v>
      </c>
      <c r="AL390" s="6">
        <v>66</v>
      </c>
      <c r="AM390">
        <v>13</v>
      </c>
      <c r="AN390">
        <v>4.1500000000000004</v>
      </c>
      <c r="AO390">
        <v>0.2</v>
      </c>
      <c r="AP390">
        <v>2.3417264963447302</v>
      </c>
      <c r="AR390" t="s">
        <v>15</v>
      </c>
      <c r="AS390" s="6">
        <v>68</v>
      </c>
      <c r="AT390" s="6">
        <v>14</v>
      </c>
      <c r="AU390">
        <v>4.13</v>
      </c>
      <c r="AV390">
        <v>0.21</v>
      </c>
      <c r="AW390">
        <v>2.3496025479749498</v>
      </c>
      <c r="AY390" t="s">
        <v>26</v>
      </c>
      <c r="AZ390">
        <v>9</v>
      </c>
      <c r="BA390">
        <v>2</v>
      </c>
      <c r="BB390">
        <v>4.1100000000000003</v>
      </c>
      <c r="BC390">
        <v>0.22</v>
      </c>
      <c r="BD390">
        <v>2.5712081034235799</v>
      </c>
      <c r="BE390" s="3" t="s">
        <v>46</v>
      </c>
    </row>
    <row r="391" spans="1:57" x14ac:dyDescent="0.35">
      <c r="A391" t="s">
        <v>78</v>
      </c>
      <c r="B391">
        <v>6</v>
      </c>
      <c r="C391">
        <v>1</v>
      </c>
      <c r="D391">
        <v>4.17</v>
      </c>
      <c r="E391">
        <v>0.17</v>
      </c>
      <c r="F391">
        <v>2.7141603981096298</v>
      </c>
      <c r="H391" t="s">
        <v>78</v>
      </c>
      <c r="I391">
        <v>6</v>
      </c>
      <c r="J391">
        <v>1</v>
      </c>
      <c r="K391">
        <v>4.17</v>
      </c>
      <c r="L391">
        <v>0.17</v>
      </c>
      <c r="M391">
        <v>2.7141603981096298</v>
      </c>
      <c r="O391" t="s">
        <v>78</v>
      </c>
      <c r="P391">
        <v>6</v>
      </c>
      <c r="Q391">
        <v>1</v>
      </c>
      <c r="R391">
        <v>4.17</v>
      </c>
      <c r="S391">
        <v>0.17</v>
      </c>
      <c r="T391">
        <v>2.7141603981096298</v>
      </c>
      <c r="W391" t="s">
        <v>63</v>
      </c>
      <c r="X391">
        <v>6</v>
      </c>
      <c r="Y391">
        <v>1</v>
      </c>
      <c r="Z391">
        <v>4.17</v>
      </c>
      <c r="AA391">
        <v>0.17</v>
      </c>
      <c r="AB391">
        <v>2.6394443859772201</v>
      </c>
      <c r="AC391" s="3" t="s">
        <v>46</v>
      </c>
      <c r="AD391" t="s">
        <v>63</v>
      </c>
      <c r="AE391">
        <v>6</v>
      </c>
      <c r="AF391">
        <v>1</v>
      </c>
      <c r="AG391">
        <v>4.17</v>
      </c>
      <c r="AH391">
        <v>0.17</v>
      </c>
      <c r="AI391">
        <v>2.6394443859772201</v>
      </c>
      <c r="AK391" t="s">
        <v>63</v>
      </c>
      <c r="AL391">
        <v>6</v>
      </c>
      <c r="AM391">
        <v>1</v>
      </c>
      <c r="AN391">
        <v>4.17</v>
      </c>
      <c r="AO391">
        <v>0.17</v>
      </c>
      <c r="AP391">
        <v>2.6394443859772201</v>
      </c>
      <c r="AR391" t="s">
        <v>63</v>
      </c>
      <c r="AS391">
        <v>6</v>
      </c>
      <c r="AT391">
        <v>1</v>
      </c>
      <c r="AU391">
        <v>4.17</v>
      </c>
      <c r="AV391">
        <v>0.17</v>
      </c>
      <c r="AW391">
        <v>2.6394443859772201</v>
      </c>
      <c r="AY391" t="s">
        <v>63</v>
      </c>
      <c r="AZ391">
        <v>6</v>
      </c>
      <c r="BA391">
        <v>1</v>
      </c>
      <c r="BB391">
        <v>4.17</v>
      </c>
      <c r="BC391">
        <v>0.17</v>
      </c>
      <c r="BD391">
        <v>2.6394443859772201</v>
      </c>
    </row>
    <row r="392" spans="1:57" x14ac:dyDescent="0.35">
      <c r="A392" t="s">
        <v>27</v>
      </c>
      <c r="B392">
        <v>16</v>
      </c>
      <c r="C392">
        <v>0</v>
      </c>
      <c r="D392">
        <v>4.1900000000000004</v>
      </c>
      <c r="E392">
        <v>0</v>
      </c>
      <c r="F392">
        <v>2.5091499224504901</v>
      </c>
      <c r="H392" t="s">
        <v>27</v>
      </c>
      <c r="I392">
        <v>16</v>
      </c>
      <c r="J392">
        <v>0</v>
      </c>
      <c r="K392">
        <v>4.1900000000000004</v>
      </c>
      <c r="L392">
        <v>0</v>
      </c>
      <c r="M392">
        <v>2.5091499224504901</v>
      </c>
      <c r="O392" t="s">
        <v>27</v>
      </c>
      <c r="P392">
        <v>16</v>
      </c>
      <c r="Q392">
        <v>0</v>
      </c>
      <c r="R392">
        <v>4.1900000000000004</v>
      </c>
      <c r="S392">
        <v>0</v>
      </c>
      <c r="T392">
        <v>2.5091499224504901</v>
      </c>
      <c r="W392" t="s">
        <v>78</v>
      </c>
      <c r="X392">
        <v>6</v>
      </c>
      <c r="Y392">
        <v>1</v>
      </c>
      <c r="Z392">
        <v>4.17</v>
      </c>
      <c r="AA392">
        <v>0.17</v>
      </c>
      <c r="AB392">
        <v>2.7141603981096298</v>
      </c>
      <c r="AC392" s="3" t="s">
        <v>46</v>
      </c>
      <c r="AD392" t="s">
        <v>27</v>
      </c>
      <c r="AE392">
        <v>16</v>
      </c>
      <c r="AF392">
        <v>0</v>
      </c>
      <c r="AG392">
        <v>4.1900000000000004</v>
      </c>
      <c r="AH392">
        <v>0</v>
      </c>
      <c r="AI392">
        <v>2.5091499224504901</v>
      </c>
      <c r="AJ392" s="2" t="s">
        <v>44</v>
      </c>
      <c r="AK392" t="s">
        <v>27</v>
      </c>
      <c r="AL392">
        <v>16</v>
      </c>
      <c r="AM392">
        <v>0</v>
      </c>
      <c r="AN392">
        <v>4.1900000000000004</v>
      </c>
      <c r="AO392">
        <v>0</v>
      </c>
      <c r="AP392">
        <v>2.5091499224504901</v>
      </c>
      <c r="AR392" t="s">
        <v>27</v>
      </c>
      <c r="AS392">
        <v>16</v>
      </c>
      <c r="AT392">
        <v>0</v>
      </c>
      <c r="AU392">
        <v>4.1900000000000004</v>
      </c>
      <c r="AV392">
        <v>0</v>
      </c>
      <c r="AW392">
        <v>2.5091499224504901</v>
      </c>
      <c r="AY392" t="s">
        <v>27</v>
      </c>
      <c r="AZ392">
        <v>16</v>
      </c>
      <c r="BA392">
        <v>0</v>
      </c>
      <c r="BB392">
        <v>4.1900000000000004</v>
      </c>
      <c r="BC392">
        <v>0</v>
      </c>
      <c r="BD392">
        <v>2.5091499224504901</v>
      </c>
    </row>
    <row r="393" spans="1:57" x14ac:dyDescent="0.35">
      <c r="A393" t="s">
        <v>117</v>
      </c>
      <c r="B393">
        <v>9</v>
      </c>
      <c r="C393">
        <v>2</v>
      </c>
      <c r="D393">
        <v>4.2</v>
      </c>
      <c r="E393">
        <v>0.25</v>
      </c>
      <c r="F393">
        <v>2.7284509239574799</v>
      </c>
      <c r="H393" t="s">
        <v>117</v>
      </c>
      <c r="I393">
        <v>9</v>
      </c>
      <c r="J393">
        <v>2</v>
      </c>
      <c r="K393">
        <v>4.2</v>
      </c>
      <c r="L393">
        <v>0.25</v>
      </c>
      <c r="M393">
        <v>2.7284509239574799</v>
      </c>
      <c r="O393" t="s">
        <v>117</v>
      </c>
      <c r="P393">
        <v>9</v>
      </c>
      <c r="Q393">
        <v>2</v>
      </c>
      <c r="R393">
        <v>4.2</v>
      </c>
      <c r="S393">
        <v>0.25</v>
      </c>
      <c r="T393">
        <v>2.7284509239574799</v>
      </c>
      <c r="W393" t="s">
        <v>27</v>
      </c>
      <c r="X393">
        <v>16</v>
      </c>
      <c r="Y393">
        <v>0</v>
      </c>
      <c r="Z393">
        <v>4.1900000000000004</v>
      </c>
      <c r="AA393">
        <v>0</v>
      </c>
      <c r="AB393">
        <v>2.5091499224504901</v>
      </c>
      <c r="AC393" s="3" t="s">
        <v>46</v>
      </c>
      <c r="AD393" t="s">
        <v>22</v>
      </c>
      <c r="AE393" s="8">
        <v>89</v>
      </c>
      <c r="AF393">
        <v>13</v>
      </c>
      <c r="AG393">
        <v>4.1900000000000004</v>
      </c>
      <c r="AH393">
        <v>0.15</v>
      </c>
      <c r="AI393">
        <v>2.2098766136595902</v>
      </c>
      <c r="AJ393" s="2" t="s">
        <v>44</v>
      </c>
      <c r="AK393" t="s">
        <v>117</v>
      </c>
      <c r="AL393">
        <v>9</v>
      </c>
      <c r="AM393">
        <v>2</v>
      </c>
      <c r="AN393">
        <v>4.2</v>
      </c>
      <c r="AO393">
        <v>0.25</v>
      </c>
      <c r="AP393">
        <v>2.7284509239574799</v>
      </c>
      <c r="AQ393" s="2" t="s">
        <v>44</v>
      </c>
      <c r="AR393" t="s">
        <v>28</v>
      </c>
      <c r="AS393">
        <v>5</v>
      </c>
      <c r="AT393">
        <v>0</v>
      </c>
      <c r="AU393">
        <v>4.2</v>
      </c>
      <c r="AV393">
        <v>0</v>
      </c>
      <c r="AW393" s="7">
        <v>1.30384048104052</v>
      </c>
      <c r="AY393" t="s">
        <v>117</v>
      </c>
      <c r="AZ393">
        <v>9</v>
      </c>
      <c r="BA393">
        <v>2</v>
      </c>
      <c r="BB393">
        <v>4.2</v>
      </c>
      <c r="BC393">
        <v>0.25</v>
      </c>
      <c r="BD393">
        <v>2.7284509239574799</v>
      </c>
    </row>
    <row r="394" spans="1:57" x14ac:dyDescent="0.35">
      <c r="A394" t="s">
        <v>28</v>
      </c>
      <c r="B394">
        <v>5</v>
      </c>
      <c r="C394">
        <v>0</v>
      </c>
      <c r="D394">
        <v>4.2</v>
      </c>
      <c r="E394">
        <v>0</v>
      </c>
      <c r="F394" s="7">
        <v>1.30384048104052</v>
      </c>
      <c r="H394" t="s">
        <v>28</v>
      </c>
      <c r="I394">
        <v>5</v>
      </c>
      <c r="J394">
        <v>0</v>
      </c>
      <c r="K394">
        <v>4.2</v>
      </c>
      <c r="L394">
        <v>0</v>
      </c>
      <c r="M394" s="7">
        <v>1.30384048104052</v>
      </c>
      <c r="O394" t="s">
        <v>28</v>
      </c>
      <c r="P394">
        <v>5</v>
      </c>
      <c r="Q394">
        <v>0</v>
      </c>
      <c r="R394">
        <v>4.2</v>
      </c>
      <c r="S394">
        <v>0</v>
      </c>
      <c r="T394" s="7">
        <v>1.30384048104052</v>
      </c>
      <c r="W394" t="s">
        <v>22</v>
      </c>
      <c r="X394" s="7">
        <v>88</v>
      </c>
      <c r="Y394" s="6">
        <v>13</v>
      </c>
      <c r="Z394">
        <v>4.1900000000000004</v>
      </c>
      <c r="AA394">
        <v>0.15</v>
      </c>
      <c r="AB394">
        <v>2.2224453475583998</v>
      </c>
      <c r="AC394" s="2" t="s">
        <v>272</v>
      </c>
      <c r="AD394" t="s">
        <v>117</v>
      </c>
      <c r="AE394">
        <v>9</v>
      </c>
      <c r="AF394">
        <v>2</v>
      </c>
      <c r="AG394">
        <v>4.2</v>
      </c>
      <c r="AH394">
        <v>0.25</v>
      </c>
      <c r="AI394">
        <v>2.7284509239574799</v>
      </c>
      <c r="AJ394" s="2" t="s">
        <v>44</v>
      </c>
      <c r="AK394" t="s">
        <v>28</v>
      </c>
      <c r="AL394">
        <v>5</v>
      </c>
      <c r="AM394">
        <v>0</v>
      </c>
      <c r="AN394">
        <v>4.2</v>
      </c>
      <c r="AO394">
        <v>0</v>
      </c>
      <c r="AP394">
        <v>1.30384048104052</v>
      </c>
      <c r="AQ394" s="2" t="s">
        <v>44</v>
      </c>
      <c r="AR394" t="s">
        <v>113</v>
      </c>
      <c r="AS394">
        <v>5</v>
      </c>
      <c r="AT394">
        <v>0</v>
      </c>
      <c r="AU394">
        <v>4.2</v>
      </c>
      <c r="AV394">
        <v>0</v>
      </c>
      <c r="AW394">
        <v>2.4899799195977401</v>
      </c>
      <c r="AY394" t="s">
        <v>28</v>
      </c>
      <c r="AZ394">
        <v>5</v>
      </c>
      <c r="BA394">
        <v>0</v>
      </c>
      <c r="BB394">
        <v>4.2</v>
      </c>
      <c r="BC394">
        <v>0</v>
      </c>
      <c r="BD394" s="7">
        <v>1.30384048104052</v>
      </c>
    </row>
    <row r="395" spans="1:57" x14ac:dyDescent="0.35">
      <c r="A395" t="s">
        <v>135</v>
      </c>
      <c r="B395">
        <v>5</v>
      </c>
      <c r="C395">
        <v>1</v>
      </c>
      <c r="D395">
        <v>4.2</v>
      </c>
      <c r="E395">
        <v>0.2</v>
      </c>
      <c r="F395">
        <v>2.16794833886788</v>
      </c>
      <c r="H395" t="s">
        <v>135</v>
      </c>
      <c r="I395">
        <v>5</v>
      </c>
      <c r="J395">
        <v>1</v>
      </c>
      <c r="K395">
        <v>4.2</v>
      </c>
      <c r="L395">
        <v>0.2</v>
      </c>
      <c r="M395">
        <v>2.16794833886788</v>
      </c>
      <c r="O395" t="s">
        <v>135</v>
      </c>
      <c r="P395">
        <v>5</v>
      </c>
      <c r="Q395">
        <v>1</v>
      </c>
      <c r="R395">
        <v>4.2</v>
      </c>
      <c r="S395">
        <v>0.2</v>
      </c>
      <c r="T395">
        <v>2.16794833886788</v>
      </c>
      <c r="W395" t="s">
        <v>117</v>
      </c>
      <c r="X395">
        <v>9</v>
      </c>
      <c r="Y395">
        <v>2</v>
      </c>
      <c r="Z395">
        <v>4.2</v>
      </c>
      <c r="AA395">
        <v>0.25</v>
      </c>
      <c r="AB395">
        <v>2.7284509239574799</v>
      </c>
      <c r="AC395" s="3" t="s">
        <v>45</v>
      </c>
      <c r="AD395" t="s">
        <v>28</v>
      </c>
      <c r="AE395">
        <v>5</v>
      </c>
      <c r="AF395">
        <v>0</v>
      </c>
      <c r="AG395">
        <v>4.2</v>
      </c>
      <c r="AH395">
        <v>0</v>
      </c>
      <c r="AI395" s="7">
        <v>1.30384048104052</v>
      </c>
      <c r="AJ395" s="2" t="s">
        <v>44</v>
      </c>
      <c r="AK395" t="s">
        <v>135</v>
      </c>
      <c r="AL395">
        <v>5</v>
      </c>
      <c r="AM395">
        <v>1</v>
      </c>
      <c r="AN395">
        <v>4.2</v>
      </c>
      <c r="AO395">
        <v>0.2</v>
      </c>
      <c r="AP395">
        <v>2.16794833886788</v>
      </c>
      <c r="AQ395" s="2" t="s">
        <v>44</v>
      </c>
      <c r="AR395" t="s">
        <v>22</v>
      </c>
      <c r="AS395" s="8">
        <v>92</v>
      </c>
      <c r="AT395">
        <v>13</v>
      </c>
      <c r="AU395">
        <v>4.2</v>
      </c>
      <c r="AV395">
        <v>0.14000000000000001</v>
      </c>
      <c r="AW395">
        <v>2.195095083849</v>
      </c>
      <c r="AX395" s="2" t="s">
        <v>44</v>
      </c>
      <c r="AY395" t="s">
        <v>135</v>
      </c>
      <c r="AZ395">
        <v>5</v>
      </c>
      <c r="BA395">
        <v>1</v>
      </c>
      <c r="BB395">
        <v>4.2</v>
      </c>
      <c r="BC395">
        <v>0.2</v>
      </c>
      <c r="BD395">
        <v>2.16794833886788</v>
      </c>
    </row>
    <row r="396" spans="1:57" x14ac:dyDescent="0.35">
      <c r="A396" t="s">
        <v>113</v>
      </c>
      <c r="B396">
        <v>5</v>
      </c>
      <c r="C396">
        <v>0</v>
      </c>
      <c r="D396">
        <v>4.2</v>
      </c>
      <c r="E396">
        <v>0</v>
      </c>
      <c r="F396">
        <v>2.4899799195977401</v>
      </c>
      <c r="H396" t="s">
        <v>113</v>
      </c>
      <c r="I396">
        <v>5</v>
      </c>
      <c r="J396">
        <v>0</v>
      </c>
      <c r="K396">
        <v>4.2</v>
      </c>
      <c r="L396">
        <v>0</v>
      </c>
      <c r="M396">
        <v>2.4899799195977401</v>
      </c>
      <c r="O396" t="s">
        <v>113</v>
      </c>
      <c r="P396">
        <v>5</v>
      </c>
      <c r="Q396">
        <v>0</v>
      </c>
      <c r="R396">
        <v>4.2</v>
      </c>
      <c r="S396">
        <v>0</v>
      </c>
      <c r="T396">
        <v>2.4899799195977401</v>
      </c>
      <c r="W396" t="s">
        <v>28</v>
      </c>
      <c r="X396">
        <v>5</v>
      </c>
      <c r="Y396">
        <v>0</v>
      </c>
      <c r="Z396">
        <v>4.2</v>
      </c>
      <c r="AA396">
        <v>0</v>
      </c>
      <c r="AB396" s="7">
        <v>1.30384048104052</v>
      </c>
      <c r="AC396" s="3" t="s">
        <v>45</v>
      </c>
      <c r="AD396" t="s">
        <v>135</v>
      </c>
      <c r="AE396">
        <v>5</v>
      </c>
      <c r="AF396">
        <v>1</v>
      </c>
      <c r="AG396">
        <v>4.2</v>
      </c>
      <c r="AH396">
        <v>0.2</v>
      </c>
      <c r="AI396">
        <v>2.16794833886788</v>
      </c>
      <c r="AJ396" s="2" t="s">
        <v>44</v>
      </c>
      <c r="AK396" t="s">
        <v>113</v>
      </c>
      <c r="AL396">
        <v>5</v>
      </c>
      <c r="AM396">
        <v>0</v>
      </c>
      <c r="AN396">
        <v>4.2</v>
      </c>
      <c r="AO396">
        <v>0</v>
      </c>
      <c r="AP396">
        <v>2.4899799195977401</v>
      </c>
      <c r="AQ396" s="2" t="s">
        <v>44</v>
      </c>
      <c r="AR396" t="s">
        <v>135</v>
      </c>
      <c r="AS396">
        <v>5</v>
      </c>
      <c r="AT396">
        <v>1</v>
      </c>
      <c r="AU396">
        <v>4.2</v>
      </c>
      <c r="AV396">
        <v>0.2</v>
      </c>
      <c r="AW396">
        <v>2.16794833886788</v>
      </c>
      <c r="AY396" t="s">
        <v>113</v>
      </c>
      <c r="AZ396">
        <v>5</v>
      </c>
      <c r="BA396">
        <v>0</v>
      </c>
      <c r="BB396">
        <v>4.2</v>
      </c>
      <c r="BC396">
        <v>0</v>
      </c>
      <c r="BD396">
        <v>2.4899799195977401</v>
      </c>
    </row>
    <row r="397" spans="1:57" x14ac:dyDescent="0.35">
      <c r="A397" t="s">
        <v>112</v>
      </c>
      <c r="B397">
        <v>9</v>
      </c>
      <c r="C397">
        <v>3</v>
      </c>
      <c r="D397">
        <v>4.22</v>
      </c>
      <c r="E397">
        <v>0.33</v>
      </c>
      <c r="F397">
        <v>2.8625940062196098</v>
      </c>
      <c r="H397" t="s">
        <v>112</v>
      </c>
      <c r="I397">
        <v>9</v>
      </c>
      <c r="J397">
        <v>3</v>
      </c>
      <c r="K397">
        <v>4.22</v>
      </c>
      <c r="L397">
        <v>0.33</v>
      </c>
      <c r="M397">
        <v>2.8625940062196098</v>
      </c>
      <c r="O397" t="s">
        <v>112</v>
      </c>
      <c r="P397">
        <v>9</v>
      </c>
      <c r="Q397">
        <v>3</v>
      </c>
      <c r="R397">
        <v>4.22</v>
      </c>
      <c r="S397">
        <v>0.33</v>
      </c>
      <c r="T397">
        <v>2.8625940062196098</v>
      </c>
      <c r="W397" t="s">
        <v>135</v>
      </c>
      <c r="X397">
        <v>5</v>
      </c>
      <c r="Y397">
        <v>1</v>
      </c>
      <c r="Z397">
        <v>4.2</v>
      </c>
      <c r="AA397">
        <v>0.2</v>
      </c>
      <c r="AB397">
        <v>2.16794833886788</v>
      </c>
      <c r="AC397" s="3" t="s">
        <v>45</v>
      </c>
      <c r="AD397" t="s">
        <v>113</v>
      </c>
      <c r="AE397">
        <v>5</v>
      </c>
      <c r="AF397">
        <v>0</v>
      </c>
      <c r="AG397">
        <v>4.2</v>
      </c>
      <c r="AH397">
        <v>0</v>
      </c>
      <c r="AI397">
        <v>2.4899799195977401</v>
      </c>
      <c r="AJ397" s="2" t="s">
        <v>44</v>
      </c>
      <c r="AK397" t="s">
        <v>22</v>
      </c>
      <c r="AL397" s="6">
        <v>90</v>
      </c>
      <c r="AM397">
        <v>13</v>
      </c>
      <c r="AN397">
        <v>4.21</v>
      </c>
      <c r="AO397">
        <v>0.14000000000000001</v>
      </c>
      <c r="AP397">
        <v>2.2056844052086801</v>
      </c>
      <c r="AQ397" s="3" t="s">
        <v>55</v>
      </c>
      <c r="AR397" t="s">
        <v>117</v>
      </c>
      <c r="AS397">
        <v>9</v>
      </c>
      <c r="AT397">
        <v>2</v>
      </c>
      <c r="AU397">
        <v>4.2</v>
      </c>
      <c r="AV397">
        <v>0.25</v>
      </c>
      <c r="AW397">
        <v>2.7284509239574799</v>
      </c>
      <c r="AY397" t="s">
        <v>8</v>
      </c>
      <c r="AZ397">
        <v>31</v>
      </c>
      <c r="BA397">
        <v>5</v>
      </c>
      <c r="BB397">
        <v>4.2300000000000004</v>
      </c>
      <c r="BC397">
        <v>0.16</v>
      </c>
      <c r="BD397">
        <v>2.4235565546581199</v>
      </c>
      <c r="BE397" s="2" t="s">
        <v>44</v>
      </c>
    </row>
    <row r="398" spans="1:57" x14ac:dyDescent="0.35">
      <c r="A398" t="s">
        <v>8</v>
      </c>
      <c r="B398">
        <v>31</v>
      </c>
      <c r="C398">
        <v>5</v>
      </c>
      <c r="D398">
        <v>4.2300000000000004</v>
      </c>
      <c r="E398">
        <v>0.16</v>
      </c>
      <c r="F398">
        <v>2.4994623077688098</v>
      </c>
      <c r="G398" s="2" t="s">
        <v>44</v>
      </c>
      <c r="H398" t="s">
        <v>8</v>
      </c>
      <c r="I398">
        <v>31</v>
      </c>
      <c r="J398">
        <v>5</v>
      </c>
      <c r="K398">
        <v>4.2300000000000004</v>
      </c>
      <c r="L398">
        <v>0.16</v>
      </c>
      <c r="M398">
        <v>2.4994623077688098</v>
      </c>
      <c r="O398" t="s">
        <v>8</v>
      </c>
      <c r="P398">
        <v>31</v>
      </c>
      <c r="Q398">
        <v>5</v>
      </c>
      <c r="R398">
        <v>4.2300000000000004</v>
      </c>
      <c r="S398">
        <v>0.16</v>
      </c>
      <c r="T398">
        <v>2.4994623077688098</v>
      </c>
      <c r="W398" t="s">
        <v>113</v>
      </c>
      <c r="X398">
        <v>5</v>
      </c>
      <c r="Y398">
        <v>0</v>
      </c>
      <c r="Z398">
        <v>4.2</v>
      </c>
      <c r="AA398">
        <v>0</v>
      </c>
      <c r="AB398">
        <v>2.4899799195977401</v>
      </c>
      <c r="AC398" s="3" t="s">
        <v>45</v>
      </c>
      <c r="AD398" t="s">
        <v>8</v>
      </c>
      <c r="AE398">
        <v>31</v>
      </c>
      <c r="AF398">
        <v>5</v>
      </c>
      <c r="AG398">
        <v>4.2300000000000004</v>
      </c>
      <c r="AH398">
        <v>0.16</v>
      </c>
      <c r="AI398">
        <v>2.4994623077688098</v>
      </c>
      <c r="AJ398" s="2" t="s">
        <v>44</v>
      </c>
      <c r="AK398" t="s">
        <v>8</v>
      </c>
      <c r="AL398">
        <v>31</v>
      </c>
      <c r="AM398">
        <v>5</v>
      </c>
      <c r="AN398">
        <v>4.2300000000000004</v>
      </c>
      <c r="AO398">
        <v>0.16</v>
      </c>
      <c r="AP398">
        <v>2.4994623077688098</v>
      </c>
      <c r="AR398" t="s">
        <v>8</v>
      </c>
      <c r="AS398">
        <v>31</v>
      </c>
      <c r="AT398">
        <v>5</v>
      </c>
      <c r="AU398">
        <v>4.2300000000000004</v>
      </c>
      <c r="AV398">
        <v>0.16</v>
      </c>
      <c r="AW398">
        <v>2.4994623077688098</v>
      </c>
      <c r="AY398" t="s">
        <v>148</v>
      </c>
      <c r="AZ398">
        <v>8</v>
      </c>
      <c r="BA398">
        <v>0</v>
      </c>
      <c r="BB398">
        <v>4.25</v>
      </c>
      <c r="BC398">
        <v>0</v>
      </c>
      <c r="BD398">
        <v>2.0528725518857001</v>
      </c>
      <c r="BE398" s="2" t="s">
        <v>44</v>
      </c>
    </row>
    <row r="399" spans="1:57" x14ac:dyDescent="0.35">
      <c r="A399" t="s">
        <v>29</v>
      </c>
      <c r="B399" s="6">
        <v>17</v>
      </c>
      <c r="C399">
        <v>1</v>
      </c>
      <c r="D399">
        <v>4.24</v>
      </c>
      <c r="E399">
        <v>0.06</v>
      </c>
      <c r="F399">
        <v>2.1074098961968</v>
      </c>
      <c r="G399" s="2" t="s">
        <v>359</v>
      </c>
      <c r="H399" t="s">
        <v>22</v>
      </c>
      <c r="I399" s="8">
        <v>84</v>
      </c>
      <c r="J399">
        <v>12</v>
      </c>
      <c r="K399">
        <v>4.2300000000000004</v>
      </c>
      <c r="L399">
        <v>0.14000000000000001</v>
      </c>
      <c r="M399">
        <v>2.2244598124618</v>
      </c>
      <c r="N399" s="2" t="s">
        <v>47</v>
      </c>
      <c r="O399" t="s">
        <v>148</v>
      </c>
      <c r="P399">
        <v>8</v>
      </c>
      <c r="Q399">
        <v>0</v>
      </c>
      <c r="R399">
        <v>4.25</v>
      </c>
      <c r="S399">
        <v>0</v>
      </c>
      <c r="T399">
        <v>2.0528725518857001</v>
      </c>
      <c r="U399" s="2" t="s">
        <v>47</v>
      </c>
      <c r="W399" t="s">
        <v>8</v>
      </c>
      <c r="X399">
        <v>31</v>
      </c>
      <c r="Y399">
        <v>5</v>
      </c>
      <c r="Z399">
        <v>4.2300000000000004</v>
      </c>
      <c r="AA399">
        <v>0.16</v>
      </c>
      <c r="AB399">
        <v>2.4994623077688098</v>
      </c>
      <c r="AC399" s="3" t="s">
        <v>46</v>
      </c>
      <c r="AD399" t="s">
        <v>148</v>
      </c>
      <c r="AE399">
        <v>8</v>
      </c>
      <c r="AF399">
        <v>0</v>
      </c>
      <c r="AG399">
        <v>4.25</v>
      </c>
      <c r="AH399">
        <v>0</v>
      </c>
      <c r="AI399">
        <v>2.0528725518857001</v>
      </c>
      <c r="AJ399" s="2" t="s">
        <v>44</v>
      </c>
      <c r="AK399" t="s">
        <v>148</v>
      </c>
      <c r="AL399">
        <v>8</v>
      </c>
      <c r="AM399">
        <v>0</v>
      </c>
      <c r="AN399">
        <v>4.25</v>
      </c>
      <c r="AO399">
        <v>0</v>
      </c>
      <c r="AP399">
        <v>2.0528725518857001</v>
      </c>
      <c r="AR399" t="s">
        <v>148</v>
      </c>
      <c r="AS399">
        <v>8</v>
      </c>
      <c r="AT399">
        <v>0</v>
      </c>
      <c r="AU399">
        <v>4.25</v>
      </c>
      <c r="AV399">
        <v>0</v>
      </c>
      <c r="AW399">
        <v>2.0528725518857001</v>
      </c>
      <c r="AY399" t="s">
        <v>22</v>
      </c>
      <c r="AZ399" s="6">
        <v>95</v>
      </c>
      <c r="BA399">
        <v>13</v>
      </c>
      <c r="BB399">
        <v>4.26</v>
      </c>
      <c r="BC399">
        <v>0.14000000000000001</v>
      </c>
      <c r="BD399">
        <v>2.2035296941729401</v>
      </c>
      <c r="BE399" s="3" t="s">
        <v>45</v>
      </c>
    </row>
    <row r="400" spans="1:57" x14ac:dyDescent="0.35">
      <c r="A400" t="s">
        <v>148</v>
      </c>
      <c r="B400">
        <v>8</v>
      </c>
      <c r="C400">
        <v>0</v>
      </c>
      <c r="D400">
        <v>4.25</v>
      </c>
      <c r="E400">
        <v>0</v>
      </c>
      <c r="F400">
        <v>2.0528725518857001</v>
      </c>
      <c r="G400" s="2" t="s">
        <v>44</v>
      </c>
      <c r="H400" t="s">
        <v>29</v>
      </c>
      <c r="I400">
        <v>17</v>
      </c>
      <c r="J400">
        <v>1</v>
      </c>
      <c r="K400">
        <v>4.24</v>
      </c>
      <c r="L400">
        <v>0.06</v>
      </c>
      <c r="M400">
        <v>2.1074098961968</v>
      </c>
      <c r="N400" s="3" t="s">
        <v>46</v>
      </c>
      <c r="O400" t="s">
        <v>22</v>
      </c>
      <c r="P400" s="8">
        <v>86</v>
      </c>
      <c r="Q400">
        <v>12</v>
      </c>
      <c r="R400">
        <v>4.26</v>
      </c>
      <c r="S400">
        <v>0.14000000000000001</v>
      </c>
      <c r="T400">
        <v>2.2079324718554201</v>
      </c>
      <c r="U400" s="3" t="s">
        <v>46</v>
      </c>
      <c r="W400" t="s">
        <v>148</v>
      </c>
      <c r="X400">
        <v>8</v>
      </c>
      <c r="Y400">
        <v>0</v>
      </c>
      <c r="Z400">
        <v>4.25</v>
      </c>
      <c r="AA400">
        <v>0</v>
      </c>
      <c r="AB400">
        <v>2.0528725518857001</v>
      </c>
      <c r="AC400" s="3" t="s">
        <v>46</v>
      </c>
      <c r="AD400" t="s">
        <v>129</v>
      </c>
      <c r="AE400">
        <v>25</v>
      </c>
      <c r="AF400">
        <v>5</v>
      </c>
      <c r="AG400">
        <v>4.28</v>
      </c>
      <c r="AH400">
        <v>0.2</v>
      </c>
      <c r="AI400">
        <v>2.1315096371664199</v>
      </c>
      <c r="AJ400" s="2" t="s">
        <v>44</v>
      </c>
      <c r="AK400" t="s">
        <v>129</v>
      </c>
      <c r="AL400">
        <v>25</v>
      </c>
      <c r="AM400">
        <v>5</v>
      </c>
      <c r="AN400">
        <v>4.28</v>
      </c>
      <c r="AO400">
        <v>0.2</v>
      </c>
      <c r="AP400">
        <v>2.1315096371664199</v>
      </c>
      <c r="AR400" t="s">
        <v>129</v>
      </c>
      <c r="AS400">
        <v>25</v>
      </c>
      <c r="AT400">
        <v>5</v>
      </c>
      <c r="AU400">
        <v>4.28</v>
      </c>
      <c r="AV400">
        <v>0.2</v>
      </c>
      <c r="AW400">
        <v>2.1315096371664199</v>
      </c>
      <c r="AY400" t="s">
        <v>129</v>
      </c>
      <c r="AZ400">
        <v>25</v>
      </c>
      <c r="BA400">
        <v>5</v>
      </c>
      <c r="BB400">
        <v>4.28</v>
      </c>
      <c r="BC400">
        <v>0.2</v>
      </c>
      <c r="BD400">
        <v>2.1315096371664199</v>
      </c>
    </row>
    <row r="401" spans="1:56" x14ac:dyDescent="0.35">
      <c r="A401" t="s">
        <v>22</v>
      </c>
      <c r="B401" s="8">
        <v>82</v>
      </c>
      <c r="C401">
        <v>11</v>
      </c>
      <c r="D401">
        <v>4.2699999999999996</v>
      </c>
      <c r="E401">
        <v>0.13</v>
      </c>
      <c r="F401">
        <v>2.2224932084097002</v>
      </c>
      <c r="G401" s="3" t="s">
        <v>46</v>
      </c>
      <c r="H401" t="s">
        <v>148</v>
      </c>
      <c r="I401">
        <v>8</v>
      </c>
      <c r="J401">
        <v>0</v>
      </c>
      <c r="K401">
        <v>4.25</v>
      </c>
      <c r="L401">
        <v>0</v>
      </c>
      <c r="M401">
        <v>2.0528725518857001</v>
      </c>
      <c r="N401" s="3" t="s">
        <v>46</v>
      </c>
      <c r="O401" t="s">
        <v>129</v>
      </c>
      <c r="P401">
        <v>25</v>
      </c>
      <c r="Q401">
        <v>5</v>
      </c>
      <c r="R401">
        <v>4.28</v>
      </c>
      <c r="S401">
        <v>0.2</v>
      </c>
      <c r="T401">
        <v>2.1315096371664199</v>
      </c>
      <c r="U401" s="2" t="s">
        <v>44</v>
      </c>
      <c r="W401" t="s">
        <v>129</v>
      </c>
      <c r="X401">
        <v>25</v>
      </c>
      <c r="Y401">
        <v>5</v>
      </c>
      <c r="Z401">
        <v>4.28</v>
      </c>
      <c r="AA401">
        <v>0.2</v>
      </c>
      <c r="AB401">
        <v>2.1315096371664199</v>
      </c>
      <c r="AD401" t="s">
        <v>52</v>
      </c>
      <c r="AE401">
        <v>7</v>
      </c>
      <c r="AF401">
        <v>0</v>
      </c>
      <c r="AG401">
        <v>4.29</v>
      </c>
      <c r="AH401">
        <v>0</v>
      </c>
      <c r="AI401">
        <v>2.3603873774083199</v>
      </c>
      <c r="AJ401" s="2" t="s">
        <v>44</v>
      </c>
      <c r="AK401" t="s">
        <v>52</v>
      </c>
      <c r="AL401">
        <v>7</v>
      </c>
      <c r="AM401">
        <v>0</v>
      </c>
      <c r="AN401">
        <v>4.29</v>
      </c>
      <c r="AO401">
        <v>0</v>
      </c>
      <c r="AP401">
        <v>2.3603873774083199</v>
      </c>
      <c r="AR401" t="s">
        <v>52</v>
      </c>
      <c r="AS401">
        <v>7</v>
      </c>
      <c r="AT401">
        <v>0</v>
      </c>
      <c r="AU401">
        <v>4.29</v>
      </c>
      <c r="AV401">
        <v>0</v>
      </c>
      <c r="AW401">
        <v>2.3603873774083199</v>
      </c>
      <c r="AY401" t="s">
        <v>52</v>
      </c>
      <c r="AZ401">
        <v>7</v>
      </c>
      <c r="BA401">
        <v>0</v>
      </c>
      <c r="BB401">
        <v>4.29</v>
      </c>
      <c r="BC401">
        <v>0</v>
      </c>
      <c r="BD401">
        <v>2.3603873774083199</v>
      </c>
    </row>
    <row r="402" spans="1:56" x14ac:dyDescent="0.35">
      <c r="A402" t="s">
        <v>129</v>
      </c>
      <c r="B402">
        <v>25</v>
      </c>
      <c r="C402">
        <v>5</v>
      </c>
      <c r="D402">
        <v>4.28</v>
      </c>
      <c r="E402">
        <v>0.2</v>
      </c>
      <c r="F402">
        <v>2.1315096371664199</v>
      </c>
      <c r="H402" t="s">
        <v>129</v>
      </c>
      <c r="I402">
        <v>25</v>
      </c>
      <c r="J402">
        <v>5</v>
      </c>
      <c r="K402">
        <v>4.28</v>
      </c>
      <c r="L402">
        <v>0.2</v>
      </c>
      <c r="M402">
        <v>2.1315096371664199</v>
      </c>
      <c r="O402" t="s">
        <v>14</v>
      </c>
      <c r="P402">
        <v>35</v>
      </c>
      <c r="Q402">
        <v>3</v>
      </c>
      <c r="R402">
        <v>4.29</v>
      </c>
      <c r="S402">
        <v>0.09</v>
      </c>
      <c r="T402">
        <v>2.2566428549484501</v>
      </c>
      <c r="U402" s="2" t="s">
        <v>44</v>
      </c>
      <c r="W402" t="s">
        <v>52</v>
      </c>
      <c r="X402">
        <v>7</v>
      </c>
      <c r="Y402">
        <v>0</v>
      </c>
      <c r="Z402">
        <v>4.29</v>
      </c>
      <c r="AA402">
        <v>0</v>
      </c>
      <c r="AB402">
        <v>2.3603873774083199</v>
      </c>
      <c r="AC402" s="2" t="s">
        <v>44</v>
      </c>
      <c r="AD402" t="s">
        <v>10</v>
      </c>
      <c r="AE402">
        <v>28</v>
      </c>
      <c r="AF402">
        <v>4</v>
      </c>
      <c r="AG402">
        <v>4.29</v>
      </c>
      <c r="AH402">
        <v>0.14000000000000001</v>
      </c>
      <c r="AI402">
        <v>2.2086889501029501</v>
      </c>
      <c r="AJ402" s="2" t="s">
        <v>44</v>
      </c>
      <c r="AK402" t="s">
        <v>10</v>
      </c>
      <c r="AL402">
        <v>28</v>
      </c>
      <c r="AM402">
        <v>4</v>
      </c>
      <c r="AN402">
        <v>4.29</v>
      </c>
      <c r="AO402">
        <v>0.14000000000000001</v>
      </c>
      <c r="AP402">
        <v>2.2086889501029501</v>
      </c>
      <c r="AR402" t="s">
        <v>10</v>
      </c>
      <c r="AS402">
        <v>28</v>
      </c>
      <c r="AT402">
        <v>4</v>
      </c>
      <c r="AU402">
        <v>4.29</v>
      </c>
      <c r="AV402">
        <v>0.14000000000000001</v>
      </c>
      <c r="AW402">
        <v>2.2086889501029501</v>
      </c>
      <c r="AY402" t="s">
        <v>10</v>
      </c>
      <c r="AZ402">
        <v>28</v>
      </c>
      <c r="BA402">
        <v>4</v>
      </c>
      <c r="BB402">
        <v>4.29</v>
      </c>
      <c r="BC402">
        <v>0.14000000000000001</v>
      </c>
      <c r="BD402">
        <v>2.2086889501029501</v>
      </c>
    </row>
    <row r="403" spans="1:56" x14ac:dyDescent="0.35">
      <c r="A403" t="s">
        <v>14</v>
      </c>
      <c r="B403">
        <v>35</v>
      </c>
      <c r="C403">
        <v>3</v>
      </c>
      <c r="D403">
        <v>4.29</v>
      </c>
      <c r="E403">
        <v>0.09</v>
      </c>
      <c r="F403">
        <v>2.2566428549484501</v>
      </c>
      <c r="H403" t="s">
        <v>14</v>
      </c>
      <c r="I403">
        <v>35</v>
      </c>
      <c r="J403">
        <v>3</v>
      </c>
      <c r="K403">
        <v>4.29</v>
      </c>
      <c r="L403">
        <v>0.09</v>
      </c>
      <c r="M403">
        <v>2.2566428549484501</v>
      </c>
      <c r="O403" t="s">
        <v>52</v>
      </c>
      <c r="P403">
        <v>7</v>
      </c>
      <c r="Q403">
        <v>0</v>
      </c>
      <c r="R403">
        <v>4.29</v>
      </c>
      <c r="S403">
        <v>0</v>
      </c>
      <c r="T403">
        <v>2.3603873774083199</v>
      </c>
      <c r="U403" s="2" t="s">
        <v>44</v>
      </c>
      <c r="W403" t="s">
        <v>10</v>
      </c>
      <c r="X403">
        <v>28</v>
      </c>
      <c r="Y403">
        <v>4</v>
      </c>
      <c r="Z403">
        <v>4.29</v>
      </c>
      <c r="AA403">
        <v>0.14000000000000001</v>
      </c>
      <c r="AB403">
        <v>2.2086889501029501</v>
      </c>
      <c r="AC403" s="2" t="s">
        <v>44</v>
      </c>
      <c r="AD403" t="s">
        <v>112</v>
      </c>
      <c r="AE403">
        <v>10</v>
      </c>
      <c r="AF403">
        <v>3</v>
      </c>
      <c r="AG403">
        <v>4.3</v>
      </c>
      <c r="AH403">
        <v>0.3</v>
      </c>
      <c r="AI403">
        <v>2.71006354989037</v>
      </c>
      <c r="AJ403" s="2" t="s">
        <v>44</v>
      </c>
      <c r="AK403" t="s">
        <v>112</v>
      </c>
      <c r="AL403">
        <v>10</v>
      </c>
      <c r="AM403">
        <v>3</v>
      </c>
      <c r="AN403">
        <v>4.3</v>
      </c>
      <c r="AO403">
        <v>0.3</v>
      </c>
      <c r="AP403">
        <v>2.71006354989037</v>
      </c>
      <c r="AR403" t="s">
        <v>112</v>
      </c>
      <c r="AS403">
        <v>10</v>
      </c>
      <c r="AT403">
        <v>3</v>
      </c>
      <c r="AU403">
        <v>4.3</v>
      </c>
      <c r="AV403">
        <v>0.3</v>
      </c>
      <c r="AW403">
        <v>2.71006354989037</v>
      </c>
      <c r="AY403" t="s">
        <v>112</v>
      </c>
      <c r="AZ403">
        <v>10</v>
      </c>
      <c r="BA403">
        <v>3</v>
      </c>
      <c r="BB403">
        <v>4.3</v>
      </c>
      <c r="BC403">
        <v>0.3</v>
      </c>
      <c r="BD403">
        <v>2.71006354989037</v>
      </c>
    </row>
    <row r="404" spans="1:56" x14ac:dyDescent="0.35">
      <c r="A404" t="s">
        <v>52</v>
      </c>
      <c r="B404">
        <v>7</v>
      </c>
      <c r="C404">
        <v>0</v>
      </c>
      <c r="D404">
        <v>4.29</v>
      </c>
      <c r="E404">
        <v>0</v>
      </c>
      <c r="F404">
        <v>2.3603873774083199</v>
      </c>
      <c r="H404" t="s">
        <v>52</v>
      </c>
      <c r="I404">
        <v>7</v>
      </c>
      <c r="J404">
        <v>0</v>
      </c>
      <c r="K404">
        <v>4.29</v>
      </c>
      <c r="L404">
        <v>0</v>
      </c>
      <c r="M404">
        <v>2.3603873774083199</v>
      </c>
      <c r="O404" t="s">
        <v>10</v>
      </c>
      <c r="P404">
        <v>28</v>
      </c>
      <c r="Q404">
        <v>4</v>
      </c>
      <c r="R404">
        <v>4.29</v>
      </c>
      <c r="S404">
        <v>0.14000000000000001</v>
      </c>
      <c r="T404">
        <v>2.2086889501029501</v>
      </c>
      <c r="U404" s="2" t="s">
        <v>44</v>
      </c>
      <c r="W404" t="s">
        <v>112</v>
      </c>
      <c r="X404" s="6">
        <v>10</v>
      </c>
      <c r="Y404">
        <v>3</v>
      </c>
      <c r="Z404">
        <v>4.3</v>
      </c>
      <c r="AA404">
        <v>0.3</v>
      </c>
      <c r="AB404">
        <v>2.71006354989037</v>
      </c>
      <c r="AC404" s="3" t="s">
        <v>69</v>
      </c>
      <c r="AD404" t="s">
        <v>232</v>
      </c>
      <c r="AE404">
        <v>6</v>
      </c>
      <c r="AF404">
        <v>0</v>
      </c>
      <c r="AG404">
        <v>4.33</v>
      </c>
      <c r="AH404">
        <v>0</v>
      </c>
      <c r="AI404">
        <v>2.2509257354845502</v>
      </c>
      <c r="AJ404" s="2" t="s">
        <v>44</v>
      </c>
      <c r="AK404" t="s">
        <v>232</v>
      </c>
      <c r="AL404">
        <v>6</v>
      </c>
      <c r="AM404">
        <v>0</v>
      </c>
      <c r="AN404">
        <v>4.33</v>
      </c>
      <c r="AO404">
        <v>0</v>
      </c>
      <c r="AP404">
        <v>2.2509257354845502</v>
      </c>
      <c r="AR404" t="s">
        <v>122</v>
      </c>
      <c r="AS404">
        <v>6</v>
      </c>
      <c r="AT404">
        <v>0</v>
      </c>
      <c r="AU404">
        <v>4.33</v>
      </c>
      <c r="AV404">
        <v>0</v>
      </c>
      <c r="AW404">
        <v>1.6329931618554501</v>
      </c>
      <c r="AY404" t="s">
        <v>232</v>
      </c>
      <c r="AZ404">
        <v>6</v>
      </c>
      <c r="BA404">
        <v>0</v>
      </c>
      <c r="BB404">
        <v>4.33</v>
      </c>
      <c r="BC404">
        <v>0</v>
      </c>
      <c r="BD404">
        <v>2.2509257354845502</v>
      </c>
    </row>
    <row r="405" spans="1:56" x14ac:dyDescent="0.35">
      <c r="A405" t="s">
        <v>10</v>
      </c>
      <c r="B405" s="6">
        <v>28</v>
      </c>
      <c r="C405">
        <v>4</v>
      </c>
      <c r="D405">
        <v>4.29</v>
      </c>
      <c r="E405">
        <v>0.14000000000000001</v>
      </c>
      <c r="F405">
        <v>2.2086889501029501</v>
      </c>
      <c r="G405" s="3" t="s">
        <v>69</v>
      </c>
      <c r="H405" t="s">
        <v>10</v>
      </c>
      <c r="I405">
        <v>28</v>
      </c>
      <c r="J405">
        <v>4</v>
      </c>
      <c r="K405">
        <v>4.29</v>
      </c>
      <c r="L405">
        <v>0.14000000000000001</v>
      </c>
      <c r="M405">
        <v>2.2086889501029501</v>
      </c>
      <c r="O405" t="s">
        <v>232</v>
      </c>
      <c r="P405">
        <v>6</v>
      </c>
      <c r="Q405">
        <v>0</v>
      </c>
      <c r="R405">
        <v>4.33</v>
      </c>
      <c r="S405">
        <v>0</v>
      </c>
      <c r="T405">
        <v>2.2509257354845502</v>
      </c>
      <c r="U405" s="2" t="s">
        <v>133</v>
      </c>
      <c r="W405" t="s">
        <v>232</v>
      </c>
      <c r="X405">
        <v>6</v>
      </c>
      <c r="Y405">
        <v>0</v>
      </c>
      <c r="Z405">
        <v>4.33</v>
      </c>
      <c r="AA405">
        <v>0</v>
      </c>
      <c r="AB405">
        <v>2.2509257354845502</v>
      </c>
      <c r="AD405" t="s">
        <v>58</v>
      </c>
      <c r="AE405">
        <v>6</v>
      </c>
      <c r="AF405">
        <v>0</v>
      </c>
      <c r="AG405">
        <v>4.33</v>
      </c>
      <c r="AH405">
        <v>0</v>
      </c>
      <c r="AI405">
        <v>2.33809038890002</v>
      </c>
      <c r="AJ405" s="2" t="s">
        <v>44</v>
      </c>
      <c r="AK405" t="s">
        <v>58</v>
      </c>
      <c r="AL405">
        <v>6</v>
      </c>
      <c r="AM405">
        <v>0</v>
      </c>
      <c r="AN405">
        <v>4.33</v>
      </c>
      <c r="AO405">
        <v>0</v>
      </c>
      <c r="AP405">
        <v>2.33809038890002</v>
      </c>
      <c r="AR405" t="s">
        <v>232</v>
      </c>
      <c r="AS405">
        <v>6</v>
      </c>
      <c r="AT405">
        <v>0</v>
      </c>
      <c r="AU405">
        <v>4.33</v>
      </c>
      <c r="AV405">
        <v>0</v>
      </c>
      <c r="AW405">
        <v>2.2509257354845502</v>
      </c>
      <c r="AY405" t="s">
        <v>58</v>
      </c>
      <c r="AZ405">
        <v>6</v>
      </c>
      <c r="BA405">
        <v>0</v>
      </c>
      <c r="BB405">
        <v>4.33</v>
      </c>
      <c r="BC405">
        <v>0</v>
      </c>
      <c r="BD405">
        <v>2.33809038890002</v>
      </c>
    </row>
    <row r="406" spans="1:56" x14ac:dyDescent="0.35">
      <c r="A406" t="s">
        <v>7</v>
      </c>
      <c r="B406">
        <v>7</v>
      </c>
      <c r="C406">
        <v>2</v>
      </c>
      <c r="D406">
        <v>4.29</v>
      </c>
      <c r="E406">
        <v>0.28999999999999998</v>
      </c>
      <c r="F406">
        <v>2.69037083653819</v>
      </c>
      <c r="G406" s="3" t="s">
        <v>46</v>
      </c>
      <c r="H406" t="s">
        <v>7</v>
      </c>
      <c r="I406">
        <v>7</v>
      </c>
      <c r="J406">
        <v>2</v>
      </c>
      <c r="K406">
        <v>4.29</v>
      </c>
      <c r="L406">
        <v>0.28999999999999998</v>
      </c>
      <c r="M406">
        <v>2.69037083653819</v>
      </c>
      <c r="O406" t="s">
        <v>58</v>
      </c>
      <c r="P406">
        <v>6</v>
      </c>
      <c r="Q406">
        <v>0</v>
      </c>
      <c r="R406">
        <v>4.33</v>
      </c>
      <c r="S406">
        <v>0</v>
      </c>
      <c r="T406">
        <v>2.33809038890002</v>
      </c>
      <c r="U406" s="2" t="s">
        <v>133</v>
      </c>
      <c r="W406" t="s">
        <v>58</v>
      </c>
      <c r="X406">
        <v>6</v>
      </c>
      <c r="Y406">
        <v>0</v>
      </c>
      <c r="Z406">
        <v>4.33</v>
      </c>
      <c r="AA406">
        <v>0</v>
      </c>
      <c r="AB406">
        <v>2.33809038890002</v>
      </c>
      <c r="AD406" t="s">
        <v>122</v>
      </c>
      <c r="AE406">
        <v>6</v>
      </c>
      <c r="AF406">
        <v>0</v>
      </c>
      <c r="AG406">
        <v>4.33</v>
      </c>
      <c r="AH406">
        <v>0</v>
      </c>
      <c r="AI406">
        <v>1.6329931618554501</v>
      </c>
      <c r="AJ406" s="2" t="s">
        <v>44</v>
      </c>
      <c r="AK406" t="s">
        <v>122</v>
      </c>
      <c r="AL406">
        <v>6</v>
      </c>
      <c r="AM406">
        <v>0</v>
      </c>
      <c r="AN406">
        <v>4.33</v>
      </c>
      <c r="AO406">
        <v>0</v>
      </c>
      <c r="AP406">
        <v>1.6329931618554501</v>
      </c>
      <c r="AR406" t="s">
        <v>58</v>
      </c>
      <c r="AS406">
        <v>6</v>
      </c>
      <c r="AT406">
        <v>0</v>
      </c>
      <c r="AU406">
        <v>4.33</v>
      </c>
      <c r="AV406">
        <v>0</v>
      </c>
      <c r="AW406">
        <v>2.33809038890002</v>
      </c>
      <c r="AY406" t="s">
        <v>122</v>
      </c>
      <c r="AZ406">
        <v>6</v>
      </c>
      <c r="BA406">
        <v>0</v>
      </c>
      <c r="BB406">
        <v>4.33</v>
      </c>
      <c r="BC406">
        <v>0</v>
      </c>
      <c r="BD406">
        <v>1.6329931618554501</v>
      </c>
    </row>
    <row r="407" spans="1:56" x14ac:dyDescent="0.35">
      <c r="A407" t="s">
        <v>23</v>
      </c>
      <c r="B407">
        <v>10</v>
      </c>
      <c r="C407">
        <v>0</v>
      </c>
      <c r="D407">
        <v>4.3</v>
      </c>
      <c r="E407">
        <v>0</v>
      </c>
      <c r="F407">
        <v>1.6363916944844701</v>
      </c>
      <c r="G407" s="3" t="s">
        <v>46</v>
      </c>
      <c r="H407" t="s">
        <v>23</v>
      </c>
      <c r="I407">
        <v>10</v>
      </c>
      <c r="J407">
        <v>0</v>
      </c>
      <c r="K407">
        <v>4.3</v>
      </c>
      <c r="L407">
        <v>0</v>
      </c>
      <c r="M407">
        <v>1.6363916944844701</v>
      </c>
      <c r="O407" t="s">
        <v>122</v>
      </c>
      <c r="P407">
        <v>6</v>
      </c>
      <c r="Q407">
        <v>0</v>
      </c>
      <c r="R407">
        <v>4.33</v>
      </c>
      <c r="S407">
        <v>0</v>
      </c>
      <c r="T407">
        <v>1.6329931618554501</v>
      </c>
      <c r="U407" s="2" t="s">
        <v>133</v>
      </c>
      <c r="W407" t="s">
        <v>122</v>
      </c>
      <c r="X407">
        <v>6</v>
      </c>
      <c r="Y407">
        <v>0</v>
      </c>
      <c r="Z407">
        <v>4.33</v>
      </c>
      <c r="AA407">
        <v>0</v>
      </c>
      <c r="AB407">
        <v>1.6329931618554501</v>
      </c>
      <c r="AD407" t="s">
        <v>29</v>
      </c>
      <c r="AE407">
        <v>18</v>
      </c>
      <c r="AF407">
        <v>1</v>
      </c>
      <c r="AG407">
        <v>4.3899999999999997</v>
      </c>
      <c r="AH407">
        <v>0.06</v>
      </c>
      <c r="AI407">
        <v>2.14582738434355</v>
      </c>
      <c r="AJ407" s="2" t="s">
        <v>47</v>
      </c>
      <c r="AK407" t="s">
        <v>29</v>
      </c>
      <c r="AL407">
        <v>18</v>
      </c>
      <c r="AM407">
        <v>1</v>
      </c>
      <c r="AN407">
        <v>4.3899999999999997</v>
      </c>
      <c r="AO407">
        <v>0.06</v>
      </c>
      <c r="AP407">
        <v>2.14582738434355</v>
      </c>
      <c r="AR407" t="s">
        <v>29</v>
      </c>
      <c r="AS407">
        <v>18</v>
      </c>
      <c r="AT407">
        <v>1</v>
      </c>
      <c r="AU407">
        <v>4.3899999999999997</v>
      </c>
      <c r="AV407">
        <v>0.06</v>
      </c>
      <c r="AW407">
        <v>2.14582738434355</v>
      </c>
      <c r="AY407" t="s">
        <v>24</v>
      </c>
      <c r="AZ407">
        <v>36</v>
      </c>
      <c r="BA407">
        <v>4</v>
      </c>
      <c r="BB407">
        <v>4.3899999999999997</v>
      </c>
      <c r="BC407">
        <v>0.11</v>
      </c>
      <c r="BD407">
        <v>2.1683143917769998</v>
      </c>
    </row>
    <row r="408" spans="1:56" x14ac:dyDescent="0.35">
      <c r="A408" t="s">
        <v>104</v>
      </c>
      <c r="B408">
        <v>21</v>
      </c>
      <c r="C408">
        <v>2</v>
      </c>
      <c r="D408">
        <v>4.33</v>
      </c>
      <c r="E408">
        <v>0.1</v>
      </c>
      <c r="F408">
        <v>2.4562844569253999</v>
      </c>
      <c r="G408" s="3" t="s">
        <v>46</v>
      </c>
      <c r="H408" t="s">
        <v>104</v>
      </c>
      <c r="I408">
        <v>21</v>
      </c>
      <c r="J408">
        <v>2</v>
      </c>
      <c r="K408">
        <v>4.33</v>
      </c>
      <c r="L408">
        <v>0.1</v>
      </c>
      <c r="M408">
        <v>2.4562844569253999</v>
      </c>
      <c r="O408" t="s">
        <v>29</v>
      </c>
      <c r="P408" s="6">
        <v>18</v>
      </c>
      <c r="Q408">
        <v>1</v>
      </c>
      <c r="R408">
        <v>4.3899999999999997</v>
      </c>
      <c r="S408">
        <v>0.06</v>
      </c>
      <c r="T408">
        <v>2.14582738434355</v>
      </c>
      <c r="U408" s="3" t="s">
        <v>67</v>
      </c>
      <c r="W408" t="s">
        <v>14</v>
      </c>
      <c r="X408" s="6">
        <v>38</v>
      </c>
      <c r="Y408">
        <v>3</v>
      </c>
      <c r="Z408">
        <v>4.3899999999999997</v>
      </c>
      <c r="AA408">
        <v>0.08</v>
      </c>
      <c r="AB408">
        <v>2.24859684397049</v>
      </c>
      <c r="AC408" s="3" t="s">
        <v>195</v>
      </c>
      <c r="AD408" t="s">
        <v>147</v>
      </c>
      <c r="AE408">
        <v>5</v>
      </c>
      <c r="AF408">
        <v>0</v>
      </c>
      <c r="AG408">
        <v>4.4000000000000004</v>
      </c>
      <c r="AH408">
        <v>0</v>
      </c>
      <c r="AI408">
        <v>1.94935886896179</v>
      </c>
      <c r="AJ408" s="2" t="s">
        <v>47</v>
      </c>
      <c r="AK408" t="s">
        <v>147</v>
      </c>
      <c r="AL408">
        <v>5</v>
      </c>
      <c r="AM408">
        <v>0</v>
      </c>
      <c r="AN408">
        <v>4.4000000000000004</v>
      </c>
      <c r="AO408">
        <v>0</v>
      </c>
      <c r="AP408">
        <v>1.94935886896179</v>
      </c>
      <c r="AR408" t="s">
        <v>24</v>
      </c>
      <c r="AS408" s="6">
        <v>36</v>
      </c>
      <c r="AT408" s="6">
        <v>4</v>
      </c>
      <c r="AU408">
        <v>4.3899999999999997</v>
      </c>
      <c r="AV408">
        <v>0.11</v>
      </c>
      <c r="AW408">
        <v>2.1683143917769998</v>
      </c>
      <c r="AX408" s="2" t="s">
        <v>88</v>
      </c>
      <c r="AY408" t="s">
        <v>29</v>
      </c>
      <c r="AZ408">
        <v>18</v>
      </c>
      <c r="BA408">
        <v>1</v>
      </c>
      <c r="BB408">
        <v>4.3899999999999997</v>
      </c>
      <c r="BC408">
        <v>0.06</v>
      </c>
      <c r="BD408">
        <v>2.14582738434355</v>
      </c>
    </row>
    <row r="409" spans="1:56" x14ac:dyDescent="0.35">
      <c r="A409" t="s">
        <v>232</v>
      </c>
      <c r="B409">
        <v>6</v>
      </c>
      <c r="C409">
        <v>0</v>
      </c>
      <c r="D409">
        <v>4.33</v>
      </c>
      <c r="E409">
        <v>0</v>
      </c>
      <c r="F409">
        <v>2.2509257354845502</v>
      </c>
      <c r="G409" s="3" t="s">
        <v>46</v>
      </c>
      <c r="H409" t="s">
        <v>232</v>
      </c>
      <c r="I409">
        <v>6</v>
      </c>
      <c r="J409">
        <v>0</v>
      </c>
      <c r="K409">
        <v>4.33</v>
      </c>
      <c r="L409">
        <v>0</v>
      </c>
      <c r="M409">
        <v>2.2509257354845502</v>
      </c>
      <c r="O409" t="s">
        <v>147</v>
      </c>
      <c r="P409">
        <v>5</v>
      </c>
      <c r="Q409">
        <v>0</v>
      </c>
      <c r="R409">
        <v>4.4000000000000004</v>
      </c>
      <c r="S409">
        <v>0</v>
      </c>
      <c r="T409">
        <v>1.94935886896179</v>
      </c>
      <c r="U409" s="2" t="s">
        <v>59</v>
      </c>
      <c r="W409" t="s">
        <v>29</v>
      </c>
      <c r="X409">
        <v>18</v>
      </c>
      <c r="Y409">
        <v>1</v>
      </c>
      <c r="Z409">
        <v>4.3899999999999997</v>
      </c>
      <c r="AA409">
        <v>0.06</v>
      </c>
      <c r="AB409">
        <v>2.14582738434355</v>
      </c>
      <c r="AC409" s="3" t="s">
        <v>46</v>
      </c>
      <c r="AD409" t="s">
        <v>36</v>
      </c>
      <c r="AE409">
        <v>5</v>
      </c>
      <c r="AF409">
        <v>0</v>
      </c>
      <c r="AG409">
        <v>4.4000000000000004</v>
      </c>
      <c r="AH409">
        <v>0</v>
      </c>
      <c r="AI409">
        <v>2.6076809620810502</v>
      </c>
      <c r="AJ409" s="2" t="s">
        <v>47</v>
      </c>
      <c r="AK409" t="s">
        <v>36</v>
      </c>
      <c r="AL409">
        <v>5</v>
      </c>
      <c r="AM409">
        <v>0</v>
      </c>
      <c r="AN409">
        <v>4.4000000000000004</v>
      </c>
      <c r="AO409">
        <v>0</v>
      </c>
      <c r="AP409">
        <v>2.6076809620810502</v>
      </c>
      <c r="AR409" t="s">
        <v>147</v>
      </c>
      <c r="AS409">
        <v>5</v>
      </c>
      <c r="AT409">
        <v>0</v>
      </c>
      <c r="AU409">
        <v>4.4000000000000004</v>
      </c>
      <c r="AV409">
        <v>0</v>
      </c>
      <c r="AW409">
        <v>1.94935886896179</v>
      </c>
      <c r="AX409" s="3" t="s">
        <v>46</v>
      </c>
      <c r="AY409" t="s">
        <v>147</v>
      </c>
      <c r="AZ409">
        <v>5</v>
      </c>
      <c r="BA409">
        <v>0</v>
      </c>
      <c r="BB409">
        <v>4.4000000000000004</v>
      </c>
      <c r="BC409">
        <v>0</v>
      </c>
      <c r="BD409">
        <v>1.94935886896179</v>
      </c>
    </row>
    <row r="410" spans="1:56" x14ac:dyDescent="0.35">
      <c r="A410" t="s">
        <v>58</v>
      </c>
      <c r="B410">
        <v>6</v>
      </c>
      <c r="C410">
        <v>0</v>
      </c>
      <c r="D410">
        <v>4.33</v>
      </c>
      <c r="E410">
        <v>0</v>
      </c>
      <c r="F410">
        <v>2.33809038890002</v>
      </c>
      <c r="G410" s="3" t="s">
        <v>46</v>
      </c>
      <c r="H410" t="s">
        <v>58</v>
      </c>
      <c r="I410">
        <v>6</v>
      </c>
      <c r="J410">
        <v>0</v>
      </c>
      <c r="K410">
        <v>4.33</v>
      </c>
      <c r="L410">
        <v>0</v>
      </c>
      <c r="M410">
        <v>2.33809038890002</v>
      </c>
      <c r="O410" t="s">
        <v>36</v>
      </c>
      <c r="P410">
        <v>5</v>
      </c>
      <c r="Q410">
        <v>0</v>
      </c>
      <c r="R410">
        <v>4.4000000000000004</v>
      </c>
      <c r="S410">
        <v>0</v>
      </c>
      <c r="T410">
        <v>2.6076809620810502</v>
      </c>
      <c r="U410" s="2" t="s">
        <v>59</v>
      </c>
      <c r="W410" t="s">
        <v>147</v>
      </c>
      <c r="X410">
        <v>5</v>
      </c>
      <c r="Y410">
        <v>0</v>
      </c>
      <c r="Z410">
        <v>4.4000000000000004</v>
      </c>
      <c r="AA410">
        <v>0</v>
      </c>
      <c r="AB410">
        <v>1.94935886896179</v>
      </c>
      <c r="AC410" s="3" t="s">
        <v>46</v>
      </c>
      <c r="AD410" t="s">
        <v>14</v>
      </c>
      <c r="AE410" s="6">
        <v>39</v>
      </c>
      <c r="AF410">
        <v>3</v>
      </c>
      <c r="AG410">
        <v>4.41</v>
      </c>
      <c r="AH410">
        <v>0.08</v>
      </c>
      <c r="AI410">
        <v>2.2209285483180499</v>
      </c>
      <c r="AJ410" s="3" t="s">
        <v>45</v>
      </c>
      <c r="AK410" t="s">
        <v>14</v>
      </c>
      <c r="AL410" s="6">
        <v>40</v>
      </c>
      <c r="AM410">
        <v>3</v>
      </c>
      <c r="AN410">
        <v>4.43</v>
      </c>
      <c r="AO410">
        <v>0.08</v>
      </c>
      <c r="AP410">
        <v>2.1942523988236999</v>
      </c>
      <c r="AR410" t="s">
        <v>36</v>
      </c>
      <c r="AS410">
        <v>5</v>
      </c>
      <c r="AT410">
        <v>0</v>
      </c>
      <c r="AU410">
        <v>4.4000000000000004</v>
      </c>
      <c r="AV410">
        <v>0</v>
      </c>
      <c r="AW410">
        <v>2.6076809620810502</v>
      </c>
      <c r="AX410" s="3" t="s">
        <v>46</v>
      </c>
      <c r="AY410" t="s">
        <v>36</v>
      </c>
      <c r="AZ410">
        <v>5</v>
      </c>
      <c r="BA410">
        <v>0</v>
      </c>
      <c r="BB410">
        <v>4.4000000000000004</v>
      </c>
      <c r="BC410">
        <v>0</v>
      </c>
      <c r="BD410">
        <v>2.6076809620810502</v>
      </c>
    </row>
    <row r="411" spans="1:56" x14ac:dyDescent="0.35">
      <c r="A411" t="s">
        <v>122</v>
      </c>
      <c r="B411">
        <v>6</v>
      </c>
      <c r="C411">
        <v>0</v>
      </c>
      <c r="D411">
        <v>4.33</v>
      </c>
      <c r="E411">
        <v>0</v>
      </c>
      <c r="F411">
        <v>1.6329931618554501</v>
      </c>
      <c r="G411" s="3" t="s">
        <v>46</v>
      </c>
      <c r="H411" t="s">
        <v>122</v>
      </c>
      <c r="I411">
        <v>6</v>
      </c>
      <c r="J411">
        <v>0</v>
      </c>
      <c r="K411">
        <v>4.33</v>
      </c>
      <c r="L411">
        <v>0</v>
      </c>
      <c r="M411">
        <v>1.6329931618554501</v>
      </c>
      <c r="O411" t="s">
        <v>81</v>
      </c>
      <c r="P411">
        <v>7</v>
      </c>
      <c r="Q411">
        <v>1</v>
      </c>
      <c r="R411">
        <v>4.43</v>
      </c>
      <c r="S411">
        <v>0.14000000000000001</v>
      </c>
      <c r="T411">
        <v>1.77281052085583</v>
      </c>
      <c r="U411" s="2" t="s">
        <v>59</v>
      </c>
      <c r="W411" t="s">
        <v>36</v>
      </c>
      <c r="X411">
        <v>5</v>
      </c>
      <c r="Y411">
        <v>0</v>
      </c>
      <c r="Z411">
        <v>4.4000000000000004</v>
      </c>
      <c r="AA411">
        <v>0</v>
      </c>
      <c r="AB411">
        <v>2.6076809620810502</v>
      </c>
      <c r="AC411" s="3" t="s">
        <v>46</v>
      </c>
      <c r="AD411" t="s">
        <v>81</v>
      </c>
      <c r="AE411">
        <v>7</v>
      </c>
      <c r="AF411">
        <v>1</v>
      </c>
      <c r="AG411">
        <v>4.43</v>
      </c>
      <c r="AH411">
        <v>0.14000000000000001</v>
      </c>
      <c r="AI411">
        <v>1.77281052085583</v>
      </c>
      <c r="AJ411" s="2" t="s">
        <v>44</v>
      </c>
      <c r="AK411" t="s">
        <v>81</v>
      </c>
      <c r="AL411">
        <v>7</v>
      </c>
      <c r="AM411">
        <v>1</v>
      </c>
      <c r="AN411">
        <v>4.43</v>
      </c>
      <c r="AO411">
        <v>0.14000000000000001</v>
      </c>
      <c r="AP411">
        <v>1.77281052085583</v>
      </c>
      <c r="AR411" t="s">
        <v>14</v>
      </c>
      <c r="AS411">
        <v>40</v>
      </c>
      <c r="AT411">
        <v>3</v>
      </c>
      <c r="AU411">
        <v>4.43</v>
      </c>
      <c r="AV411">
        <v>0.08</v>
      </c>
      <c r="AW411">
        <v>2.1942523988236999</v>
      </c>
      <c r="AX411" s="3" t="s">
        <v>46</v>
      </c>
      <c r="AY411" t="s">
        <v>14</v>
      </c>
      <c r="AZ411">
        <v>40</v>
      </c>
      <c r="BA411">
        <v>3</v>
      </c>
      <c r="BB411">
        <v>4.43</v>
      </c>
      <c r="BC411">
        <v>0.08</v>
      </c>
      <c r="BD411">
        <v>2.6276913640612101</v>
      </c>
    </row>
    <row r="412" spans="1:56" x14ac:dyDescent="0.35">
      <c r="A412" t="s">
        <v>147</v>
      </c>
      <c r="B412">
        <v>5</v>
      </c>
      <c r="C412">
        <v>0</v>
      </c>
      <c r="D412">
        <v>4.4000000000000004</v>
      </c>
      <c r="E412">
        <v>0</v>
      </c>
      <c r="F412">
        <v>1.94935886896179</v>
      </c>
      <c r="G412" s="3" t="s">
        <v>46</v>
      </c>
      <c r="H412" t="s">
        <v>147</v>
      </c>
      <c r="I412">
        <v>5</v>
      </c>
      <c r="J412">
        <v>0</v>
      </c>
      <c r="K412">
        <v>4.4000000000000004</v>
      </c>
      <c r="L412">
        <v>0</v>
      </c>
      <c r="M412">
        <v>1.94935886896179</v>
      </c>
      <c r="O412" t="s">
        <v>104</v>
      </c>
      <c r="P412" s="6">
        <v>22</v>
      </c>
      <c r="Q412">
        <v>2</v>
      </c>
      <c r="R412">
        <v>4.45</v>
      </c>
      <c r="S412">
        <v>0.09</v>
      </c>
      <c r="T412">
        <v>2.4635876418881599</v>
      </c>
      <c r="U412" s="3" t="s">
        <v>55</v>
      </c>
      <c r="W412" t="s">
        <v>81</v>
      </c>
      <c r="X412">
        <v>7</v>
      </c>
      <c r="Y412">
        <v>1</v>
      </c>
      <c r="Z412">
        <v>4.43</v>
      </c>
      <c r="AA412">
        <v>0.14000000000000001</v>
      </c>
      <c r="AB412">
        <v>1.77281052085583</v>
      </c>
      <c r="AC412" s="3" t="s">
        <v>46</v>
      </c>
      <c r="AD412" t="s">
        <v>104</v>
      </c>
      <c r="AE412">
        <v>22</v>
      </c>
      <c r="AF412">
        <v>2</v>
      </c>
      <c r="AG412">
        <v>4.45</v>
      </c>
      <c r="AH412">
        <v>0.09</v>
      </c>
      <c r="AI412">
        <v>2.4635876418881599</v>
      </c>
      <c r="AJ412" s="2" t="s">
        <v>44</v>
      </c>
      <c r="AK412" t="s">
        <v>104</v>
      </c>
      <c r="AL412">
        <v>22</v>
      </c>
      <c r="AM412">
        <v>2</v>
      </c>
      <c r="AN412">
        <v>4.45</v>
      </c>
      <c r="AO412">
        <v>0.09</v>
      </c>
      <c r="AP412">
        <v>2.4635876418881599</v>
      </c>
      <c r="AR412" t="s">
        <v>81</v>
      </c>
      <c r="AS412">
        <v>7</v>
      </c>
      <c r="AT412">
        <v>1</v>
      </c>
      <c r="AU412">
        <v>4.43</v>
      </c>
      <c r="AV412">
        <v>0.14000000000000001</v>
      </c>
      <c r="AW412">
        <v>1.77281052085583</v>
      </c>
      <c r="AX412" s="3" t="s">
        <v>46</v>
      </c>
      <c r="AY412" t="s">
        <v>81</v>
      </c>
      <c r="AZ412">
        <v>7</v>
      </c>
      <c r="BA412">
        <v>1</v>
      </c>
      <c r="BB412">
        <v>4.43</v>
      </c>
      <c r="BC412">
        <v>0.14000000000000001</v>
      </c>
      <c r="BD412">
        <v>1.77281052085583</v>
      </c>
    </row>
    <row r="413" spans="1:56" x14ac:dyDescent="0.35">
      <c r="A413" t="s">
        <v>36</v>
      </c>
      <c r="B413" s="6">
        <v>5</v>
      </c>
      <c r="C413">
        <v>0</v>
      </c>
      <c r="D413">
        <v>4.4000000000000004</v>
      </c>
      <c r="E413">
        <v>0</v>
      </c>
      <c r="F413">
        <v>2.6076809620810502</v>
      </c>
      <c r="G413" s="26" t="s">
        <v>348</v>
      </c>
      <c r="H413" t="s">
        <v>36</v>
      </c>
      <c r="I413">
        <v>5</v>
      </c>
      <c r="J413">
        <v>0</v>
      </c>
      <c r="K413">
        <v>4.4000000000000004</v>
      </c>
      <c r="L413">
        <v>0</v>
      </c>
      <c r="M413">
        <v>2.6076809620810502</v>
      </c>
      <c r="O413" t="s">
        <v>23</v>
      </c>
      <c r="P413" s="6">
        <v>13</v>
      </c>
      <c r="Q413">
        <v>0</v>
      </c>
      <c r="R413">
        <v>4.54</v>
      </c>
      <c r="S413">
        <v>0</v>
      </c>
      <c r="T413">
        <v>1.9414506867882999</v>
      </c>
      <c r="U413" s="3" t="s">
        <v>195</v>
      </c>
      <c r="W413" t="s">
        <v>104</v>
      </c>
      <c r="X413">
        <v>22</v>
      </c>
      <c r="Y413">
        <v>2</v>
      </c>
      <c r="Z413">
        <v>4.45</v>
      </c>
      <c r="AA413">
        <v>0.09</v>
      </c>
      <c r="AB413">
        <v>2.4635876418881599</v>
      </c>
      <c r="AC413" s="3" t="s">
        <v>46</v>
      </c>
      <c r="AD413" t="s">
        <v>24</v>
      </c>
      <c r="AE413">
        <v>34</v>
      </c>
      <c r="AF413">
        <v>3</v>
      </c>
      <c r="AG413">
        <v>4.47</v>
      </c>
      <c r="AH413">
        <v>0.09</v>
      </c>
      <c r="AI413">
        <v>2.14949316249551</v>
      </c>
      <c r="AJ413" s="2" t="s">
        <v>44</v>
      </c>
      <c r="AK413" t="s">
        <v>24</v>
      </c>
      <c r="AL413">
        <v>34</v>
      </c>
      <c r="AM413">
        <v>3</v>
      </c>
      <c r="AN413">
        <v>4.47</v>
      </c>
      <c r="AO413">
        <v>0.09</v>
      </c>
      <c r="AP413">
        <v>2.14949316249551</v>
      </c>
      <c r="AR413" t="s">
        <v>104</v>
      </c>
      <c r="AS413">
        <v>22</v>
      </c>
      <c r="AT413">
        <v>2</v>
      </c>
      <c r="AU413">
        <v>4.45</v>
      </c>
      <c r="AV413">
        <v>0.09</v>
      </c>
      <c r="AW413">
        <v>2.4635876418881599</v>
      </c>
      <c r="AX413" s="3" t="s">
        <v>46</v>
      </c>
      <c r="AY413" t="s">
        <v>104</v>
      </c>
      <c r="AZ413">
        <v>22</v>
      </c>
      <c r="BA413">
        <v>2</v>
      </c>
      <c r="BB413">
        <v>4.45</v>
      </c>
      <c r="BC413">
        <v>0.09</v>
      </c>
      <c r="BD413">
        <v>2.4635876418881599</v>
      </c>
    </row>
    <row r="414" spans="1:56" x14ac:dyDescent="0.35">
      <c r="A414" t="s">
        <v>81</v>
      </c>
      <c r="B414">
        <v>7</v>
      </c>
      <c r="C414">
        <v>1</v>
      </c>
      <c r="D414">
        <v>4.43</v>
      </c>
      <c r="E414">
        <v>0.14000000000000001</v>
      </c>
      <c r="F414">
        <v>1.77281052085583</v>
      </c>
      <c r="G414" s="3" t="s">
        <v>45</v>
      </c>
      <c r="H414" t="s">
        <v>81</v>
      </c>
      <c r="I414">
        <v>7</v>
      </c>
      <c r="J414">
        <v>1</v>
      </c>
      <c r="K414">
        <v>4.43</v>
      </c>
      <c r="L414">
        <v>0.14000000000000001</v>
      </c>
      <c r="M414">
        <v>1.77281052085583</v>
      </c>
      <c r="O414" t="s">
        <v>115</v>
      </c>
      <c r="P414">
        <v>7</v>
      </c>
      <c r="Q414">
        <v>0</v>
      </c>
      <c r="R414">
        <v>4.57</v>
      </c>
      <c r="S414">
        <v>0</v>
      </c>
      <c r="T414">
        <v>1.71824938596844</v>
      </c>
      <c r="U414" s="2" t="s">
        <v>44</v>
      </c>
      <c r="W414" t="s">
        <v>24</v>
      </c>
      <c r="X414" s="6">
        <v>34</v>
      </c>
      <c r="Y414">
        <v>3</v>
      </c>
      <c r="Z414">
        <v>4.47</v>
      </c>
      <c r="AA414">
        <v>0.09</v>
      </c>
      <c r="AB414">
        <v>2.14949316249551</v>
      </c>
      <c r="AC414" s="2" t="s">
        <v>44</v>
      </c>
      <c r="AD414" t="s">
        <v>23</v>
      </c>
      <c r="AE414">
        <v>13</v>
      </c>
      <c r="AF414">
        <v>0</v>
      </c>
      <c r="AG414">
        <v>4.54</v>
      </c>
      <c r="AH414">
        <v>0</v>
      </c>
      <c r="AI414">
        <v>1.9414506867882999</v>
      </c>
      <c r="AJ414" s="2" t="s">
        <v>44</v>
      </c>
      <c r="AK414" t="s">
        <v>23</v>
      </c>
      <c r="AL414">
        <v>13</v>
      </c>
      <c r="AM414">
        <v>0</v>
      </c>
      <c r="AN414">
        <v>4.54</v>
      </c>
      <c r="AO414">
        <v>0</v>
      </c>
      <c r="AP414">
        <v>1.9414506867882999</v>
      </c>
      <c r="AR414" t="s">
        <v>23</v>
      </c>
      <c r="AS414">
        <v>13</v>
      </c>
      <c r="AT414">
        <v>0</v>
      </c>
      <c r="AU414">
        <v>4.54</v>
      </c>
      <c r="AV414">
        <v>0</v>
      </c>
      <c r="AW414">
        <v>1.9414506867882999</v>
      </c>
      <c r="AY414" t="s">
        <v>23</v>
      </c>
      <c r="AZ414">
        <v>13</v>
      </c>
      <c r="BA414">
        <v>0</v>
      </c>
      <c r="BB414">
        <v>4.54</v>
      </c>
      <c r="BC414">
        <v>0</v>
      </c>
      <c r="BD414">
        <v>1.9414506867882999</v>
      </c>
    </row>
    <row r="415" spans="1:56" x14ac:dyDescent="0.35">
      <c r="A415" t="s">
        <v>115</v>
      </c>
      <c r="B415">
        <v>7</v>
      </c>
      <c r="C415">
        <v>0</v>
      </c>
      <c r="D415">
        <v>4.57</v>
      </c>
      <c r="E415">
        <v>0</v>
      </c>
      <c r="F415">
        <v>1.71824938596844</v>
      </c>
      <c r="G415" s="3" t="s">
        <v>46</v>
      </c>
      <c r="H415" t="s">
        <v>115</v>
      </c>
      <c r="I415">
        <v>7</v>
      </c>
      <c r="J415">
        <v>0</v>
      </c>
      <c r="K415">
        <v>4.57</v>
      </c>
      <c r="L415">
        <v>0</v>
      </c>
      <c r="M415">
        <v>1.71824938596844</v>
      </c>
      <c r="O415" t="s">
        <v>24</v>
      </c>
      <c r="P415" s="6">
        <v>32</v>
      </c>
      <c r="Q415">
        <v>3</v>
      </c>
      <c r="R415">
        <v>4.59</v>
      </c>
      <c r="S415">
        <v>0.09</v>
      </c>
      <c r="T415">
        <v>2.1531578459735399</v>
      </c>
      <c r="U415" s="2" t="s">
        <v>47</v>
      </c>
      <c r="W415" t="s">
        <v>23</v>
      </c>
      <c r="X415">
        <v>13</v>
      </c>
      <c r="Y415">
        <v>0</v>
      </c>
      <c r="Z415">
        <v>4.54</v>
      </c>
      <c r="AA415">
        <v>0</v>
      </c>
      <c r="AB415">
        <v>1.9414506867882999</v>
      </c>
      <c r="AC415" s="3" t="s">
        <v>45</v>
      </c>
      <c r="AD415" t="s">
        <v>115</v>
      </c>
      <c r="AE415">
        <v>7</v>
      </c>
      <c r="AF415">
        <v>0</v>
      </c>
      <c r="AG415">
        <v>4.57</v>
      </c>
      <c r="AH415">
        <v>0</v>
      </c>
      <c r="AI415">
        <v>1.71824938596844</v>
      </c>
      <c r="AJ415" s="2" t="s">
        <v>44</v>
      </c>
      <c r="AK415" t="s">
        <v>115</v>
      </c>
      <c r="AL415">
        <v>7</v>
      </c>
      <c r="AM415">
        <v>0</v>
      </c>
      <c r="AN415">
        <v>4.57</v>
      </c>
      <c r="AO415">
        <v>0</v>
      </c>
      <c r="AP415">
        <v>1.71824938596844</v>
      </c>
      <c r="AR415" t="s">
        <v>115</v>
      </c>
      <c r="AS415">
        <v>7</v>
      </c>
      <c r="AT415">
        <v>0</v>
      </c>
      <c r="AU415">
        <v>4.57</v>
      </c>
      <c r="AV415">
        <v>0</v>
      </c>
      <c r="AW415">
        <v>1.71824938596844</v>
      </c>
      <c r="AY415" t="s">
        <v>115</v>
      </c>
      <c r="AZ415">
        <v>7</v>
      </c>
      <c r="BA415">
        <v>0</v>
      </c>
      <c r="BB415">
        <v>4.57</v>
      </c>
      <c r="BC415">
        <v>0</v>
      </c>
      <c r="BD415">
        <v>1.71824938596844</v>
      </c>
    </row>
    <row r="416" spans="1:56" x14ac:dyDescent="0.35">
      <c r="A416" t="s">
        <v>21</v>
      </c>
      <c r="B416">
        <v>10</v>
      </c>
      <c r="C416">
        <v>0</v>
      </c>
      <c r="D416">
        <v>4.5999999999999996</v>
      </c>
      <c r="E416">
        <v>0</v>
      </c>
      <c r="F416">
        <v>2.0655911179772799</v>
      </c>
      <c r="G416" s="3" t="s">
        <v>46</v>
      </c>
      <c r="H416" t="s">
        <v>21</v>
      </c>
      <c r="I416">
        <v>10</v>
      </c>
      <c r="J416">
        <v>0</v>
      </c>
      <c r="K416">
        <v>4.5999999999999996</v>
      </c>
      <c r="L416">
        <v>0</v>
      </c>
      <c r="M416">
        <v>2.0655911179772799</v>
      </c>
      <c r="O416" t="s">
        <v>21</v>
      </c>
      <c r="P416">
        <v>10</v>
      </c>
      <c r="Q416">
        <v>0</v>
      </c>
      <c r="R416">
        <v>4.5999999999999996</v>
      </c>
      <c r="S416">
        <v>0</v>
      </c>
      <c r="T416">
        <v>2.0655911179772799</v>
      </c>
      <c r="W416" t="s">
        <v>115</v>
      </c>
      <c r="X416">
        <v>7</v>
      </c>
      <c r="Y416">
        <v>0</v>
      </c>
      <c r="Z416">
        <v>4.57</v>
      </c>
      <c r="AA416">
        <v>0</v>
      </c>
      <c r="AB416">
        <v>1.71824938596844</v>
      </c>
      <c r="AC416" s="3" t="s">
        <v>45</v>
      </c>
      <c r="AD416" t="s">
        <v>21</v>
      </c>
      <c r="AE416">
        <v>10</v>
      </c>
      <c r="AF416">
        <v>0</v>
      </c>
      <c r="AG416">
        <v>4.5999999999999996</v>
      </c>
      <c r="AH416">
        <v>0</v>
      </c>
      <c r="AI416">
        <v>2.0655911179772799</v>
      </c>
      <c r="AJ416" s="2" t="s">
        <v>44</v>
      </c>
      <c r="AK416" t="s">
        <v>21</v>
      </c>
      <c r="AL416">
        <v>10</v>
      </c>
      <c r="AM416">
        <v>0</v>
      </c>
      <c r="AN416">
        <v>4.5999999999999996</v>
      </c>
      <c r="AO416">
        <v>0</v>
      </c>
      <c r="AP416">
        <v>2.0655911179772799</v>
      </c>
      <c r="AR416" t="s">
        <v>21</v>
      </c>
      <c r="AS416">
        <v>10</v>
      </c>
      <c r="AT416">
        <v>0</v>
      </c>
      <c r="AU416">
        <v>4.5999999999999996</v>
      </c>
      <c r="AV416">
        <v>0</v>
      </c>
      <c r="AW416">
        <v>2.0655911179772799</v>
      </c>
      <c r="AY416" t="s">
        <v>21</v>
      </c>
      <c r="AZ416">
        <v>10</v>
      </c>
      <c r="BA416">
        <v>0</v>
      </c>
      <c r="BB416">
        <v>4.5999999999999996</v>
      </c>
      <c r="BC416">
        <v>0</v>
      </c>
      <c r="BD416">
        <v>2.0655911179772799</v>
      </c>
    </row>
    <row r="417" spans="1:57" x14ac:dyDescent="0.35">
      <c r="A417" t="s">
        <v>24</v>
      </c>
      <c r="B417">
        <v>28</v>
      </c>
      <c r="C417">
        <v>3</v>
      </c>
      <c r="D417">
        <v>4.6100000000000003</v>
      </c>
      <c r="E417">
        <v>0.11</v>
      </c>
      <c r="F417">
        <v>2.2167591578746499</v>
      </c>
      <c r="G417" s="3" t="s">
        <v>46</v>
      </c>
      <c r="H417" t="s">
        <v>24</v>
      </c>
      <c r="I417" s="6">
        <v>30</v>
      </c>
      <c r="J417">
        <v>3</v>
      </c>
      <c r="K417">
        <v>4.63</v>
      </c>
      <c r="L417">
        <v>0.1</v>
      </c>
      <c r="M417">
        <v>2.2047493146001602</v>
      </c>
      <c r="O417" t="s">
        <v>3</v>
      </c>
      <c r="P417">
        <v>14</v>
      </c>
      <c r="Q417">
        <v>2</v>
      </c>
      <c r="R417">
        <v>4.6399999999999997</v>
      </c>
      <c r="S417">
        <v>0.14000000000000001</v>
      </c>
      <c r="T417">
        <v>2.7748873851023199</v>
      </c>
      <c r="U417" s="2" t="s">
        <v>44</v>
      </c>
      <c r="W417" t="s">
        <v>21</v>
      </c>
      <c r="X417">
        <v>10</v>
      </c>
      <c r="Y417">
        <v>0</v>
      </c>
      <c r="Z417">
        <v>4.5999999999999996</v>
      </c>
      <c r="AA417">
        <v>0</v>
      </c>
      <c r="AB417">
        <v>2.0655911179772799</v>
      </c>
      <c r="AC417" s="3" t="s">
        <v>46</v>
      </c>
      <c r="AD417" t="s">
        <v>3</v>
      </c>
      <c r="AE417">
        <v>14</v>
      </c>
      <c r="AF417">
        <v>2</v>
      </c>
      <c r="AG417">
        <v>4.6399999999999997</v>
      </c>
      <c r="AH417">
        <v>0.14000000000000001</v>
      </c>
      <c r="AI417">
        <v>2.7748873851023199</v>
      </c>
      <c r="AJ417" s="2" t="s">
        <v>44</v>
      </c>
      <c r="AK417" t="s">
        <v>3</v>
      </c>
      <c r="AL417">
        <v>14</v>
      </c>
      <c r="AM417">
        <v>2</v>
      </c>
      <c r="AN417">
        <v>4.6399999999999997</v>
      </c>
      <c r="AO417">
        <v>0.14000000000000001</v>
      </c>
      <c r="AP417">
        <v>2.7748873851023199</v>
      </c>
      <c r="AR417" t="s">
        <v>3</v>
      </c>
      <c r="AS417">
        <v>14</v>
      </c>
      <c r="AT417">
        <v>2</v>
      </c>
      <c r="AU417">
        <v>4.6399999999999997</v>
      </c>
      <c r="AV417">
        <v>0.14000000000000001</v>
      </c>
      <c r="AW417">
        <v>2.7748873851023199</v>
      </c>
      <c r="AY417" t="s">
        <v>3</v>
      </c>
      <c r="AZ417">
        <v>14</v>
      </c>
      <c r="BA417">
        <v>2</v>
      </c>
      <c r="BB417">
        <v>4.6399999999999997</v>
      </c>
      <c r="BC417">
        <v>0.14000000000000001</v>
      </c>
      <c r="BD417">
        <v>2.7748873851023199</v>
      </c>
    </row>
    <row r="418" spans="1:57" x14ac:dyDescent="0.35">
      <c r="A418" t="s">
        <v>3</v>
      </c>
      <c r="B418">
        <v>14</v>
      </c>
      <c r="C418">
        <v>2</v>
      </c>
      <c r="D418">
        <v>4.6399999999999997</v>
      </c>
      <c r="E418">
        <v>0.14000000000000001</v>
      </c>
      <c r="F418">
        <v>2.3731557327466102</v>
      </c>
      <c r="G418" s="3" t="s">
        <v>46</v>
      </c>
      <c r="H418" t="s">
        <v>3</v>
      </c>
      <c r="I418">
        <v>14</v>
      </c>
      <c r="J418">
        <v>2</v>
      </c>
      <c r="K418">
        <v>4.6399999999999997</v>
      </c>
      <c r="L418">
        <v>0.14000000000000001</v>
      </c>
      <c r="M418">
        <v>2.7748873851023199</v>
      </c>
      <c r="O418" t="s">
        <v>7</v>
      </c>
      <c r="P418" s="6">
        <v>8</v>
      </c>
      <c r="Q418">
        <v>2</v>
      </c>
      <c r="R418">
        <v>4.75</v>
      </c>
      <c r="S418">
        <v>0.25</v>
      </c>
      <c r="T418">
        <v>2.8157719063467099</v>
      </c>
      <c r="U418" s="3" t="s">
        <v>152</v>
      </c>
      <c r="W418" t="s">
        <v>3</v>
      </c>
      <c r="X418">
        <v>14</v>
      </c>
      <c r="Y418">
        <v>2</v>
      </c>
      <c r="Z418">
        <v>4.6399999999999997</v>
      </c>
      <c r="AA418">
        <v>0.14000000000000001</v>
      </c>
      <c r="AB418">
        <v>2.7748873851023199</v>
      </c>
      <c r="AC418" s="3" t="s">
        <v>46</v>
      </c>
      <c r="AD418" t="s">
        <v>78</v>
      </c>
      <c r="AE418">
        <v>7</v>
      </c>
      <c r="AF418">
        <v>1</v>
      </c>
      <c r="AG418">
        <v>4.71</v>
      </c>
      <c r="AH418">
        <v>0.14000000000000001</v>
      </c>
      <c r="AI418">
        <v>2.8702082220799299</v>
      </c>
      <c r="AJ418" s="3" t="s">
        <v>364</v>
      </c>
      <c r="AK418" t="s">
        <v>30</v>
      </c>
      <c r="AL418" s="6">
        <v>9</v>
      </c>
      <c r="AM418">
        <v>2</v>
      </c>
      <c r="AN418">
        <v>4.67</v>
      </c>
      <c r="AO418">
        <v>0.22</v>
      </c>
      <c r="AP418">
        <v>2.5</v>
      </c>
      <c r="AQ418" s="2" t="s">
        <v>365</v>
      </c>
      <c r="AR418" t="s">
        <v>78</v>
      </c>
      <c r="AS418">
        <v>7</v>
      </c>
      <c r="AT418">
        <v>1</v>
      </c>
      <c r="AU418">
        <v>4.71</v>
      </c>
      <c r="AV418">
        <v>0.14000000000000001</v>
      </c>
      <c r="AW418">
        <v>2.8702082220799299</v>
      </c>
      <c r="AY418" t="s">
        <v>78</v>
      </c>
      <c r="AZ418">
        <v>7</v>
      </c>
      <c r="BA418">
        <v>1</v>
      </c>
      <c r="BB418">
        <v>4.71</v>
      </c>
      <c r="BC418">
        <v>0.14000000000000001</v>
      </c>
      <c r="BD418">
        <v>2.8702082220799299</v>
      </c>
    </row>
    <row r="419" spans="1:57" x14ac:dyDescent="0.35">
      <c r="A419" t="s">
        <v>37</v>
      </c>
      <c r="B419">
        <v>14</v>
      </c>
      <c r="C419">
        <v>2</v>
      </c>
      <c r="D419">
        <v>4.79</v>
      </c>
      <c r="E419">
        <v>0.14000000000000001</v>
      </c>
      <c r="F419">
        <v>2.4235565546581199</v>
      </c>
      <c r="G419" s="3" t="s">
        <v>46</v>
      </c>
      <c r="H419" t="s">
        <v>37</v>
      </c>
      <c r="I419">
        <v>14</v>
      </c>
      <c r="J419">
        <v>2</v>
      </c>
      <c r="K419">
        <v>4.79</v>
      </c>
      <c r="L419">
        <v>0.14000000000000001</v>
      </c>
      <c r="M419">
        <v>2.4235565546581199</v>
      </c>
      <c r="O419" t="s">
        <v>37</v>
      </c>
      <c r="P419">
        <v>14</v>
      </c>
      <c r="Q419">
        <v>2</v>
      </c>
      <c r="R419">
        <v>4.79</v>
      </c>
      <c r="S419">
        <v>0.14000000000000001</v>
      </c>
      <c r="T419">
        <v>2.4235565546581199</v>
      </c>
      <c r="W419" t="s">
        <v>7</v>
      </c>
      <c r="X419">
        <v>8</v>
      </c>
      <c r="Y419">
        <v>2</v>
      </c>
      <c r="Z419">
        <v>4.75</v>
      </c>
      <c r="AA419">
        <v>0.25</v>
      </c>
      <c r="AB419">
        <v>2.8157719063467099</v>
      </c>
      <c r="AC419" s="3" t="s">
        <v>46</v>
      </c>
      <c r="AD419" t="s">
        <v>7</v>
      </c>
      <c r="AE419">
        <v>8</v>
      </c>
      <c r="AF419">
        <v>2</v>
      </c>
      <c r="AG419">
        <v>4.75</v>
      </c>
      <c r="AH419">
        <v>0.25</v>
      </c>
      <c r="AI419">
        <v>2.8157719063467099</v>
      </c>
      <c r="AK419" t="s">
        <v>78</v>
      </c>
      <c r="AL419">
        <v>7</v>
      </c>
      <c r="AM419">
        <v>1</v>
      </c>
      <c r="AN419">
        <v>4.71</v>
      </c>
      <c r="AO419">
        <v>0.14000000000000001</v>
      </c>
      <c r="AP419">
        <v>2.8702082220799299</v>
      </c>
      <c r="AQ419" s="3" t="s">
        <v>46</v>
      </c>
      <c r="AR419" t="s">
        <v>7</v>
      </c>
      <c r="AS419">
        <v>8</v>
      </c>
      <c r="AT419">
        <v>2</v>
      </c>
      <c r="AU419">
        <v>4.75</v>
      </c>
      <c r="AV419">
        <v>0.25</v>
      </c>
      <c r="AW419">
        <v>2.8157719063467099</v>
      </c>
      <c r="AY419" t="s">
        <v>7</v>
      </c>
      <c r="AZ419">
        <v>8</v>
      </c>
      <c r="BA419">
        <v>2</v>
      </c>
      <c r="BB419">
        <v>4.75</v>
      </c>
      <c r="BC419">
        <v>0.25</v>
      </c>
      <c r="BD419">
        <v>2.8157719063467099</v>
      </c>
    </row>
    <row r="420" spans="1:57" x14ac:dyDescent="0.35">
      <c r="A420" t="s">
        <v>230</v>
      </c>
      <c r="B420">
        <v>5</v>
      </c>
      <c r="C420">
        <v>1</v>
      </c>
      <c r="D420">
        <v>4.8</v>
      </c>
      <c r="E420">
        <v>0.2</v>
      </c>
      <c r="F420">
        <v>2.2560460078960198</v>
      </c>
      <c r="G420" s="3" t="s">
        <v>46</v>
      </c>
      <c r="H420" t="s">
        <v>13</v>
      </c>
      <c r="I420" s="6">
        <v>19</v>
      </c>
      <c r="J420">
        <v>1</v>
      </c>
      <c r="K420">
        <v>4.79</v>
      </c>
      <c r="L420">
        <v>0.05</v>
      </c>
      <c r="M420">
        <v>2.0703984417503598</v>
      </c>
      <c r="N420" s="2" t="s">
        <v>44</v>
      </c>
      <c r="O420" t="s">
        <v>230</v>
      </c>
      <c r="P420">
        <v>5</v>
      </c>
      <c r="Q420">
        <v>1</v>
      </c>
      <c r="R420">
        <v>4.8</v>
      </c>
      <c r="S420">
        <v>0.2</v>
      </c>
      <c r="T420">
        <v>2.3731557327466102</v>
      </c>
      <c r="U420" s="2" t="s">
        <v>44</v>
      </c>
      <c r="W420" t="s">
        <v>37</v>
      </c>
      <c r="X420">
        <v>14</v>
      </c>
      <c r="Y420">
        <v>2</v>
      </c>
      <c r="Z420">
        <v>4.79</v>
      </c>
      <c r="AA420">
        <v>0.14000000000000001</v>
      </c>
      <c r="AB420">
        <v>2.4235565546581199</v>
      </c>
      <c r="AC420" s="3" t="s">
        <v>46</v>
      </c>
      <c r="AD420" t="s">
        <v>37</v>
      </c>
      <c r="AE420">
        <v>14</v>
      </c>
      <c r="AF420">
        <v>2</v>
      </c>
      <c r="AG420">
        <v>4.79</v>
      </c>
      <c r="AH420">
        <v>0.14000000000000001</v>
      </c>
      <c r="AI420">
        <v>2.4235565546581199</v>
      </c>
      <c r="AK420" t="s">
        <v>7</v>
      </c>
      <c r="AL420">
        <v>8</v>
      </c>
      <c r="AM420">
        <v>2</v>
      </c>
      <c r="AN420">
        <v>4.75</v>
      </c>
      <c r="AO420">
        <v>0.25</v>
      </c>
      <c r="AP420">
        <v>2.8157719063467099</v>
      </c>
      <c r="AQ420" s="3" t="s">
        <v>46</v>
      </c>
      <c r="AR420" t="s">
        <v>37</v>
      </c>
      <c r="AS420">
        <v>14</v>
      </c>
      <c r="AT420">
        <v>2</v>
      </c>
      <c r="AU420">
        <v>4.79</v>
      </c>
      <c r="AV420">
        <v>0.14000000000000001</v>
      </c>
      <c r="AW420">
        <v>2.4235565546581199</v>
      </c>
      <c r="AY420" t="s">
        <v>37</v>
      </c>
      <c r="AZ420">
        <v>14</v>
      </c>
      <c r="BA420">
        <v>2</v>
      </c>
      <c r="BB420">
        <v>4.79</v>
      </c>
      <c r="BC420">
        <v>0.14000000000000001</v>
      </c>
      <c r="BD420">
        <v>2.1942523988236999</v>
      </c>
    </row>
    <row r="421" spans="1:57" x14ac:dyDescent="0.35">
      <c r="A421" t="s">
        <v>13</v>
      </c>
      <c r="B421">
        <v>18</v>
      </c>
      <c r="C421">
        <v>1</v>
      </c>
      <c r="D421">
        <v>4.83</v>
      </c>
      <c r="E421">
        <v>0.06</v>
      </c>
      <c r="F421">
        <v>2.1213203435596402</v>
      </c>
      <c r="G421" s="3" t="s">
        <v>46</v>
      </c>
      <c r="H421" t="s">
        <v>230</v>
      </c>
      <c r="I421">
        <v>5</v>
      </c>
      <c r="J421">
        <v>1</v>
      </c>
      <c r="K421">
        <v>4.8</v>
      </c>
      <c r="L421">
        <v>0.2</v>
      </c>
      <c r="M421">
        <v>2.3731557327466102</v>
      </c>
      <c r="N421" s="3" t="s">
        <v>46</v>
      </c>
      <c r="O421" t="s">
        <v>13</v>
      </c>
      <c r="P421" s="6">
        <v>20</v>
      </c>
      <c r="Q421">
        <v>1</v>
      </c>
      <c r="R421">
        <v>4.95</v>
      </c>
      <c r="S421">
        <v>0.05</v>
      </c>
      <c r="T421">
        <v>2.1392325234704299</v>
      </c>
      <c r="U421" s="3" t="s">
        <v>46</v>
      </c>
      <c r="W421" t="s">
        <v>230</v>
      </c>
      <c r="X421">
        <v>5</v>
      </c>
      <c r="Y421">
        <v>1</v>
      </c>
      <c r="Z421">
        <v>4.8</v>
      </c>
      <c r="AA421">
        <v>0.2</v>
      </c>
      <c r="AB421">
        <v>2.3731557327466102</v>
      </c>
      <c r="AC421" s="3" t="s">
        <v>46</v>
      </c>
      <c r="AD421" t="s">
        <v>230</v>
      </c>
      <c r="AE421">
        <v>5</v>
      </c>
      <c r="AF421">
        <v>1</v>
      </c>
      <c r="AG421">
        <v>4.8</v>
      </c>
      <c r="AH421">
        <v>0.2</v>
      </c>
      <c r="AI421">
        <v>2.3731557327466102</v>
      </c>
      <c r="AK421" t="s">
        <v>37</v>
      </c>
      <c r="AL421">
        <v>14</v>
      </c>
      <c r="AM421">
        <v>2</v>
      </c>
      <c r="AN421">
        <v>4.79</v>
      </c>
      <c r="AO421">
        <v>0.14000000000000001</v>
      </c>
      <c r="AP421">
        <v>2.4235565546581199</v>
      </c>
      <c r="AQ421" s="3" t="s">
        <v>46</v>
      </c>
      <c r="AR421" t="s">
        <v>230</v>
      </c>
      <c r="AS421">
        <v>5</v>
      </c>
      <c r="AT421">
        <v>1</v>
      </c>
      <c r="AU421">
        <v>4.8</v>
      </c>
      <c r="AV421">
        <v>0.2</v>
      </c>
      <c r="AW421">
        <v>2.3731557327466102</v>
      </c>
      <c r="AY421" t="s">
        <v>230</v>
      </c>
      <c r="AZ421">
        <v>5</v>
      </c>
      <c r="BA421">
        <v>1</v>
      </c>
      <c r="BB421">
        <v>4.8</v>
      </c>
      <c r="BC421">
        <v>0.2</v>
      </c>
      <c r="BD421">
        <v>2.3731557327466102</v>
      </c>
    </row>
    <row r="422" spans="1:57" x14ac:dyDescent="0.35">
      <c r="A422" t="s">
        <v>25</v>
      </c>
      <c r="B422">
        <v>29</v>
      </c>
      <c r="C422">
        <v>3</v>
      </c>
      <c r="D422">
        <v>4.97</v>
      </c>
      <c r="E422">
        <v>0.1</v>
      </c>
      <c r="F422">
        <v>2.3992944289131599</v>
      </c>
      <c r="G422" s="3" t="s">
        <v>46</v>
      </c>
      <c r="H422" t="s">
        <v>25</v>
      </c>
      <c r="I422">
        <v>29</v>
      </c>
      <c r="J422">
        <v>3</v>
      </c>
      <c r="K422">
        <v>4.97</v>
      </c>
      <c r="L422">
        <v>0.1</v>
      </c>
      <c r="M422">
        <v>2.3992944289131599</v>
      </c>
      <c r="O422" t="s">
        <v>25</v>
      </c>
      <c r="P422">
        <v>29</v>
      </c>
      <c r="Q422">
        <v>3</v>
      </c>
      <c r="R422">
        <v>4.97</v>
      </c>
      <c r="S422">
        <v>0.1</v>
      </c>
      <c r="T422">
        <v>2.3992944289131599</v>
      </c>
      <c r="W422" t="s">
        <v>13</v>
      </c>
      <c r="X422">
        <v>20</v>
      </c>
      <c r="Y422">
        <v>1</v>
      </c>
      <c r="Z422">
        <v>4.95</v>
      </c>
      <c r="AA422">
        <v>0.05</v>
      </c>
      <c r="AB422">
        <v>2.1392325234704299</v>
      </c>
      <c r="AC422" s="3" t="s">
        <v>46</v>
      </c>
      <c r="AD422" t="s">
        <v>13</v>
      </c>
      <c r="AE422">
        <v>20</v>
      </c>
      <c r="AF422">
        <v>1</v>
      </c>
      <c r="AG422">
        <v>4.95</v>
      </c>
      <c r="AH422">
        <v>0.05</v>
      </c>
      <c r="AI422">
        <v>2.1392325234704299</v>
      </c>
      <c r="AK422" t="s">
        <v>230</v>
      </c>
      <c r="AL422">
        <v>5</v>
      </c>
      <c r="AM422">
        <v>1</v>
      </c>
      <c r="AN422">
        <v>4.8</v>
      </c>
      <c r="AO422">
        <v>0.2</v>
      </c>
      <c r="AP422">
        <v>2.3731557327466102</v>
      </c>
      <c r="AQ422" s="3" t="s">
        <v>46</v>
      </c>
      <c r="AR422" t="s">
        <v>30</v>
      </c>
      <c r="AS422" s="6">
        <v>11</v>
      </c>
      <c r="AT422">
        <v>2</v>
      </c>
      <c r="AU422">
        <v>4.82</v>
      </c>
      <c r="AV422">
        <v>0.18</v>
      </c>
      <c r="AW422">
        <v>2.5226248955475601</v>
      </c>
      <c r="AX422" s="3" t="s">
        <v>55</v>
      </c>
      <c r="AY422" t="s">
        <v>30</v>
      </c>
      <c r="AZ422">
        <v>11</v>
      </c>
      <c r="BA422">
        <v>2</v>
      </c>
      <c r="BB422">
        <v>4.82</v>
      </c>
      <c r="BC422">
        <v>0.18</v>
      </c>
      <c r="BD422">
        <v>2.5226248955475601</v>
      </c>
    </row>
    <row r="423" spans="1:57" x14ac:dyDescent="0.35">
      <c r="A423" t="s">
        <v>125</v>
      </c>
      <c r="B423">
        <v>7</v>
      </c>
      <c r="C423">
        <v>0</v>
      </c>
      <c r="D423">
        <v>5</v>
      </c>
      <c r="E423">
        <v>0</v>
      </c>
      <c r="F423">
        <v>2.3664319132398401</v>
      </c>
      <c r="G423" s="3" t="s">
        <v>46</v>
      </c>
      <c r="H423" t="s">
        <v>125</v>
      </c>
      <c r="I423">
        <v>7</v>
      </c>
      <c r="J423">
        <v>0</v>
      </c>
      <c r="K423">
        <v>5</v>
      </c>
      <c r="L423">
        <v>0</v>
      </c>
      <c r="M423">
        <v>2.3664319132398401</v>
      </c>
      <c r="O423" t="s">
        <v>125</v>
      </c>
      <c r="P423">
        <v>7</v>
      </c>
      <c r="Q423">
        <v>0</v>
      </c>
      <c r="R423">
        <v>5</v>
      </c>
      <c r="S423">
        <v>0</v>
      </c>
      <c r="T423">
        <v>2.3664319132398401</v>
      </c>
      <c r="W423" t="s">
        <v>125</v>
      </c>
      <c r="X423">
        <v>7</v>
      </c>
      <c r="Y423">
        <v>0</v>
      </c>
      <c r="Z423">
        <v>5</v>
      </c>
      <c r="AA423">
        <v>0</v>
      </c>
      <c r="AB423">
        <v>2.3664319132398401</v>
      </c>
      <c r="AD423" t="s">
        <v>125</v>
      </c>
      <c r="AE423">
        <v>7</v>
      </c>
      <c r="AF423">
        <v>0</v>
      </c>
      <c r="AG423">
        <v>5</v>
      </c>
      <c r="AH423">
        <v>0</v>
      </c>
      <c r="AI423">
        <v>2.3664319132398401</v>
      </c>
      <c r="AK423" t="s">
        <v>13</v>
      </c>
      <c r="AL423">
        <v>20</v>
      </c>
      <c r="AM423">
        <v>1</v>
      </c>
      <c r="AN423">
        <v>4.95</v>
      </c>
      <c r="AO423">
        <v>0.05</v>
      </c>
      <c r="AP423">
        <v>2.1392325234704299</v>
      </c>
      <c r="AQ423" s="3" t="s">
        <v>46</v>
      </c>
      <c r="AR423" t="s">
        <v>13</v>
      </c>
      <c r="AS423">
        <v>20</v>
      </c>
      <c r="AT423">
        <v>1</v>
      </c>
      <c r="AU423">
        <v>4.95</v>
      </c>
      <c r="AV423">
        <v>0.05</v>
      </c>
      <c r="AW423">
        <v>2.1392325234704299</v>
      </c>
      <c r="AY423" t="s">
        <v>13</v>
      </c>
      <c r="AZ423">
        <v>20</v>
      </c>
      <c r="BA423">
        <v>1</v>
      </c>
      <c r="BB423">
        <v>4.95</v>
      </c>
      <c r="BC423">
        <v>0.05</v>
      </c>
      <c r="BD423">
        <v>2.1392325234704299</v>
      </c>
    </row>
    <row r="424" spans="1:57" x14ac:dyDescent="0.35">
      <c r="A424" t="s">
        <v>34</v>
      </c>
      <c r="B424">
        <v>5</v>
      </c>
      <c r="C424">
        <v>1</v>
      </c>
      <c r="D424">
        <v>5</v>
      </c>
      <c r="E424">
        <v>0.2</v>
      </c>
      <c r="F424">
        <v>2.2360679774997898</v>
      </c>
      <c r="G424" s="3" t="s">
        <v>46</v>
      </c>
      <c r="H424" t="s">
        <v>34</v>
      </c>
      <c r="I424">
        <v>5</v>
      </c>
      <c r="J424">
        <v>1</v>
      </c>
      <c r="K424">
        <v>5</v>
      </c>
      <c r="L424">
        <v>0.2</v>
      </c>
      <c r="M424">
        <v>2.2360679774997898</v>
      </c>
      <c r="O424" t="s">
        <v>34</v>
      </c>
      <c r="P424">
        <v>5</v>
      </c>
      <c r="Q424">
        <v>1</v>
      </c>
      <c r="R424">
        <v>5</v>
      </c>
      <c r="S424">
        <v>0.2</v>
      </c>
      <c r="T424">
        <v>2.2360679774997898</v>
      </c>
      <c r="W424" t="s">
        <v>34</v>
      </c>
      <c r="X424">
        <v>5</v>
      </c>
      <c r="Y424">
        <v>1</v>
      </c>
      <c r="Z424">
        <v>5</v>
      </c>
      <c r="AA424">
        <v>0.2</v>
      </c>
      <c r="AB424">
        <v>2.2360679774997898</v>
      </c>
      <c r="AD424" t="s">
        <v>34</v>
      </c>
      <c r="AE424">
        <v>5</v>
      </c>
      <c r="AF424">
        <v>1</v>
      </c>
      <c r="AG424">
        <v>5</v>
      </c>
      <c r="AH424">
        <v>0.2</v>
      </c>
      <c r="AI424">
        <v>2.2360679774997898</v>
      </c>
      <c r="AK424" t="s">
        <v>125</v>
      </c>
      <c r="AL424">
        <v>7</v>
      </c>
      <c r="AM424">
        <v>0</v>
      </c>
      <c r="AN424">
        <v>5</v>
      </c>
      <c r="AO424">
        <v>0</v>
      </c>
      <c r="AP424">
        <v>2.3664319132398401</v>
      </c>
      <c r="AQ424" s="3" t="s">
        <v>46</v>
      </c>
      <c r="AR424" t="s">
        <v>116</v>
      </c>
      <c r="AS424">
        <v>6</v>
      </c>
      <c r="AT424">
        <v>0</v>
      </c>
      <c r="AU424">
        <v>5</v>
      </c>
      <c r="AV424">
        <v>0</v>
      </c>
      <c r="AW424">
        <v>1.67332005306815</v>
      </c>
      <c r="AY424" t="s">
        <v>125</v>
      </c>
      <c r="AZ424">
        <v>7</v>
      </c>
      <c r="BA424">
        <v>0</v>
      </c>
      <c r="BB424">
        <v>5</v>
      </c>
      <c r="BC424">
        <v>0</v>
      </c>
      <c r="BD424">
        <v>2.3664319132398401</v>
      </c>
    </row>
    <row r="425" spans="1:57" x14ac:dyDescent="0.35">
      <c r="A425" t="s">
        <v>116</v>
      </c>
      <c r="B425">
        <v>6</v>
      </c>
      <c r="C425">
        <v>0</v>
      </c>
      <c r="D425">
        <v>5</v>
      </c>
      <c r="E425">
        <v>0</v>
      </c>
      <c r="F425">
        <v>1.67332005306815</v>
      </c>
      <c r="G425" s="3" t="s">
        <v>46</v>
      </c>
      <c r="H425" t="s">
        <v>175</v>
      </c>
      <c r="I425" s="6">
        <v>5</v>
      </c>
      <c r="J425">
        <v>0</v>
      </c>
      <c r="K425">
        <v>5</v>
      </c>
      <c r="L425">
        <v>0</v>
      </c>
      <c r="M425">
        <v>2</v>
      </c>
      <c r="N425" s="12" t="s">
        <v>85</v>
      </c>
      <c r="O425" t="s">
        <v>175</v>
      </c>
      <c r="P425">
        <v>5</v>
      </c>
      <c r="Q425">
        <v>0</v>
      </c>
      <c r="R425">
        <v>5</v>
      </c>
      <c r="S425">
        <v>0</v>
      </c>
      <c r="T425">
        <v>2</v>
      </c>
      <c r="W425" t="s">
        <v>175</v>
      </c>
      <c r="X425">
        <v>5</v>
      </c>
      <c r="Y425">
        <v>0</v>
      </c>
      <c r="Z425">
        <v>5</v>
      </c>
      <c r="AA425">
        <v>0</v>
      </c>
      <c r="AB425">
        <v>2</v>
      </c>
      <c r="AD425" t="s">
        <v>175</v>
      </c>
      <c r="AE425">
        <v>5</v>
      </c>
      <c r="AF425">
        <v>0</v>
      </c>
      <c r="AG425">
        <v>5</v>
      </c>
      <c r="AH425">
        <v>0</v>
      </c>
      <c r="AI425">
        <v>2</v>
      </c>
      <c r="AK425" t="s">
        <v>34</v>
      </c>
      <c r="AL425">
        <v>5</v>
      </c>
      <c r="AM425">
        <v>1</v>
      </c>
      <c r="AN425">
        <v>5</v>
      </c>
      <c r="AO425">
        <v>0.2</v>
      </c>
      <c r="AP425">
        <v>2.2360679774997898</v>
      </c>
      <c r="AQ425" s="3" t="s">
        <v>46</v>
      </c>
      <c r="AR425" t="s">
        <v>175</v>
      </c>
      <c r="AS425">
        <v>5</v>
      </c>
      <c r="AT425">
        <v>0</v>
      </c>
      <c r="AU425">
        <v>5</v>
      </c>
      <c r="AV425">
        <v>0</v>
      </c>
      <c r="AW425">
        <v>2</v>
      </c>
      <c r="AY425" t="s">
        <v>34</v>
      </c>
      <c r="AZ425">
        <v>5</v>
      </c>
      <c r="BA425">
        <v>1</v>
      </c>
      <c r="BB425">
        <v>5</v>
      </c>
      <c r="BC425">
        <v>0.2</v>
      </c>
      <c r="BD425">
        <v>2.2360679774997898</v>
      </c>
    </row>
    <row r="426" spans="1:57" x14ac:dyDescent="0.35">
      <c r="A426" t="s">
        <v>197</v>
      </c>
      <c r="B426">
        <v>8</v>
      </c>
      <c r="C426">
        <v>0</v>
      </c>
      <c r="D426">
        <v>5</v>
      </c>
      <c r="E426">
        <v>0</v>
      </c>
      <c r="F426">
        <v>2.39045721866878</v>
      </c>
      <c r="G426" s="3" t="s">
        <v>46</v>
      </c>
      <c r="H426" t="s">
        <v>116</v>
      </c>
      <c r="I426">
        <v>6</v>
      </c>
      <c r="J426">
        <v>0</v>
      </c>
      <c r="K426">
        <v>5</v>
      </c>
      <c r="L426">
        <v>0</v>
      </c>
      <c r="M426">
        <v>1.67332005306815</v>
      </c>
      <c r="N426" s="3" t="s">
        <v>46</v>
      </c>
      <c r="O426" t="s">
        <v>116</v>
      </c>
      <c r="P426">
        <v>6</v>
      </c>
      <c r="Q426">
        <v>0</v>
      </c>
      <c r="R426">
        <v>5</v>
      </c>
      <c r="S426">
        <v>0</v>
      </c>
      <c r="T426">
        <v>1.67332005306815</v>
      </c>
      <c r="W426" t="s">
        <v>116</v>
      </c>
      <c r="X426">
        <v>6</v>
      </c>
      <c r="Y426">
        <v>0</v>
      </c>
      <c r="Z426">
        <v>5</v>
      </c>
      <c r="AA426">
        <v>0</v>
      </c>
      <c r="AB426">
        <v>1.67332005306815</v>
      </c>
      <c r="AD426" t="s">
        <v>116</v>
      </c>
      <c r="AE426">
        <v>6</v>
      </c>
      <c r="AF426">
        <v>0</v>
      </c>
      <c r="AG426">
        <v>5</v>
      </c>
      <c r="AH426">
        <v>0</v>
      </c>
      <c r="AI426">
        <v>1.67332005306815</v>
      </c>
      <c r="AK426" t="s">
        <v>175</v>
      </c>
      <c r="AL426">
        <v>5</v>
      </c>
      <c r="AM426">
        <v>0</v>
      </c>
      <c r="AN426">
        <v>5</v>
      </c>
      <c r="AO426">
        <v>0</v>
      </c>
      <c r="AP426">
        <v>2</v>
      </c>
      <c r="AQ426" s="3" t="s">
        <v>46</v>
      </c>
      <c r="AR426" t="s">
        <v>123</v>
      </c>
      <c r="AS426">
        <v>6</v>
      </c>
      <c r="AT426">
        <v>0</v>
      </c>
      <c r="AU426">
        <v>5</v>
      </c>
      <c r="AV426">
        <v>0</v>
      </c>
      <c r="AW426">
        <v>2</v>
      </c>
      <c r="AY426" t="s">
        <v>50</v>
      </c>
      <c r="AZ426" s="6">
        <v>6</v>
      </c>
      <c r="BA426">
        <v>0</v>
      </c>
      <c r="BB426">
        <v>5</v>
      </c>
      <c r="BC426">
        <v>0</v>
      </c>
      <c r="BD426">
        <v>2.4494897427831699</v>
      </c>
      <c r="BE426" s="2" t="s">
        <v>272</v>
      </c>
    </row>
    <row r="427" spans="1:57" x14ac:dyDescent="0.35">
      <c r="A427" t="s">
        <v>79</v>
      </c>
      <c r="B427">
        <v>13</v>
      </c>
      <c r="C427">
        <v>0</v>
      </c>
      <c r="D427">
        <v>5</v>
      </c>
      <c r="E427">
        <v>0</v>
      </c>
      <c r="F427">
        <v>2</v>
      </c>
      <c r="G427" s="3" t="s">
        <v>46</v>
      </c>
      <c r="H427" t="s">
        <v>197</v>
      </c>
      <c r="I427">
        <v>8</v>
      </c>
      <c r="J427">
        <v>0</v>
      </c>
      <c r="K427">
        <v>5</v>
      </c>
      <c r="L427">
        <v>0</v>
      </c>
      <c r="M427">
        <v>2.39045721866878</v>
      </c>
      <c r="N427" s="3" t="s">
        <v>46</v>
      </c>
      <c r="O427" t="s">
        <v>197</v>
      </c>
      <c r="P427">
        <v>8</v>
      </c>
      <c r="Q427">
        <v>0</v>
      </c>
      <c r="R427">
        <v>5</v>
      </c>
      <c r="S427">
        <v>0</v>
      </c>
      <c r="T427">
        <v>2.39045721866878</v>
      </c>
      <c r="W427" t="s">
        <v>197</v>
      </c>
      <c r="X427">
        <v>8</v>
      </c>
      <c r="Y427">
        <v>0</v>
      </c>
      <c r="Z427">
        <v>5</v>
      </c>
      <c r="AA427">
        <v>0</v>
      </c>
      <c r="AB427">
        <v>2.39045721866878</v>
      </c>
      <c r="AD427" t="s">
        <v>197</v>
      </c>
      <c r="AE427">
        <v>8</v>
      </c>
      <c r="AF427">
        <v>0</v>
      </c>
      <c r="AG427">
        <v>5</v>
      </c>
      <c r="AH427">
        <v>0</v>
      </c>
      <c r="AI427">
        <v>2.39045721866878</v>
      </c>
      <c r="AK427" t="s">
        <v>116</v>
      </c>
      <c r="AL427">
        <v>6</v>
      </c>
      <c r="AM427">
        <v>0</v>
      </c>
      <c r="AN427">
        <v>5</v>
      </c>
      <c r="AO427">
        <v>0</v>
      </c>
      <c r="AP427">
        <v>1.67332005306815</v>
      </c>
      <c r="AQ427" s="3" t="s">
        <v>46</v>
      </c>
      <c r="AR427" t="s">
        <v>125</v>
      </c>
      <c r="AS427">
        <v>7</v>
      </c>
      <c r="AT427">
        <v>0</v>
      </c>
      <c r="AU427">
        <v>5</v>
      </c>
      <c r="AV427">
        <v>0</v>
      </c>
      <c r="AW427">
        <v>2.3664319132398401</v>
      </c>
      <c r="AY427" t="s">
        <v>175</v>
      </c>
      <c r="AZ427">
        <v>5</v>
      </c>
      <c r="BA427">
        <v>0</v>
      </c>
      <c r="BB427">
        <v>5</v>
      </c>
      <c r="BC427">
        <v>0</v>
      </c>
      <c r="BD427">
        <v>2</v>
      </c>
    </row>
    <row r="428" spans="1:57" x14ac:dyDescent="0.35">
      <c r="A428" t="s">
        <v>1</v>
      </c>
      <c r="B428">
        <v>21</v>
      </c>
      <c r="C428">
        <v>1</v>
      </c>
      <c r="D428">
        <v>5.0999999999999996</v>
      </c>
      <c r="E428">
        <v>0.05</v>
      </c>
      <c r="F428">
        <v>2.1887156486113399</v>
      </c>
      <c r="G428" s="3" t="s">
        <v>46</v>
      </c>
      <c r="H428" t="s">
        <v>79</v>
      </c>
      <c r="I428">
        <v>13</v>
      </c>
      <c r="J428">
        <v>0</v>
      </c>
      <c r="K428">
        <v>5</v>
      </c>
      <c r="L428">
        <v>0</v>
      </c>
      <c r="M428">
        <v>2</v>
      </c>
      <c r="N428" s="3" t="s">
        <v>46</v>
      </c>
      <c r="O428" t="s">
        <v>79</v>
      </c>
      <c r="P428">
        <v>13</v>
      </c>
      <c r="Q428">
        <v>0</v>
      </c>
      <c r="R428">
        <v>5</v>
      </c>
      <c r="S428">
        <v>0</v>
      </c>
      <c r="T428">
        <v>2</v>
      </c>
      <c r="W428" t="s">
        <v>79</v>
      </c>
      <c r="X428">
        <v>13</v>
      </c>
      <c r="Y428">
        <v>0</v>
      </c>
      <c r="Z428">
        <v>5</v>
      </c>
      <c r="AA428">
        <v>0</v>
      </c>
      <c r="AB428">
        <v>2</v>
      </c>
      <c r="AD428" t="s">
        <v>79</v>
      </c>
      <c r="AE428">
        <v>13</v>
      </c>
      <c r="AF428">
        <v>0</v>
      </c>
      <c r="AG428">
        <v>5</v>
      </c>
      <c r="AH428">
        <v>0</v>
      </c>
      <c r="AI428">
        <v>2</v>
      </c>
      <c r="AK428" t="s">
        <v>197</v>
      </c>
      <c r="AL428">
        <v>8</v>
      </c>
      <c r="AM428">
        <v>0</v>
      </c>
      <c r="AN428">
        <v>5</v>
      </c>
      <c r="AO428">
        <v>0</v>
      </c>
      <c r="AP428">
        <v>2.39045721866878</v>
      </c>
      <c r="AQ428" s="3" t="s">
        <v>46</v>
      </c>
      <c r="AR428" t="s">
        <v>197</v>
      </c>
      <c r="AS428">
        <v>8</v>
      </c>
      <c r="AT428">
        <v>0</v>
      </c>
      <c r="AU428">
        <v>5</v>
      </c>
      <c r="AV428">
        <v>0</v>
      </c>
      <c r="AW428">
        <v>2.39045721866878</v>
      </c>
      <c r="AY428" t="s">
        <v>116</v>
      </c>
      <c r="AZ428">
        <v>6</v>
      </c>
      <c r="BA428">
        <v>0</v>
      </c>
      <c r="BB428">
        <v>5</v>
      </c>
      <c r="BC428">
        <v>0</v>
      </c>
      <c r="BD428">
        <v>1.67332005306815</v>
      </c>
    </row>
    <row r="429" spans="1:57" x14ac:dyDescent="0.35">
      <c r="A429" t="s">
        <v>99</v>
      </c>
      <c r="B429">
        <v>9</v>
      </c>
      <c r="C429">
        <v>1</v>
      </c>
      <c r="D429">
        <v>5.1100000000000003</v>
      </c>
      <c r="E429">
        <v>0.11</v>
      </c>
      <c r="F429">
        <v>2.4720661623652198</v>
      </c>
      <c r="G429" s="3" t="s">
        <v>46</v>
      </c>
      <c r="H429" t="s">
        <v>123</v>
      </c>
      <c r="I429" s="6">
        <v>6</v>
      </c>
      <c r="J429">
        <v>0</v>
      </c>
      <c r="K429">
        <v>5</v>
      </c>
      <c r="L429">
        <v>0</v>
      </c>
      <c r="M429">
        <v>2</v>
      </c>
      <c r="N429" s="12" t="s">
        <v>85</v>
      </c>
      <c r="O429" t="s">
        <v>123</v>
      </c>
      <c r="P429">
        <v>6</v>
      </c>
      <c r="Q429">
        <v>0</v>
      </c>
      <c r="R429">
        <v>5</v>
      </c>
      <c r="S429">
        <v>0</v>
      </c>
      <c r="T429">
        <v>2</v>
      </c>
      <c r="W429" t="s">
        <v>123</v>
      </c>
      <c r="X429">
        <v>6</v>
      </c>
      <c r="Y429">
        <v>0</v>
      </c>
      <c r="Z429">
        <v>5</v>
      </c>
      <c r="AA429">
        <v>0</v>
      </c>
      <c r="AB429">
        <v>2</v>
      </c>
      <c r="AD429" t="s">
        <v>123</v>
      </c>
      <c r="AE429">
        <v>6</v>
      </c>
      <c r="AF429">
        <v>0</v>
      </c>
      <c r="AG429">
        <v>5</v>
      </c>
      <c r="AH429">
        <v>0</v>
      </c>
      <c r="AI429">
        <v>2</v>
      </c>
      <c r="AK429" t="s">
        <v>123</v>
      </c>
      <c r="AL429">
        <v>6</v>
      </c>
      <c r="AM429">
        <v>0</v>
      </c>
      <c r="AN429">
        <v>5</v>
      </c>
      <c r="AO429">
        <v>0</v>
      </c>
      <c r="AP429">
        <v>2</v>
      </c>
      <c r="AQ429" s="3"/>
      <c r="AR429" t="s">
        <v>16</v>
      </c>
      <c r="AS429">
        <v>7</v>
      </c>
      <c r="AT429">
        <v>1</v>
      </c>
      <c r="AU429">
        <v>5</v>
      </c>
      <c r="AV429">
        <v>0.14000000000000001</v>
      </c>
      <c r="AW429">
        <v>2.3094010767584998</v>
      </c>
      <c r="AY429" t="s">
        <v>197</v>
      </c>
      <c r="AZ429">
        <v>8</v>
      </c>
      <c r="BA429">
        <v>0</v>
      </c>
      <c r="BB429">
        <v>5</v>
      </c>
      <c r="BC429">
        <v>0</v>
      </c>
      <c r="BD429">
        <v>2.39045721866878</v>
      </c>
    </row>
    <row r="430" spans="1:57" x14ac:dyDescent="0.35">
      <c r="A430" t="s">
        <v>30</v>
      </c>
      <c r="B430">
        <v>8</v>
      </c>
      <c r="C430">
        <v>1</v>
      </c>
      <c r="D430">
        <v>5.13</v>
      </c>
      <c r="E430">
        <v>0.13</v>
      </c>
      <c r="F430">
        <v>2.2320714274285298</v>
      </c>
      <c r="G430" s="3" t="s">
        <v>46</v>
      </c>
      <c r="H430" t="s">
        <v>1</v>
      </c>
      <c r="I430">
        <v>21</v>
      </c>
      <c r="J430">
        <v>1</v>
      </c>
      <c r="K430">
        <v>5.0999999999999996</v>
      </c>
      <c r="L430">
        <v>0.05</v>
      </c>
      <c r="M430">
        <v>2.1887156486113399</v>
      </c>
      <c r="N430" s="3" t="s">
        <v>45</v>
      </c>
      <c r="O430" t="s">
        <v>1</v>
      </c>
      <c r="P430">
        <v>21</v>
      </c>
      <c r="Q430">
        <v>1</v>
      </c>
      <c r="R430">
        <v>5.0999999999999996</v>
      </c>
      <c r="S430">
        <v>0.05</v>
      </c>
      <c r="T430">
        <v>2.1887156486113399</v>
      </c>
      <c r="W430" t="s">
        <v>25</v>
      </c>
      <c r="X430" s="6">
        <v>31</v>
      </c>
      <c r="Y430">
        <v>3</v>
      </c>
      <c r="Z430">
        <v>5.03</v>
      </c>
      <c r="AA430">
        <v>0.1</v>
      </c>
      <c r="AB430">
        <v>2.3331691239426902</v>
      </c>
      <c r="AC430" s="3" t="s">
        <v>67</v>
      </c>
      <c r="AD430" t="s">
        <v>16</v>
      </c>
      <c r="AE430">
        <v>7</v>
      </c>
      <c r="AF430">
        <v>1</v>
      </c>
      <c r="AG430">
        <v>5</v>
      </c>
      <c r="AH430">
        <v>0.14000000000000001</v>
      </c>
      <c r="AI430">
        <v>2.3094010767584998</v>
      </c>
      <c r="AJ430" s="2" t="s">
        <v>365</v>
      </c>
      <c r="AK430" t="s">
        <v>16</v>
      </c>
      <c r="AL430">
        <v>7</v>
      </c>
      <c r="AM430">
        <v>1</v>
      </c>
      <c r="AN430">
        <v>5</v>
      </c>
      <c r="AO430">
        <v>0.14000000000000001</v>
      </c>
      <c r="AP430">
        <v>2.3094010767584998</v>
      </c>
      <c r="AQ430" s="3"/>
      <c r="AR430" t="s">
        <v>34</v>
      </c>
      <c r="AS430">
        <v>5</v>
      </c>
      <c r="AT430">
        <v>1</v>
      </c>
      <c r="AU430">
        <v>5</v>
      </c>
      <c r="AV430">
        <v>0.2</v>
      </c>
      <c r="AW430">
        <v>2.2360679774997898</v>
      </c>
      <c r="AY430" t="s">
        <v>123</v>
      </c>
      <c r="AZ430">
        <v>6</v>
      </c>
      <c r="BA430">
        <v>0</v>
      </c>
      <c r="BB430">
        <v>5</v>
      </c>
      <c r="BC430">
        <v>0</v>
      </c>
      <c r="BD430">
        <v>2</v>
      </c>
    </row>
    <row r="431" spans="1:57" x14ac:dyDescent="0.35">
      <c r="A431" t="s">
        <v>51</v>
      </c>
      <c r="B431">
        <v>18</v>
      </c>
      <c r="C431">
        <v>1</v>
      </c>
      <c r="D431">
        <v>5.17</v>
      </c>
      <c r="E431">
        <v>0.06</v>
      </c>
      <c r="F431">
        <v>2.3072774891123702</v>
      </c>
      <c r="G431" s="3" t="s">
        <v>46</v>
      </c>
      <c r="H431" t="s">
        <v>99</v>
      </c>
      <c r="I431">
        <v>9</v>
      </c>
      <c r="J431">
        <v>1</v>
      </c>
      <c r="K431">
        <v>5.1100000000000003</v>
      </c>
      <c r="L431">
        <v>0.11</v>
      </c>
      <c r="M431">
        <v>2.4720661623652198</v>
      </c>
      <c r="N431" s="3" t="s">
        <v>45</v>
      </c>
      <c r="O431" t="s">
        <v>99</v>
      </c>
      <c r="P431">
        <v>9</v>
      </c>
      <c r="Q431">
        <v>1</v>
      </c>
      <c r="R431">
        <v>5.1100000000000003</v>
      </c>
      <c r="S431">
        <v>0.11</v>
      </c>
      <c r="T431">
        <v>2.4720661623652198</v>
      </c>
      <c r="W431" t="s">
        <v>1</v>
      </c>
      <c r="X431">
        <v>21</v>
      </c>
      <c r="Y431">
        <v>1</v>
      </c>
      <c r="Z431">
        <v>5.0999999999999996</v>
      </c>
      <c r="AA431">
        <v>0.05</v>
      </c>
      <c r="AB431">
        <v>2.1887156486113399</v>
      </c>
      <c r="AC431" s="3" t="s">
        <v>46</v>
      </c>
      <c r="AD431" t="s">
        <v>25</v>
      </c>
      <c r="AE431">
        <v>31</v>
      </c>
      <c r="AF431">
        <v>3</v>
      </c>
      <c r="AG431">
        <v>5.03</v>
      </c>
      <c r="AH431">
        <v>0.1</v>
      </c>
      <c r="AI431">
        <v>2.3331691239426902</v>
      </c>
      <c r="AJ431" s="3" t="s">
        <v>46</v>
      </c>
      <c r="AK431" t="s">
        <v>25</v>
      </c>
      <c r="AL431">
        <v>31</v>
      </c>
      <c r="AM431">
        <v>3</v>
      </c>
      <c r="AN431">
        <v>5.03</v>
      </c>
      <c r="AO431">
        <v>0.1</v>
      </c>
      <c r="AP431">
        <v>2.3331691239426902</v>
      </c>
      <c r="AQ431" s="3"/>
      <c r="AR431" t="s">
        <v>25</v>
      </c>
      <c r="AS431">
        <v>31</v>
      </c>
      <c r="AT431">
        <v>3</v>
      </c>
      <c r="AU431">
        <v>5.03</v>
      </c>
      <c r="AV431">
        <v>0.1</v>
      </c>
      <c r="AW431">
        <v>2.3331691239426902</v>
      </c>
      <c r="AY431" t="s">
        <v>16</v>
      </c>
      <c r="AZ431">
        <v>7</v>
      </c>
      <c r="BA431">
        <v>1</v>
      </c>
      <c r="BB431">
        <v>5</v>
      </c>
      <c r="BC431">
        <v>0.14000000000000001</v>
      </c>
      <c r="BD431">
        <v>2.3094010767584998</v>
      </c>
    </row>
    <row r="432" spans="1:57" x14ac:dyDescent="0.35">
      <c r="A432" t="s">
        <v>5</v>
      </c>
      <c r="B432">
        <v>6</v>
      </c>
      <c r="C432">
        <v>0</v>
      </c>
      <c r="D432">
        <v>5.17</v>
      </c>
      <c r="E432">
        <v>0</v>
      </c>
      <c r="F432">
        <v>1.60208197875972</v>
      </c>
      <c r="G432" s="3" t="s">
        <v>46</v>
      </c>
      <c r="H432" t="s">
        <v>30</v>
      </c>
      <c r="I432">
        <v>8</v>
      </c>
      <c r="J432">
        <v>1</v>
      </c>
      <c r="K432">
        <v>5.13</v>
      </c>
      <c r="L432">
        <v>0.13</v>
      </c>
      <c r="M432">
        <v>2.2320714274285298</v>
      </c>
      <c r="N432" s="3" t="s">
        <v>45</v>
      </c>
      <c r="O432" t="s">
        <v>30</v>
      </c>
      <c r="P432">
        <v>8</v>
      </c>
      <c r="Q432">
        <v>1</v>
      </c>
      <c r="R432">
        <v>5.13</v>
      </c>
      <c r="S432">
        <v>0.13</v>
      </c>
      <c r="T432">
        <v>2.2320714274285298</v>
      </c>
      <c r="W432" t="s">
        <v>99</v>
      </c>
      <c r="X432">
        <v>9</v>
      </c>
      <c r="Y432">
        <v>1</v>
      </c>
      <c r="Z432">
        <v>5.1100000000000003</v>
      </c>
      <c r="AA432">
        <v>0.11</v>
      </c>
      <c r="AB432">
        <v>2.4720661623652198</v>
      </c>
      <c r="AC432" s="3" t="s">
        <v>46</v>
      </c>
      <c r="AD432" t="s">
        <v>1</v>
      </c>
      <c r="AE432">
        <v>21</v>
      </c>
      <c r="AF432">
        <v>1</v>
      </c>
      <c r="AG432">
        <v>5.0999999999999996</v>
      </c>
      <c r="AH432">
        <v>0.05</v>
      </c>
      <c r="AI432">
        <v>2.1887156486113399</v>
      </c>
      <c r="AJ432" s="3" t="s">
        <v>46</v>
      </c>
      <c r="AK432" t="s">
        <v>1</v>
      </c>
      <c r="AL432">
        <v>21</v>
      </c>
      <c r="AM432">
        <v>1</v>
      </c>
      <c r="AN432">
        <v>5.0999999999999996</v>
      </c>
      <c r="AO432">
        <v>0.05</v>
      </c>
      <c r="AP432">
        <v>2.1887156486113399</v>
      </c>
      <c r="AR432" t="s">
        <v>51</v>
      </c>
      <c r="AS432" s="6">
        <v>19</v>
      </c>
      <c r="AT432">
        <v>1</v>
      </c>
      <c r="AU432">
        <v>5.05</v>
      </c>
      <c r="AV432">
        <v>0.05</v>
      </c>
      <c r="AW432">
        <v>2.2967049878400898</v>
      </c>
      <c r="AX432" s="2" t="s">
        <v>47</v>
      </c>
      <c r="AY432" t="s">
        <v>51</v>
      </c>
      <c r="AZ432">
        <v>19</v>
      </c>
      <c r="BA432">
        <v>1</v>
      </c>
      <c r="BB432">
        <v>5.05</v>
      </c>
      <c r="BC432">
        <v>0.05</v>
      </c>
      <c r="BD432">
        <v>2.2967049878400898</v>
      </c>
    </row>
    <row r="433" spans="1:57" x14ac:dyDescent="0.35">
      <c r="A433" t="s">
        <v>17</v>
      </c>
      <c r="B433">
        <v>6</v>
      </c>
      <c r="C433">
        <v>1</v>
      </c>
      <c r="D433">
        <v>5.17</v>
      </c>
      <c r="E433">
        <v>0.17</v>
      </c>
      <c r="F433">
        <v>2.4832774042918899</v>
      </c>
      <c r="G433" s="3" t="s">
        <v>46</v>
      </c>
      <c r="H433" t="s">
        <v>51</v>
      </c>
      <c r="I433">
        <v>18</v>
      </c>
      <c r="J433">
        <v>1</v>
      </c>
      <c r="K433">
        <v>5.17</v>
      </c>
      <c r="L433">
        <v>0.06</v>
      </c>
      <c r="M433">
        <v>2.3072774891123702</v>
      </c>
      <c r="N433" s="3" t="s">
        <v>45</v>
      </c>
      <c r="O433" t="s">
        <v>51</v>
      </c>
      <c r="P433">
        <v>18</v>
      </c>
      <c r="Q433">
        <v>1</v>
      </c>
      <c r="R433">
        <v>5.17</v>
      </c>
      <c r="S433">
        <v>0.06</v>
      </c>
      <c r="T433">
        <v>2.3072774891123702</v>
      </c>
      <c r="W433" t="s">
        <v>30</v>
      </c>
      <c r="X433">
        <v>8</v>
      </c>
      <c r="Y433">
        <v>1</v>
      </c>
      <c r="Z433">
        <v>5.13</v>
      </c>
      <c r="AA433">
        <v>0.13</v>
      </c>
      <c r="AB433">
        <v>2.2320714274285298</v>
      </c>
      <c r="AC433" s="3" t="s">
        <v>46</v>
      </c>
      <c r="AD433" t="s">
        <v>99</v>
      </c>
      <c r="AE433">
        <v>9</v>
      </c>
      <c r="AF433">
        <v>1</v>
      </c>
      <c r="AG433">
        <v>5.1100000000000003</v>
      </c>
      <c r="AH433">
        <v>0.11</v>
      </c>
      <c r="AI433">
        <v>2.4720661623652198</v>
      </c>
      <c r="AJ433" s="3" t="s">
        <v>46</v>
      </c>
      <c r="AK433" t="s">
        <v>99</v>
      </c>
      <c r="AL433">
        <v>9</v>
      </c>
      <c r="AM433">
        <v>1</v>
      </c>
      <c r="AN433">
        <v>5.1100000000000003</v>
      </c>
      <c r="AO433">
        <v>0.11</v>
      </c>
      <c r="AP433">
        <v>2.4720661623652198</v>
      </c>
      <c r="AR433" t="s">
        <v>99</v>
      </c>
      <c r="AS433">
        <v>9</v>
      </c>
      <c r="AT433">
        <v>1</v>
      </c>
      <c r="AU433">
        <v>5.1100000000000003</v>
      </c>
      <c r="AV433">
        <v>0.11</v>
      </c>
      <c r="AW433">
        <v>2.4720661623652198</v>
      </c>
      <c r="AY433" t="s">
        <v>25</v>
      </c>
      <c r="AZ433" s="6">
        <v>34</v>
      </c>
      <c r="BA433">
        <v>3</v>
      </c>
      <c r="BB433">
        <v>5.09</v>
      </c>
      <c r="BC433">
        <v>0.09</v>
      </c>
      <c r="BD433">
        <v>2.2638462845343499</v>
      </c>
      <c r="BE433" s="3" t="s">
        <v>45</v>
      </c>
    </row>
    <row r="434" spans="1:57" x14ac:dyDescent="0.35">
      <c r="A434" t="s">
        <v>87</v>
      </c>
      <c r="B434" s="6">
        <v>5</v>
      </c>
      <c r="C434">
        <v>0</v>
      </c>
      <c r="D434">
        <v>5.2</v>
      </c>
      <c r="E434">
        <v>0</v>
      </c>
      <c r="F434">
        <v>1.7888543819998299</v>
      </c>
      <c r="G434" s="12" t="s">
        <v>85</v>
      </c>
      <c r="H434" t="s">
        <v>5</v>
      </c>
      <c r="I434">
        <v>6</v>
      </c>
      <c r="J434">
        <v>0</v>
      </c>
      <c r="K434">
        <v>5.17</v>
      </c>
      <c r="L434">
        <v>0</v>
      </c>
      <c r="M434">
        <v>1.60208197875972</v>
      </c>
      <c r="N434" s="3" t="s">
        <v>45</v>
      </c>
      <c r="O434" t="s">
        <v>5</v>
      </c>
      <c r="P434">
        <v>6</v>
      </c>
      <c r="Q434">
        <v>0</v>
      </c>
      <c r="R434">
        <v>5.17</v>
      </c>
      <c r="S434">
        <v>0</v>
      </c>
      <c r="T434">
        <v>1.60208197875972</v>
      </c>
      <c r="W434" t="s">
        <v>51</v>
      </c>
      <c r="X434">
        <v>18</v>
      </c>
      <c r="Y434">
        <v>1</v>
      </c>
      <c r="Z434">
        <v>5.17</v>
      </c>
      <c r="AA434">
        <v>0.06</v>
      </c>
      <c r="AB434">
        <v>2.3072774891123702</v>
      </c>
      <c r="AC434" s="3" t="s">
        <v>46</v>
      </c>
      <c r="AD434" t="s">
        <v>30</v>
      </c>
      <c r="AE434">
        <v>8</v>
      </c>
      <c r="AF434">
        <v>1</v>
      </c>
      <c r="AG434">
        <v>5.13</v>
      </c>
      <c r="AH434">
        <v>0.13</v>
      </c>
      <c r="AI434">
        <v>2.2320714274285298</v>
      </c>
      <c r="AJ434" s="3" t="s">
        <v>46</v>
      </c>
      <c r="AK434" t="s">
        <v>51</v>
      </c>
      <c r="AL434">
        <v>18</v>
      </c>
      <c r="AM434">
        <v>1</v>
      </c>
      <c r="AN434">
        <v>5.17</v>
      </c>
      <c r="AO434">
        <v>0.06</v>
      </c>
      <c r="AP434">
        <v>2.3072774891123702</v>
      </c>
      <c r="AQ434" s="2" t="s">
        <v>44</v>
      </c>
      <c r="AR434" t="s">
        <v>5</v>
      </c>
      <c r="AS434">
        <v>6</v>
      </c>
      <c r="AT434">
        <v>0</v>
      </c>
      <c r="AU434">
        <v>5.17</v>
      </c>
      <c r="AV434">
        <v>0</v>
      </c>
      <c r="AW434">
        <v>1.60208197875972</v>
      </c>
      <c r="AX434" s="2" t="s">
        <v>44</v>
      </c>
      <c r="AY434" t="s">
        <v>99</v>
      </c>
      <c r="AZ434">
        <v>9</v>
      </c>
      <c r="BA434">
        <v>1</v>
      </c>
      <c r="BB434">
        <v>5.1100000000000003</v>
      </c>
      <c r="BC434">
        <v>0.11</v>
      </c>
      <c r="BD434">
        <v>2.4720661623652198</v>
      </c>
      <c r="BE434" s="3" t="s">
        <v>46</v>
      </c>
    </row>
    <row r="435" spans="1:57" x14ac:dyDescent="0.35">
      <c r="A435" t="s">
        <v>50</v>
      </c>
      <c r="B435">
        <v>5</v>
      </c>
      <c r="C435">
        <v>0</v>
      </c>
      <c r="D435">
        <v>5.2</v>
      </c>
      <c r="E435">
        <v>0</v>
      </c>
      <c r="F435">
        <v>2.6832815729997401</v>
      </c>
      <c r="G435" s="3" t="s">
        <v>45</v>
      </c>
      <c r="H435" t="s">
        <v>17</v>
      </c>
      <c r="I435">
        <v>6</v>
      </c>
      <c r="J435">
        <v>1</v>
      </c>
      <c r="K435">
        <v>5.17</v>
      </c>
      <c r="L435">
        <v>0.17</v>
      </c>
      <c r="M435">
        <v>2.4832774042918899</v>
      </c>
      <c r="N435" s="3" t="s">
        <v>45</v>
      </c>
      <c r="O435" t="s">
        <v>17</v>
      </c>
      <c r="P435">
        <v>6</v>
      </c>
      <c r="Q435">
        <v>1</v>
      </c>
      <c r="R435">
        <v>5.17</v>
      </c>
      <c r="S435">
        <v>0.17</v>
      </c>
      <c r="T435">
        <v>2.4832774042918899</v>
      </c>
      <c r="W435" t="s">
        <v>5</v>
      </c>
      <c r="X435">
        <v>6</v>
      </c>
      <c r="Y435">
        <v>0</v>
      </c>
      <c r="Z435">
        <v>5.17</v>
      </c>
      <c r="AA435">
        <v>0</v>
      </c>
      <c r="AB435">
        <v>1.60208197875972</v>
      </c>
      <c r="AC435" s="3" t="s">
        <v>46</v>
      </c>
      <c r="AD435" t="s">
        <v>51</v>
      </c>
      <c r="AE435">
        <v>18</v>
      </c>
      <c r="AF435">
        <v>1</v>
      </c>
      <c r="AG435">
        <v>5.17</v>
      </c>
      <c r="AH435">
        <v>0.06</v>
      </c>
      <c r="AI435">
        <v>2.3072774891123702</v>
      </c>
      <c r="AJ435" s="3" t="s">
        <v>46</v>
      </c>
      <c r="AK435" t="s">
        <v>5</v>
      </c>
      <c r="AL435">
        <v>6</v>
      </c>
      <c r="AM435">
        <v>0</v>
      </c>
      <c r="AN435">
        <v>5.17</v>
      </c>
      <c r="AO435">
        <v>0</v>
      </c>
      <c r="AP435">
        <v>1.60208197875972</v>
      </c>
      <c r="AQ435" s="2" t="s">
        <v>44</v>
      </c>
      <c r="AR435" t="s">
        <v>17</v>
      </c>
      <c r="AS435">
        <v>6</v>
      </c>
      <c r="AT435">
        <v>1</v>
      </c>
      <c r="AU435">
        <v>5.17</v>
      </c>
      <c r="AV435">
        <v>0.17</v>
      </c>
      <c r="AW435">
        <v>2.4832774042918899</v>
      </c>
      <c r="AX435" s="2" t="s">
        <v>44</v>
      </c>
      <c r="AY435" t="s">
        <v>49</v>
      </c>
      <c r="AZ435" s="6">
        <v>7</v>
      </c>
      <c r="BA435">
        <v>1</v>
      </c>
      <c r="BB435">
        <v>5.14</v>
      </c>
      <c r="BC435">
        <v>0.14000000000000001</v>
      </c>
      <c r="BD435">
        <v>2.79455252402308</v>
      </c>
      <c r="BE435" s="2" t="s">
        <v>272</v>
      </c>
    </row>
    <row r="436" spans="1:57" x14ac:dyDescent="0.35">
      <c r="A436" t="s">
        <v>16</v>
      </c>
      <c r="B436">
        <v>5</v>
      </c>
      <c r="C436">
        <v>0</v>
      </c>
      <c r="D436">
        <v>5.2</v>
      </c>
      <c r="E436">
        <v>0</v>
      </c>
      <c r="F436" s="7">
        <v>1.30384048104052</v>
      </c>
      <c r="G436" s="3" t="s">
        <v>45</v>
      </c>
      <c r="H436" t="s">
        <v>87</v>
      </c>
      <c r="I436">
        <v>5</v>
      </c>
      <c r="J436">
        <v>0</v>
      </c>
      <c r="K436">
        <v>5.2</v>
      </c>
      <c r="L436">
        <v>0</v>
      </c>
      <c r="M436">
        <v>1.7888543819998299</v>
      </c>
      <c r="N436" s="3" t="s">
        <v>45</v>
      </c>
      <c r="O436" t="s">
        <v>87</v>
      </c>
      <c r="P436">
        <v>5</v>
      </c>
      <c r="Q436">
        <v>0</v>
      </c>
      <c r="R436">
        <v>5.2</v>
      </c>
      <c r="S436">
        <v>0</v>
      </c>
      <c r="T436">
        <v>1.7888543819998299</v>
      </c>
      <c r="W436" t="s">
        <v>17</v>
      </c>
      <c r="X436">
        <v>6</v>
      </c>
      <c r="Y436">
        <v>1</v>
      </c>
      <c r="Z436">
        <v>5.17</v>
      </c>
      <c r="AA436">
        <v>0.17</v>
      </c>
      <c r="AB436">
        <v>2.4832774042918899</v>
      </c>
      <c r="AC436" s="3" t="s">
        <v>46</v>
      </c>
      <c r="AD436" t="s">
        <v>5</v>
      </c>
      <c r="AE436">
        <v>6</v>
      </c>
      <c r="AF436">
        <v>0</v>
      </c>
      <c r="AG436">
        <v>5.17</v>
      </c>
      <c r="AH436">
        <v>0</v>
      </c>
      <c r="AI436">
        <v>1.60208197875972</v>
      </c>
      <c r="AJ436" s="3" t="s">
        <v>46</v>
      </c>
      <c r="AK436" t="s">
        <v>17</v>
      </c>
      <c r="AL436">
        <v>6</v>
      </c>
      <c r="AM436">
        <v>1</v>
      </c>
      <c r="AN436">
        <v>5.17</v>
      </c>
      <c r="AO436">
        <v>0.17</v>
      </c>
      <c r="AP436">
        <v>2.4832774042918899</v>
      </c>
      <c r="AQ436" s="2" t="s">
        <v>44</v>
      </c>
      <c r="AR436" t="s">
        <v>87</v>
      </c>
      <c r="AS436">
        <v>5</v>
      </c>
      <c r="AT436">
        <v>0</v>
      </c>
      <c r="AU436">
        <v>5.2</v>
      </c>
      <c r="AV436">
        <v>0</v>
      </c>
      <c r="AW436">
        <v>1.7888543819998299</v>
      </c>
      <c r="AX436" s="2" t="s">
        <v>44</v>
      </c>
      <c r="AY436" t="s">
        <v>5</v>
      </c>
      <c r="AZ436">
        <v>6</v>
      </c>
      <c r="BA436">
        <v>0</v>
      </c>
      <c r="BB436">
        <v>5.17</v>
      </c>
      <c r="BC436">
        <v>0</v>
      </c>
      <c r="BD436">
        <v>1.60208197875972</v>
      </c>
      <c r="BE436" s="3" t="s">
        <v>45</v>
      </c>
    </row>
    <row r="437" spans="1:57" x14ac:dyDescent="0.35">
      <c r="A437" t="s">
        <v>137</v>
      </c>
      <c r="B437" s="6">
        <v>6</v>
      </c>
      <c r="C437">
        <v>0</v>
      </c>
      <c r="D437">
        <v>5.33</v>
      </c>
      <c r="E437">
        <v>0</v>
      </c>
      <c r="F437">
        <v>1.8618986725025199</v>
      </c>
      <c r="G437" s="2" t="s">
        <v>133</v>
      </c>
      <c r="H437" t="s">
        <v>50</v>
      </c>
      <c r="I437">
        <v>5</v>
      </c>
      <c r="J437">
        <v>0</v>
      </c>
      <c r="K437">
        <v>5.2</v>
      </c>
      <c r="L437">
        <v>0</v>
      </c>
      <c r="M437">
        <v>2.6832815729997401</v>
      </c>
      <c r="N437" s="3" t="s">
        <v>45</v>
      </c>
      <c r="O437" t="s">
        <v>50</v>
      </c>
      <c r="P437">
        <v>5</v>
      </c>
      <c r="Q437">
        <v>0</v>
      </c>
      <c r="R437">
        <v>5.2</v>
      </c>
      <c r="S437">
        <v>0</v>
      </c>
      <c r="T437">
        <v>2.6832815729997401</v>
      </c>
      <c r="W437" t="s">
        <v>87</v>
      </c>
      <c r="X437">
        <v>5</v>
      </c>
      <c r="Y437">
        <v>0</v>
      </c>
      <c r="Z437">
        <v>5.2</v>
      </c>
      <c r="AA437">
        <v>0</v>
      </c>
      <c r="AB437">
        <v>1.7888543819998299</v>
      </c>
      <c r="AC437" s="3" t="s">
        <v>46</v>
      </c>
      <c r="AD437" t="s">
        <v>17</v>
      </c>
      <c r="AE437">
        <v>6</v>
      </c>
      <c r="AF437">
        <v>1</v>
      </c>
      <c r="AG437">
        <v>5.17</v>
      </c>
      <c r="AH437">
        <v>0.17</v>
      </c>
      <c r="AI437">
        <v>2.4832774042918899</v>
      </c>
      <c r="AJ437" s="3" t="s">
        <v>46</v>
      </c>
      <c r="AK437" t="s">
        <v>87</v>
      </c>
      <c r="AL437">
        <v>5</v>
      </c>
      <c r="AM437">
        <v>0</v>
      </c>
      <c r="AN437">
        <v>5.2</v>
      </c>
      <c r="AO437">
        <v>0</v>
      </c>
      <c r="AP437">
        <v>1.7888543819998299</v>
      </c>
      <c r="AQ437" s="2" t="s">
        <v>44</v>
      </c>
      <c r="AR437" t="s">
        <v>50</v>
      </c>
      <c r="AS437">
        <v>5</v>
      </c>
      <c r="AT437">
        <v>0</v>
      </c>
      <c r="AU437">
        <v>5.2</v>
      </c>
      <c r="AV437">
        <v>0</v>
      </c>
      <c r="AW437">
        <v>2.6832815729997401</v>
      </c>
      <c r="AX437" s="2" t="s">
        <v>44</v>
      </c>
      <c r="AY437" t="s">
        <v>17</v>
      </c>
      <c r="AZ437">
        <v>6</v>
      </c>
      <c r="BA437">
        <v>1</v>
      </c>
      <c r="BB437">
        <v>5.17</v>
      </c>
      <c r="BC437">
        <v>0.17</v>
      </c>
      <c r="BD437">
        <v>2.4832774042918899</v>
      </c>
      <c r="BE437" s="3" t="s">
        <v>45</v>
      </c>
    </row>
    <row r="438" spans="1:57" x14ac:dyDescent="0.35">
      <c r="A438" t="s">
        <v>6</v>
      </c>
      <c r="B438">
        <v>37</v>
      </c>
      <c r="C438">
        <v>3</v>
      </c>
      <c r="D438">
        <v>5.38</v>
      </c>
      <c r="E438">
        <v>0.08</v>
      </c>
      <c r="F438">
        <v>2.1647600758943599</v>
      </c>
      <c r="G438" s="3" t="s">
        <v>54</v>
      </c>
      <c r="H438" t="s">
        <v>16</v>
      </c>
      <c r="I438">
        <v>5</v>
      </c>
      <c r="J438">
        <v>0</v>
      </c>
      <c r="K438">
        <v>5.2</v>
      </c>
      <c r="L438">
        <v>0</v>
      </c>
      <c r="M438" s="7">
        <v>1.30384048104052</v>
      </c>
      <c r="N438" s="3" t="s">
        <v>45</v>
      </c>
      <c r="O438" t="s">
        <v>16</v>
      </c>
      <c r="P438">
        <v>5</v>
      </c>
      <c r="Q438">
        <v>0</v>
      </c>
      <c r="R438">
        <v>5.2</v>
      </c>
      <c r="S438">
        <v>0</v>
      </c>
      <c r="T438" s="7">
        <v>1.30384048104052</v>
      </c>
      <c r="W438" t="s">
        <v>50</v>
      </c>
      <c r="X438">
        <v>5</v>
      </c>
      <c r="Y438">
        <v>0</v>
      </c>
      <c r="Z438">
        <v>5.2</v>
      </c>
      <c r="AA438">
        <v>0</v>
      </c>
      <c r="AB438">
        <v>2.6832815729997401</v>
      </c>
      <c r="AC438" s="3" t="s">
        <v>46</v>
      </c>
      <c r="AD438" t="s">
        <v>87</v>
      </c>
      <c r="AE438">
        <v>5</v>
      </c>
      <c r="AF438">
        <v>0</v>
      </c>
      <c r="AG438">
        <v>5.2</v>
      </c>
      <c r="AH438">
        <v>0</v>
      </c>
      <c r="AI438">
        <v>1.7888543819998299</v>
      </c>
      <c r="AJ438" s="3" t="s">
        <v>46</v>
      </c>
      <c r="AK438" t="s">
        <v>50</v>
      </c>
      <c r="AL438">
        <v>5</v>
      </c>
      <c r="AM438">
        <v>0</v>
      </c>
      <c r="AN438">
        <v>5.2</v>
      </c>
      <c r="AO438">
        <v>0</v>
      </c>
      <c r="AP438">
        <v>2.6832815729997401</v>
      </c>
      <c r="AQ438" s="2" t="s">
        <v>44</v>
      </c>
      <c r="AR438" t="s">
        <v>79</v>
      </c>
      <c r="AS438">
        <v>14</v>
      </c>
      <c r="AT438">
        <v>0</v>
      </c>
      <c r="AU438">
        <v>5.21</v>
      </c>
      <c r="AV438">
        <v>0</v>
      </c>
      <c r="AW438">
        <v>2.0821058655036802</v>
      </c>
      <c r="AX438" s="2" t="s">
        <v>44</v>
      </c>
      <c r="AY438" t="s">
        <v>87</v>
      </c>
      <c r="AZ438">
        <v>5</v>
      </c>
      <c r="BA438">
        <v>0</v>
      </c>
      <c r="BB438">
        <v>5.2</v>
      </c>
      <c r="BC438">
        <v>0</v>
      </c>
      <c r="BD438">
        <v>1.7888543819998299</v>
      </c>
      <c r="BE438" s="3" t="s">
        <v>45</v>
      </c>
    </row>
    <row r="439" spans="1:57" x14ac:dyDescent="0.35">
      <c r="A439" t="s">
        <v>49</v>
      </c>
      <c r="B439">
        <v>5</v>
      </c>
      <c r="C439">
        <v>1</v>
      </c>
      <c r="D439">
        <v>5.4</v>
      </c>
      <c r="E439">
        <v>0.2</v>
      </c>
      <c r="F439" s="7">
        <v>2.88097205817758</v>
      </c>
      <c r="G439" s="3" t="s">
        <v>54</v>
      </c>
      <c r="H439" t="s">
        <v>137</v>
      </c>
      <c r="I439">
        <v>6</v>
      </c>
      <c r="J439">
        <v>0</v>
      </c>
      <c r="K439">
        <v>5.33</v>
      </c>
      <c r="L439">
        <v>0</v>
      </c>
      <c r="M439">
        <v>1.8618986725025199</v>
      </c>
      <c r="N439" s="3" t="s">
        <v>45</v>
      </c>
      <c r="O439" t="s">
        <v>137</v>
      </c>
      <c r="P439">
        <v>6</v>
      </c>
      <c r="Q439">
        <v>0</v>
      </c>
      <c r="R439">
        <v>5.33</v>
      </c>
      <c r="S439">
        <v>0</v>
      </c>
      <c r="T439">
        <v>1.8618986725025199</v>
      </c>
      <c r="W439" t="s">
        <v>137</v>
      </c>
      <c r="X439">
        <v>6</v>
      </c>
      <c r="Y439">
        <v>0</v>
      </c>
      <c r="Z439">
        <v>5.33</v>
      </c>
      <c r="AA439">
        <v>0</v>
      </c>
      <c r="AB439">
        <v>1.8618986725025199</v>
      </c>
      <c r="AD439" t="s">
        <v>50</v>
      </c>
      <c r="AE439">
        <v>5</v>
      </c>
      <c r="AF439">
        <v>0</v>
      </c>
      <c r="AG439">
        <v>5.2</v>
      </c>
      <c r="AH439">
        <v>0</v>
      </c>
      <c r="AI439">
        <v>2.6832815729997401</v>
      </c>
      <c r="AJ439" s="3" t="s">
        <v>46</v>
      </c>
      <c r="AK439" t="s">
        <v>79</v>
      </c>
      <c r="AL439" s="6">
        <v>14</v>
      </c>
      <c r="AM439">
        <v>0</v>
      </c>
      <c r="AN439">
        <v>5.21</v>
      </c>
      <c r="AO439">
        <v>0</v>
      </c>
      <c r="AP439">
        <v>2.0821058655036802</v>
      </c>
      <c r="AQ439" s="3" t="s">
        <v>144</v>
      </c>
      <c r="AR439" t="s">
        <v>1</v>
      </c>
      <c r="AS439" s="6">
        <v>23</v>
      </c>
      <c r="AT439">
        <v>1</v>
      </c>
      <c r="AU439">
        <v>5.22</v>
      </c>
      <c r="AV439">
        <v>0.04</v>
      </c>
      <c r="AW439">
        <v>2.1310800023191399</v>
      </c>
      <c r="AX439" s="3" t="s">
        <v>69</v>
      </c>
      <c r="AY439" t="s">
        <v>79</v>
      </c>
      <c r="AZ439">
        <v>14</v>
      </c>
      <c r="BA439">
        <v>0</v>
      </c>
      <c r="BB439">
        <v>5.21</v>
      </c>
      <c r="BC439">
        <v>0</v>
      </c>
      <c r="BD439">
        <v>2.0821058655036802</v>
      </c>
      <c r="BE439" s="3" t="s">
        <v>46</v>
      </c>
    </row>
    <row r="440" spans="1:57" x14ac:dyDescent="0.35">
      <c r="A440" t="s">
        <v>31</v>
      </c>
      <c r="B440" s="6">
        <v>8</v>
      </c>
      <c r="C440">
        <v>0</v>
      </c>
      <c r="D440">
        <v>5.5</v>
      </c>
      <c r="E440">
        <v>0</v>
      </c>
      <c r="F440">
        <v>1.41421356237309</v>
      </c>
      <c r="G440" s="2" t="s">
        <v>88</v>
      </c>
      <c r="H440" t="s">
        <v>6</v>
      </c>
      <c r="I440">
        <v>37</v>
      </c>
      <c r="J440">
        <v>3</v>
      </c>
      <c r="K440">
        <v>5.38</v>
      </c>
      <c r="L440">
        <v>0.08</v>
      </c>
      <c r="M440">
        <v>2.1647600758943599</v>
      </c>
      <c r="N440" s="3" t="s">
        <v>45</v>
      </c>
      <c r="O440" t="s">
        <v>6</v>
      </c>
      <c r="P440">
        <v>37</v>
      </c>
      <c r="Q440">
        <v>3</v>
      </c>
      <c r="R440">
        <v>5.38</v>
      </c>
      <c r="S440">
        <v>0.08</v>
      </c>
      <c r="T440">
        <v>2.1647600758943599</v>
      </c>
      <c r="W440" t="s">
        <v>6</v>
      </c>
      <c r="X440">
        <v>37</v>
      </c>
      <c r="Y440">
        <v>3</v>
      </c>
      <c r="Z440">
        <v>5.38</v>
      </c>
      <c r="AA440">
        <v>0.08</v>
      </c>
      <c r="AB440">
        <v>2.1647600758943599</v>
      </c>
      <c r="AD440" t="s">
        <v>137</v>
      </c>
      <c r="AE440">
        <v>6</v>
      </c>
      <c r="AF440">
        <v>0</v>
      </c>
      <c r="AG440">
        <v>5.33</v>
      </c>
      <c r="AH440">
        <v>0</v>
      </c>
      <c r="AI440">
        <v>1.8618986725025199</v>
      </c>
      <c r="AJ440" s="3" t="s">
        <v>46</v>
      </c>
      <c r="AK440" t="s">
        <v>137</v>
      </c>
      <c r="AL440">
        <v>6</v>
      </c>
      <c r="AM440">
        <v>0</v>
      </c>
      <c r="AN440">
        <v>5.33</v>
      </c>
      <c r="AO440">
        <v>0</v>
      </c>
      <c r="AP440">
        <v>1.8618986725025199</v>
      </c>
      <c r="AR440" t="s">
        <v>137</v>
      </c>
      <c r="AS440">
        <v>6</v>
      </c>
      <c r="AT440">
        <v>0</v>
      </c>
      <c r="AU440">
        <v>5.33</v>
      </c>
      <c r="AV440">
        <v>0</v>
      </c>
      <c r="AW440">
        <v>1.8618986725025199</v>
      </c>
      <c r="AY440" t="s">
        <v>1</v>
      </c>
      <c r="AZ440">
        <v>23</v>
      </c>
      <c r="BA440">
        <v>1</v>
      </c>
      <c r="BB440">
        <v>5.22</v>
      </c>
      <c r="BC440">
        <v>0.04</v>
      </c>
      <c r="BD440">
        <v>2.1310800023191399</v>
      </c>
      <c r="BE440" s="3" t="s">
        <v>46</v>
      </c>
    </row>
    <row r="441" spans="1:57" x14ac:dyDescent="0.35">
      <c r="A441" t="s">
        <v>19</v>
      </c>
      <c r="B441">
        <v>8</v>
      </c>
      <c r="C441">
        <v>1</v>
      </c>
      <c r="D441">
        <v>5.5</v>
      </c>
      <c r="E441">
        <v>0.13</v>
      </c>
      <c r="F441">
        <v>2.3299294900428702</v>
      </c>
      <c r="G441" s="3" t="s">
        <v>55</v>
      </c>
      <c r="H441" t="s">
        <v>49</v>
      </c>
      <c r="I441">
        <v>5</v>
      </c>
      <c r="J441">
        <v>1</v>
      </c>
      <c r="K441">
        <v>5.4</v>
      </c>
      <c r="L441">
        <v>0.2</v>
      </c>
      <c r="M441" s="7">
        <v>2.88097205817758</v>
      </c>
      <c r="N441" s="3" t="s">
        <v>45</v>
      </c>
      <c r="O441" t="s">
        <v>49</v>
      </c>
      <c r="P441">
        <v>5</v>
      </c>
      <c r="Q441">
        <v>1</v>
      </c>
      <c r="R441">
        <v>5.4</v>
      </c>
      <c r="S441">
        <v>0.2</v>
      </c>
      <c r="T441" s="7">
        <v>2.88097205817758</v>
      </c>
      <c r="W441" t="s">
        <v>49</v>
      </c>
      <c r="X441">
        <v>5</v>
      </c>
      <c r="Y441">
        <v>1</v>
      </c>
      <c r="Z441">
        <v>5.4</v>
      </c>
      <c r="AA441">
        <v>0.2</v>
      </c>
      <c r="AB441">
        <v>2.88097205817758</v>
      </c>
      <c r="AD441" t="s">
        <v>6</v>
      </c>
      <c r="AE441">
        <v>37</v>
      </c>
      <c r="AF441">
        <v>3</v>
      </c>
      <c r="AG441">
        <v>5.38</v>
      </c>
      <c r="AH441">
        <v>0.08</v>
      </c>
      <c r="AI441">
        <v>2.1647600758943599</v>
      </c>
      <c r="AJ441" s="3" t="s">
        <v>46</v>
      </c>
      <c r="AK441" t="s">
        <v>6</v>
      </c>
      <c r="AL441">
        <v>37</v>
      </c>
      <c r="AM441">
        <v>3</v>
      </c>
      <c r="AN441">
        <v>5.38</v>
      </c>
      <c r="AO441">
        <v>0.08</v>
      </c>
      <c r="AP441">
        <v>2.1647600758943599</v>
      </c>
      <c r="AR441" t="s">
        <v>49</v>
      </c>
      <c r="AS441">
        <v>5</v>
      </c>
      <c r="AT441">
        <v>1</v>
      </c>
      <c r="AU441">
        <v>5.4</v>
      </c>
      <c r="AV441">
        <v>0.2</v>
      </c>
      <c r="AW441">
        <v>2.88097205817758</v>
      </c>
      <c r="AY441" t="s">
        <v>137</v>
      </c>
      <c r="AZ441">
        <v>6</v>
      </c>
      <c r="BA441">
        <v>0</v>
      </c>
      <c r="BB441">
        <v>5.33</v>
      </c>
      <c r="BC441">
        <v>0</v>
      </c>
      <c r="BD441">
        <v>1.8618986725025199</v>
      </c>
      <c r="BE441" s="3" t="s">
        <v>46</v>
      </c>
    </row>
    <row r="442" spans="1:57" x14ac:dyDescent="0.35">
      <c r="A442" t="s">
        <v>124</v>
      </c>
      <c r="B442">
        <v>6</v>
      </c>
      <c r="C442">
        <v>0</v>
      </c>
      <c r="D442">
        <v>5.5</v>
      </c>
      <c r="E442">
        <v>0</v>
      </c>
      <c r="F442">
        <v>2.16794833886788</v>
      </c>
      <c r="G442" s="3" t="s">
        <v>55</v>
      </c>
      <c r="H442" t="s">
        <v>31</v>
      </c>
      <c r="I442">
        <v>8</v>
      </c>
      <c r="J442">
        <v>0</v>
      </c>
      <c r="K442">
        <v>5.5</v>
      </c>
      <c r="L442">
        <v>0</v>
      </c>
      <c r="M442">
        <v>1.9272482233188599</v>
      </c>
      <c r="N442" s="3" t="s">
        <v>45</v>
      </c>
      <c r="O442" t="s">
        <v>31</v>
      </c>
      <c r="P442">
        <v>8</v>
      </c>
      <c r="Q442">
        <v>0</v>
      </c>
      <c r="R442">
        <v>5.5</v>
      </c>
      <c r="S442">
        <v>0</v>
      </c>
      <c r="T442">
        <v>1.9272482233188599</v>
      </c>
      <c r="W442" t="s">
        <v>31</v>
      </c>
      <c r="X442">
        <v>8</v>
      </c>
      <c r="Y442">
        <v>0</v>
      </c>
      <c r="Z442">
        <v>5.5</v>
      </c>
      <c r="AA442">
        <v>0</v>
      </c>
      <c r="AB442">
        <v>1.9272482233188599</v>
      </c>
      <c r="AD442" t="s">
        <v>49</v>
      </c>
      <c r="AE442">
        <v>5</v>
      </c>
      <c r="AF442">
        <v>1</v>
      </c>
      <c r="AG442">
        <v>5.4</v>
      </c>
      <c r="AH442">
        <v>0.2</v>
      </c>
      <c r="AI442">
        <v>2.88097205817758</v>
      </c>
      <c r="AJ442" s="3" t="s">
        <v>46</v>
      </c>
      <c r="AK442" t="s">
        <v>49</v>
      </c>
      <c r="AL442">
        <v>5</v>
      </c>
      <c r="AM442">
        <v>1</v>
      </c>
      <c r="AN442">
        <v>5.4</v>
      </c>
      <c r="AO442">
        <v>0.2</v>
      </c>
      <c r="AP442">
        <v>2.88097205817758</v>
      </c>
      <c r="AR442" t="s">
        <v>6</v>
      </c>
      <c r="AS442" s="6">
        <v>38</v>
      </c>
      <c r="AT442">
        <v>3</v>
      </c>
      <c r="AU442">
        <v>5.42</v>
      </c>
      <c r="AV442">
        <v>0.08</v>
      </c>
      <c r="AW442">
        <v>2.1514492783133501</v>
      </c>
      <c r="AX442" s="3" t="s">
        <v>46</v>
      </c>
      <c r="AY442" t="s">
        <v>6</v>
      </c>
      <c r="AZ442">
        <v>38</v>
      </c>
      <c r="BA442">
        <v>3</v>
      </c>
      <c r="BB442">
        <v>5.42</v>
      </c>
      <c r="BC442">
        <v>0.08</v>
      </c>
      <c r="BD442">
        <v>2.3299294900428702</v>
      </c>
    </row>
    <row r="443" spans="1:57" x14ac:dyDescent="0.35">
      <c r="A443" t="s">
        <v>105</v>
      </c>
      <c r="B443">
        <v>5</v>
      </c>
      <c r="C443">
        <v>0</v>
      </c>
      <c r="D443">
        <v>5.6</v>
      </c>
      <c r="E443">
        <v>0</v>
      </c>
      <c r="F443">
        <v>1.8165902124584901</v>
      </c>
      <c r="G443" s="3" t="s">
        <v>55</v>
      </c>
      <c r="H443" t="s">
        <v>19</v>
      </c>
      <c r="I443">
        <v>8</v>
      </c>
      <c r="J443">
        <v>1</v>
      </c>
      <c r="K443">
        <v>5.5</v>
      </c>
      <c r="L443">
        <v>0.13</v>
      </c>
      <c r="M443">
        <v>2.3299294900428702</v>
      </c>
      <c r="N443" s="3" t="s">
        <v>45</v>
      </c>
      <c r="O443" t="s">
        <v>19</v>
      </c>
      <c r="P443">
        <v>8</v>
      </c>
      <c r="Q443">
        <v>1</v>
      </c>
      <c r="R443">
        <v>5.5</v>
      </c>
      <c r="S443">
        <v>0.13</v>
      </c>
      <c r="T443">
        <v>2.3299294900428702</v>
      </c>
      <c r="W443" t="s">
        <v>19</v>
      </c>
      <c r="X443">
        <v>8</v>
      </c>
      <c r="Y443">
        <v>1</v>
      </c>
      <c r="Z443">
        <v>5.5</v>
      </c>
      <c r="AA443">
        <v>0.13</v>
      </c>
      <c r="AB443">
        <v>2.3299294900428702</v>
      </c>
      <c r="AD443" t="s">
        <v>31</v>
      </c>
      <c r="AE443">
        <v>8</v>
      </c>
      <c r="AF443">
        <v>0</v>
      </c>
      <c r="AG443">
        <v>5.5</v>
      </c>
      <c r="AH443">
        <v>0</v>
      </c>
      <c r="AI443">
        <v>1.9272482233188599</v>
      </c>
      <c r="AJ443" s="3" t="s">
        <v>46</v>
      </c>
      <c r="AK443" t="s">
        <v>31</v>
      </c>
      <c r="AL443">
        <v>8</v>
      </c>
      <c r="AM443">
        <v>0</v>
      </c>
      <c r="AN443">
        <v>5.5</v>
      </c>
      <c r="AO443">
        <v>0</v>
      </c>
      <c r="AP443">
        <v>1.9272482233188599</v>
      </c>
      <c r="AR443" t="s">
        <v>31</v>
      </c>
      <c r="AS443">
        <v>8</v>
      </c>
      <c r="AT443">
        <v>0</v>
      </c>
      <c r="AU443">
        <v>5.5</v>
      </c>
      <c r="AV443">
        <v>0</v>
      </c>
      <c r="AW443">
        <v>1.9272482233188599</v>
      </c>
      <c r="AY443" t="s">
        <v>31</v>
      </c>
      <c r="AZ443">
        <v>8</v>
      </c>
      <c r="BA443">
        <v>0</v>
      </c>
      <c r="BB443">
        <v>5.5</v>
      </c>
      <c r="BC443">
        <v>0</v>
      </c>
      <c r="BD443">
        <v>1.9272482233188599</v>
      </c>
    </row>
    <row r="444" spans="1:57" x14ac:dyDescent="0.35">
      <c r="A444" t="s">
        <v>89</v>
      </c>
      <c r="B444" s="6">
        <v>6</v>
      </c>
      <c r="C444">
        <v>0</v>
      </c>
      <c r="D444">
        <v>5.67</v>
      </c>
      <c r="E444">
        <v>0</v>
      </c>
      <c r="F444">
        <v>1.96638416050035</v>
      </c>
      <c r="G444" s="12" t="s">
        <v>85</v>
      </c>
      <c r="H444" t="s">
        <v>124</v>
      </c>
      <c r="I444">
        <v>6</v>
      </c>
      <c r="J444">
        <v>0</v>
      </c>
      <c r="K444">
        <v>5.5</v>
      </c>
      <c r="L444">
        <v>0</v>
      </c>
      <c r="M444">
        <v>2.16794833886788</v>
      </c>
      <c r="N444" s="3" t="s">
        <v>45</v>
      </c>
      <c r="O444" t="s">
        <v>124</v>
      </c>
      <c r="P444">
        <v>6</v>
      </c>
      <c r="Q444">
        <v>0</v>
      </c>
      <c r="R444">
        <v>5.5</v>
      </c>
      <c r="S444">
        <v>0</v>
      </c>
      <c r="T444">
        <v>2.16794833886788</v>
      </c>
      <c r="W444" t="s">
        <v>124</v>
      </c>
      <c r="X444">
        <v>6</v>
      </c>
      <c r="Y444">
        <v>0</v>
      </c>
      <c r="Z444">
        <v>5.5</v>
      </c>
      <c r="AA444">
        <v>0</v>
      </c>
      <c r="AB444">
        <v>2.16794833886788</v>
      </c>
      <c r="AD444" t="s">
        <v>19</v>
      </c>
      <c r="AE444">
        <v>8</v>
      </c>
      <c r="AF444">
        <v>1</v>
      </c>
      <c r="AG444">
        <v>5.5</v>
      </c>
      <c r="AH444">
        <v>0.13</v>
      </c>
      <c r="AI444">
        <v>2.3299294900428702</v>
      </c>
      <c r="AJ444" s="3" t="s">
        <v>46</v>
      </c>
      <c r="AK444" t="s">
        <v>19</v>
      </c>
      <c r="AL444">
        <v>8</v>
      </c>
      <c r="AM444">
        <v>1</v>
      </c>
      <c r="AN444">
        <v>5.5</v>
      </c>
      <c r="AO444">
        <v>0.13</v>
      </c>
      <c r="AP444">
        <v>2.3299294900428702</v>
      </c>
      <c r="AR444" t="s">
        <v>124</v>
      </c>
      <c r="AS444">
        <v>6</v>
      </c>
      <c r="AT444">
        <v>0</v>
      </c>
      <c r="AU444">
        <v>5.5</v>
      </c>
      <c r="AV444">
        <v>0</v>
      </c>
      <c r="AW444">
        <v>2.16794833886788</v>
      </c>
      <c r="AY444" t="s">
        <v>19</v>
      </c>
      <c r="AZ444">
        <v>8</v>
      </c>
      <c r="BA444">
        <v>1</v>
      </c>
      <c r="BB444">
        <v>5.5</v>
      </c>
      <c r="BC444">
        <v>0.13</v>
      </c>
      <c r="BD444">
        <v>2.3021728866442599</v>
      </c>
    </row>
    <row r="445" spans="1:57" x14ac:dyDescent="0.35">
      <c r="A445" t="s">
        <v>82</v>
      </c>
      <c r="B445">
        <v>5</v>
      </c>
      <c r="C445">
        <v>0</v>
      </c>
      <c r="D445">
        <v>5.8</v>
      </c>
      <c r="E445">
        <v>0</v>
      </c>
      <c r="F445">
        <v>2.16794833886788</v>
      </c>
      <c r="G445" s="3" t="s">
        <v>94</v>
      </c>
      <c r="H445" t="s">
        <v>105</v>
      </c>
      <c r="I445">
        <v>5</v>
      </c>
      <c r="J445">
        <v>0</v>
      </c>
      <c r="K445">
        <v>5.6</v>
      </c>
      <c r="L445">
        <v>0</v>
      </c>
      <c r="M445">
        <v>1.8165902124584901</v>
      </c>
      <c r="N445" s="3" t="s">
        <v>45</v>
      </c>
      <c r="O445" t="s">
        <v>105</v>
      </c>
      <c r="P445">
        <v>5</v>
      </c>
      <c r="Q445">
        <v>0</v>
      </c>
      <c r="R445">
        <v>5.6</v>
      </c>
      <c r="S445">
        <v>0</v>
      </c>
      <c r="T445">
        <v>1.8165902124584901</v>
      </c>
      <c r="W445" t="s">
        <v>105</v>
      </c>
      <c r="X445">
        <v>5</v>
      </c>
      <c r="Y445">
        <v>0</v>
      </c>
      <c r="Z445">
        <v>5.6</v>
      </c>
      <c r="AA445">
        <v>0</v>
      </c>
      <c r="AB445">
        <v>1.8165902124584901</v>
      </c>
      <c r="AD445" t="s">
        <v>124</v>
      </c>
      <c r="AE445">
        <v>6</v>
      </c>
      <c r="AF445">
        <v>0</v>
      </c>
      <c r="AG445">
        <v>5.5</v>
      </c>
      <c r="AH445">
        <v>0</v>
      </c>
      <c r="AI445">
        <v>2.16794833886788</v>
      </c>
      <c r="AJ445" s="3" t="s">
        <v>46</v>
      </c>
      <c r="AK445" t="s">
        <v>124</v>
      </c>
      <c r="AL445">
        <v>6</v>
      </c>
      <c r="AM445">
        <v>0</v>
      </c>
      <c r="AN445">
        <v>5.5</v>
      </c>
      <c r="AO445">
        <v>0</v>
      </c>
      <c r="AP445">
        <v>2.16794833886788</v>
      </c>
      <c r="AR445" t="s">
        <v>19</v>
      </c>
      <c r="AS445">
        <v>8</v>
      </c>
      <c r="AT445">
        <v>1</v>
      </c>
      <c r="AU445">
        <v>5.5</v>
      </c>
      <c r="AV445">
        <v>0.13</v>
      </c>
      <c r="AW445">
        <v>2.3299294900428702</v>
      </c>
      <c r="AY445" t="s">
        <v>124</v>
      </c>
      <c r="AZ445">
        <v>6</v>
      </c>
      <c r="BA445">
        <v>0</v>
      </c>
      <c r="BB445">
        <v>5.5</v>
      </c>
      <c r="BC445">
        <v>0</v>
      </c>
      <c r="BD445">
        <v>2.16794833886788</v>
      </c>
    </row>
    <row r="446" spans="1:57" x14ac:dyDescent="0.35">
      <c r="A446" t="s">
        <v>20</v>
      </c>
      <c r="B446">
        <v>11</v>
      </c>
      <c r="C446">
        <v>1</v>
      </c>
      <c r="D446">
        <v>5.82</v>
      </c>
      <c r="E446">
        <v>0.09</v>
      </c>
      <c r="F446">
        <v>2.3159525823376299</v>
      </c>
      <c r="G446" s="3" t="s">
        <v>55</v>
      </c>
      <c r="H446" t="s">
        <v>89</v>
      </c>
      <c r="I446">
        <v>6</v>
      </c>
      <c r="J446">
        <v>0</v>
      </c>
      <c r="K446">
        <v>5.67</v>
      </c>
      <c r="L446">
        <v>0</v>
      </c>
      <c r="M446">
        <v>1.96638416050035</v>
      </c>
      <c r="N446" s="3" t="s">
        <v>45</v>
      </c>
      <c r="O446" t="s">
        <v>89</v>
      </c>
      <c r="P446">
        <v>6</v>
      </c>
      <c r="Q446">
        <v>0</v>
      </c>
      <c r="R446">
        <v>5.67</v>
      </c>
      <c r="S446">
        <v>0</v>
      </c>
      <c r="T446">
        <v>1.96638416050035</v>
      </c>
      <c r="W446" t="s">
        <v>16</v>
      </c>
      <c r="X446" s="6">
        <v>6</v>
      </c>
      <c r="Y446">
        <v>0</v>
      </c>
      <c r="Z446">
        <v>5.67</v>
      </c>
      <c r="AA446">
        <v>0</v>
      </c>
      <c r="AB446">
        <v>1.6329931618554501</v>
      </c>
      <c r="AC446" s="3" t="s">
        <v>67</v>
      </c>
      <c r="AD446" t="s">
        <v>105</v>
      </c>
      <c r="AE446">
        <v>5</v>
      </c>
      <c r="AF446">
        <v>0</v>
      </c>
      <c r="AG446">
        <v>5.6</v>
      </c>
      <c r="AH446">
        <v>0</v>
      </c>
      <c r="AI446">
        <v>1.8165902124584901</v>
      </c>
      <c r="AJ446" s="3" t="s">
        <v>46</v>
      </c>
      <c r="AK446" t="s">
        <v>105</v>
      </c>
      <c r="AL446">
        <v>5</v>
      </c>
      <c r="AM446">
        <v>0</v>
      </c>
      <c r="AN446">
        <v>5.6</v>
      </c>
      <c r="AO446">
        <v>0</v>
      </c>
      <c r="AP446">
        <v>1.8165902124584901</v>
      </c>
      <c r="AR446" t="s">
        <v>105</v>
      </c>
      <c r="AS446">
        <v>5</v>
      </c>
      <c r="AT446">
        <v>0</v>
      </c>
      <c r="AU446">
        <v>5.6</v>
      </c>
      <c r="AV446">
        <v>0</v>
      </c>
      <c r="AW446">
        <v>1.8165902124584901</v>
      </c>
      <c r="AY446" t="s">
        <v>105</v>
      </c>
      <c r="AZ446">
        <v>5</v>
      </c>
      <c r="BA446">
        <v>0</v>
      </c>
      <c r="BB446">
        <v>5.6</v>
      </c>
      <c r="BC446">
        <v>0</v>
      </c>
      <c r="BD446">
        <v>1.8165902124584901</v>
      </c>
    </row>
    <row r="447" spans="1:57" x14ac:dyDescent="0.35">
      <c r="A447" t="s">
        <v>32</v>
      </c>
      <c r="B447">
        <v>12</v>
      </c>
      <c r="C447">
        <v>1</v>
      </c>
      <c r="D447">
        <v>5.83</v>
      </c>
      <c r="E447">
        <v>0.08</v>
      </c>
      <c r="F447">
        <v>2.1248885888797799</v>
      </c>
      <c r="G447" s="3" t="s">
        <v>55</v>
      </c>
      <c r="H447" t="s">
        <v>82</v>
      </c>
      <c r="I447">
        <v>5</v>
      </c>
      <c r="J447">
        <v>0</v>
      </c>
      <c r="K447">
        <v>5.8</v>
      </c>
      <c r="L447">
        <v>0</v>
      </c>
      <c r="M447">
        <v>2.16794833886788</v>
      </c>
      <c r="N447" s="3" t="s">
        <v>45</v>
      </c>
      <c r="O447" t="s">
        <v>82</v>
      </c>
      <c r="P447">
        <v>5</v>
      </c>
      <c r="Q447">
        <v>0</v>
      </c>
      <c r="R447">
        <v>5.8</v>
      </c>
      <c r="S447">
        <v>0</v>
      </c>
      <c r="T447">
        <v>2.16794833886788</v>
      </c>
      <c r="W447" t="s">
        <v>89</v>
      </c>
      <c r="X447">
        <v>6</v>
      </c>
      <c r="Y447">
        <v>0</v>
      </c>
      <c r="Z447">
        <v>5.67</v>
      </c>
      <c r="AA447">
        <v>0</v>
      </c>
      <c r="AB447">
        <v>1.96638416050035</v>
      </c>
      <c r="AC447" s="3" t="s">
        <v>46</v>
      </c>
      <c r="AD447" t="s">
        <v>89</v>
      </c>
      <c r="AE447">
        <v>6</v>
      </c>
      <c r="AF447">
        <v>0</v>
      </c>
      <c r="AG447">
        <v>5.67</v>
      </c>
      <c r="AH447">
        <v>0</v>
      </c>
      <c r="AI447">
        <v>1.96638416050035</v>
      </c>
      <c r="AK447" t="s">
        <v>89</v>
      </c>
      <c r="AL447">
        <v>6</v>
      </c>
      <c r="AM447">
        <v>0</v>
      </c>
      <c r="AN447">
        <v>5.67</v>
      </c>
      <c r="AO447">
        <v>0</v>
      </c>
      <c r="AP447">
        <v>1.96638416050035</v>
      </c>
      <c r="AR447" t="s">
        <v>12</v>
      </c>
      <c r="AS447" s="6">
        <v>8</v>
      </c>
      <c r="AT447">
        <v>0</v>
      </c>
      <c r="AU447">
        <v>5.63</v>
      </c>
      <c r="AV447">
        <v>0</v>
      </c>
      <c r="AW447">
        <v>2.44584195260913</v>
      </c>
      <c r="AX447" s="2" t="s">
        <v>272</v>
      </c>
      <c r="AY447" t="s">
        <v>56</v>
      </c>
      <c r="AZ447" s="6">
        <v>5</v>
      </c>
      <c r="BA447">
        <v>0</v>
      </c>
      <c r="BB447">
        <v>5.6</v>
      </c>
      <c r="BC447">
        <v>0</v>
      </c>
      <c r="BD447">
        <v>2.03049835952651</v>
      </c>
      <c r="BE447" s="12" t="s">
        <v>85</v>
      </c>
    </row>
    <row r="448" spans="1:57" x14ac:dyDescent="0.35">
      <c r="A448" t="s">
        <v>4</v>
      </c>
      <c r="B448">
        <v>8</v>
      </c>
      <c r="C448">
        <v>0</v>
      </c>
      <c r="D448">
        <v>5.88</v>
      </c>
      <c r="E448">
        <v>0</v>
      </c>
      <c r="F448">
        <v>2.1001700611412999</v>
      </c>
      <c r="G448" s="3" t="s">
        <v>55</v>
      </c>
      <c r="H448" t="s">
        <v>20</v>
      </c>
      <c r="I448">
        <v>11</v>
      </c>
      <c r="J448">
        <v>1</v>
      </c>
      <c r="K448">
        <v>5.82</v>
      </c>
      <c r="L448">
        <v>0.09</v>
      </c>
      <c r="M448">
        <v>2.3159525823376299</v>
      </c>
      <c r="N448" s="3" t="s">
        <v>45</v>
      </c>
      <c r="O448" t="s">
        <v>20</v>
      </c>
      <c r="P448">
        <v>11</v>
      </c>
      <c r="Q448">
        <v>1</v>
      </c>
      <c r="R448">
        <v>5.82</v>
      </c>
      <c r="S448">
        <v>0.09</v>
      </c>
      <c r="T448">
        <v>2.3159525823376299</v>
      </c>
      <c r="W448" t="s">
        <v>82</v>
      </c>
      <c r="X448">
        <v>5</v>
      </c>
      <c r="Y448">
        <v>0</v>
      </c>
      <c r="Z448">
        <v>5.8</v>
      </c>
      <c r="AA448">
        <v>0</v>
      </c>
      <c r="AB448">
        <v>2.16794833886788</v>
      </c>
      <c r="AC448" s="3" t="s">
        <v>46</v>
      </c>
      <c r="AD448" t="s">
        <v>82</v>
      </c>
      <c r="AE448">
        <v>5</v>
      </c>
      <c r="AF448">
        <v>0</v>
      </c>
      <c r="AG448">
        <v>5.8</v>
      </c>
      <c r="AH448">
        <v>0</v>
      </c>
      <c r="AI448">
        <v>2.16794833886788</v>
      </c>
      <c r="AK448" t="s">
        <v>82</v>
      </c>
      <c r="AL448">
        <v>5</v>
      </c>
      <c r="AM448">
        <v>0</v>
      </c>
      <c r="AN448">
        <v>5.8</v>
      </c>
      <c r="AO448">
        <v>0</v>
      </c>
      <c r="AP448">
        <v>2.16794833886788</v>
      </c>
      <c r="AR448" t="s">
        <v>89</v>
      </c>
      <c r="AS448">
        <v>6</v>
      </c>
      <c r="AT448">
        <v>0</v>
      </c>
      <c r="AU448">
        <v>5.67</v>
      </c>
      <c r="AV448">
        <v>0</v>
      </c>
      <c r="AW448">
        <v>1.96638416050035</v>
      </c>
      <c r="AX448" s="3" t="s">
        <v>46</v>
      </c>
      <c r="AY448" t="s">
        <v>12</v>
      </c>
      <c r="AZ448">
        <v>8</v>
      </c>
      <c r="BA448">
        <v>0</v>
      </c>
      <c r="BB448">
        <v>5.63</v>
      </c>
      <c r="BC448">
        <v>0</v>
      </c>
      <c r="BD448">
        <v>2.44584195260913</v>
      </c>
      <c r="BE448" s="3" t="s">
        <v>46</v>
      </c>
    </row>
    <row r="449" spans="1:63" x14ac:dyDescent="0.35">
      <c r="A449" t="s">
        <v>90</v>
      </c>
      <c r="B449">
        <v>6</v>
      </c>
      <c r="C449">
        <v>1</v>
      </c>
      <c r="D449">
        <v>6</v>
      </c>
      <c r="E449">
        <v>0.17</v>
      </c>
      <c r="F449">
        <v>2.7568097504180402</v>
      </c>
      <c r="G449" s="3" t="s">
        <v>54</v>
      </c>
      <c r="H449" t="s">
        <v>32</v>
      </c>
      <c r="I449">
        <v>12</v>
      </c>
      <c r="J449">
        <v>1</v>
      </c>
      <c r="K449">
        <v>5.83</v>
      </c>
      <c r="L449">
        <v>0.08</v>
      </c>
      <c r="M449">
        <v>2.1248885888797799</v>
      </c>
      <c r="N449" s="3" t="s">
        <v>45</v>
      </c>
      <c r="O449" t="s">
        <v>32</v>
      </c>
      <c r="P449">
        <v>12</v>
      </c>
      <c r="Q449">
        <v>1</v>
      </c>
      <c r="R449">
        <v>5.83</v>
      </c>
      <c r="S449">
        <v>0.08</v>
      </c>
      <c r="T449">
        <v>2.1248885888797799</v>
      </c>
      <c r="W449" t="s">
        <v>20</v>
      </c>
      <c r="X449">
        <v>11</v>
      </c>
      <c r="Y449">
        <v>1</v>
      </c>
      <c r="Z449">
        <v>5.82</v>
      </c>
      <c r="AA449">
        <v>0.09</v>
      </c>
      <c r="AB449">
        <v>2.3159525823376299</v>
      </c>
      <c r="AC449" s="3" t="s">
        <v>46</v>
      </c>
      <c r="AD449" t="s">
        <v>20</v>
      </c>
      <c r="AE449">
        <v>11</v>
      </c>
      <c r="AF449">
        <v>1</v>
      </c>
      <c r="AG449">
        <v>5.82</v>
      </c>
      <c r="AH449">
        <v>0.09</v>
      </c>
      <c r="AI449">
        <v>2.3159525823376299</v>
      </c>
      <c r="AK449" t="s">
        <v>20</v>
      </c>
      <c r="AL449">
        <v>11</v>
      </c>
      <c r="AM449">
        <v>1</v>
      </c>
      <c r="AN449">
        <v>5.82</v>
      </c>
      <c r="AO449">
        <v>0.09</v>
      </c>
      <c r="AP449">
        <v>2.3159525823376299</v>
      </c>
      <c r="AR449" t="s">
        <v>82</v>
      </c>
      <c r="AS449">
        <v>5</v>
      </c>
      <c r="AT449">
        <v>0</v>
      </c>
      <c r="AU449">
        <v>5.8</v>
      </c>
      <c r="AV449">
        <v>0</v>
      </c>
      <c r="AW449">
        <v>2.16794833886788</v>
      </c>
      <c r="AX449" s="3" t="s">
        <v>46</v>
      </c>
      <c r="AY449" t="s">
        <v>89</v>
      </c>
      <c r="AZ449">
        <v>6</v>
      </c>
      <c r="BA449">
        <v>0</v>
      </c>
      <c r="BB449">
        <v>5.67</v>
      </c>
      <c r="BC449">
        <v>0</v>
      </c>
      <c r="BD449">
        <v>1.96638416050035</v>
      </c>
      <c r="BE449" s="3" t="s">
        <v>46</v>
      </c>
    </row>
    <row r="450" spans="1:63" x14ac:dyDescent="0.35">
      <c r="A450" t="s">
        <v>12</v>
      </c>
      <c r="B450">
        <v>5</v>
      </c>
      <c r="C450">
        <v>0</v>
      </c>
      <c r="D450">
        <v>6</v>
      </c>
      <c r="E450">
        <v>0</v>
      </c>
      <c r="F450">
        <v>2.54950975679639</v>
      </c>
      <c r="G450" s="3" t="s">
        <v>54</v>
      </c>
      <c r="H450" t="s">
        <v>4</v>
      </c>
      <c r="I450">
        <v>8</v>
      </c>
      <c r="J450">
        <v>0</v>
      </c>
      <c r="K450">
        <v>5.88</v>
      </c>
      <c r="L450">
        <v>0</v>
      </c>
      <c r="M450">
        <v>2.1001700611412999</v>
      </c>
      <c r="N450" s="3" t="s">
        <v>45</v>
      </c>
      <c r="O450" t="s">
        <v>4</v>
      </c>
      <c r="P450">
        <v>8</v>
      </c>
      <c r="Q450">
        <v>0</v>
      </c>
      <c r="R450">
        <v>5.88</v>
      </c>
      <c r="S450">
        <v>0</v>
      </c>
      <c r="T450">
        <v>2.1001700611412999</v>
      </c>
      <c r="W450" t="s">
        <v>32</v>
      </c>
      <c r="X450">
        <v>12</v>
      </c>
      <c r="Y450">
        <v>1</v>
      </c>
      <c r="Z450">
        <v>5.83</v>
      </c>
      <c r="AA450">
        <v>0.08</v>
      </c>
      <c r="AB450">
        <v>2.1248885888797799</v>
      </c>
      <c r="AC450" s="3" t="s">
        <v>46</v>
      </c>
      <c r="AD450" t="s">
        <v>32</v>
      </c>
      <c r="AE450">
        <v>12</v>
      </c>
      <c r="AF450">
        <v>1</v>
      </c>
      <c r="AG450">
        <v>5.83</v>
      </c>
      <c r="AH450">
        <v>0.08</v>
      </c>
      <c r="AI450">
        <v>2.1248885888797799</v>
      </c>
      <c r="AK450" t="s">
        <v>32</v>
      </c>
      <c r="AL450">
        <v>12</v>
      </c>
      <c r="AM450">
        <v>1</v>
      </c>
      <c r="AN450">
        <v>5.83</v>
      </c>
      <c r="AO450">
        <v>0.08</v>
      </c>
      <c r="AP450">
        <v>2.1248885888797799</v>
      </c>
      <c r="AR450" t="s">
        <v>20</v>
      </c>
      <c r="AS450">
        <v>11</v>
      </c>
      <c r="AT450">
        <v>1</v>
      </c>
      <c r="AU450">
        <v>5.82</v>
      </c>
      <c r="AV450">
        <v>0.09</v>
      </c>
      <c r="AW450">
        <v>2.3159525823376299</v>
      </c>
      <c r="AX450" s="3" t="s">
        <v>46</v>
      </c>
      <c r="AY450" t="s">
        <v>82</v>
      </c>
      <c r="AZ450">
        <v>5</v>
      </c>
      <c r="BA450">
        <v>0</v>
      </c>
      <c r="BB450">
        <v>5.8</v>
      </c>
      <c r="BC450">
        <v>0</v>
      </c>
      <c r="BD450">
        <v>2.16794833886788</v>
      </c>
      <c r="BE450" s="3" t="s">
        <v>46</v>
      </c>
    </row>
    <row r="451" spans="1:63" x14ac:dyDescent="0.35">
      <c r="A451" t="s">
        <v>33</v>
      </c>
      <c r="B451">
        <v>5</v>
      </c>
      <c r="C451">
        <v>0</v>
      </c>
      <c r="D451">
        <v>6.2</v>
      </c>
      <c r="E451">
        <v>0</v>
      </c>
      <c r="F451">
        <v>2.3874672772626599</v>
      </c>
      <c r="G451" s="3" t="s">
        <v>349</v>
      </c>
      <c r="H451" t="s">
        <v>90</v>
      </c>
      <c r="I451">
        <v>6</v>
      </c>
      <c r="J451">
        <v>1</v>
      </c>
      <c r="K451">
        <v>6</v>
      </c>
      <c r="L451">
        <v>0.17</v>
      </c>
      <c r="M451">
        <v>2.7568097504180402</v>
      </c>
      <c r="N451" s="3" t="s">
        <v>45</v>
      </c>
      <c r="O451" t="s">
        <v>90</v>
      </c>
      <c r="P451">
        <v>6</v>
      </c>
      <c r="Q451">
        <v>1</v>
      </c>
      <c r="R451">
        <v>6</v>
      </c>
      <c r="S451">
        <v>0.17</v>
      </c>
      <c r="T451">
        <v>2.7568097504180402</v>
      </c>
      <c r="W451" t="s">
        <v>4</v>
      </c>
      <c r="X451">
        <v>8</v>
      </c>
      <c r="Y451">
        <v>0</v>
      </c>
      <c r="Z451">
        <v>5.88</v>
      </c>
      <c r="AA451">
        <v>0</v>
      </c>
      <c r="AB451">
        <v>2.1001700611412999</v>
      </c>
      <c r="AC451" s="3" t="s">
        <v>46</v>
      </c>
      <c r="AD451" t="s">
        <v>4</v>
      </c>
      <c r="AE451">
        <v>8</v>
      </c>
      <c r="AF451">
        <v>0</v>
      </c>
      <c r="AG451">
        <v>5.88</v>
      </c>
      <c r="AH451">
        <v>0</v>
      </c>
      <c r="AI451">
        <v>2.1001700611412999</v>
      </c>
      <c r="AK451" t="s">
        <v>4</v>
      </c>
      <c r="AL451">
        <v>8</v>
      </c>
      <c r="AM451">
        <v>0</v>
      </c>
      <c r="AN451">
        <v>5.88</v>
      </c>
      <c r="AO451">
        <v>0</v>
      </c>
      <c r="AP451">
        <v>2.1001700611412999</v>
      </c>
      <c r="AR451" t="s">
        <v>32</v>
      </c>
      <c r="AS451">
        <v>12</v>
      </c>
      <c r="AT451">
        <v>1</v>
      </c>
      <c r="AU451">
        <v>5.83</v>
      </c>
      <c r="AV451">
        <v>0.08</v>
      </c>
      <c r="AW451">
        <v>2.1248885888797799</v>
      </c>
      <c r="AX451" s="3" t="s">
        <v>46</v>
      </c>
      <c r="AY451" t="s">
        <v>20</v>
      </c>
      <c r="AZ451">
        <v>11</v>
      </c>
      <c r="BA451">
        <v>1</v>
      </c>
      <c r="BB451">
        <v>5.82</v>
      </c>
      <c r="BC451">
        <v>0.09</v>
      </c>
      <c r="BD451">
        <v>2.3159525823376299</v>
      </c>
      <c r="BE451" s="3" t="s">
        <v>46</v>
      </c>
    </row>
    <row r="452" spans="1:63" x14ac:dyDescent="0.35">
      <c r="H452" t="s">
        <v>33</v>
      </c>
      <c r="I452" s="6">
        <v>9</v>
      </c>
      <c r="J452">
        <v>0</v>
      </c>
      <c r="K452">
        <v>6.11</v>
      </c>
      <c r="L452">
        <v>0</v>
      </c>
      <c r="M452">
        <v>2.2607766610417501</v>
      </c>
      <c r="N452" s="3" t="s">
        <v>358</v>
      </c>
      <c r="O452" t="s">
        <v>33</v>
      </c>
      <c r="P452">
        <v>9</v>
      </c>
      <c r="Q452">
        <v>0</v>
      </c>
      <c r="R452">
        <v>6.11</v>
      </c>
      <c r="S452">
        <v>0</v>
      </c>
      <c r="T452">
        <v>2.2607766610417501</v>
      </c>
      <c r="W452" t="s">
        <v>90</v>
      </c>
      <c r="X452">
        <v>6</v>
      </c>
      <c r="Y452">
        <v>1</v>
      </c>
      <c r="Z452">
        <v>6</v>
      </c>
      <c r="AA452">
        <v>0.17</v>
      </c>
      <c r="AB452">
        <v>2.7568097504180402</v>
      </c>
      <c r="AC452" s="3" t="s">
        <v>46</v>
      </c>
      <c r="AD452" t="s">
        <v>90</v>
      </c>
      <c r="AE452">
        <v>6</v>
      </c>
      <c r="AF452">
        <v>1</v>
      </c>
      <c r="AG452">
        <v>6</v>
      </c>
      <c r="AH452">
        <v>0.17</v>
      </c>
      <c r="AI452">
        <v>2.7568097504180402</v>
      </c>
      <c r="AK452" t="s">
        <v>90</v>
      </c>
      <c r="AL452">
        <v>6</v>
      </c>
      <c r="AM452">
        <v>1</v>
      </c>
      <c r="AN452">
        <v>6</v>
      </c>
      <c r="AO452">
        <v>0.17</v>
      </c>
      <c r="AP452">
        <v>2.7568097504180402</v>
      </c>
      <c r="AR452" t="s">
        <v>4</v>
      </c>
      <c r="AS452">
        <v>8</v>
      </c>
      <c r="AT452">
        <v>0</v>
      </c>
      <c r="AU452">
        <v>5.88</v>
      </c>
      <c r="AV452">
        <v>0</v>
      </c>
      <c r="AW452">
        <v>2.1001700611412999</v>
      </c>
      <c r="AX452" s="3" t="s">
        <v>46</v>
      </c>
      <c r="AY452" t="s">
        <v>32</v>
      </c>
      <c r="AZ452">
        <v>12</v>
      </c>
      <c r="BA452">
        <v>1</v>
      </c>
      <c r="BB452">
        <v>5.83</v>
      </c>
      <c r="BC452">
        <v>0.08</v>
      </c>
      <c r="BD452">
        <v>2.1248885888797799</v>
      </c>
      <c r="BE452" s="3" t="s">
        <v>46</v>
      </c>
    </row>
    <row r="453" spans="1:63" x14ac:dyDescent="0.35">
      <c r="H453" t="s">
        <v>12</v>
      </c>
      <c r="I453" s="6">
        <v>7</v>
      </c>
      <c r="J453">
        <v>0</v>
      </c>
      <c r="K453">
        <v>6.14</v>
      </c>
      <c r="L453">
        <v>0</v>
      </c>
      <c r="M453">
        <v>2.1157009420498101</v>
      </c>
      <c r="N453" s="3" t="s">
        <v>54</v>
      </c>
      <c r="O453" t="s">
        <v>12</v>
      </c>
      <c r="P453">
        <v>7</v>
      </c>
      <c r="Q453">
        <v>0</v>
      </c>
      <c r="R453">
        <v>6.14</v>
      </c>
      <c r="S453">
        <v>0</v>
      </c>
      <c r="T453">
        <v>2.1157009420498101</v>
      </c>
      <c r="W453" t="s">
        <v>12</v>
      </c>
      <c r="X453">
        <v>7</v>
      </c>
      <c r="Y453">
        <v>0</v>
      </c>
      <c r="Z453">
        <v>6.14</v>
      </c>
      <c r="AA453">
        <v>0</v>
      </c>
      <c r="AB453">
        <v>2.1157009420498101</v>
      </c>
      <c r="AD453" t="s">
        <v>12</v>
      </c>
      <c r="AE453">
        <v>7</v>
      </c>
      <c r="AF453">
        <v>0</v>
      </c>
      <c r="AG453">
        <v>6.14</v>
      </c>
      <c r="AH453">
        <v>0</v>
      </c>
      <c r="AI453">
        <v>2.1157009420498101</v>
      </c>
      <c r="AK453" t="s">
        <v>12</v>
      </c>
      <c r="AL453">
        <v>7</v>
      </c>
      <c r="AM453">
        <v>0</v>
      </c>
      <c r="AN453">
        <v>6.14</v>
      </c>
      <c r="AO453">
        <v>0</v>
      </c>
      <c r="AP453">
        <v>2.1157009420498101</v>
      </c>
      <c r="AR453" t="s">
        <v>33</v>
      </c>
      <c r="AS453">
        <v>10</v>
      </c>
      <c r="AT453">
        <v>0</v>
      </c>
      <c r="AU453">
        <v>6.2</v>
      </c>
      <c r="AV453">
        <v>0</v>
      </c>
      <c r="AW453">
        <v>2.14993539954627</v>
      </c>
      <c r="AX453" s="28" t="s">
        <v>366</v>
      </c>
      <c r="AY453" t="s">
        <v>4</v>
      </c>
      <c r="AZ453">
        <v>8</v>
      </c>
      <c r="BA453">
        <v>0</v>
      </c>
      <c r="BB453">
        <v>5.88</v>
      </c>
      <c r="BC453">
        <v>0</v>
      </c>
      <c r="BD453">
        <v>2.1001700611412999</v>
      </c>
      <c r="BE453" s="3" t="s">
        <v>46</v>
      </c>
    </row>
    <row r="454" spans="1:63" x14ac:dyDescent="0.35">
      <c r="W454" t="s">
        <v>33</v>
      </c>
      <c r="X454" s="6">
        <v>10</v>
      </c>
      <c r="Y454">
        <v>0</v>
      </c>
      <c r="Z454">
        <v>6.2</v>
      </c>
      <c r="AA454">
        <v>0</v>
      </c>
      <c r="AB454">
        <v>2.14993539954627</v>
      </c>
      <c r="AC454" s="3" t="s">
        <v>363</v>
      </c>
      <c r="AD454" t="s">
        <v>33</v>
      </c>
      <c r="AE454">
        <v>10</v>
      </c>
      <c r="AF454">
        <v>0</v>
      </c>
      <c r="AG454">
        <v>6.2</v>
      </c>
      <c r="AH454">
        <v>0</v>
      </c>
      <c r="AI454">
        <v>2.14993539954627</v>
      </c>
      <c r="AJ454" s="27" t="s">
        <v>291</v>
      </c>
      <c r="AK454" t="s">
        <v>33</v>
      </c>
      <c r="AL454">
        <v>10</v>
      </c>
      <c r="AM454">
        <v>0</v>
      </c>
      <c r="AN454">
        <v>6.2</v>
      </c>
      <c r="AO454">
        <v>0</v>
      </c>
      <c r="AP454">
        <v>2.14993539954627</v>
      </c>
      <c r="AQ454" s="27" t="s">
        <v>291</v>
      </c>
      <c r="AR454" t="s">
        <v>90</v>
      </c>
      <c r="AS454" s="6">
        <v>7</v>
      </c>
      <c r="AT454">
        <v>1</v>
      </c>
      <c r="AU454">
        <v>6.29</v>
      </c>
      <c r="AV454">
        <v>0.17</v>
      </c>
      <c r="AW454">
        <v>2.6276913640612101</v>
      </c>
      <c r="AX454" s="29" t="s">
        <v>367</v>
      </c>
      <c r="AY454" t="s">
        <v>33</v>
      </c>
      <c r="AZ454">
        <v>10</v>
      </c>
      <c r="BA454">
        <v>0</v>
      </c>
      <c r="BB454">
        <v>6.2</v>
      </c>
      <c r="BC454">
        <v>0</v>
      </c>
      <c r="BD454">
        <v>2.14993539954627</v>
      </c>
      <c r="BE454" s="3" t="s">
        <v>368</v>
      </c>
    </row>
    <row r="455" spans="1:63" x14ac:dyDescent="0.35">
      <c r="AY455" t="s">
        <v>90</v>
      </c>
      <c r="AZ455">
        <v>7</v>
      </c>
      <c r="BA455">
        <v>1</v>
      </c>
      <c r="BB455">
        <v>6.29</v>
      </c>
      <c r="BC455">
        <v>0.17</v>
      </c>
      <c r="BD455">
        <v>2.1514492783133501</v>
      </c>
      <c r="BE455" s="3" t="s">
        <v>46</v>
      </c>
    </row>
    <row r="456" spans="1:63" x14ac:dyDescent="0.35">
      <c r="A456" s="4" t="s">
        <v>42</v>
      </c>
      <c r="B456" s="4" t="s">
        <v>38</v>
      </c>
      <c r="C456" s="4" t="s">
        <v>39</v>
      </c>
      <c r="D456" s="4" t="s">
        <v>40</v>
      </c>
      <c r="E456" s="4" t="s">
        <v>111</v>
      </c>
      <c r="F456" s="4" t="s">
        <v>275</v>
      </c>
      <c r="I456" s="4" t="s">
        <v>42</v>
      </c>
      <c r="J456" s="4" t="s">
        <v>38</v>
      </c>
      <c r="K456" s="4" t="s">
        <v>39</v>
      </c>
      <c r="L456" s="4" t="s">
        <v>40</v>
      </c>
      <c r="M456" s="4" t="s">
        <v>111</v>
      </c>
      <c r="O456" s="4" t="s">
        <v>43</v>
      </c>
      <c r="Q456" s="4" t="s">
        <v>42</v>
      </c>
      <c r="R456" s="4" t="s">
        <v>38</v>
      </c>
      <c r="S456" s="4" t="s">
        <v>39</v>
      </c>
      <c r="T456" s="4" t="s">
        <v>40</v>
      </c>
      <c r="U456" s="4" t="s">
        <v>111</v>
      </c>
      <c r="Y456" s="4" t="s">
        <v>42</v>
      </c>
      <c r="Z456" s="4" t="s">
        <v>38</v>
      </c>
      <c r="AA456" s="4" t="s">
        <v>39</v>
      </c>
      <c r="AB456" s="4" t="s">
        <v>40</v>
      </c>
      <c r="AC456" s="4" t="s">
        <v>111</v>
      </c>
      <c r="AG456" s="4" t="s">
        <v>42</v>
      </c>
      <c r="AH456" s="4" t="s">
        <v>38</v>
      </c>
      <c r="AI456" s="4" t="s">
        <v>39</v>
      </c>
      <c r="AJ456" s="4" t="s">
        <v>40</v>
      </c>
      <c r="AK456" s="4" t="s">
        <v>111</v>
      </c>
      <c r="AO456" s="4" t="s">
        <v>42</v>
      </c>
      <c r="AP456" s="4" t="s">
        <v>38</v>
      </c>
      <c r="AQ456" s="4" t="s">
        <v>39</v>
      </c>
      <c r="AR456" s="4" t="s">
        <v>40</v>
      </c>
      <c r="AS456" s="4" t="s">
        <v>111</v>
      </c>
    </row>
    <row r="457" spans="1:63" x14ac:dyDescent="0.35">
      <c r="A457" t="s">
        <v>128</v>
      </c>
      <c r="B457">
        <v>43</v>
      </c>
      <c r="C457">
        <v>15</v>
      </c>
      <c r="D457">
        <f t="shared" ref="D457:D491" si="0">G457/B457</f>
        <v>2.86046511627907</v>
      </c>
      <c r="E457">
        <f t="shared" ref="E457:E491" si="1">C457/B457</f>
        <v>0.34883720930232559</v>
      </c>
      <c r="F457">
        <v>2.03049835952651</v>
      </c>
      <c r="G457" s="18">
        <v>123</v>
      </c>
      <c r="I457" s="18" t="s">
        <v>128</v>
      </c>
      <c r="J457" s="18">
        <v>43</v>
      </c>
      <c r="K457" s="18">
        <v>15</v>
      </c>
      <c r="L457" s="18">
        <f t="shared" ref="L457:L492" si="2">O457/J457</f>
        <v>2.86046511627907</v>
      </c>
      <c r="M457" s="18">
        <f t="shared" ref="M457:M492" si="3">K457/J457</f>
        <v>0.34883720930232559</v>
      </c>
      <c r="O457" s="18">
        <v>123</v>
      </c>
      <c r="Q457" t="s">
        <v>128</v>
      </c>
      <c r="R457">
        <v>43</v>
      </c>
      <c r="S457">
        <v>15</v>
      </c>
      <c r="T457">
        <f t="shared" ref="T457:T495" si="4">W457/R457</f>
        <v>2.86046511627907</v>
      </c>
      <c r="U457">
        <f t="shared" ref="U457:U495" si="5">S457/R457</f>
        <v>0.34883720930232559</v>
      </c>
      <c r="W457" s="18">
        <v>123</v>
      </c>
      <c r="Y457" t="s">
        <v>128</v>
      </c>
      <c r="Z457">
        <v>43</v>
      </c>
      <c r="AA457">
        <v>15</v>
      </c>
      <c r="AB457">
        <f t="shared" ref="AB457:AB496" si="6">AE457/Z457</f>
        <v>2.86046511627907</v>
      </c>
      <c r="AC457">
        <f t="shared" ref="AC457:AC496" si="7">AA457/Z457</f>
        <v>0.34883720930232559</v>
      </c>
      <c r="AE457" s="18">
        <v>123</v>
      </c>
      <c r="AG457" t="s">
        <v>128</v>
      </c>
      <c r="AH457">
        <v>43</v>
      </c>
      <c r="AI457">
        <v>15</v>
      </c>
      <c r="AJ457">
        <f t="shared" ref="AJ457:AJ498" si="8">AM457/AH457</f>
        <v>2.86046511627907</v>
      </c>
      <c r="AK457">
        <f t="shared" ref="AK457:AK498" si="9">AI457/AH457</f>
        <v>0.34883720930232559</v>
      </c>
      <c r="AM457" s="18">
        <v>123</v>
      </c>
      <c r="AO457" t="s">
        <v>128</v>
      </c>
      <c r="AP457">
        <v>43</v>
      </c>
      <c r="AQ457">
        <v>15</v>
      </c>
      <c r="AR457">
        <f t="shared" ref="AR457:AR501" si="10">AU457/AP457</f>
        <v>2.86046511627907</v>
      </c>
      <c r="AS457">
        <f t="shared" ref="AS457:AS501" si="11">AQ457/AP457</f>
        <v>0.34883720930232559</v>
      </c>
      <c r="AU457" s="18">
        <v>123</v>
      </c>
      <c r="AW457" s="4" t="s">
        <v>42</v>
      </c>
      <c r="AX457" s="4" t="s">
        <v>38</v>
      </c>
      <c r="AY457" s="4" t="s">
        <v>39</v>
      </c>
      <c r="AZ457" s="4" t="s">
        <v>40</v>
      </c>
      <c r="BA457" s="4" t="s">
        <v>111</v>
      </c>
      <c r="BE457" s="4" t="s">
        <v>42</v>
      </c>
      <c r="BF457" s="4" t="s">
        <v>38</v>
      </c>
      <c r="BG457" s="4" t="s">
        <v>39</v>
      </c>
      <c r="BH457" s="4" t="s">
        <v>40</v>
      </c>
      <c r="BI457" s="4" t="s">
        <v>111</v>
      </c>
    </row>
    <row r="458" spans="1:63" x14ac:dyDescent="0.35">
      <c r="A458" t="s">
        <v>121</v>
      </c>
      <c r="B458">
        <v>33</v>
      </c>
      <c r="C458">
        <v>8</v>
      </c>
      <c r="D458">
        <f t="shared" si="0"/>
        <v>3.5454545454545454</v>
      </c>
      <c r="E458">
        <f t="shared" si="1"/>
        <v>0.24242424242424243</v>
      </c>
      <c r="F458">
        <v>2.2233267457082899</v>
      </c>
      <c r="G458" s="18">
        <v>117</v>
      </c>
      <c r="I458" s="18" t="s">
        <v>121</v>
      </c>
      <c r="J458" s="31">
        <v>34</v>
      </c>
      <c r="K458" s="18">
        <v>8</v>
      </c>
      <c r="L458" s="18">
        <f t="shared" si="2"/>
        <v>3.5</v>
      </c>
      <c r="M458" s="18">
        <f t="shared" si="3"/>
        <v>0.23529411764705882</v>
      </c>
      <c r="O458" s="18">
        <v>119</v>
      </c>
      <c r="Q458" t="s">
        <v>121</v>
      </c>
      <c r="R458">
        <v>34</v>
      </c>
      <c r="S458">
        <v>8</v>
      </c>
      <c r="T458">
        <f t="shared" si="4"/>
        <v>3.5</v>
      </c>
      <c r="U458">
        <f t="shared" si="5"/>
        <v>0.23529411764705882</v>
      </c>
      <c r="W458" s="18">
        <v>119</v>
      </c>
      <c r="Y458" t="s">
        <v>35</v>
      </c>
      <c r="Z458" s="6">
        <v>46</v>
      </c>
      <c r="AA458" s="8">
        <v>17</v>
      </c>
      <c r="AB458">
        <f t="shared" si="6"/>
        <v>3.4782608695652173</v>
      </c>
      <c r="AC458" s="7">
        <f t="shared" si="7"/>
        <v>0.36956521739130432</v>
      </c>
      <c r="AD458" s="2" t="s">
        <v>44</v>
      </c>
      <c r="AE458" s="18">
        <v>160</v>
      </c>
      <c r="AG458" t="s">
        <v>121</v>
      </c>
      <c r="AH458" s="6">
        <v>34</v>
      </c>
      <c r="AI458">
        <v>8</v>
      </c>
      <c r="AJ458">
        <f t="shared" si="8"/>
        <v>3.5</v>
      </c>
      <c r="AK458">
        <f t="shared" si="9"/>
        <v>0.23529411764705882</v>
      </c>
      <c r="AL458" s="2" t="s">
        <v>44</v>
      </c>
      <c r="AM458" s="18">
        <v>119</v>
      </c>
      <c r="AO458" t="s">
        <v>35</v>
      </c>
      <c r="AP458" s="6">
        <v>49</v>
      </c>
      <c r="AQ458" s="8">
        <v>18</v>
      </c>
      <c r="AR458">
        <f t="shared" si="10"/>
        <v>3.489795918367347</v>
      </c>
      <c r="AS458" s="7">
        <f t="shared" si="11"/>
        <v>0.36734693877551022</v>
      </c>
      <c r="AT458" s="2" t="s">
        <v>44</v>
      </c>
      <c r="AU458" s="18">
        <v>171</v>
      </c>
      <c r="AW458" t="s">
        <v>128</v>
      </c>
      <c r="AX458">
        <v>43</v>
      </c>
      <c r="AY458">
        <v>15</v>
      </c>
      <c r="AZ458">
        <f t="shared" ref="AZ458:AZ504" si="12">BC458/AX458</f>
        <v>2.86046511627907</v>
      </c>
      <c r="BA458">
        <f t="shared" ref="BA458:BA504" si="13">AY458/AX458</f>
        <v>0.34883720930232559</v>
      </c>
      <c r="BC458" s="18">
        <v>123</v>
      </c>
      <c r="BE458" t="s">
        <v>128</v>
      </c>
      <c r="BF458">
        <v>43</v>
      </c>
      <c r="BG458">
        <v>15</v>
      </c>
      <c r="BH458">
        <f t="shared" ref="BH458:BH504" si="14">BK458/BF458</f>
        <v>2.86046511627907</v>
      </c>
      <c r="BI458">
        <f t="shared" ref="BI458:BI504" si="15">BG458/BF458</f>
        <v>0.34883720930232559</v>
      </c>
      <c r="BK458" s="18">
        <v>123</v>
      </c>
    </row>
    <row r="459" spans="1:63" x14ac:dyDescent="0.35">
      <c r="A459" t="s">
        <v>0</v>
      </c>
      <c r="B459">
        <v>36</v>
      </c>
      <c r="C459">
        <v>6</v>
      </c>
      <c r="D459">
        <f t="shared" si="0"/>
        <v>3.6666666666666665</v>
      </c>
      <c r="E459">
        <f t="shared" si="1"/>
        <v>0.16666666666666666</v>
      </c>
      <c r="F459">
        <v>2.16465107712866</v>
      </c>
      <c r="G459" s="18">
        <v>132</v>
      </c>
      <c r="I459" s="18" t="s">
        <v>35</v>
      </c>
      <c r="J459" s="31">
        <v>42</v>
      </c>
      <c r="K459" s="18">
        <v>14</v>
      </c>
      <c r="L459" s="18">
        <f t="shared" si="2"/>
        <v>3.6904761904761907</v>
      </c>
      <c r="M459" s="18">
        <f t="shared" si="3"/>
        <v>0.33333333333333331</v>
      </c>
      <c r="N459" s="2" t="s">
        <v>44</v>
      </c>
      <c r="O459" s="18">
        <v>155</v>
      </c>
      <c r="Q459" t="s">
        <v>35</v>
      </c>
      <c r="R459" s="6">
        <v>44</v>
      </c>
      <c r="S459" s="8">
        <v>16</v>
      </c>
      <c r="T459">
        <f t="shared" si="4"/>
        <v>3.5681818181818183</v>
      </c>
      <c r="U459" s="7">
        <f t="shared" si="5"/>
        <v>0.36363636363636365</v>
      </c>
      <c r="W459" s="18">
        <v>157</v>
      </c>
      <c r="Y459" t="s">
        <v>121</v>
      </c>
      <c r="Z459">
        <v>34</v>
      </c>
      <c r="AA459">
        <v>8</v>
      </c>
      <c r="AB459">
        <f t="shared" si="6"/>
        <v>3.5</v>
      </c>
      <c r="AC459">
        <f t="shared" si="7"/>
        <v>0.23529411764705882</v>
      </c>
      <c r="AD459" s="3" t="s">
        <v>46</v>
      </c>
      <c r="AE459" s="18">
        <v>119</v>
      </c>
      <c r="AG459" t="s">
        <v>35</v>
      </c>
      <c r="AH459" s="6">
        <v>47</v>
      </c>
      <c r="AI459" s="7">
        <v>17</v>
      </c>
      <c r="AJ459">
        <f t="shared" si="8"/>
        <v>3.5106382978723403</v>
      </c>
      <c r="AK459" s="7">
        <f t="shared" si="9"/>
        <v>0.36170212765957449</v>
      </c>
      <c r="AL459" s="3" t="s">
        <v>46</v>
      </c>
      <c r="AM459" s="18">
        <v>165</v>
      </c>
      <c r="AO459" t="s">
        <v>121</v>
      </c>
      <c r="AP459">
        <v>34</v>
      </c>
      <c r="AQ459">
        <v>8</v>
      </c>
      <c r="AR459">
        <f t="shared" si="10"/>
        <v>3.5</v>
      </c>
      <c r="AS459">
        <f t="shared" si="11"/>
        <v>0.23529411764705882</v>
      </c>
      <c r="AT459" s="3" t="s">
        <v>46</v>
      </c>
      <c r="AU459" s="18">
        <v>119</v>
      </c>
      <c r="AW459" t="s">
        <v>35</v>
      </c>
      <c r="AX459">
        <v>49</v>
      </c>
      <c r="AY459" s="7">
        <v>18</v>
      </c>
      <c r="AZ459">
        <f t="shared" si="12"/>
        <v>3.489795918367347</v>
      </c>
      <c r="BA459" s="7">
        <f t="shared" si="13"/>
        <v>0.36734693877551022</v>
      </c>
      <c r="BC459" s="18">
        <v>171</v>
      </c>
      <c r="BE459" t="s">
        <v>121</v>
      </c>
      <c r="BF459">
        <v>34</v>
      </c>
      <c r="BG459">
        <v>8</v>
      </c>
      <c r="BH459">
        <f t="shared" si="14"/>
        <v>3.5</v>
      </c>
      <c r="BI459">
        <f t="shared" si="15"/>
        <v>0.23529411764705882</v>
      </c>
      <c r="BJ459" s="2" t="s">
        <v>44</v>
      </c>
      <c r="BK459" s="18">
        <v>119</v>
      </c>
    </row>
    <row r="460" spans="1:63" x14ac:dyDescent="0.35">
      <c r="A460" t="s">
        <v>35</v>
      </c>
      <c r="B460">
        <v>41</v>
      </c>
      <c r="C460">
        <v>14</v>
      </c>
      <c r="D460">
        <f t="shared" si="0"/>
        <v>3.6829268292682928</v>
      </c>
      <c r="E460">
        <f t="shared" si="1"/>
        <v>0.34146341463414637</v>
      </c>
      <c r="F460">
        <v>2.6214406763289899</v>
      </c>
      <c r="G460" s="18">
        <v>151</v>
      </c>
      <c r="I460" s="18" t="s">
        <v>0</v>
      </c>
      <c r="J460" s="31">
        <v>38</v>
      </c>
      <c r="K460" s="18">
        <v>6</v>
      </c>
      <c r="L460" s="18">
        <f t="shared" si="2"/>
        <v>3.763157894736842</v>
      </c>
      <c r="M460" s="18">
        <f t="shared" si="3"/>
        <v>0.15789473684210525</v>
      </c>
      <c r="N460" s="3" t="s">
        <v>46</v>
      </c>
      <c r="O460" s="18">
        <v>143</v>
      </c>
      <c r="Q460" t="s">
        <v>52</v>
      </c>
      <c r="R460" s="6">
        <v>10</v>
      </c>
      <c r="S460" s="6">
        <v>1</v>
      </c>
      <c r="T460">
        <f t="shared" si="4"/>
        <v>3.7</v>
      </c>
      <c r="U460">
        <f t="shared" si="5"/>
        <v>0.1</v>
      </c>
      <c r="V460" s="10" t="s">
        <v>377</v>
      </c>
      <c r="W460" s="18">
        <v>37</v>
      </c>
      <c r="Y460" t="s">
        <v>52</v>
      </c>
      <c r="Z460">
        <v>10</v>
      </c>
      <c r="AA460">
        <v>1</v>
      </c>
      <c r="AB460">
        <f t="shared" si="6"/>
        <v>3.7</v>
      </c>
      <c r="AC460">
        <f t="shared" si="7"/>
        <v>0.1</v>
      </c>
      <c r="AE460" s="18">
        <v>37</v>
      </c>
      <c r="AG460" t="s">
        <v>52</v>
      </c>
      <c r="AH460">
        <v>10</v>
      </c>
      <c r="AI460">
        <v>1</v>
      </c>
      <c r="AJ460">
        <f t="shared" si="8"/>
        <v>3.7</v>
      </c>
      <c r="AK460">
        <f t="shared" si="9"/>
        <v>0.1</v>
      </c>
      <c r="AM460" s="18">
        <v>37</v>
      </c>
      <c r="AO460" t="s">
        <v>52</v>
      </c>
      <c r="AP460">
        <v>10</v>
      </c>
      <c r="AQ460">
        <v>1</v>
      </c>
      <c r="AR460">
        <f t="shared" si="10"/>
        <v>3.7</v>
      </c>
      <c r="AS460">
        <f t="shared" si="11"/>
        <v>0.1</v>
      </c>
      <c r="AU460" s="18">
        <v>37</v>
      </c>
      <c r="AW460" t="s">
        <v>121</v>
      </c>
      <c r="AX460">
        <v>34</v>
      </c>
      <c r="AY460">
        <v>8</v>
      </c>
      <c r="AZ460">
        <f t="shared" si="12"/>
        <v>3.5</v>
      </c>
      <c r="BA460">
        <f t="shared" si="13"/>
        <v>0.23529411764705882</v>
      </c>
      <c r="BC460" s="18">
        <v>119</v>
      </c>
      <c r="BE460" t="s">
        <v>35</v>
      </c>
      <c r="BF460" s="6">
        <v>51</v>
      </c>
      <c r="BG460" s="7">
        <v>18</v>
      </c>
      <c r="BH460">
        <f t="shared" si="14"/>
        <v>3.607843137254902</v>
      </c>
      <c r="BI460" s="7">
        <f t="shared" si="15"/>
        <v>0.35294117647058826</v>
      </c>
      <c r="BJ460" s="3" t="s">
        <v>46</v>
      </c>
      <c r="BK460" s="18">
        <v>184</v>
      </c>
    </row>
    <row r="461" spans="1:63" x14ac:dyDescent="0.35">
      <c r="A461" t="s">
        <v>2</v>
      </c>
      <c r="B461">
        <v>19</v>
      </c>
      <c r="C461">
        <v>4</v>
      </c>
      <c r="D461">
        <f t="shared" si="0"/>
        <v>3.8421052631578947</v>
      </c>
      <c r="E461">
        <f t="shared" si="1"/>
        <v>0.21052631578947367</v>
      </c>
      <c r="F461">
        <v>2.5876449587894599</v>
      </c>
      <c r="G461" s="18">
        <v>73</v>
      </c>
      <c r="I461" s="18" t="s">
        <v>139</v>
      </c>
      <c r="J461" s="18">
        <v>14</v>
      </c>
      <c r="K461" s="18">
        <v>2</v>
      </c>
      <c r="L461" s="18">
        <f t="shared" si="2"/>
        <v>3.8571428571428572</v>
      </c>
      <c r="M461" s="18">
        <f t="shared" si="3"/>
        <v>0.14285714285714285</v>
      </c>
      <c r="N461" s="2" t="s">
        <v>44</v>
      </c>
      <c r="O461" s="18">
        <v>54</v>
      </c>
      <c r="Q461" t="s">
        <v>139</v>
      </c>
      <c r="R461">
        <v>14</v>
      </c>
      <c r="S461">
        <v>2</v>
      </c>
      <c r="T461">
        <f t="shared" si="4"/>
        <v>3.8571428571428572</v>
      </c>
      <c r="U461">
        <f t="shared" si="5"/>
        <v>0.14285714285714285</v>
      </c>
      <c r="W461" s="18">
        <v>54</v>
      </c>
      <c r="Y461" t="s">
        <v>139</v>
      </c>
      <c r="Z461">
        <v>14</v>
      </c>
      <c r="AA461">
        <v>2</v>
      </c>
      <c r="AB461">
        <f t="shared" si="6"/>
        <v>3.8571428571428572</v>
      </c>
      <c r="AC461">
        <f t="shared" si="7"/>
        <v>0.14285714285714285</v>
      </c>
      <c r="AE461" s="18">
        <v>54</v>
      </c>
      <c r="AG461" t="s">
        <v>0</v>
      </c>
      <c r="AH461" s="6">
        <v>47</v>
      </c>
      <c r="AI461" s="6">
        <v>9</v>
      </c>
      <c r="AJ461">
        <f t="shared" si="8"/>
        <v>3.7872340425531914</v>
      </c>
      <c r="AK461">
        <f t="shared" si="9"/>
        <v>0.19148936170212766</v>
      </c>
      <c r="AL461" s="2" t="s">
        <v>44</v>
      </c>
      <c r="AM461" s="18">
        <v>178</v>
      </c>
      <c r="AO461" t="s">
        <v>139</v>
      </c>
      <c r="AP461">
        <v>14</v>
      </c>
      <c r="AQ461">
        <v>2</v>
      </c>
      <c r="AR461">
        <f t="shared" si="10"/>
        <v>3.8571428571428572</v>
      </c>
      <c r="AS461">
        <f t="shared" si="11"/>
        <v>0.14285714285714285</v>
      </c>
      <c r="AT461" s="2" t="s">
        <v>44</v>
      </c>
      <c r="AU461" s="18">
        <v>54</v>
      </c>
      <c r="AW461" t="s">
        <v>52</v>
      </c>
      <c r="AX461">
        <v>10</v>
      </c>
      <c r="AY461">
        <v>1</v>
      </c>
      <c r="AZ461">
        <f t="shared" si="12"/>
        <v>3.7</v>
      </c>
      <c r="BA461">
        <f t="shared" si="13"/>
        <v>0.1</v>
      </c>
      <c r="BC461" s="18">
        <v>37</v>
      </c>
      <c r="BE461" t="s">
        <v>52</v>
      </c>
      <c r="BF461">
        <v>10</v>
      </c>
      <c r="BG461">
        <v>1</v>
      </c>
      <c r="BH461">
        <f t="shared" si="14"/>
        <v>3.7</v>
      </c>
      <c r="BI461">
        <f t="shared" si="15"/>
        <v>0.1</v>
      </c>
      <c r="BK461" s="18">
        <v>37</v>
      </c>
    </row>
    <row r="462" spans="1:63" x14ac:dyDescent="0.35">
      <c r="A462" t="s">
        <v>139</v>
      </c>
      <c r="B462">
        <v>14</v>
      </c>
      <c r="C462">
        <v>2</v>
      </c>
      <c r="D462">
        <f t="shared" si="0"/>
        <v>3.8571428571428572</v>
      </c>
      <c r="E462">
        <f t="shared" si="1"/>
        <v>0.14285714285714285</v>
      </c>
      <c r="F462">
        <v>1.9944979263017399</v>
      </c>
      <c r="G462" s="18">
        <v>54</v>
      </c>
      <c r="I462" s="18" t="s">
        <v>27</v>
      </c>
      <c r="J462" s="18">
        <v>17</v>
      </c>
      <c r="K462" s="18">
        <v>1</v>
      </c>
      <c r="L462" s="18">
        <f t="shared" si="2"/>
        <v>4</v>
      </c>
      <c r="M462" s="18">
        <f t="shared" si="3"/>
        <v>5.8823529411764705E-2</v>
      </c>
      <c r="N462" s="2" t="s">
        <v>44</v>
      </c>
      <c r="O462" s="18">
        <v>68</v>
      </c>
      <c r="Q462" t="s">
        <v>0</v>
      </c>
      <c r="R462" s="6">
        <v>41</v>
      </c>
      <c r="S462">
        <v>6</v>
      </c>
      <c r="T462">
        <f t="shared" si="4"/>
        <v>3.8780487804878048</v>
      </c>
      <c r="U462">
        <f t="shared" si="5"/>
        <v>0.14634146341463414</v>
      </c>
      <c r="V462" s="3" t="s">
        <v>45</v>
      </c>
      <c r="W462" s="18">
        <v>159</v>
      </c>
      <c r="Y462" t="s">
        <v>0</v>
      </c>
      <c r="Z462">
        <v>43</v>
      </c>
      <c r="AA462">
        <v>6</v>
      </c>
      <c r="AB462">
        <f t="shared" si="6"/>
        <v>3.9302325581395348</v>
      </c>
      <c r="AC462">
        <f t="shared" si="7"/>
        <v>0.13953488372093023</v>
      </c>
      <c r="AE462" s="18">
        <v>169</v>
      </c>
      <c r="AG462" t="s">
        <v>139</v>
      </c>
      <c r="AH462">
        <v>14</v>
      </c>
      <c r="AI462">
        <v>2</v>
      </c>
      <c r="AJ462">
        <f t="shared" si="8"/>
        <v>3.8571428571428572</v>
      </c>
      <c r="AK462">
        <f t="shared" si="9"/>
        <v>0.14285714285714285</v>
      </c>
      <c r="AL462" s="3" t="s">
        <v>46</v>
      </c>
      <c r="AM462" s="18">
        <v>54</v>
      </c>
      <c r="AO462" t="s">
        <v>0</v>
      </c>
      <c r="AP462" s="6">
        <v>50</v>
      </c>
      <c r="AQ462">
        <v>9</v>
      </c>
      <c r="AR462">
        <f t="shared" si="10"/>
        <v>3.88</v>
      </c>
      <c r="AS462">
        <f t="shared" si="11"/>
        <v>0.18</v>
      </c>
      <c r="AT462" s="3" t="s">
        <v>46</v>
      </c>
      <c r="AU462" s="18">
        <v>194</v>
      </c>
      <c r="AW462" t="s">
        <v>139</v>
      </c>
      <c r="AX462">
        <v>14</v>
      </c>
      <c r="AY462">
        <v>2</v>
      </c>
      <c r="AZ462">
        <f t="shared" si="12"/>
        <v>3.8571428571428572</v>
      </c>
      <c r="BA462">
        <f t="shared" si="13"/>
        <v>0.14285714285714285</v>
      </c>
      <c r="BC462" s="18">
        <v>54</v>
      </c>
      <c r="BE462" t="s">
        <v>139</v>
      </c>
      <c r="BF462">
        <v>14</v>
      </c>
      <c r="BG462">
        <v>2</v>
      </c>
      <c r="BH462">
        <f t="shared" si="14"/>
        <v>3.8571428571428572</v>
      </c>
      <c r="BI462">
        <f t="shared" si="15"/>
        <v>0.14285714285714285</v>
      </c>
      <c r="BK462" s="18">
        <v>54</v>
      </c>
    </row>
    <row r="463" spans="1:63" x14ac:dyDescent="0.35">
      <c r="A463" t="s">
        <v>27</v>
      </c>
      <c r="B463">
        <v>17</v>
      </c>
      <c r="C463">
        <v>1</v>
      </c>
      <c r="D463">
        <f t="shared" si="0"/>
        <v>4</v>
      </c>
      <c r="E463">
        <f t="shared" si="1"/>
        <v>5.8823529411764705E-2</v>
      </c>
      <c r="F463">
        <v>2.54950975679639</v>
      </c>
      <c r="G463" s="18">
        <v>68</v>
      </c>
      <c r="I463" s="18" t="s">
        <v>15</v>
      </c>
      <c r="J463" s="31">
        <v>75</v>
      </c>
      <c r="K463" s="18">
        <v>16</v>
      </c>
      <c r="L463" s="18">
        <f t="shared" si="2"/>
        <v>4.08</v>
      </c>
      <c r="M463" s="18">
        <f t="shared" si="3"/>
        <v>0.21333333333333335</v>
      </c>
      <c r="N463" s="2" t="s">
        <v>47</v>
      </c>
      <c r="O463" s="18">
        <v>306</v>
      </c>
      <c r="Q463" t="s">
        <v>27</v>
      </c>
      <c r="R463">
        <v>17</v>
      </c>
      <c r="S463">
        <v>1</v>
      </c>
      <c r="T463">
        <f t="shared" si="4"/>
        <v>4</v>
      </c>
      <c r="U463">
        <f t="shared" si="5"/>
        <v>5.8823529411764705E-2</v>
      </c>
      <c r="V463" s="3" t="s">
        <v>46</v>
      </c>
      <c r="W463" s="18">
        <v>68</v>
      </c>
      <c r="Y463" t="s">
        <v>27</v>
      </c>
      <c r="Z463">
        <v>18</v>
      </c>
      <c r="AA463">
        <v>1</v>
      </c>
      <c r="AB463">
        <f t="shared" si="6"/>
        <v>4</v>
      </c>
      <c r="AC463">
        <f t="shared" si="7"/>
        <v>5.5555555555555552E-2</v>
      </c>
      <c r="AE463" s="18">
        <v>72</v>
      </c>
      <c r="AG463" t="s">
        <v>27</v>
      </c>
      <c r="AH463">
        <v>18</v>
      </c>
      <c r="AI463">
        <v>1</v>
      </c>
      <c r="AJ463">
        <f t="shared" si="8"/>
        <v>4</v>
      </c>
      <c r="AK463">
        <f t="shared" si="9"/>
        <v>5.5555555555555552E-2</v>
      </c>
      <c r="AM463" s="18">
        <v>72</v>
      </c>
      <c r="AO463" t="s">
        <v>63</v>
      </c>
      <c r="AP463" s="6">
        <v>10</v>
      </c>
      <c r="AQ463">
        <v>2</v>
      </c>
      <c r="AR463">
        <f t="shared" si="10"/>
        <v>3.9</v>
      </c>
      <c r="AS463">
        <f t="shared" si="11"/>
        <v>0.2</v>
      </c>
      <c r="AT463" s="11" t="s">
        <v>379</v>
      </c>
      <c r="AU463" s="18">
        <v>39</v>
      </c>
      <c r="AW463" t="s">
        <v>0</v>
      </c>
      <c r="AX463">
        <v>50</v>
      </c>
      <c r="AY463">
        <v>9</v>
      </c>
      <c r="AZ463">
        <f t="shared" si="12"/>
        <v>3.88</v>
      </c>
      <c r="BA463">
        <f t="shared" si="13"/>
        <v>0.18</v>
      </c>
      <c r="BC463" s="18">
        <v>194</v>
      </c>
      <c r="BE463" t="s">
        <v>0</v>
      </c>
      <c r="BF463" s="6">
        <v>54</v>
      </c>
      <c r="BG463">
        <v>9</v>
      </c>
      <c r="BH463">
        <f t="shared" si="14"/>
        <v>3.9629629629629628</v>
      </c>
      <c r="BI463">
        <f t="shared" si="15"/>
        <v>0.16666666666666666</v>
      </c>
      <c r="BK463" s="18">
        <v>214</v>
      </c>
    </row>
    <row r="464" spans="1:63" x14ac:dyDescent="0.35">
      <c r="A464" t="s">
        <v>26</v>
      </c>
      <c r="B464">
        <v>10</v>
      </c>
      <c r="C464">
        <v>2</v>
      </c>
      <c r="D464">
        <f t="shared" si="0"/>
        <v>4</v>
      </c>
      <c r="E464">
        <f t="shared" si="1"/>
        <v>0.2</v>
      </c>
      <c r="F464">
        <v>2.4494897427831699</v>
      </c>
      <c r="G464" s="18">
        <v>40</v>
      </c>
      <c r="I464" s="18" t="s">
        <v>2</v>
      </c>
      <c r="J464" s="31">
        <v>21</v>
      </c>
      <c r="K464" s="18">
        <v>4</v>
      </c>
      <c r="L464" s="18">
        <f t="shared" si="2"/>
        <v>4.1428571428571432</v>
      </c>
      <c r="M464" s="18">
        <f t="shared" si="3"/>
        <v>0.19047619047619047</v>
      </c>
      <c r="N464" s="3" t="s">
        <v>54</v>
      </c>
      <c r="O464" s="18">
        <v>87</v>
      </c>
      <c r="Q464" t="s">
        <v>15</v>
      </c>
      <c r="R464" s="6">
        <v>76</v>
      </c>
      <c r="S464" s="7">
        <v>16</v>
      </c>
      <c r="T464">
        <f t="shared" si="4"/>
        <v>4.1184210526315788</v>
      </c>
      <c r="U464">
        <f t="shared" si="5"/>
        <v>0.21052631578947367</v>
      </c>
      <c r="V464" s="3" t="s">
        <v>46</v>
      </c>
      <c r="W464" s="18">
        <v>313</v>
      </c>
      <c r="Y464" t="s">
        <v>15</v>
      </c>
      <c r="Z464" s="6">
        <v>78</v>
      </c>
      <c r="AA464">
        <v>16</v>
      </c>
      <c r="AB464">
        <f t="shared" si="6"/>
        <v>4.1282051282051286</v>
      </c>
      <c r="AC464">
        <f t="shared" si="7"/>
        <v>0.20512820512820512</v>
      </c>
      <c r="AE464" s="18">
        <v>322</v>
      </c>
      <c r="AG464" t="s">
        <v>2</v>
      </c>
      <c r="AH464" s="6">
        <v>22</v>
      </c>
      <c r="AI464">
        <v>4</v>
      </c>
      <c r="AJ464">
        <f t="shared" si="8"/>
        <v>4.0454545454545459</v>
      </c>
      <c r="AK464">
        <f t="shared" si="9"/>
        <v>0.18181818181818182</v>
      </c>
      <c r="AL464" s="2" t="s">
        <v>44</v>
      </c>
      <c r="AM464" s="18">
        <v>89</v>
      </c>
      <c r="AO464" t="s">
        <v>9</v>
      </c>
      <c r="AP464" s="6">
        <v>11</v>
      </c>
      <c r="AQ464">
        <v>1</v>
      </c>
      <c r="AR464">
        <f t="shared" si="10"/>
        <v>4</v>
      </c>
      <c r="AS464">
        <f t="shared" si="11"/>
        <v>9.0909090909090912E-2</v>
      </c>
      <c r="AT464" s="2" t="s">
        <v>59</v>
      </c>
      <c r="AU464" s="18">
        <v>44</v>
      </c>
      <c r="AW464" t="s">
        <v>63</v>
      </c>
      <c r="AX464">
        <v>10</v>
      </c>
      <c r="AY464">
        <v>2</v>
      </c>
      <c r="AZ464">
        <f t="shared" si="12"/>
        <v>3.9</v>
      </c>
      <c r="BA464">
        <f t="shared" si="13"/>
        <v>0.2</v>
      </c>
      <c r="BC464" s="18">
        <v>39</v>
      </c>
      <c r="BE464" t="s">
        <v>9</v>
      </c>
      <c r="BF464">
        <v>11</v>
      </c>
      <c r="BG464">
        <v>1</v>
      </c>
      <c r="BH464">
        <f t="shared" si="14"/>
        <v>4</v>
      </c>
      <c r="BI464">
        <f t="shared" si="15"/>
        <v>9.0909090909090912E-2</v>
      </c>
      <c r="BJ464" s="2" t="s">
        <v>44</v>
      </c>
      <c r="BK464" s="18">
        <v>44</v>
      </c>
    </row>
    <row r="465" spans="1:63" x14ac:dyDescent="0.35">
      <c r="A465" t="s">
        <v>15</v>
      </c>
      <c r="B465">
        <v>72</v>
      </c>
      <c r="C465">
        <v>16</v>
      </c>
      <c r="D465">
        <f t="shared" si="0"/>
        <v>4.0972222222222223</v>
      </c>
      <c r="E465">
        <f t="shared" si="1"/>
        <v>0.22222222222222221</v>
      </c>
      <c r="F465">
        <v>2.3694389634605302</v>
      </c>
      <c r="G465" s="18">
        <v>295</v>
      </c>
      <c r="I465" s="18" t="s">
        <v>22</v>
      </c>
      <c r="J465" s="31">
        <v>107</v>
      </c>
      <c r="K465" s="31">
        <v>15</v>
      </c>
      <c r="L465" s="18">
        <f t="shared" si="2"/>
        <v>4.1962616822429908</v>
      </c>
      <c r="M465" s="18">
        <f t="shared" si="3"/>
        <v>0.14018691588785046</v>
      </c>
      <c r="N465" s="2" t="s">
        <v>47</v>
      </c>
      <c r="O465" s="18">
        <v>449</v>
      </c>
      <c r="Q465" t="s">
        <v>2</v>
      </c>
      <c r="R465">
        <v>21</v>
      </c>
      <c r="S465">
        <v>4</v>
      </c>
      <c r="T465">
        <f t="shared" si="4"/>
        <v>4.1428571428571432</v>
      </c>
      <c r="U465">
        <f t="shared" si="5"/>
        <v>0.19047619047619047</v>
      </c>
      <c r="V465" s="3" t="s">
        <v>46</v>
      </c>
      <c r="W465" s="18">
        <v>87</v>
      </c>
      <c r="Y465" t="s">
        <v>2</v>
      </c>
      <c r="Z465">
        <v>21</v>
      </c>
      <c r="AA465">
        <v>4</v>
      </c>
      <c r="AB465">
        <f t="shared" si="6"/>
        <v>4.1428571428571432</v>
      </c>
      <c r="AC465">
        <f t="shared" si="7"/>
        <v>0.19047619047619047</v>
      </c>
      <c r="AE465" s="18">
        <v>87</v>
      </c>
      <c r="AG465" t="s">
        <v>15</v>
      </c>
      <c r="AH465" s="6">
        <v>80</v>
      </c>
      <c r="AI465">
        <v>16</v>
      </c>
      <c r="AJ465">
        <f t="shared" si="8"/>
        <v>4.1624999999999996</v>
      </c>
      <c r="AK465">
        <f t="shared" si="9"/>
        <v>0.2</v>
      </c>
      <c r="AL465" s="3" t="s">
        <v>46</v>
      </c>
      <c r="AM465" s="18">
        <v>333</v>
      </c>
      <c r="AO465" t="s">
        <v>2</v>
      </c>
      <c r="AP465">
        <v>22</v>
      </c>
      <c r="AQ465">
        <v>4</v>
      </c>
      <c r="AR465">
        <f t="shared" si="10"/>
        <v>4.0454545454545459</v>
      </c>
      <c r="AS465">
        <f t="shared" si="11"/>
        <v>0.18181818181818182</v>
      </c>
      <c r="AT465" s="3" t="s">
        <v>46</v>
      </c>
      <c r="AU465" s="18">
        <v>89</v>
      </c>
      <c r="AW465" t="s">
        <v>9</v>
      </c>
      <c r="AX465">
        <v>11</v>
      </c>
      <c r="AY465">
        <v>1</v>
      </c>
      <c r="AZ465">
        <f t="shared" si="12"/>
        <v>4</v>
      </c>
      <c r="BA465">
        <f t="shared" si="13"/>
        <v>9.0909090909090912E-2</v>
      </c>
      <c r="BC465" s="18">
        <v>44</v>
      </c>
      <c r="BE465" t="s">
        <v>2</v>
      </c>
      <c r="BF465">
        <v>22</v>
      </c>
      <c r="BG465">
        <v>4</v>
      </c>
      <c r="BH465">
        <f t="shared" si="14"/>
        <v>4.0454545454545459</v>
      </c>
      <c r="BI465">
        <f t="shared" si="15"/>
        <v>0.18181818181818182</v>
      </c>
      <c r="BJ465" s="2" t="s">
        <v>44</v>
      </c>
      <c r="BK465" s="18">
        <v>89</v>
      </c>
    </row>
    <row r="466" spans="1:63" x14ac:dyDescent="0.35">
      <c r="A466" t="s">
        <v>8</v>
      </c>
      <c r="B466">
        <v>31</v>
      </c>
      <c r="C466">
        <v>5</v>
      </c>
      <c r="D466">
        <f t="shared" si="0"/>
        <v>4.225806451612903</v>
      </c>
      <c r="E466">
        <f t="shared" si="1"/>
        <v>0.16129032258064516</v>
      </c>
      <c r="F466">
        <v>2.4994623077688098</v>
      </c>
      <c r="G466" s="18">
        <v>131</v>
      </c>
      <c r="I466" s="18" t="s">
        <v>8</v>
      </c>
      <c r="J466" s="18">
        <v>31</v>
      </c>
      <c r="K466" s="18">
        <v>5</v>
      </c>
      <c r="L466" s="18">
        <f t="shared" si="2"/>
        <v>4.225806451612903</v>
      </c>
      <c r="M466" s="18">
        <f t="shared" si="3"/>
        <v>0.16129032258064516</v>
      </c>
      <c r="O466" s="18">
        <v>131</v>
      </c>
      <c r="Q466" t="s">
        <v>22</v>
      </c>
      <c r="R466" s="8">
        <v>108</v>
      </c>
      <c r="S466">
        <v>15</v>
      </c>
      <c r="T466">
        <f t="shared" si="4"/>
        <v>4.2129629629629628</v>
      </c>
      <c r="U466">
        <f t="shared" si="5"/>
        <v>0.1388888888888889</v>
      </c>
      <c r="V466" s="3" t="s">
        <v>46</v>
      </c>
      <c r="W466" s="18">
        <v>455</v>
      </c>
      <c r="Y466" t="s">
        <v>22</v>
      </c>
      <c r="Z466" s="8">
        <v>110</v>
      </c>
      <c r="AA466" s="6">
        <v>16</v>
      </c>
      <c r="AB466">
        <f t="shared" si="6"/>
        <v>4.1818181818181817</v>
      </c>
      <c r="AC466">
        <f t="shared" si="7"/>
        <v>0.14545454545454545</v>
      </c>
      <c r="AE466" s="18">
        <v>460</v>
      </c>
      <c r="AG466" t="s">
        <v>22</v>
      </c>
      <c r="AH466" s="7">
        <v>110</v>
      </c>
      <c r="AI466">
        <v>16</v>
      </c>
      <c r="AJ466">
        <f t="shared" si="8"/>
        <v>4.1818181818181817</v>
      </c>
      <c r="AK466">
        <f t="shared" si="9"/>
        <v>0.14545454545454545</v>
      </c>
      <c r="AM466" s="18">
        <v>460</v>
      </c>
      <c r="AO466" t="s">
        <v>22</v>
      </c>
      <c r="AP466" s="8">
        <v>111</v>
      </c>
      <c r="AQ466">
        <v>16</v>
      </c>
      <c r="AR466">
        <f t="shared" si="10"/>
        <v>4.1711711711711708</v>
      </c>
      <c r="AS466">
        <f t="shared" si="11"/>
        <v>0.14414414414414414</v>
      </c>
      <c r="AU466" s="18">
        <v>463</v>
      </c>
      <c r="AW466" t="s">
        <v>2</v>
      </c>
      <c r="AX466">
        <v>22</v>
      </c>
      <c r="AY466">
        <v>4</v>
      </c>
      <c r="AZ466">
        <f t="shared" si="12"/>
        <v>4.0454545454545459</v>
      </c>
      <c r="BA466">
        <f t="shared" si="13"/>
        <v>0.18181818181818182</v>
      </c>
      <c r="BC466" s="18">
        <v>89</v>
      </c>
      <c r="BE466" t="s">
        <v>122</v>
      </c>
      <c r="BF466" s="6">
        <v>11</v>
      </c>
      <c r="BG466">
        <v>1</v>
      </c>
      <c r="BH466">
        <f t="shared" si="14"/>
        <v>4.0909090909090908</v>
      </c>
      <c r="BI466">
        <f t="shared" si="15"/>
        <v>9.0909090909090912E-2</v>
      </c>
      <c r="BJ466" s="2" t="s">
        <v>44</v>
      </c>
      <c r="BK466" s="18">
        <v>45</v>
      </c>
    </row>
    <row r="467" spans="1:63" x14ac:dyDescent="0.35">
      <c r="A467" t="s">
        <v>22</v>
      </c>
      <c r="B467">
        <v>102</v>
      </c>
      <c r="C467">
        <v>14</v>
      </c>
      <c r="D467">
        <f t="shared" si="0"/>
        <v>4.2450980392156863</v>
      </c>
      <c r="E467">
        <f t="shared" si="1"/>
        <v>0.13725490196078433</v>
      </c>
      <c r="F467">
        <v>2.2045689482796602</v>
      </c>
      <c r="G467" s="18">
        <v>433</v>
      </c>
      <c r="I467" s="18" t="s">
        <v>10</v>
      </c>
      <c r="J467" s="31">
        <v>30</v>
      </c>
      <c r="K467" s="31">
        <v>5</v>
      </c>
      <c r="L467" s="18">
        <f t="shared" si="2"/>
        <v>4.2666666666666666</v>
      </c>
      <c r="M467" s="18">
        <f t="shared" si="3"/>
        <v>0.16666666666666666</v>
      </c>
      <c r="N467" s="2" t="s">
        <v>47</v>
      </c>
      <c r="O467" s="18">
        <v>128</v>
      </c>
      <c r="Q467" t="s">
        <v>8</v>
      </c>
      <c r="R467">
        <v>31</v>
      </c>
      <c r="S467">
        <v>5</v>
      </c>
      <c r="T467">
        <f t="shared" si="4"/>
        <v>4.225806451612903</v>
      </c>
      <c r="U467">
        <f t="shared" si="5"/>
        <v>0.16129032258064516</v>
      </c>
      <c r="V467" s="3" t="s">
        <v>46</v>
      </c>
      <c r="W467" s="18">
        <v>131</v>
      </c>
      <c r="Y467" t="s">
        <v>8</v>
      </c>
      <c r="Z467" s="6">
        <v>32</v>
      </c>
      <c r="AA467">
        <v>5</v>
      </c>
      <c r="AB467">
        <f t="shared" si="6"/>
        <v>4.21875</v>
      </c>
      <c r="AC467">
        <f t="shared" si="7"/>
        <v>0.15625</v>
      </c>
      <c r="AE467" s="18">
        <v>135</v>
      </c>
      <c r="AG467" t="s">
        <v>9</v>
      </c>
      <c r="AH467" s="6">
        <v>10</v>
      </c>
      <c r="AI467">
        <v>1</v>
      </c>
      <c r="AJ467">
        <f t="shared" si="8"/>
        <v>4.2</v>
      </c>
      <c r="AK467">
        <f t="shared" si="9"/>
        <v>0.1</v>
      </c>
      <c r="AL467" s="2" t="s">
        <v>233</v>
      </c>
      <c r="AM467" s="18">
        <v>42</v>
      </c>
      <c r="AO467" t="s">
        <v>8</v>
      </c>
      <c r="AP467" s="6">
        <v>33</v>
      </c>
      <c r="AQ467">
        <v>5</v>
      </c>
      <c r="AR467">
        <f t="shared" si="10"/>
        <v>4.1818181818181817</v>
      </c>
      <c r="AS467">
        <f t="shared" si="11"/>
        <v>0.15151515151515152</v>
      </c>
      <c r="AT467" s="2" t="s">
        <v>47</v>
      </c>
      <c r="AU467" s="18">
        <v>138</v>
      </c>
      <c r="AW467" t="s">
        <v>122</v>
      </c>
      <c r="AX467">
        <v>10</v>
      </c>
      <c r="AY467">
        <v>1</v>
      </c>
      <c r="AZ467">
        <f t="shared" si="12"/>
        <v>4.0999999999999996</v>
      </c>
      <c r="BA467">
        <f t="shared" si="13"/>
        <v>0.1</v>
      </c>
      <c r="BB467" s="11" t="s">
        <v>383</v>
      </c>
      <c r="BC467" s="18">
        <v>41</v>
      </c>
      <c r="BE467" t="s">
        <v>22</v>
      </c>
      <c r="BF467" s="8">
        <v>113</v>
      </c>
      <c r="BG467" s="6">
        <v>17</v>
      </c>
      <c r="BH467">
        <f t="shared" si="14"/>
        <v>4.1238938053097343</v>
      </c>
      <c r="BI467">
        <f t="shared" si="15"/>
        <v>0.15044247787610621</v>
      </c>
      <c r="BJ467" s="2" t="s">
        <v>44</v>
      </c>
      <c r="BK467" s="18">
        <v>466</v>
      </c>
    </row>
    <row r="468" spans="1:63" x14ac:dyDescent="0.35">
      <c r="A468" t="s">
        <v>129</v>
      </c>
      <c r="B468">
        <v>25</v>
      </c>
      <c r="C468">
        <v>5</v>
      </c>
      <c r="D468">
        <f t="shared" si="0"/>
        <v>4.28</v>
      </c>
      <c r="E468">
        <f t="shared" si="1"/>
        <v>0.2</v>
      </c>
      <c r="F468">
        <v>2.1315096371664199</v>
      </c>
      <c r="G468" s="18">
        <v>107</v>
      </c>
      <c r="I468" s="18" t="s">
        <v>129</v>
      </c>
      <c r="J468" s="18">
        <v>25</v>
      </c>
      <c r="K468" s="18">
        <v>5</v>
      </c>
      <c r="L468" s="18">
        <f t="shared" si="2"/>
        <v>4.28</v>
      </c>
      <c r="M468" s="18">
        <f t="shared" si="3"/>
        <v>0.2</v>
      </c>
      <c r="O468" s="18">
        <v>107</v>
      </c>
      <c r="Q468" t="s">
        <v>10</v>
      </c>
      <c r="R468">
        <v>30</v>
      </c>
      <c r="S468">
        <v>5</v>
      </c>
      <c r="T468">
        <f t="shared" si="4"/>
        <v>4.2666666666666666</v>
      </c>
      <c r="U468">
        <f t="shared" si="5"/>
        <v>0.16666666666666666</v>
      </c>
      <c r="V468" s="3" t="s">
        <v>46</v>
      </c>
      <c r="W468" s="18">
        <v>128</v>
      </c>
      <c r="Y468" t="s">
        <v>129</v>
      </c>
      <c r="Z468" s="6">
        <v>26</v>
      </c>
      <c r="AA468">
        <v>5</v>
      </c>
      <c r="AB468">
        <f t="shared" si="6"/>
        <v>4.2307692307692308</v>
      </c>
      <c r="AC468">
        <f t="shared" si="7"/>
        <v>0.19230769230769232</v>
      </c>
      <c r="AD468" s="2" t="s">
        <v>44</v>
      </c>
      <c r="AE468" s="18">
        <v>110</v>
      </c>
      <c r="AG468" t="s">
        <v>129</v>
      </c>
      <c r="AH468" s="6">
        <v>29</v>
      </c>
      <c r="AI468" s="6">
        <v>6</v>
      </c>
      <c r="AJ468">
        <f t="shared" si="8"/>
        <v>4.2068965517241379</v>
      </c>
      <c r="AK468">
        <f t="shared" si="9"/>
        <v>0.20689655172413793</v>
      </c>
      <c r="AM468" s="18">
        <v>122</v>
      </c>
      <c r="AO468" t="s">
        <v>116</v>
      </c>
      <c r="AP468" s="6">
        <v>10</v>
      </c>
      <c r="AQ468">
        <v>1</v>
      </c>
      <c r="AR468">
        <f t="shared" si="10"/>
        <v>4.2</v>
      </c>
      <c r="AS468">
        <f t="shared" si="11"/>
        <v>0.1</v>
      </c>
      <c r="AT468" s="11" t="s">
        <v>380</v>
      </c>
      <c r="AU468" s="18">
        <v>42</v>
      </c>
      <c r="AW468" t="s">
        <v>22</v>
      </c>
      <c r="AX468" s="7">
        <v>111</v>
      </c>
      <c r="AY468">
        <v>16</v>
      </c>
      <c r="AZ468">
        <f t="shared" si="12"/>
        <v>4.1711711711711708</v>
      </c>
      <c r="BA468">
        <f t="shared" si="13"/>
        <v>0.14414414414414414</v>
      </c>
      <c r="BB468" s="3" t="s">
        <v>46</v>
      </c>
      <c r="BC468" s="18">
        <v>463</v>
      </c>
      <c r="BE468" t="s">
        <v>63</v>
      </c>
      <c r="BF468" s="6">
        <v>12</v>
      </c>
      <c r="BG468">
        <v>2</v>
      </c>
      <c r="BH468">
        <f t="shared" si="14"/>
        <v>4.166666666666667</v>
      </c>
      <c r="BI468">
        <f t="shared" si="15"/>
        <v>0.16666666666666666</v>
      </c>
      <c r="BJ468" s="3" t="s">
        <v>55</v>
      </c>
      <c r="BK468" s="18">
        <v>50</v>
      </c>
    </row>
    <row r="469" spans="1:63" x14ac:dyDescent="0.35">
      <c r="A469" t="s">
        <v>10</v>
      </c>
      <c r="B469">
        <v>28</v>
      </c>
      <c r="C469">
        <v>4</v>
      </c>
      <c r="D469">
        <f t="shared" si="0"/>
        <v>4.2857142857142856</v>
      </c>
      <c r="E469">
        <f t="shared" si="1"/>
        <v>0.14285714285714285</v>
      </c>
      <c r="F469">
        <v>2.2086889501029501</v>
      </c>
      <c r="G469" s="18">
        <v>120</v>
      </c>
      <c r="I469" s="18" t="s">
        <v>112</v>
      </c>
      <c r="J469" s="18">
        <v>10</v>
      </c>
      <c r="K469" s="18">
        <v>3</v>
      </c>
      <c r="L469" s="18">
        <f t="shared" si="2"/>
        <v>4.3</v>
      </c>
      <c r="M469" s="18">
        <f t="shared" si="3"/>
        <v>0.3</v>
      </c>
      <c r="N469" s="2" t="s">
        <v>44</v>
      </c>
      <c r="O469" s="18">
        <v>43</v>
      </c>
      <c r="Q469" t="s">
        <v>129</v>
      </c>
      <c r="R469">
        <v>25</v>
      </c>
      <c r="S469">
        <v>5</v>
      </c>
      <c r="T469">
        <f t="shared" si="4"/>
        <v>4.28</v>
      </c>
      <c r="U469">
        <f t="shared" si="5"/>
        <v>0.2</v>
      </c>
      <c r="V469" s="3" t="s">
        <v>46</v>
      </c>
      <c r="W469" s="18">
        <v>107</v>
      </c>
      <c r="Y469" t="s">
        <v>7</v>
      </c>
      <c r="Z469" s="6">
        <v>12</v>
      </c>
      <c r="AA469" s="6">
        <v>3</v>
      </c>
      <c r="AB469">
        <f t="shared" si="6"/>
        <v>4.25</v>
      </c>
      <c r="AC469">
        <f t="shared" si="7"/>
        <v>0.25</v>
      </c>
      <c r="AD469" s="2" t="s">
        <v>378</v>
      </c>
      <c r="AE469" s="18">
        <v>51</v>
      </c>
      <c r="AG469" t="s">
        <v>8</v>
      </c>
      <c r="AH469">
        <v>32</v>
      </c>
      <c r="AI469">
        <v>5</v>
      </c>
      <c r="AJ469">
        <f t="shared" si="8"/>
        <v>4.21875</v>
      </c>
      <c r="AK469">
        <f t="shared" si="9"/>
        <v>0.15625</v>
      </c>
      <c r="AL469" s="3" t="s">
        <v>45</v>
      </c>
      <c r="AM469" s="18">
        <v>135</v>
      </c>
      <c r="AO469" t="s">
        <v>129</v>
      </c>
      <c r="AP469">
        <v>29</v>
      </c>
      <c r="AQ469">
        <v>6</v>
      </c>
      <c r="AR469">
        <f t="shared" si="10"/>
        <v>4.2068965517241379</v>
      </c>
      <c r="AS469">
        <f t="shared" si="11"/>
        <v>0.20689655172413793</v>
      </c>
      <c r="AT469" s="3" t="s">
        <v>46</v>
      </c>
      <c r="AU469" s="18">
        <v>122</v>
      </c>
      <c r="AW469" t="s">
        <v>8</v>
      </c>
      <c r="AX469">
        <v>33</v>
      </c>
      <c r="AY469">
        <v>5</v>
      </c>
      <c r="AZ469">
        <f t="shared" si="12"/>
        <v>4.1818181818181817</v>
      </c>
      <c r="BA469">
        <f t="shared" si="13"/>
        <v>0.15151515151515152</v>
      </c>
      <c r="BB469" s="3" t="s">
        <v>46</v>
      </c>
      <c r="BC469" s="18">
        <v>138</v>
      </c>
      <c r="BE469" t="s">
        <v>8</v>
      </c>
      <c r="BF469">
        <v>33</v>
      </c>
      <c r="BG469">
        <v>5</v>
      </c>
      <c r="BH469">
        <f t="shared" si="14"/>
        <v>4.1818181818181817</v>
      </c>
      <c r="BI469">
        <f t="shared" si="15"/>
        <v>0.15151515151515152</v>
      </c>
      <c r="BK469" s="18">
        <v>138</v>
      </c>
    </row>
    <row r="470" spans="1:63" x14ac:dyDescent="0.35">
      <c r="A470" t="s">
        <v>112</v>
      </c>
      <c r="B470">
        <v>10</v>
      </c>
      <c r="C470">
        <v>3</v>
      </c>
      <c r="D470">
        <f t="shared" si="0"/>
        <v>4.3</v>
      </c>
      <c r="E470">
        <f t="shared" si="1"/>
        <v>0.3</v>
      </c>
      <c r="F470">
        <v>2.71006354989037</v>
      </c>
      <c r="G470" s="18">
        <v>43</v>
      </c>
      <c r="I470" s="18" t="s">
        <v>24</v>
      </c>
      <c r="J470" s="31">
        <v>43</v>
      </c>
      <c r="K470" s="18">
        <v>5</v>
      </c>
      <c r="L470" s="18">
        <f t="shared" si="2"/>
        <v>4.3953488372093021</v>
      </c>
      <c r="M470" s="18">
        <f t="shared" si="3"/>
        <v>0.11627906976744186</v>
      </c>
      <c r="N470" s="2" t="s">
        <v>59</v>
      </c>
      <c r="O470" s="18">
        <v>189</v>
      </c>
      <c r="Q470" t="s">
        <v>112</v>
      </c>
      <c r="R470">
        <v>10</v>
      </c>
      <c r="S470">
        <v>3</v>
      </c>
      <c r="T470">
        <f t="shared" si="4"/>
        <v>4.3</v>
      </c>
      <c r="U470">
        <f t="shared" si="5"/>
        <v>0.3</v>
      </c>
      <c r="V470" s="3" t="s">
        <v>46</v>
      </c>
      <c r="W470" s="18">
        <v>43</v>
      </c>
      <c r="Y470" t="s">
        <v>10</v>
      </c>
      <c r="Z470">
        <v>30</v>
      </c>
      <c r="AA470">
        <v>5</v>
      </c>
      <c r="AB470">
        <f t="shared" si="6"/>
        <v>4.2666666666666666</v>
      </c>
      <c r="AC470">
        <f t="shared" si="7"/>
        <v>0.16666666666666666</v>
      </c>
      <c r="AD470" s="3" t="s">
        <v>45</v>
      </c>
      <c r="AE470" s="18">
        <v>128</v>
      </c>
      <c r="AG470" t="s">
        <v>7</v>
      </c>
      <c r="AH470">
        <v>12</v>
      </c>
      <c r="AI470">
        <v>3</v>
      </c>
      <c r="AJ470">
        <f t="shared" si="8"/>
        <v>4.25</v>
      </c>
      <c r="AK470">
        <f t="shared" si="9"/>
        <v>0.25</v>
      </c>
      <c r="AL470" s="3" t="s">
        <v>46</v>
      </c>
      <c r="AM470" s="18">
        <v>51</v>
      </c>
      <c r="AO470" t="s">
        <v>15</v>
      </c>
      <c r="AP470" s="6">
        <v>81</v>
      </c>
      <c r="AQ470">
        <v>16</v>
      </c>
      <c r="AR470">
        <f t="shared" si="10"/>
        <v>4.2098765432098766</v>
      </c>
      <c r="AS470">
        <f t="shared" si="11"/>
        <v>0.19753086419753085</v>
      </c>
      <c r="AT470" s="3" t="s">
        <v>381</v>
      </c>
      <c r="AU470" s="18">
        <v>341</v>
      </c>
      <c r="AW470" t="s">
        <v>116</v>
      </c>
      <c r="AX470">
        <v>10</v>
      </c>
      <c r="AY470">
        <v>1</v>
      </c>
      <c r="AZ470">
        <f t="shared" si="12"/>
        <v>4.2</v>
      </c>
      <c r="BA470">
        <f t="shared" si="13"/>
        <v>0.1</v>
      </c>
      <c r="BB470" s="3" t="s">
        <v>46</v>
      </c>
      <c r="BC470" s="18">
        <v>42</v>
      </c>
      <c r="BE470" t="s">
        <v>116</v>
      </c>
      <c r="BF470">
        <v>10</v>
      </c>
      <c r="BG470">
        <v>1</v>
      </c>
      <c r="BH470">
        <f t="shared" si="14"/>
        <v>4.2</v>
      </c>
      <c r="BI470">
        <f t="shared" si="15"/>
        <v>0.1</v>
      </c>
      <c r="BK470" s="18">
        <v>42</v>
      </c>
    </row>
    <row r="471" spans="1:63" x14ac:dyDescent="0.35">
      <c r="A471" t="s">
        <v>104</v>
      </c>
      <c r="B471">
        <v>25</v>
      </c>
      <c r="C471">
        <v>2</v>
      </c>
      <c r="D471">
        <f t="shared" si="0"/>
        <v>4.4000000000000004</v>
      </c>
      <c r="E471">
        <f t="shared" si="1"/>
        <v>0.08</v>
      </c>
      <c r="F471">
        <v>2.3273733406281498</v>
      </c>
      <c r="G471" s="18">
        <v>110</v>
      </c>
      <c r="I471" s="18" t="s">
        <v>7</v>
      </c>
      <c r="J471" s="31">
        <v>10</v>
      </c>
      <c r="K471" s="18">
        <v>2</v>
      </c>
      <c r="L471" s="18">
        <f t="shared" si="2"/>
        <v>4.4000000000000004</v>
      </c>
      <c r="M471" s="18">
        <f t="shared" si="3"/>
        <v>0.2</v>
      </c>
      <c r="N471" s="2" t="s">
        <v>233</v>
      </c>
      <c r="O471" s="18">
        <v>44</v>
      </c>
      <c r="Q471" t="s">
        <v>24</v>
      </c>
      <c r="R471">
        <v>43</v>
      </c>
      <c r="S471">
        <v>5</v>
      </c>
      <c r="T471">
        <f t="shared" si="4"/>
        <v>4.3953488372093021</v>
      </c>
      <c r="U471">
        <f t="shared" si="5"/>
        <v>0.11627906976744186</v>
      </c>
      <c r="V471" s="3" t="s">
        <v>46</v>
      </c>
      <c r="W471" s="18">
        <v>189</v>
      </c>
      <c r="Y471" t="s">
        <v>112</v>
      </c>
      <c r="Z471">
        <v>10</v>
      </c>
      <c r="AA471">
        <v>3</v>
      </c>
      <c r="AB471">
        <f t="shared" si="6"/>
        <v>4.3</v>
      </c>
      <c r="AC471">
        <f t="shared" si="7"/>
        <v>0.3</v>
      </c>
      <c r="AD471" s="3" t="s">
        <v>46</v>
      </c>
      <c r="AE471" s="18">
        <v>43</v>
      </c>
      <c r="AG471" t="s">
        <v>10</v>
      </c>
      <c r="AH471">
        <v>30</v>
      </c>
      <c r="AI471">
        <v>5</v>
      </c>
      <c r="AJ471">
        <f t="shared" si="8"/>
        <v>4.2666666666666666</v>
      </c>
      <c r="AK471">
        <f t="shared" si="9"/>
        <v>0.16666666666666666</v>
      </c>
      <c r="AL471" s="3" t="s">
        <v>46</v>
      </c>
      <c r="AM471" s="18">
        <v>128</v>
      </c>
      <c r="AO471" t="s">
        <v>27</v>
      </c>
      <c r="AP471" s="6">
        <v>19</v>
      </c>
      <c r="AQ471">
        <v>1</v>
      </c>
      <c r="AR471">
        <f t="shared" si="10"/>
        <v>4.2105263157894735</v>
      </c>
      <c r="AS471">
        <f t="shared" si="11"/>
        <v>5.2631578947368418E-2</v>
      </c>
      <c r="AT471" s="3" t="s">
        <v>67</v>
      </c>
      <c r="AU471" s="18">
        <v>80</v>
      </c>
      <c r="AW471" t="s">
        <v>129</v>
      </c>
      <c r="AX471">
        <v>29</v>
      </c>
      <c r="AY471">
        <v>6</v>
      </c>
      <c r="AZ471">
        <f t="shared" si="12"/>
        <v>4.2068965517241379</v>
      </c>
      <c r="BA471">
        <f t="shared" si="13"/>
        <v>0.20689655172413793</v>
      </c>
      <c r="BB471" s="3" t="s">
        <v>46</v>
      </c>
      <c r="BC471" s="18">
        <v>122</v>
      </c>
      <c r="BE471" t="s">
        <v>129</v>
      </c>
      <c r="BF471">
        <v>29</v>
      </c>
      <c r="BG471">
        <v>6</v>
      </c>
      <c r="BH471">
        <f t="shared" si="14"/>
        <v>4.2068965517241379</v>
      </c>
      <c r="BI471">
        <f t="shared" si="15"/>
        <v>0.20689655172413793</v>
      </c>
      <c r="BK471" s="18">
        <v>122</v>
      </c>
    </row>
    <row r="472" spans="1:63" x14ac:dyDescent="0.35">
      <c r="A472" t="s">
        <v>29</v>
      </c>
      <c r="B472">
        <v>20</v>
      </c>
      <c r="C472">
        <v>1</v>
      </c>
      <c r="D472">
        <f t="shared" si="0"/>
        <v>4.4000000000000004</v>
      </c>
      <c r="E472">
        <f t="shared" si="1"/>
        <v>0.05</v>
      </c>
      <c r="F472">
        <v>2.0875571218153701</v>
      </c>
      <c r="G472" s="18">
        <v>88</v>
      </c>
      <c r="I472" s="18" t="s">
        <v>104</v>
      </c>
      <c r="J472" s="31">
        <v>27</v>
      </c>
      <c r="K472" s="18">
        <v>2</v>
      </c>
      <c r="L472" s="18">
        <f t="shared" si="2"/>
        <v>4.4074074074074074</v>
      </c>
      <c r="M472" s="18">
        <f t="shared" si="3"/>
        <v>7.407407407407407E-2</v>
      </c>
      <c r="N472" s="3" t="s">
        <v>46</v>
      </c>
      <c r="O472" s="18">
        <v>119</v>
      </c>
      <c r="Q472" t="s">
        <v>104</v>
      </c>
      <c r="R472">
        <v>27</v>
      </c>
      <c r="S472">
        <v>2</v>
      </c>
      <c r="T472">
        <f t="shared" si="4"/>
        <v>4.4074074074074074</v>
      </c>
      <c r="U472">
        <f t="shared" si="5"/>
        <v>7.407407407407407E-2</v>
      </c>
      <c r="W472" s="18">
        <v>119</v>
      </c>
      <c r="Y472" t="s">
        <v>24</v>
      </c>
      <c r="Z472">
        <v>43</v>
      </c>
      <c r="AA472">
        <v>5</v>
      </c>
      <c r="AB472">
        <f t="shared" si="6"/>
        <v>4.3953488372093021</v>
      </c>
      <c r="AC472">
        <f t="shared" si="7"/>
        <v>0.11627906976744186</v>
      </c>
      <c r="AD472" s="3" t="s">
        <v>46</v>
      </c>
      <c r="AE472" s="18">
        <v>189</v>
      </c>
      <c r="AG472" t="s">
        <v>112</v>
      </c>
      <c r="AH472">
        <v>10</v>
      </c>
      <c r="AI472">
        <v>3</v>
      </c>
      <c r="AJ472">
        <f t="shared" si="8"/>
        <v>4.3</v>
      </c>
      <c r="AK472">
        <f t="shared" si="9"/>
        <v>0.3</v>
      </c>
      <c r="AL472" s="3" t="s">
        <v>46</v>
      </c>
      <c r="AM472" s="18">
        <v>43</v>
      </c>
      <c r="AO472" t="s">
        <v>7</v>
      </c>
      <c r="AP472">
        <v>12</v>
      </c>
      <c r="AQ472">
        <v>3</v>
      </c>
      <c r="AR472">
        <f t="shared" si="10"/>
        <v>4.25</v>
      </c>
      <c r="AS472">
        <f t="shared" si="11"/>
        <v>0.25</v>
      </c>
      <c r="AT472" s="3" t="s">
        <v>45</v>
      </c>
      <c r="AU472" s="18">
        <v>51</v>
      </c>
      <c r="AW472" t="s">
        <v>27</v>
      </c>
      <c r="AX472">
        <v>19</v>
      </c>
      <c r="AY472">
        <v>1</v>
      </c>
      <c r="AZ472">
        <f t="shared" si="12"/>
        <v>4.2105263157894735</v>
      </c>
      <c r="BA472">
        <f t="shared" si="13"/>
        <v>5.2631578947368418E-2</v>
      </c>
      <c r="BC472" s="18">
        <v>80</v>
      </c>
      <c r="BE472" t="s">
        <v>27</v>
      </c>
      <c r="BF472">
        <v>19</v>
      </c>
      <c r="BG472">
        <v>1</v>
      </c>
      <c r="BH472">
        <f t="shared" si="14"/>
        <v>4.2105263157894735</v>
      </c>
      <c r="BI472">
        <f t="shared" si="15"/>
        <v>5.2631578947368418E-2</v>
      </c>
      <c r="BK472" s="18">
        <v>80</v>
      </c>
    </row>
    <row r="473" spans="1:63" x14ac:dyDescent="0.35">
      <c r="A473" t="s">
        <v>24</v>
      </c>
      <c r="B473">
        <v>41</v>
      </c>
      <c r="C473">
        <v>5</v>
      </c>
      <c r="D473">
        <f t="shared" si="0"/>
        <v>4.4146341463414638</v>
      </c>
      <c r="E473">
        <f t="shared" si="1"/>
        <v>0.12195121951219512</v>
      </c>
      <c r="F473">
        <v>2.26909243703399</v>
      </c>
      <c r="G473" s="18">
        <v>181</v>
      </c>
      <c r="I473" s="18" t="s">
        <v>29</v>
      </c>
      <c r="J473" s="31">
        <v>22</v>
      </c>
      <c r="K473" s="31">
        <v>2</v>
      </c>
      <c r="L473" s="18">
        <f t="shared" si="2"/>
        <v>4.4090909090909092</v>
      </c>
      <c r="M473" s="18">
        <f t="shared" si="3"/>
        <v>9.0909090909090912E-2</v>
      </c>
      <c r="N473" s="3" t="s">
        <v>46</v>
      </c>
      <c r="O473" s="18">
        <v>97</v>
      </c>
      <c r="Q473" t="s">
        <v>29</v>
      </c>
      <c r="R473">
        <v>22</v>
      </c>
      <c r="S473">
        <v>2</v>
      </c>
      <c r="T473">
        <f t="shared" si="4"/>
        <v>4.4090909090909092</v>
      </c>
      <c r="U473">
        <f t="shared" si="5"/>
        <v>9.0909090909090912E-2</v>
      </c>
      <c r="W473" s="18">
        <v>97</v>
      </c>
      <c r="Y473" t="s">
        <v>104</v>
      </c>
      <c r="Z473">
        <v>27</v>
      </c>
      <c r="AA473">
        <v>2</v>
      </c>
      <c r="AB473">
        <f t="shared" si="6"/>
        <v>4.4074074074074074</v>
      </c>
      <c r="AC473">
        <f t="shared" si="7"/>
        <v>7.407407407407407E-2</v>
      </c>
      <c r="AD473" s="3" t="s">
        <v>46</v>
      </c>
      <c r="AE473" s="18">
        <v>119</v>
      </c>
      <c r="AG473" t="s">
        <v>104</v>
      </c>
      <c r="AH473" s="6">
        <v>29</v>
      </c>
      <c r="AI473">
        <v>2</v>
      </c>
      <c r="AJ473">
        <f t="shared" si="8"/>
        <v>4.3448275862068968</v>
      </c>
      <c r="AK473">
        <f t="shared" si="9"/>
        <v>6.8965517241379309E-2</v>
      </c>
      <c r="AM473" s="18">
        <v>126</v>
      </c>
      <c r="AO473" t="s">
        <v>104</v>
      </c>
      <c r="AP473" s="6">
        <v>30</v>
      </c>
      <c r="AQ473">
        <v>2</v>
      </c>
      <c r="AR473">
        <f t="shared" si="10"/>
        <v>4.2666666666666666</v>
      </c>
      <c r="AS473">
        <f t="shared" si="11"/>
        <v>6.6666666666666666E-2</v>
      </c>
      <c r="AU473" s="18">
        <v>128</v>
      </c>
      <c r="AW473" t="s">
        <v>7</v>
      </c>
      <c r="AX473">
        <v>12</v>
      </c>
      <c r="AY473">
        <v>3</v>
      </c>
      <c r="AZ473">
        <f t="shared" si="12"/>
        <v>4.25</v>
      </c>
      <c r="BA473">
        <f t="shared" si="13"/>
        <v>0.25</v>
      </c>
      <c r="BC473" s="18">
        <v>51</v>
      </c>
      <c r="BE473" t="s">
        <v>10</v>
      </c>
      <c r="BF473">
        <v>30</v>
      </c>
      <c r="BG473">
        <v>5</v>
      </c>
      <c r="BH473">
        <f t="shared" si="14"/>
        <v>4.2666666666666666</v>
      </c>
      <c r="BI473">
        <f t="shared" si="15"/>
        <v>0.16666666666666666</v>
      </c>
      <c r="BJ473" s="2" t="s">
        <v>59</v>
      </c>
      <c r="BK473" s="18">
        <v>128</v>
      </c>
    </row>
    <row r="474" spans="1:63" x14ac:dyDescent="0.35">
      <c r="A474" t="s">
        <v>14</v>
      </c>
      <c r="B474">
        <v>41</v>
      </c>
      <c r="C474">
        <v>3</v>
      </c>
      <c r="D474">
        <f t="shared" si="0"/>
        <v>4.4634146341463419</v>
      </c>
      <c r="E474">
        <f t="shared" si="1"/>
        <v>7.3170731707317069E-2</v>
      </c>
      <c r="F474">
        <v>2.1805682857412299</v>
      </c>
      <c r="G474" s="18">
        <v>183</v>
      </c>
      <c r="I474" s="18" t="s">
        <v>30</v>
      </c>
      <c r="J474" s="31">
        <v>13</v>
      </c>
      <c r="K474" s="31">
        <v>3</v>
      </c>
      <c r="L474" s="18">
        <f t="shared" si="2"/>
        <v>4.4615384615384617</v>
      </c>
      <c r="M474" s="18">
        <f t="shared" si="3"/>
        <v>0.23076923076923078</v>
      </c>
      <c r="N474" s="2" t="s">
        <v>132</v>
      </c>
      <c r="O474" s="18">
        <v>58</v>
      </c>
      <c r="Q474" t="s">
        <v>30</v>
      </c>
      <c r="R474">
        <v>13</v>
      </c>
      <c r="S474">
        <v>3</v>
      </c>
      <c r="T474">
        <f t="shared" si="4"/>
        <v>4.4615384615384617</v>
      </c>
      <c r="U474">
        <f t="shared" si="5"/>
        <v>0.23076923076923078</v>
      </c>
      <c r="W474" s="18">
        <v>58</v>
      </c>
      <c r="Y474" t="s">
        <v>29</v>
      </c>
      <c r="Z474" s="6">
        <v>23</v>
      </c>
      <c r="AA474">
        <v>2</v>
      </c>
      <c r="AB474">
        <f t="shared" si="6"/>
        <v>4.4347826086956523</v>
      </c>
      <c r="AC474">
        <f t="shared" si="7"/>
        <v>8.6956521739130432E-2</v>
      </c>
      <c r="AD474" s="3" t="s">
        <v>46</v>
      </c>
      <c r="AE474" s="18">
        <v>102</v>
      </c>
      <c r="AG474" t="s">
        <v>115</v>
      </c>
      <c r="AH474" s="6">
        <v>10</v>
      </c>
      <c r="AI474">
        <v>0</v>
      </c>
      <c r="AJ474">
        <f t="shared" si="8"/>
        <v>4.4000000000000004</v>
      </c>
      <c r="AK474">
        <f t="shared" si="9"/>
        <v>0</v>
      </c>
      <c r="AL474" s="2" t="s">
        <v>233</v>
      </c>
      <c r="AM474" s="18">
        <v>44</v>
      </c>
      <c r="AO474" t="s">
        <v>10</v>
      </c>
      <c r="AP474">
        <v>30</v>
      </c>
      <c r="AQ474">
        <v>5</v>
      </c>
      <c r="AR474">
        <f t="shared" si="10"/>
        <v>4.2666666666666666</v>
      </c>
      <c r="AS474">
        <f t="shared" si="11"/>
        <v>0.16666666666666666</v>
      </c>
      <c r="AT474" s="3" t="s">
        <v>54</v>
      </c>
      <c r="AU474" s="18">
        <v>128</v>
      </c>
      <c r="AW474" t="s">
        <v>15</v>
      </c>
      <c r="AX474" s="6">
        <v>83</v>
      </c>
      <c r="AY474">
        <v>16</v>
      </c>
      <c r="AZ474">
        <f t="shared" si="12"/>
        <v>4.2650602409638552</v>
      </c>
      <c r="BA474">
        <f t="shared" si="13"/>
        <v>0.19277108433734941</v>
      </c>
      <c r="BB474" s="3" t="s">
        <v>54</v>
      </c>
      <c r="BC474" s="18">
        <v>354</v>
      </c>
      <c r="BE474" t="s">
        <v>15</v>
      </c>
      <c r="BF474" s="6">
        <v>85</v>
      </c>
      <c r="BG474">
        <v>16</v>
      </c>
      <c r="BH474">
        <f t="shared" si="14"/>
        <v>4.2941176470588234</v>
      </c>
      <c r="BI474">
        <f t="shared" si="15"/>
        <v>0.18823529411764706</v>
      </c>
      <c r="BK474" s="18">
        <v>365</v>
      </c>
    </row>
    <row r="475" spans="1:63" x14ac:dyDescent="0.35">
      <c r="A475" t="s">
        <v>23</v>
      </c>
      <c r="B475">
        <v>13</v>
      </c>
      <c r="C475">
        <v>0</v>
      </c>
      <c r="D475">
        <f t="shared" si="0"/>
        <v>4.5384615384615383</v>
      </c>
      <c r="E475">
        <f t="shared" si="1"/>
        <v>0</v>
      </c>
      <c r="F475">
        <v>1.9414506867882999</v>
      </c>
      <c r="G475" s="18">
        <v>59</v>
      </c>
      <c r="I475" s="18" t="s">
        <v>14</v>
      </c>
      <c r="J475" s="18">
        <v>41</v>
      </c>
      <c r="K475" s="18">
        <v>3</v>
      </c>
      <c r="L475" s="18">
        <f t="shared" si="2"/>
        <v>4.4634146341463419</v>
      </c>
      <c r="M475" s="18">
        <f t="shared" si="3"/>
        <v>7.3170731707317069E-2</v>
      </c>
      <c r="N475" s="3" t="s">
        <v>46</v>
      </c>
      <c r="O475" s="18">
        <v>183</v>
      </c>
      <c r="Q475" t="s">
        <v>14</v>
      </c>
      <c r="R475">
        <v>41</v>
      </c>
      <c r="S475">
        <v>3</v>
      </c>
      <c r="T475">
        <f t="shared" si="4"/>
        <v>4.4634146341463419</v>
      </c>
      <c r="U475">
        <f t="shared" si="5"/>
        <v>7.3170731707317069E-2</v>
      </c>
      <c r="W475" s="18">
        <v>183</v>
      </c>
      <c r="Y475" t="s">
        <v>30</v>
      </c>
      <c r="Z475">
        <v>13</v>
      </c>
      <c r="AA475">
        <v>3</v>
      </c>
      <c r="AB475">
        <f t="shared" si="6"/>
        <v>4.4615384615384617</v>
      </c>
      <c r="AC475">
        <f t="shared" si="7"/>
        <v>0.23076923076923078</v>
      </c>
      <c r="AD475" s="3" t="s">
        <v>46</v>
      </c>
      <c r="AE475" s="18">
        <v>58</v>
      </c>
      <c r="AG475" t="s">
        <v>29</v>
      </c>
      <c r="AH475">
        <v>23</v>
      </c>
      <c r="AI475">
        <v>2</v>
      </c>
      <c r="AJ475">
        <f t="shared" si="8"/>
        <v>4.4347826086956523</v>
      </c>
      <c r="AK475">
        <f t="shared" si="9"/>
        <v>8.6956521739130432E-2</v>
      </c>
      <c r="AL475" s="3" t="s">
        <v>46</v>
      </c>
      <c r="AM475" s="18">
        <v>102</v>
      </c>
      <c r="AO475" t="s">
        <v>112</v>
      </c>
      <c r="AP475">
        <v>10</v>
      </c>
      <c r="AQ475">
        <v>3</v>
      </c>
      <c r="AR475">
        <f t="shared" si="10"/>
        <v>4.3</v>
      </c>
      <c r="AS475">
        <f t="shared" si="11"/>
        <v>0.3</v>
      </c>
      <c r="AT475" s="3" t="s">
        <v>54</v>
      </c>
      <c r="AU475" s="18">
        <v>43</v>
      </c>
      <c r="AW475" t="s">
        <v>104</v>
      </c>
      <c r="AX475">
        <v>30</v>
      </c>
      <c r="AY475">
        <v>2</v>
      </c>
      <c r="AZ475">
        <f t="shared" si="12"/>
        <v>4.2666666666666666</v>
      </c>
      <c r="BA475">
        <f t="shared" si="13"/>
        <v>6.6666666666666666E-2</v>
      </c>
      <c r="BB475" s="3" t="s">
        <v>46</v>
      </c>
      <c r="BC475" s="18">
        <v>128</v>
      </c>
      <c r="BE475" t="s">
        <v>112</v>
      </c>
      <c r="BF475">
        <v>10</v>
      </c>
      <c r="BG475">
        <v>3</v>
      </c>
      <c r="BH475">
        <f t="shared" si="14"/>
        <v>4.3</v>
      </c>
      <c r="BI475">
        <f t="shared" si="15"/>
        <v>0.3</v>
      </c>
      <c r="BJ475" s="2" t="s">
        <v>47</v>
      </c>
      <c r="BK475" s="18">
        <v>43</v>
      </c>
    </row>
    <row r="476" spans="1:63" x14ac:dyDescent="0.35">
      <c r="A476" t="s">
        <v>50</v>
      </c>
      <c r="B476">
        <v>10</v>
      </c>
      <c r="C476">
        <v>0</v>
      </c>
      <c r="D476">
        <f t="shared" si="0"/>
        <v>4.5999999999999996</v>
      </c>
      <c r="E476">
        <f t="shared" si="1"/>
        <v>0</v>
      </c>
      <c r="F476">
        <v>2.2360679774997898</v>
      </c>
      <c r="G476" s="18">
        <v>46</v>
      </c>
      <c r="I476" s="18" t="s">
        <v>23</v>
      </c>
      <c r="J476" s="31">
        <v>18</v>
      </c>
      <c r="K476" s="18">
        <v>0</v>
      </c>
      <c r="L476" s="18">
        <f t="shared" si="2"/>
        <v>4.5</v>
      </c>
      <c r="M476" s="18">
        <f t="shared" si="3"/>
        <v>0</v>
      </c>
      <c r="N476" s="3" t="s">
        <v>46</v>
      </c>
      <c r="O476" s="18">
        <v>81</v>
      </c>
      <c r="Q476" t="s">
        <v>81</v>
      </c>
      <c r="R476" s="6">
        <v>10</v>
      </c>
      <c r="S476">
        <v>1</v>
      </c>
      <c r="T476">
        <f t="shared" si="4"/>
        <v>4.5</v>
      </c>
      <c r="U476">
        <f t="shared" si="5"/>
        <v>0.1</v>
      </c>
      <c r="V476" s="2" t="s">
        <v>233</v>
      </c>
      <c r="W476" s="18">
        <v>45</v>
      </c>
      <c r="Y476" t="s">
        <v>14</v>
      </c>
      <c r="Z476">
        <v>41</v>
      </c>
      <c r="AA476">
        <v>3</v>
      </c>
      <c r="AB476">
        <f t="shared" si="6"/>
        <v>4.4634146341463419</v>
      </c>
      <c r="AC476">
        <f t="shared" si="7"/>
        <v>7.3170731707317069E-2</v>
      </c>
      <c r="AD476" s="3" t="s">
        <v>46</v>
      </c>
      <c r="AE476" s="18">
        <v>183</v>
      </c>
      <c r="AG476" t="s">
        <v>30</v>
      </c>
      <c r="AH476">
        <v>13</v>
      </c>
      <c r="AI476">
        <v>3</v>
      </c>
      <c r="AJ476">
        <f t="shared" si="8"/>
        <v>4.4615384615384617</v>
      </c>
      <c r="AK476">
        <f t="shared" si="9"/>
        <v>0.23076923076923078</v>
      </c>
      <c r="AL476" s="3" t="s">
        <v>46</v>
      </c>
      <c r="AM476" s="18">
        <v>58</v>
      </c>
      <c r="AO476" t="s">
        <v>115</v>
      </c>
      <c r="AP476">
        <v>10</v>
      </c>
      <c r="AQ476">
        <v>0</v>
      </c>
      <c r="AR476">
        <f t="shared" si="10"/>
        <v>4.4000000000000004</v>
      </c>
      <c r="AS476">
        <f t="shared" si="11"/>
        <v>0</v>
      </c>
      <c r="AT476" s="3" t="s">
        <v>45</v>
      </c>
      <c r="AU476" s="18">
        <v>44</v>
      </c>
      <c r="AW476" t="s">
        <v>10</v>
      </c>
      <c r="AX476">
        <v>30</v>
      </c>
      <c r="AY476">
        <v>5</v>
      </c>
      <c r="AZ476">
        <f t="shared" si="12"/>
        <v>4.2666666666666666</v>
      </c>
      <c r="BA476">
        <f t="shared" si="13"/>
        <v>0.16666666666666666</v>
      </c>
      <c r="BB476" s="3" t="s">
        <v>46</v>
      </c>
      <c r="BC476" s="18">
        <v>128</v>
      </c>
      <c r="BE476" t="s">
        <v>7</v>
      </c>
      <c r="BF476" s="6">
        <v>13</v>
      </c>
      <c r="BG476">
        <v>3</v>
      </c>
      <c r="BH476">
        <f t="shared" si="14"/>
        <v>4.3076923076923075</v>
      </c>
      <c r="BI476">
        <f t="shared" si="15"/>
        <v>0.23076923076923078</v>
      </c>
      <c r="BJ476" s="3" t="s">
        <v>54</v>
      </c>
      <c r="BK476" s="18">
        <v>56</v>
      </c>
    </row>
    <row r="477" spans="1:63" x14ac:dyDescent="0.35">
      <c r="A477" t="s">
        <v>21</v>
      </c>
      <c r="B477">
        <v>10</v>
      </c>
      <c r="C477">
        <v>0</v>
      </c>
      <c r="D477">
        <f t="shared" si="0"/>
        <v>4.5999999999999996</v>
      </c>
      <c r="E477">
        <f t="shared" si="1"/>
        <v>0</v>
      </c>
      <c r="F477">
        <v>2.0655911179772799</v>
      </c>
      <c r="G477" s="18">
        <v>46</v>
      </c>
      <c r="I477" s="18" t="s">
        <v>21</v>
      </c>
      <c r="J477" s="18">
        <v>10</v>
      </c>
      <c r="K477" s="18">
        <v>0</v>
      </c>
      <c r="L477" s="18">
        <f t="shared" si="2"/>
        <v>4.5999999999999996</v>
      </c>
      <c r="M477" s="18">
        <f t="shared" si="3"/>
        <v>0</v>
      </c>
      <c r="O477" s="18">
        <v>46</v>
      </c>
      <c r="Q477" t="s">
        <v>23</v>
      </c>
      <c r="R477">
        <v>18</v>
      </c>
      <c r="S477">
        <v>0</v>
      </c>
      <c r="T477">
        <f t="shared" si="4"/>
        <v>4.5</v>
      </c>
      <c r="U477">
        <f t="shared" si="5"/>
        <v>0</v>
      </c>
      <c r="V477" s="3" t="s">
        <v>46</v>
      </c>
      <c r="W477" s="18">
        <v>81</v>
      </c>
      <c r="Y477" t="s">
        <v>81</v>
      </c>
      <c r="Z477">
        <v>10</v>
      </c>
      <c r="AA477">
        <v>1</v>
      </c>
      <c r="AB477">
        <f t="shared" si="6"/>
        <v>4.5</v>
      </c>
      <c r="AC477">
        <f t="shared" si="7"/>
        <v>0.1</v>
      </c>
      <c r="AD477" s="3" t="s">
        <v>46</v>
      </c>
      <c r="AE477" s="18">
        <v>45</v>
      </c>
      <c r="AG477" t="s">
        <v>14</v>
      </c>
      <c r="AH477">
        <v>41</v>
      </c>
      <c r="AI477">
        <v>3</v>
      </c>
      <c r="AJ477">
        <f t="shared" si="8"/>
        <v>4.4634146341463419</v>
      </c>
      <c r="AK477">
        <f t="shared" si="9"/>
        <v>7.3170731707317069E-2</v>
      </c>
      <c r="AL477" s="3" t="s">
        <v>46</v>
      </c>
      <c r="AM477" s="18">
        <v>183</v>
      </c>
      <c r="AO477" t="s">
        <v>29</v>
      </c>
      <c r="AP477">
        <v>23</v>
      </c>
      <c r="AQ477">
        <v>2</v>
      </c>
      <c r="AR477">
        <f t="shared" si="10"/>
        <v>4.4347826086956523</v>
      </c>
      <c r="AS477">
        <f t="shared" si="11"/>
        <v>8.6956521739130432E-2</v>
      </c>
      <c r="AT477" s="3" t="s">
        <v>45</v>
      </c>
      <c r="AU477" s="18">
        <v>102</v>
      </c>
      <c r="AW477" t="s">
        <v>112</v>
      </c>
      <c r="AX477">
        <v>10</v>
      </c>
      <c r="AY477">
        <v>3</v>
      </c>
      <c r="AZ477">
        <f t="shared" si="12"/>
        <v>4.3</v>
      </c>
      <c r="BA477">
        <f t="shared" si="13"/>
        <v>0.3</v>
      </c>
      <c r="BB477" s="3" t="s">
        <v>46</v>
      </c>
      <c r="BC477" s="18">
        <v>43</v>
      </c>
      <c r="BE477" t="s">
        <v>104</v>
      </c>
      <c r="BF477" s="6">
        <v>31</v>
      </c>
      <c r="BG477">
        <v>2</v>
      </c>
      <c r="BH477">
        <f t="shared" si="14"/>
        <v>4.354838709677419</v>
      </c>
      <c r="BI477">
        <f t="shared" si="15"/>
        <v>6.4516129032258063E-2</v>
      </c>
      <c r="BJ477" s="3" t="s">
        <v>45</v>
      </c>
      <c r="BK477" s="18">
        <v>135</v>
      </c>
    </row>
    <row r="478" spans="1:63" x14ac:dyDescent="0.35">
      <c r="A478" t="s">
        <v>3</v>
      </c>
      <c r="B478">
        <v>14</v>
      </c>
      <c r="C478">
        <v>2</v>
      </c>
      <c r="D478">
        <f t="shared" si="0"/>
        <v>4.6428571428571432</v>
      </c>
      <c r="E478">
        <f t="shared" si="1"/>
        <v>0.14285714285714285</v>
      </c>
      <c r="F478">
        <v>2.3731557327466102</v>
      </c>
      <c r="G478" s="18">
        <v>65</v>
      </c>
      <c r="I478" s="18" t="s">
        <v>99</v>
      </c>
      <c r="J478" s="18">
        <v>10</v>
      </c>
      <c r="K478" s="18">
        <v>2</v>
      </c>
      <c r="L478" s="18">
        <f t="shared" si="2"/>
        <v>4.7</v>
      </c>
      <c r="M478" s="18">
        <f t="shared" si="3"/>
        <v>0.2</v>
      </c>
      <c r="N478" s="2" t="s">
        <v>44</v>
      </c>
      <c r="O478" s="18">
        <v>47</v>
      </c>
      <c r="Q478" t="s">
        <v>7</v>
      </c>
      <c r="R478" s="6">
        <v>11</v>
      </c>
      <c r="S478">
        <v>2</v>
      </c>
      <c r="T478">
        <f t="shared" si="4"/>
        <v>4.5454545454545459</v>
      </c>
      <c r="U478">
        <f t="shared" si="5"/>
        <v>0.18181818181818182</v>
      </c>
      <c r="V478" s="3" t="s">
        <v>69</v>
      </c>
      <c r="W478" s="18">
        <v>50</v>
      </c>
      <c r="Y478" t="s">
        <v>23</v>
      </c>
      <c r="Z478">
        <v>18</v>
      </c>
      <c r="AA478">
        <v>0</v>
      </c>
      <c r="AB478">
        <f t="shared" si="6"/>
        <v>4.5</v>
      </c>
      <c r="AC478">
        <f t="shared" si="7"/>
        <v>0</v>
      </c>
      <c r="AD478" s="3" t="s">
        <v>46</v>
      </c>
      <c r="AE478" s="18">
        <v>81</v>
      </c>
      <c r="AG478" t="s">
        <v>81</v>
      </c>
      <c r="AH478">
        <v>10</v>
      </c>
      <c r="AI478">
        <v>1</v>
      </c>
      <c r="AJ478">
        <f t="shared" si="8"/>
        <v>4.5</v>
      </c>
      <c r="AK478">
        <f t="shared" si="9"/>
        <v>0.1</v>
      </c>
      <c r="AL478" s="3" t="s">
        <v>46</v>
      </c>
      <c r="AM478" s="18">
        <v>45</v>
      </c>
      <c r="AO478" t="s">
        <v>23</v>
      </c>
      <c r="AP478">
        <v>18</v>
      </c>
      <c r="AQ478">
        <v>0</v>
      </c>
      <c r="AR478">
        <f t="shared" si="10"/>
        <v>4.5</v>
      </c>
      <c r="AS478">
        <f t="shared" si="11"/>
        <v>0</v>
      </c>
      <c r="AT478" s="2" t="s">
        <v>44</v>
      </c>
      <c r="AU478" s="18">
        <v>81</v>
      </c>
      <c r="AW478" t="s">
        <v>115</v>
      </c>
      <c r="AX478">
        <v>10</v>
      </c>
      <c r="AY478">
        <v>0</v>
      </c>
      <c r="AZ478">
        <f t="shared" si="12"/>
        <v>4.4000000000000004</v>
      </c>
      <c r="BA478">
        <f t="shared" si="13"/>
        <v>0</v>
      </c>
      <c r="BB478" s="3" t="s">
        <v>46</v>
      </c>
      <c r="BC478" s="18">
        <v>44</v>
      </c>
      <c r="BE478" t="s">
        <v>115</v>
      </c>
      <c r="BF478" s="6">
        <v>11</v>
      </c>
      <c r="BG478">
        <v>0</v>
      </c>
      <c r="BH478">
        <f t="shared" si="14"/>
        <v>4.3636363636363633</v>
      </c>
      <c r="BI478">
        <f t="shared" si="15"/>
        <v>0</v>
      </c>
      <c r="BK478" s="18">
        <v>48</v>
      </c>
    </row>
    <row r="479" spans="1:63" x14ac:dyDescent="0.35">
      <c r="A479" t="s">
        <v>99</v>
      </c>
      <c r="B479">
        <v>10</v>
      </c>
      <c r="C479">
        <v>2</v>
      </c>
      <c r="D479">
        <f t="shared" si="0"/>
        <v>4.7</v>
      </c>
      <c r="E479">
        <f t="shared" si="1"/>
        <v>0.2</v>
      </c>
      <c r="F479">
        <v>2.6687491868330699</v>
      </c>
      <c r="G479" s="18">
        <v>47</v>
      </c>
      <c r="I479" s="18" t="s">
        <v>26</v>
      </c>
      <c r="J479" s="31">
        <v>13</v>
      </c>
      <c r="K479" s="18">
        <v>2</v>
      </c>
      <c r="L479" s="18">
        <f t="shared" si="2"/>
        <v>4.7692307692307692</v>
      </c>
      <c r="M479" s="18">
        <f t="shared" si="3"/>
        <v>0.15384615384615385</v>
      </c>
      <c r="N479" s="3" t="s">
        <v>375</v>
      </c>
      <c r="O479" s="18">
        <v>62</v>
      </c>
      <c r="Q479" t="s">
        <v>21</v>
      </c>
      <c r="R479">
        <v>10</v>
      </c>
      <c r="S479">
        <v>0</v>
      </c>
      <c r="T479">
        <f t="shared" si="4"/>
        <v>4.5999999999999996</v>
      </c>
      <c r="U479">
        <f t="shared" si="5"/>
        <v>0</v>
      </c>
      <c r="V479" s="3" t="s">
        <v>45</v>
      </c>
      <c r="W479" s="18">
        <v>46</v>
      </c>
      <c r="Y479" t="s">
        <v>21</v>
      </c>
      <c r="Z479">
        <v>10</v>
      </c>
      <c r="AA479">
        <v>0</v>
      </c>
      <c r="AB479">
        <f t="shared" si="6"/>
        <v>4.5999999999999996</v>
      </c>
      <c r="AC479">
        <f t="shared" si="7"/>
        <v>0</v>
      </c>
      <c r="AE479" s="18">
        <v>46</v>
      </c>
      <c r="AG479" t="s">
        <v>23</v>
      </c>
      <c r="AH479">
        <v>18</v>
      </c>
      <c r="AI479">
        <v>0</v>
      </c>
      <c r="AJ479">
        <f t="shared" si="8"/>
        <v>4.5</v>
      </c>
      <c r="AK479">
        <f t="shared" si="9"/>
        <v>0</v>
      </c>
      <c r="AL479" s="3" t="s">
        <v>46</v>
      </c>
      <c r="AM479" s="18">
        <v>81</v>
      </c>
      <c r="AO479" t="s">
        <v>3</v>
      </c>
      <c r="AP479" s="6">
        <v>16</v>
      </c>
      <c r="AQ479">
        <v>3</v>
      </c>
      <c r="AR479">
        <f t="shared" si="10"/>
        <v>4.5625</v>
      </c>
      <c r="AS479">
        <f t="shared" si="11"/>
        <v>0.1875</v>
      </c>
      <c r="AT479" s="2" t="s">
        <v>132</v>
      </c>
      <c r="AU479" s="18">
        <v>73</v>
      </c>
      <c r="AW479" t="s">
        <v>29</v>
      </c>
      <c r="AX479">
        <v>23</v>
      </c>
      <c r="AY479">
        <v>2</v>
      </c>
      <c r="AZ479">
        <f t="shared" si="12"/>
        <v>4.4347826086956523</v>
      </c>
      <c r="BA479">
        <f t="shared" si="13"/>
        <v>8.6956521739130432E-2</v>
      </c>
      <c r="BB479" s="3" t="s">
        <v>46</v>
      </c>
      <c r="BC479" s="18">
        <v>102</v>
      </c>
      <c r="BE479" t="s">
        <v>29</v>
      </c>
      <c r="BF479">
        <v>23</v>
      </c>
      <c r="BG479">
        <v>2</v>
      </c>
      <c r="BH479">
        <f t="shared" si="14"/>
        <v>4.4347826086956523</v>
      </c>
      <c r="BI479">
        <f t="shared" si="15"/>
        <v>8.6956521739130432E-2</v>
      </c>
      <c r="BK479" s="18">
        <v>102</v>
      </c>
    </row>
    <row r="480" spans="1:63" x14ac:dyDescent="0.35">
      <c r="A480" t="s">
        <v>37</v>
      </c>
      <c r="B480">
        <v>14</v>
      </c>
      <c r="C480">
        <v>2</v>
      </c>
      <c r="D480">
        <f t="shared" si="0"/>
        <v>4.7857142857142856</v>
      </c>
      <c r="E480">
        <f t="shared" si="1"/>
        <v>0.14285714285714285</v>
      </c>
      <c r="F480">
        <v>2.4235565546581199</v>
      </c>
      <c r="G480" s="18">
        <v>67</v>
      </c>
      <c r="I480" s="18" t="s">
        <v>37</v>
      </c>
      <c r="J480" s="18">
        <v>14</v>
      </c>
      <c r="K480" s="18">
        <v>2</v>
      </c>
      <c r="L480" s="18">
        <f t="shared" si="2"/>
        <v>4.7857142857142856</v>
      </c>
      <c r="M480" s="18">
        <f t="shared" si="3"/>
        <v>0.14285714285714285</v>
      </c>
      <c r="O480" s="18">
        <v>67</v>
      </c>
      <c r="Q480" t="s">
        <v>99</v>
      </c>
      <c r="R480">
        <v>10</v>
      </c>
      <c r="S480">
        <v>2</v>
      </c>
      <c r="T480">
        <f t="shared" si="4"/>
        <v>4.7</v>
      </c>
      <c r="U480">
        <f t="shared" si="5"/>
        <v>0.2</v>
      </c>
      <c r="V480" s="3" t="s">
        <v>45</v>
      </c>
      <c r="W480" s="18">
        <v>47</v>
      </c>
      <c r="Y480" t="s">
        <v>99</v>
      </c>
      <c r="Z480">
        <v>10</v>
      </c>
      <c r="AA480">
        <v>2</v>
      </c>
      <c r="AB480">
        <f t="shared" si="6"/>
        <v>4.7</v>
      </c>
      <c r="AC480">
        <f t="shared" si="7"/>
        <v>0.2</v>
      </c>
      <c r="AE480" s="18">
        <v>47</v>
      </c>
      <c r="AG480" t="s">
        <v>13</v>
      </c>
      <c r="AH480" s="6">
        <v>29</v>
      </c>
      <c r="AI480">
        <v>2</v>
      </c>
      <c r="AJ480">
        <f t="shared" si="8"/>
        <v>4.5862068965517242</v>
      </c>
      <c r="AK480">
        <f t="shared" si="9"/>
        <v>6.8965517241379309E-2</v>
      </c>
      <c r="AL480" s="19" t="s">
        <v>44</v>
      </c>
      <c r="AM480" s="18">
        <v>133</v>
      </c>
      <c r="AO480" t="s">
        <v>30</v>
      </c>
      <c r="AP480" s="6">
        <v>14</v>
      </c>
      <c r="AQ480">
        <v>3</v>
      </c>
      <c r="AR480">
        <f t="shared" si="10"/>
        <v>4.5714285714285712</v>
      </c>
      <c r="AS480">
        <f t="shared" si="11"/>
        <v>0.21428571428571427</v>
      </c>
      <c r="AT480" s="3" t="s">
        <v>55</v>
      </c>
      <c r="AU480" s="18">
        <v>64</v>
      </c>
      <c r="AW480" t="s">
        <v>23</v>
      </c>
      <c r="AX480">
        <v>18</v>
      </c>
      <c r="AY480">
        <v>0</v>
      </c>
      <c r="AZ480">
        <f t="shared" si="12"/>
        <v>4.5</v>
      </c>
      <c r="BA480">
        <f t="shared" si="13"/>
        <v>0</v>
      </c>
      <c r="BB480" s="3" t="s">
        <v>46</v>
      </c>
      <c r="BC480" s="18">
        <v>81</v>
      </c>
      <c r="BE480" t="s">
        <v>23</v>
      </c>
      <c r="BF480">
        <v>18</v>
      </c>
      <c r="BG480">
        <v>0</v>
      </c>
      <c r="BH480">
        <f t="shared" si="14"/>
        <v>4.5</v>
      </c>
      <c r="BI480">
        <f t="shared" si="15"/>
        <v>0</v>
      </c>
      <c r="BK480" s="18">
        <v>81</v>
      </c>
    </row>
    <row r="481" spans="1:63" x14ac:dyDescent="0.35">
      <c r="A481" t="s">
        <v>30</v>
      </c>
      <c r="B481">
        <v>11</v>
      </c>
      <c r="C481">
        <v>2</v>
      </c>
      <c r="D481">
        <f t="shared" si="0"/>
        <v>4.8181818181818183</v>
      </c>
      <c r="E481">
        <f t="shared" si="1"/>
        <v>0.18181818181818182</v>
      </c>
      <c r="F481">
        <v>2.5226248955475601</v>
      </c>
      <c r="G481" s="18">
        <v>53</v>
      </c>
      <c r="I481" s="18" t="s">
        <v>3</v>
      </c>
      <c r="J481" s="31">
        <v>15</v>
      </c>
      <c r="K481" s="18">
        <v>2</v>
      </c>
      <c r="L481" s="18">
        <f t="shared" si="2"/>
        <v>4.8</v>
      </c>
      <c r="M481" s="18">
        <f t="shared" si="3"/>
        <v>0.13333333333333333</v>
      </c>
      <c r="N481" s="3" t="s">
        <v>54</v>
      </c>
      <c r="O481" s="18">
        <v>72</v>
      </c>
      <c r="Q481" t="s">
        <v>26</v>
      </c>
      <c r="R481">
        <v>13</v>
      </c>
      <c r="S481">
        <v>2</v>
      </c>
      <c r="T481">
        <f t="shared" si="4"/>
        <v>4.7692307692307692</v>
      </c>
      <c r="U481">
        <f t="shared" si="5"/>
        <v>0.15384615384615385</v>
      </c>
      <c r="V481" s="3" t="s">
        <v>45</v>
      </c>
      <c r="W481" s="18">
        <v>62</v>
      </c>
      <c r="Y481" t="s">
        <v>13</v>
      </c>
      <c r="Z481" s="6">
        <v>25</v>
      </c>
      <c r="AA481" s="6">
        <v>2</v>
      </c>
      <c r="AB481">
        <f t="shared" si="6"/>
        <v>4.76</v>
      </c>
      <c r="AC481">
        <f t="shared" si="7"/>
        <v>0.08</v>
      </c>
      <c r="AD481" s="2" t="s">
        <v>133</v>
      </c>
      <c r="AE481" s="18">
        <v>119</v>
      </c>
      <c r="AG481" t="s">
        <v>21</v>
      </c>
      <c r="AH481">
        <v>10</v>
      </c>
      <c r="AI481">
        <v>0</v>
      </c>
      <c r="AJ481">
        <f t="shared" si="8"/>
        <v>4.5999999999999996</v>
      </c>
      <c r="AK481">
        <f t="shared" si="9"/>
        <v>0</v>
      </c>
      <c r="AL481" s="3" t="s">
        <v>45</v>
      </c>
      <c r="AM481" s="18">
        <v>46</v>
      </c>
      <c r="AO481" t="s">
        <v>13</v>
      </c>
      <c r="AP481">
        <v>29</v>
      </c>
      <c r="AQ481">
        <v>2</v>
      </c>
      <c r="AR481">
        <f t="shared" si="10"/>
        <v>4.5862068965517242</v>
      </c>
      <c r="AS481">
        <f t="shared" si="11"/>
        <v>6.8965517241379309E-2</v>
      </c>
      <c r="AT481" s="3" t="s">
        <v>46</v>
      </c>
      <c r="AU481" s="18">
        <v>133</v>
      </c>
      <c r="AW481" t="s">
        <v>3</v>
      </c>
      <c r="AX481">
        <v>16</v>
      </c>
      <c r="AY481">
        <v>3</v>
      </c>
      <c r="AZ481">
        <f t="shared" si="12"/>
        <v>4.5625</v>
      </c>
      <c r="BA481">
        <f t="shared" si="13"/>
        <v>0.1875</v>
      </c>
      <c r="BB481" s="3" t="s">
        <v>46</v>
      </c>
      <c r="BC481" s="18">
        <v>73</v>
      </c>
      <c r="BE481" t="s">
        <v>24</v>
      </c>
      <c r="BF481" s="6">
        <v>53</v>
      </c>
      <c r="BG481" s="6">
        <v>6</v>
      </c>
      <c r="BH481">
        <f t="shared" si="14"/>
        <v>4.5283018867924527</v>
      </c>
      <c r="BI481">
        <f t="shared" si="15"/>
        <v>0.11320754716981132</v>
      </c>
      <c r="BJ481" s="2" t="s">
        <v>59</v>
      </c>
      <c r="BK481" s="18">
        <v>240</v>
      </c>
    </row>
    <row r="482" spans="1:63" x14ac:dyDescent="0.35">
      <c r="A482" t="s">
        <v>13</v>
      </c>
      <c r="B482">
        <v>20</v>
      </c>
      <c r="C482">
        <v>1</v>
      </c>
      <c r="D482">
        <f t="shared" si="0"/>
        <v>4.95</v>
      </c>
      <c r="E482">
        <f t="shared" si="1"/>
        <v>0.05</v>
      </c>
      <c r="F482">
        <v>2.1392325234704299</v>
      </c>
      <c r="G482" s="18">
        <v>99</v>
      </c>
      <c r="I482" s="18" t="s">
        <v>50</v>
      </c>
      <c r="J482" s="31">
        <v>11</v>
      </c>
      <c r="K482" s="18">
        <v>0</v>
      </c>
      <c r="L482" s="18">
        <f t="shared" si="2"/>
        <v>4.8181818181818183</v>
      </c>
      <c r="M482" s="18">
        <f t="shared" si="3"/>
        <v>0</v>
      </c>
      <c r="N482" s="3" t="s">
        <v>71</v>
      </c>
      <c r="O482" s="18">
        <v>53</v>
      </c>
      <c r="Q482" t="s">
        <v>37</v>
      </c>
      <c r="R482">
        <v>14</v>
      </c>
      <c r="S482">
        <v>2</v>
      </c>
      <c r="T482">
        <f t="shared" si="4"/>
        <v>4.7857142857142856</v>
      </c>
      <c r="U482">
        <f t="shared" si="5"/>
        <v>0.14285714285714285</v>
      </c>
      <c r="V482" s="3" t="s">
        <v>45</v>
      </c>
      <c r="W482" s="18">
        <v>67</v>
      </c>
      <c r="Y482" t="s">
        <v>26</v>
      </c>
      <c r="Z482">
        <v>13</v>
      </c>
      <c r="AA482">
        <v>2</v>
      </c>
      <c r="AB482">
        <f t="shared" si="6"/>
        <v>4.7692307692307692</v>
      </c>
      <c r="AC482">
        <f t="shared" si="7"/>
        <v>0.15384615384615385</v>
      </c>
      <c r="AD482" s="3" t="s">
        <v>46</v>
      </c>
      <c r="AE482" s="18">
        <v>62</v>
      </c>
      <c r="AG482" t="s">
        <v>24</v>
      </c>
      <c r="AH482" s="6">
        <v>46</v>
      </c>
      <c r="AI482">
        <v>5</v>
      </c>
      <c r="AJ482">
        <f t="shared" si="8"/>
        <v>4.6304347826086953</v>
      </c>
      <c r="AK482">
        <f t="shared" si="9"/>
        <v>0.10869565217391304</v>
      </c>
      <c r="AL482" s="3" t="s">
        <v>182</v>
      </c>
      <c r="AM482" s="18">
        <v>213</v>
      </c>
      <c r="AO482" t="s">
        <v>21</v>
      </c>
      <c r="AP482">
        <v>10</v>
      </c>
      <c r="AQ482">
        <v>0</v>
      </c>
      <c r="AR482">
        <f t="shared" si="10"/>
        <v>4.5999999999999996</v>
      </c>
      <c r="AS482">
        <f t="shared" si="11"/>
        <v>0</v>
      </c>
      <c r="AT482" s="3" t="s">
        <v>46</v>
      </c>
      <c r="AU482" s="18">
        <v>46</v>
      </c>
      <c r="AW482" t="s">
        <v>30</v>
      </c>
      <c r="AX482">
        <v>14</v>
      </c>
      <c r="AY482">
        <v>3</v>
      </c>
      <c r="AZ482">
        <f t="shared" si="12"/>
        <v>4.5714285714285712</v>
      </c>
      <c r="BA482">
        <f t="shared" si="13"/>
        <v>0.21428571428571427</v>
      </c>
      <c r="BB482" s="3" t="s">
        <v>46</v>
      </c>
      <c r="BC482" s="18">
        <v>64</v>
      </c>
      <c r="BE482" t="s">
        <v>30</v>
      </c>
      <c r="BF482">
        <v>14</v>
      </c>
      <c r="BG482">
        <v>3</v>
      </c>
      <c r="BH482">
        <f t="shared" si="14"/>
        <v>4.5714285714285712</v>
      </c>
      <c r="BI482">
        <f t="shared" si="15"/>
        <v>0.21428571428571427</v>
      </c>
      <c r="BK482" s="18">
        <v>64</v>
      </c>
    </row>
    <row r="483" spans="1:63" x14ac:dyDescent="0.35">
      <c r="A483" t="s">
        <v>25</v>
      </c>
      <c r="B483">
        <v>42</v>
      </c>
      <c r="C483">
        <v>3</v>
      </c>
      <c r="D483">
        <f t="shared" si="0"/>
        <v>5</v>
      </c>
      <c r="E483">
        <f t="shared" si="1"/>
        <v>7.1428571428571425E-2</v>
      </c>
      <c r="F483">
        <v>2.1609054109613202</v>
      </c>
      <c r="G483" s="18">
        <v>210</v>
      </c>
      <c r="I483" s="18" t="s">
        <v>13</v>
      </c>
      <c r="J483" s="18">
        <v>20</v>
      </c>
      <c r="K483" s="18">
        <v>1</v>
      </c>
      <c r="L483" s="18">
        <f t="shared" si="2"/>
        <v>4.95</v>
      </c>
      <c r="M483" s="18">
        <f t="shared" si="3"/>
        <v>0.05</v>
      </c>
      <c r="N483" s="3" t="s">
        <v>46</v>
      </c>
      <c r="O483" s="18">
        <v>99</v>
      </c>
      <c r="Q483" t="s">
        <v>3</v>
      </c>
      <c r="R483">
        <v>15</v>
      </c>
      <c r="S483">
        <v>2</v>
      </c>
      <c r="T483">
        <f t="shared" si="4"/>
        <v>4.8</v>
      </c>
      <c r="U483">
        <f t="shared" si="5"/>
        <v>0.13333333333333333</v>
      </c>
      <c r="V483" s="3" t="s">
        <v>45</v>
      </c>
      <c r="W483" s="18">
        <v>72</v>
      </c>
      <c r="Y483" t="s">
        <v>37</v>
      </c>
      <c r="Z483">
        <v>14</v>
      </c>
      <c r="AA483">
        <v>2</v>
      </c>
      <c r="AB483">
        <f t="shared" si="6"/>
        <v>4.7857142857142856</v>
      </c>
      <c r="AC483">
        <f t="shared" si="7"/>
        <v>0.14285714285714285</v>
      </c>
      <c r="AD483" s="3" t="s">
        <v>46</v>
      </c>
      <c r="AE483" s="18">
        <v>67</v>
      </c>
      <c r="AG483" t="s">
        <v>99</v>
      </c>
      <c r="AH483">
        <v>10</v>
      </c>
      <c r="AI483">
        <v>2</v>
      </c>
      <c r="AJ483">
        <f t="shared" si="8"/>
        <v>4.7</v>
      </c>
      <c r="AK483">
        <f t="shared" si="9"/>
        <v>0.2</v>
      </c>
      <c r="AL483" s="3" t="s">
        <v>54</v>
      </c>
      <c r="AM483" s="18">
        <v>47</v>
      </c>
      <c r="AO483" t="s">
        <v>14</v>
      </c>
      <c r="AP483" s="6">
        <v>43</v>
      </c>
      <c r="AQ483">
        <v>3</v>
      </c>
      <c r="AR483">
        <f t="shared" si="10"/>
        <v>4.6279069767441863</v>
      </c>
      <c r="AS483">
        <f t="shared" si="11"/>
        <v>6.9767441860465115E-2</v>
      </c>
      <c r="AT483" s="3" t="s">
        <v>195</v>
      </c>
      <c r="AU483" s="18">
        <v>199</v>
      </c>
      <c r="AW483" t="s">
        <v>13</v>
      </c>
      <c r="AX483">
        <v>29</v>
      </c>
      <c r="AY483">
        <v>2</v>
      </c>
      <c r="AZ483">
        <f t="shared" si="12"/>
        <v>4.5862068965517242</v>
      </c>
      <c r="BA483">
        <f t="shared" si="13"/>
        <v>6.8965517241379309E-2</v>
      </c>
      <c r="BB483" s="3" t="s">
        <v>46</v>
      </c>
      <c r="BC483" s="18">
        <v>133</v>
      </c>
      <c r="BE483" t="s">
        <v>13</v>
      </c>
      <c r="BF483">
        <v>29</v>
      </c>
      <c r="BG483">
        <v>2</v>
      </c>
      <c r="BH483">
        <f t="shared" si="14"/>
        <v>4.5862068965517242</v>
      </c>
      <c r="BI483">
        <f t="shared" si="15"/>
        <v>6.8965517241379309E-2</v>
      </c>
      <c r="BK483" s="18">
        <v>133</v>
      </c>
    </row>
    <row r="484" spans="1:63" x14ac:dyDescent="0.35">
      <c r="A484" t="s">
        <v>51</v>
      </c>
      <c r="B484">
        <v>19</v>
      </c>
      <c r="C484">
        <v>1</v>
      </c>
      <c r="D484">
        <f t="shared" si="0"/>
        <v>5.0526315789473681</v>
      </c>
      <c r="E484">
        <f t="shared" si="1"/>
        <v>5.2631578947368418E-2</v>
      </c>
      <c r="F484">
        <v>2.2967049878400898</v>
      </c>
      <c r="G484" s="18">
        <v>96</v>
      </c>
      <c r="I484" s="18" t="s">
        <v>51</v>
      </c>
      <c r="J484" s="31">
        <v>20</v>
      </c>
      <c r="K484" s="18">
        <v>1</v>
      </c>
      <c r="L484" s="18">
        <f t="shared" si="2"/>
        <v>5</v>
      </c>
      <c r="M484" s="18">
        <f t="shared" si="3"/>
        <v>0.05</v>
      </c>
      <c r="O484" s="18">
        <v>100</v>
      </c>
      <c r="Q484" t="s">
        <v>50</v>
      </c>
      <c r="R484">
        <v>11</v>
      </c>
      <c r="S484">
        <v>0</v>
      </c>
      <c r="T484">
        <f t="shared" si="4"/>
        <v>4.8181818181818183</v>
      </c>
      <c r="U484">
        <f t="shared" si="5"/>
        <v>0</v>
      </c>
      <c r="V484" s="3" t="s">
        <v>45</v>
      </c>
      <c r="W484" s="18">
        <v>53</v>
      </c>
      <c r="Y484" t="s">
        <v>3</v>
      </c>
      <c r="Z484">
        <v>15</v>
      </c>
      <c r="AA484">
        <v>2</v>
      </c>
      <c r="AB484">
        <f t="shared" si="6"/>
        <v>4.8</v>
      </c>
      <c r="AC484">
        <f t="shared" si="7"/>
        <v>0.13333333333333333</v>
      </c>
      <c r="AD484" s="3" t="s">
        <v>46</v>
      </c>
      <c r="AE484" s="18">
        <v>72</v>
      </c>
      <c r="AG484" t="s">
        <v>26</v>
      </c>
      <c r="AH484">
        <v>13</v>
      </c>
      <c r="AI484">
        <v>2</v>
      </c>
      <c r="AJ484">
        <f t="shared" si="8"/>
        <v>4.7692307692307692</v>
      </c>
      <c r="AK484">
        <f t="shared" si="9"/>
        <v>0.15384615384615385</v>
      </c>
      <c r="AL484" s="3" t="s">
        <v>45</v>
      </c>
      <c r="AM484" s="18">
        <v>62</v>
      </c>
      <c r="AO484" t="s">
        <v>24</v>
      </c>
      <c r="AP484" s="6">
        <v>49</v>
      </c>
      <c r="AQ484">
        <v>5</v>
      </c>
      <c r="AR484">
        <f t="shared" si="10"/>
        <v>4.6938775510204085</v>
      </c>
      <c r="AS484">
        <f t="shared" si="11"/>
        <v>0.10204081632653061</v>
      </c>
      <c r="AT484" s="3" t="s">
        <v>45</v>
      </c>
      <c r="AU484" s="18">
        <v>230</v>
      </c>
      <c r="AW484" t="s">
        <v>24</v>
      </c>
      <c r="AX484" s="6">
        <v>51</v>
      </c>
      <c r="AY484">
        <v>5</v>
      </c>
      <c r="AZ484">
        <f t="shared" si="12"/>
        <v>4.5882352941176467</v>
      </c>
      <c r="BA484">
        <f t="shared" si="13"/>
        <v>9.8039215686274508E-2</v>
      </c>
      <c r="BB484" s="2" t="s">
        <v>44</v>
      </c>
      <c r="BC484" s="18">
        <v>234</v>
      </c>
      <c r="BE484" t="s">
        <v>21</v>
      </c>
      <c r="BF484">
        <v>10</v>
      </c>
      <c r="BG484">
        <v>0</v>
      </c>
      <c r="BH484">
        <f t="shared" si="14"/>
        <v>4.5999999999999996</v>
      </c>
      <c r="BI484">
        <f t="shared" si="15"/>
        <v>0</v>
      </c>
      <c r="BJ484" s="2" t="s">
        <v>44</v>
      </c>
      <c r="BK484" s="18">
        <v>46</v>
      </c>
    </row>
    <row r="485" spans="1:63" x14ac:dyDescent="0.35">
      <c r="A485" t="s">
        <v>1</v>
      </c>
      <c r="B485">
        <v>25</v>
      </c>
      <c r="C485">
        <v>1</v>
      </c>
      <c r="D485">
        <f t="shared" si="0"/>
        <v>5.2</v>
      </c>
      <c r="E485">
        <f t="shared" si="1"/>
        <v>0.04</v>
      </c>
      <c r="F485">
        <v>2.0412414523193099</v>
      </c>
      <c r="G485" s="18">
        <v>130</v>
      </c>
      <c r="I485" s="18" t="s">
        <v>25</v>
      </c>
      <c r="J485" s="31">
        <v>45</v>
      </c>
      <c r="K485" s="31">
        <v>4</v>
      </c>
      <c r="L485" s="18">
        <f t="shared" si="2"/>
        <v>5.0222222222222221</v>
      </c>
      <c r="M485" s="18">
        <f t="shared" si="3"/>
        <v>8.8888888888888892E-2</v>
      </c>
      <c r="N485" s="3" t="s">
        <v>45</v>
      </c>
      <c r="O485" s="18">
        <v>226</v>
      </c>
      <c r="Q485" t="s">
        <v>13</v>
      </c>
      <c r="R485">
        <v>23</v>
      </c>
      <c r="S485">
        <v>1</v>
      </c>
      <c r="T485">
        <f t="shared" si="4"/>
        <v>4.8695652173913047</v>
      </c>
      <c r="U485">
        <f t="shared" si="5"/>
        <v>4.3478260869565216E-2</v>
      </c>
      <c r="V485" s="3" t="s">
        <v>45</v>
      </c>
      <c r="W485" s="18">
        <v>112</v>
      </c>
      <c r="Y485" t="s">
        <v>50</v>
      </c>
      <c r="Z485">
        <v>11</v>
      </c>
      <c r="AA485">
        <v>0</v>
      </c>
      <c r="AB485">
        <f t="shared" si="6"/>
        <v>4.8181818181818183</v>
      </c>
      <c r="AC485">
        <f t="shared" si="7"/>
        <v>0</v>
      </c>
      <c r="AD485" s="3" t="s">
        <v>46</v>
      </c>
      <c r="AE485" s="18">
        <v>53</v>
      </c>
      <c r="AG485" t="s">
        <v>37</v>
      </c>
      <c r="AH485">
        <v>14</v>
      </c>
      <c r="AI485">
        <v>2</v>
      </c>
      <c r="AJ485">
        <f t="shared" si="8"/>
        <v>4.7857142857142856</v>
      </c>
      <c r="AK485">
        <f t="shared" si="9"/>
        <v>0.14285714285714285</v>
      </c>
      <c r="AL485" s="3" t="s">
        <v>45</v>
      </c>
      <c r="AM485" s="18">
        <v>67</v>
      </c>
      <c r="AO485" t="s">
        <v>99</v>
      </c>
      <c r="AP485">
        <v>10</v>
      </c>
      <c r="AQ485">
        <v>2</v>
      </c>
      <c r="AR485">
        <f t="shared" si="10"/>
        <v>4.7</v>
      </c>
      <c r="AS485">
        <f t="shared" si="11"/>
        <v>0.2</v>
      </c>
      <c r="AT485" s="3" t="s">
        <v>45</v>
      </c>
      <c r="AU485" s="18">
        <v>47</v>
      </c>
      <c r="AW485" t="s">
        <v>21</v>
      </c>
      <c r="AX485">
        <v>10</v>
      </c>
      <c r="AY485">
        <v>0</v>
      </c>
      <c r="AZ485">
        <f t="shared" si="12"/>
        <v>4.5999999999999996</v>
      </c>
      <c r="BA485">
        <f t="shared" si="13"/>
        <v>0</v>
      </c>
      <c r="BB485" s="3" t="s">
        <v>45</v>
      </c>
      <c r="BC485" s="18">
        <v>46</v>
      </c>
      <c r="BE485" t="s">
        <v>14</v>
      </c>
      <c r="BF485">
        <v>43</v>
      </c>
      <c r="BG485">
        <v>3</v>
      </c>
      <c r="BH485">
        <f t="shared" si="14"/>
        <v>4.6279069767441863</v>
      </c>
      <c r="BI485">
        <f t="shared" si="15"/>
        <v>6.9767441860465115E-2</v>
      </c>
      <c r="BJ485" s="2" t="s">
        <v>44</v>
      </c>
      <c r="BK485" s="18">
        <v>199</v>
      </c>
    </row>
    <row r="486" spans="1:63" x14ac:dyDescent="0.35">
      <c r="A486" t="s">
        <v>79</v>
      </c>
      <c r="B486">
        <v>15</v>
      </c>
      <c r="C486">
        <v>0</v>
      </c>
      <c r="D486">
        <f t="shared" si="0"/>
        <v>5.333333333333333</v>
      </c>
      <c r="E486">
        <f t="shared" si="1"/>
        <v>0</v>
      </c>
      <c r="F486">
        <v>2.05866345916355</v>
      </c>
      <c r="G486" s="18">
        <v>80</v>
      </c>
      <c r="I486" s="18" t="s">
        <v>1</v>
      </c>
      <c r="J486" s="18">
        <v>25</v>
      </c>
      <c r="K486" s="18">
        <v>1</v>
      </c>
      <c r="L486" s="18">
        <f t="shared" si="2"/>
        <v>5.2</v>
      </c>
      <c r="M486" s="18">
        <f t="shared" si="3"/>
        <v>0.04</v>
      </c>
      <c r="N486" s="3" t="s">
        <v>46</v>
      </c>
      <c r="O486" s="18">
        <v>130</v>
      </c>
      <c r="Q486" t="s">
        <v>51</v>
      </c>
      <c r="R486">
        <v>20</v>
      </c>
      <c r="S486">
        <v>1</v>
      </c>
      <c r="T486">
        <f t="shared" si="4"/>
        <v>5</v>
      </c>
      <c r="U486">
        <f t="shared" si="5"/>
        <v>0.05</v>
      </c>
      <c r="V486" s="3" t="s">
        <v>45</v>
      </c>
      <c r="W486" s="18">
        <v>100</v>
      </c>
      <c r="Y486" t="s">
        <v>51</v>
      </c>
      <c r="Z486">
        <v>20</v>
      </c>
      <c r="AA486">
        <v>1</v>
      </c>
      <c r="AB486">
        <f t="shared" si="6"/>
        <v>5</v>
      </c>
      <c r="AC486">
        <f t="shared" si="7"/>
        <v>0.05</v>
      </c>
      <c r="AE486" s="18">
        <v>100</v>
      </c>
      <c r="AG486" t="s">
        <v>3</v>
      </c>
      <c r="AH486">
        <v>15</v>
      </c>
      <c r="AI486">
        <v>2</v>
      </c>
      <c r="AJ486">
        <f t="shared" si="8"/>
        <v>4.8</v>
      </c>
      <c r="AK486">
        <f t="shared" si="9"/>
        <v>0.13333333333333333</v>
      </c>
      <c r="AL486" s="3" t="s">
        <v>45</v>
      </c>
      <c r="AM486" s="18">
        <v>72</v>
      </c>
      <c r="AO486" t="s">
        <v>26</v>
      </c>
      <c r="AP486">
        <v>13</v>
      </c>
      <c r="AQ486">
        <v>2</v>
      </c>
      <c r="AR486">
        <f t="shared" si="10"/>
        <v>4.7692307692307692</v>
      </c>
      <c r="AS486">
        <f t="shared" si="11"/>
        <v>0.15384615384615385</v>
      </c>
      <c r="AT486" s="3" t="s">
        <v>45</v>
      </c>
      <c r="AU486" s="18">
        <v>62</v>
      </c>
      <c r="AW486" t="s">
        <v>14</v>
      </c>
      <c r="AX486">
        <v>43</v>
      </c>
      <c r="AY486">
        <v>3</v>
      </c>
      <c r="AZ486">
        <f t="shared" si="12"/>
        <v>4.6279069767441863</v>
      </c>
      <c r="BA486">
        <f t="shared" si="13"/>
        <v>6.9767441860465115E-2</v>
      </c>
      <c r="BB486" s="3" t="s">
        <v>45</v>
      </c>
      <c r="BC486" s="18">
        <v>199</v>
      </c>
      <c r="BE486" t="s">
        <v>26</v>
      </c>
      <c r="BF486">
        <v>14</v>
      </c>
      <c r="BG486">
        <v>2</v>
      </c>
      <c r="BH486">
        <f t="shared" si="14"/>
        <v>4.6428571428571432</v>
      </c>
      <c r="BI486">
        <f t="shared" si="15"/>
        <v>0.14285714285714285</v>
      </c>
      <c r="BJ486" s="2" t="s">
        <v>44</v>
      </c>
      <c r="BK486" s="18">
        <v>65</v>
      </c>
    </row>
    <row r="487" spans="1:63" x14ac:dyDescent="0.35">
      <c r="A487" t="s">
        <v>6</v>
      </c>
      <c r="B487">
        <v>38</v>
      </c>
      <c r="C487">
        <v>3</v>
      </c>
      <c r="D487">
        <f t="shared" si="0"/>
        <v>5.4210526315789478</v>
      </c>
      <c r="E487">
        <f t="shared" si="1"/>
        <v>7.8947368421052627E-2</v>
      </c>
      <c r="F487">
        <v>2.1514492783133501</v>
      </c>
      <c r="G487" s="18">
        <v>206</v>
      </c>
      <c r="I487" s="18" t="s">
        <v>79</v>
      </c>
      <c r="J487" s="18">
        <v>15</v>
      </c>
      <c r="K487" s="18">
        <v>0</v>
      </c>
      <c r="L487" s="18">
        <f t="shared" si="2"/>
        <v>5.333333333333333</v>
      </c>
      <c r="M487" s="18">
        <f t="shared" si="3"/>
        <v>0</v>
      </c>
      <c r="N487" s="3" t="s">
        <v>46</v>
      </c>
      <c r="O487" s="18">
        <v>80</v>
      </c>
      <c r="Q487" t="s">
        <v>25</v>
      </c>
      <c r="R487">
        <v>45</v>
      </c>
      <c r="S487">
        <v>4</v>
      </c>
      <c r="T487">
        <f t="shared" si="4"/>
        <v>5.0222222222222221</v>
      </c>
      <c r="U487">
        <f t="shared" si="5"/>
        <v>8.8888888888888892E-2</v>
      </c>
      <c r="V487" s="3" t="s">
        <v>45</v>
      </c>
      <c r="W487" s="18">
        <v>226</v>
      </c>
      <c r="Y487" t="s">
        <v>1</v>
      </c>
      <c r="Z487" s="6">
        <v>26</v>
      </c>
      <c r="AA487">
        <v>1</v>
      </c>
      <c r="AB487">
        <f t="shared" si="6"/>
        <v>5.0769230769230766</v>
      </c>
      <c r="AC487">
        <f t="shared" si="7"/>
        <v>3.8461538461538464E-2</v>
      </c>
      <c r="AD487" s="2" t="s">
        <v>44</v>
      </c>
      <c r="AE487" s="18">
        <v>132</v>
      </c>
      <c r="AG487" t="s">
        <v>50</v>
      </c>
      <c r="AH487">
        <v>11</v>
      </c>
      <c r="AI487">
        <v>0</v>
      </c>
      <c r="AJ487">
        <f t="shared" si="8"/>
        <v>4.8181818181818183</v>
      </c>
      <c r="AK487">
        <f t="shared" si="9"/>
        <v>0</v>
      </c>
      <c r="AL487" s="3" t="s">
        <v>45</v>
      </c>
      <c r="AM487" s="18">
        <v>53</v>
      </c>
      <c r="AO487" t="s">
        <v>37</v>
      </c>
      <c r="AP487">
        <v>14</v>
      </c>
      <c r="AQ487">
        <v>2</v>
      </c>
      <c r="AR487">
        <f t="shared" si="10"/>
        <v>4.7857142857142856</v>
      </c>
      <c r="AS487">
        <f t="shared" si="11"/>
        <v>0.14285714285714285</v>
      </c>
      <c r="AT487" s="3" t="s">
        <v>45</v>
      </c>
      <c r="AU487" s="18">
        <v>67</v>
      </c>
      <c r="AW487" t="s">
        <v>26</v>
      </c>
      <c r="AX487" s="6">
        <v>14</v>
      </c>
      <c r="AY487">
        <v>2</v>
      </c>
      <c r="AZ487">
        <f t="shared" si="12"/>
        <v>4.6428571428571432</v>
      </c>
      <c r="BA487">
        <f t="shared" si="13"/>
        <v>0.14285714285714285</v>
      </c>
      <c r="BC487" s="18">
        <v>65</v>
      </c>
      <c r="BE487" t="s">
        <v>81</v>
      </c>
      <c r="BF487" s="6">
        <v>15</v>
      </c>
      <c r="BG487">
        <v>1</v>
      </c>
      <c r="BH487">
        <f t="shared" si="14"/>
        <v>4.666666666666667</v>
      </c>
      <c r="BI487">
        <f t="shared" si="15"/>
        <v>6.6666666666666666E-2</v>
      </c>
      <c r="BJ487" s="2" t="s">
        <v>161</v>
      </c>
      <c r="BK487" s="18">
        <v>70</v>
      </c>
    </row>
    <row r="488" spans="1:63" x14ac:dyDescent="0.35">
      <c r="A488" t="s">
        <v>20</v>
      </c>
      <c r="B488">
        <v>11</v>
      </c>
      <c r="C488">
        <v>1</v>
      </c>
      <c r="D488">
        <f t="shared" si="0"/>
        <v>5.8181818181818183</v>
      </c>
      <c r="E488">
        <f t="shared" si="1"/>
        <v>9.0909090909090912E-2</v>
      </c>
      <c r="F488">
        <v>2.3159525823376299</v>
      </c>
      <c r="G488" s="18">
        <v>64</v>
      </c>
      <c r="I488" s="18" t="s">
        <v>6</v>
      </c>
      <c r="J488" s="31">
        <v>39</v>
      </c>
      <c r="K488" s="18">
        <v>3</v>
      </c>
      <c r="L488" s="18">
        <f t="shared" si="2"/>
        <v>5.384615384615385</v>
      </c>
      <c r="M488" s="18">
        <f t="shared" si="3"/>
        <v>7.6923076923076927E-2</v>
      </c>
      <c r="N488" s="3" t="s">
        <v>46</v>
      </c>
      <c r="O488" s="18">
        <v>210</v>
      </c>
      <c r="Q488" t="s">
        <v>1</v>
      </c>
      <c r="R488">
        <v>25</v>
      </c>
      <c r="S488">
        <v>1</v>
      </c>
      <c r="T488">
        <f t="shared" si="4"/>
        <v>5.2</v>
      </c>
      <c r="U488">
        <f t="shared" si="5"/>
        <v>0.04</v>
      </c>
      <c r="V488" s="3" t="s">
        <v>45</v>
      </c>
      <c r="W488" s="18">
        <v>130</v>
      </c>
      <c r="Y488" t="s">
        <v>25</v>
      </c>
      <c r="Z488" s="6">
        <v>49</v>
      </c>
      <c r="AA488">
        <v>4</v>
      </c>
      <c r="AB488">
        <f t="shared" si="6"/>
        <v>5.1632653061224492</v>
      </c>
      <c r="AC488">
        <f t="shared" si="7"/>
        <v>8.1632653061224483E-2</v>
      </c>
      <c r="AD488" s="3" t="s">
        <v>46</v>
      </c>
      <c r="AE488" s="18">
        <v>253</v>
      </c>
      <c r="AG488" t="s">
        <v>51</v>
      </c>
      <c r="AH488">
        <v>20</v>
      </c>
      <c r="AI488">
        <v>1</v>
      </c>
      <c r="AJ488">
        <f t="shared" si="8"/>
        <v>5</v>
      </c>
      <c r="AK488">
        <f t="shared" si="9"/>
        <v>0.05</v>
      </c>
      <c r="AL488" s="3" t="s">
        <v>45</v>
      </c>
      <c r="AM488" s="18">
        <v>100</v>
      </c>
      <c r="AO488" t="s">
        <v>50</v>
      </c>
      <c r="AP488">
        <v>11</v>
      </c>
      <c r="AQ488">
        <v>0</v>
      </c>
      <c r="AR488">
        <f t="shared" si="10"/>
        <v>4.8181818181818183</v>
      </c>
      <c r="AS488">
        <f t="shared" si="11"/>
        <v>0</v>
      </c>
      <c r="AT488" s="3" t="s">
        <v>46</v>
      </c>
      <c r="AU488" s="18">
        <v>53</v>
      </c>
      <c r="AW488" t="s">
        <v>99</v>
      </c>
      <c r="AX488">
        <v>10</v>
      </c>
      <c r="AY488">
        <v>2</v>
      </c>
      <c r="AZ488">
        <f t="shared" si="12"/>
        <v>4.7</v>
      </c>
      <c r="BA488">
        <f t="shared" si="13"/>
        <v>0.2</v>
      </c>
      <c r="BB488" s="3" t="s">
        <v>45</v>
      </c>
      <c r="BC488" s="18">
        <v>47</v>
      </c>
      <c r="BE488" t="s">
        <v>3</v>
      </c>
      <c r="BF488" s="6">
        <v>18</v>
      </c>
      <c r="BG488">
        <v>3</v>
      </c>
      <c r="BH488">
        <f t="shared" si="14"/>
        <v>4.666666666666667</v>
      </c>
      <c r="BI488">
        <f t="shared" si="15"/>
        <v>0.16666666666666666</v>
      </c>
      <c r="BJ488" s="3" t="s">
        <v>69</v>
      </c>
      <c r="BK488" s="18">
        <v>84</v>
      </c>
    </row>
    <row r="489" spans="1:63" x14ac:dyDescent="0.35">
      <c r="A489" t="s">
        <v>32</v>
      </c>
      <c r="B489">
        <v>12</v>
      </c>
      <c r="C489">
        <v>1</v>
      </c>
      <c r="D489">
        <f t="shared" si="0"/>
        <v>5.833333333333333</v>
      </c>
      <c r="E489">
        <f t="shared" si="1"/>
        <v>8.3333333333333329E-2</v>
      </c>
      <c r="F489">
        <v>2.1248885888797799</v>
      </c>
      <c r="G489" s="18">
        <v>70</v>
      </c>
      <c r="I489" s="18" t="s">
        <v>20</v>
      </c>
      <c r="J489" s="18">
        <v>11</v>
      </c>
      <c r="K489" s="18">
        <v>1</v>
      </c>
      <c r="L489" s="18">
        <f t="shared" si="2"/>
        <v>5.8181818181818183</v>
      </c>
      <c r="M489" s="18">
        <f t="shared" si="3"/>
        <v>9.0909090909090912E-2</v>
      </c>
      <c r="N489" s="3" t="s">
        <v>46</v>
      </c>
      <c r="O489" s="18">
        <v>64</v>
      </c>
      <c r="Q489" t="s">
        <v>79</v>
      </c>
      <c r="R489">
        <v>15</v>
      </c>
      <c r="S489">
        <v>0</v>
      </c>
      <c r="T489">
        <f t="shared" si="4"/>
        <v>5.333333333333333</v>
      </c>
      <c r="U489">
        <f t="shared" si="5"/>
        <v>0</v>
      </c>
      <c r="V489" s="3" t="s">
        <v>45</v>
      </c>
      <c r="W489" s="18">
        <v>80</v>
      </c>
      <c r="Y489" t="s">
        <v>79</v>
      </c>
      <c r="Z489">
        <v>15</v>
      </c>
      <c r="AA489">
        <v>0</v>
      </c>
      <c r="AB489">
        <f t="shared" si="6"/>
        <v>5.333333333333333</v>
      </c>
      <c r="AC489">
        <f t="shared" si="7"/>
        <v>0</v>
      </c>
      <c r="AE489" s="18">
        <v>80</v>
      </c>
      <c r="AG489" t="s">
        <v>1</v>
      </c>
      <c r="AH489" s="6">
        <v>28</v>
      </c>
      <c r="AI489">
        <v>1</v>
      </c>
      <c r="AJ489">
        <f t="shared" si="8"/>
        <v>5.1071428571428568</v>
      </c>
      <c r="AK489">
        <f t="shared" si="9"/>
        <v>3.5714285714285712E-2</v>
      </c>
      <c r="AL489" s="3" t="s">
        <v>45</v>
      </c>
      <c r="AM489" s="18">
        <v>143</v>
      </c>
      <c r="AO489" t="s">
        <v>51</v>
      </c>
      <c r="AP489">
        <v>20</v>
      </c>
      <c r="AQ489">
        <v>1</v>
      </c>
      <c r="AR489">
        <f t="shared" si="10"/>
        <v>5</v>
      </c>
      <c r="AS489">
        <f t="shared" si="11"/>
        <v>0.05</v>
      </c>
      <c r="AT489" s="3" t="s">
        <v>46</v>
      </c>
      <c r="AU489" s="18">
        <v>100</v>
      </c>
      <c r="AW489" t="s">
        <v>37</v>
      </c>
      <c r="AX489">
        <v>14</v>
      </c>
      <c r="AY489">
        <v>2</v>
      </c>
      <c r="AZ489">
        <f t="shared" si="12"/>
        <v>4.7857142857142856</v>
      </c>
      <c r="BA489">
        <f t="shared" si="13"/>
        <v>0.14285714285714285</v>
      </c>
      <c r="BB489" s="3" t="s">
        <v>46</v>
      </c>
      <c r="BC489" s="18">
        <v>67</v>
      </c>
      <c r="BE489" t="s">
        <v>99</v>
      </c>
      <c r="BF489">
        <v>10</v>
      </c>
      <c r="BG489">
        <v>2</v>
      </c>
      <c r="BH489">
        <f t="shared" si="14"/>
        <v>4.7</v>
      </c>
      <c r="BI489">
        <f t="shared" si="15"/>
        <v>0.2</v>
      </c>
      <c r="BJ489" s="3" t="s">
        <v>46</v>
      </c>
      <c r="BK489" s="18">
        <v>47</v>
      </c>
    </row>
    <row r="490" spans="1:63" x14ac:dyDescent="0.35">
      <c r="A490" t="s">
        <v>33</v>
      </c>
      <c r="B490">
        <v>10</v>
      </c>
      <c r="C490">
        <v>0</v>
      </c>
      <c r="D490">
        <f t="shared" si="0"/>
        <v>6.2</v>
      </c>
      <c r="E490">
        <f t="shared" si="1"/>
        <v>0</v>
      </c>
      <c r="F490">
        <v>2.14993539954627</v>
      </c>
      <c r="G490" s="18">
        <v>62</v>
      </c>
      <c r="I490" s="18" t="s">
        <v>33</v>
      </c>
      <c r="J490" s="31">
        <v>11</v>
      </c>
      <c r="K490" s="18">
        <v>0</v>
      </c>
      <c r="L490" s="18">
        <f t="shared" si="2"/>
        <v>5.8181818181818183</v>
      </c>
      <c r="M490" s="18">
        <f t="shared" si="3"/>
        <v>0</v>
      </c>
      <c r="O490" s="18">
        <v>64</v>
      </c>
      <c r="Q490" t="s">
        <v>6</v>
      </c>
      <c r="R490">
        <v>39</v>
      </c>
      <c r="S490">
        <v>3</v>
      </c>
      <c r="T490">
        <f t="shared" si="4"/>
        <v>5.384615384615385</v>
      </c>
      <c r="U490">
        <f t="shared" si="5"/>
        <v>7.6923076923076927E-2</v>
      </c>
      <c r="V490" s="3" t="s">
        <v>45</v>
      </c>
      <c r="W490" s="18">
        <v>210</v>
      </c>
      <c r="Y490" t="s">
        <v>31</v>
      </c>
      <c r="Z490" s="6">
        <v>13</v>
      </c>
      <c r="AA490">
        <v>0</v>
      </c>
      <c r="AB490">
        <f t="shared" si="6"/>
        <v>5.384615384615385</v>
      </c>
      <c r="AC490">
        <f t="shared" si="7"/>
        <v>0</v>
      </c>
      <c r="AD490" s="2" t="s">
        <v>44</v>
      </c>
      <c r="AE490" s="18">
        <v>70</v>
      </c>
      <c r="AG490" t="s">
        <v>25</v>
      </c>
      <c r="AH490">
        <v>49</v>
      </c>
      <c r="AI490">
        <v>4</v>
      </c>
      <c r="AJ490">
        <f t="shared" si="8"/>
        <v>5.1632653061224492</v>
      </c>
      <c r="AK490">
        <f t="shared" si="9"/>
        <v>8.1632653061224483E-2</v>
      </c>
      <c r="AL490" s="3" t="s">
        <v>45</v>
      </c>
      <c r="AM490" s="18">
        <v>253</v>
      </c>
      <c r="AO490" t="s">
        <v>81</v>
      </c>
      <c r="AP490" s="6">
        <v>13</v>
      </c>
      <c r="AQ490">
        <v>1</v>
      </c>
      <c r="AR490">
        <f t="shared" si="10"/>
        <v>5.0769230769230766</v>
      </c>
      <c r="AS490">
        <f t="shared" si="11"/>
        <v>7.6923076923076927E-2</v>
      </c>
      <c r="AT490" s="3" t="s">
        <v>152</v>
      </c>
      <c r="AU490" s="18">
        <v>66</v>
      </c>
      <c r="AW490" t="s">
        <v>50</v>
      </c>
      <c r="AX490">
        <v>11</v>
      </c>
      <c r="AY490">
        <v>0</v>
      </c>
      <c r="AZ490">
        <f t="shared" si="12"/>
        <v>4.8181818181818183</v>
      </c>
      <c r="BA490">
        <f t="shared" si="13"/>
        <v>0</v>
      </c>
      <c r="BB490" s="3" t="s">
        <v>46</v>
      </c>
      <c r="BC490" s="18">
        <v>53</v>
      </c>
      <c r="BE490" t="s">
        <v>31</v>
      </c>
      <c r="BF490" s="6">
        <v>17</v>
      </c>
      <c r="BG490" s="6">
        <v>2</v>
      </c>
      <c r="BH490">
        <f t="shared" si="14"/>
        <v>4.7647058823529411</v>
      </c>
      <c r="BI490">
        <f t="shared" si="15"/>
        <v>0.11764705882352941</v>
      </c>
      <c r="BJ490" s="2" t="s">
        <v>161</v>
      </c>
      <c r="BK490" s="18">
        <v>81</v>
      </c>
    </row>
    <row r="491" spans="1:63" x14ac:dyDescent="0.35">
      <c r="A491" t="s">
        <v>90</v>
      </c>
      <c r="B491">
        <v>11</v>
      </c>
      <c r="C491">
        <v>1</v>
      </c>
      <c r="D491">
        <f t="shared" si="0"/>
        <v>6.4545454545454541</v>
      </c>
      <c r="E491">
        <f t="shared" si="1"/>
        <v>9.0909090909090912E-2</v>
      </c>
      <c r="F491">
        <v>2.2962419891481902</v>
      </c>
      <c r="G491" s="18">
        <v>71</v>
      </c>
      <c r="I491" s="18" t="s">
        <v>32</v>
      </c>
      <c r="J491" s="18">
        <v>12</v>
      </c>
      <c r="K491" s="18">
        <v>1</v>
      </c>
      <c r="L491" s="18">
        <f t="shared" si="2"/>
        <v>5.833333333333333</v>
      </c>
      <c r="M491" s="18">
        <f t="shared" si="3"/>
        <v>8.3333333333333329E-2</v>
      </c>
      <c r="N491" s="3" t="s">
        <v>45</v>
      </c>
      <c r="O491" s="18">
        <v>70</v>
      </c>
      <c r="Q491" t="s">
        <v>31</v>
      </c>
      <c r="R491" s="6">
        <v>11</v>
      </c>
      <c r="S491">
        <v>0</v>
      </c>
      <c r="T491">
        <f t="shared" si="4"/>
        <v>5.4545454545454541</v>
      </c>
      <c r="U491">
        <f t="shared" si="5"/>
        <v>0</v>
      </c>
      <c r="V491" s="3" t="s">
        <v>85</v>
      </c>
      <c r="W491" s="18">
        <v>60</v>
      </c>
      <c r="Y491" t="s">
        <v>6</v>
      </c>
      <c r="Z491">
        <v>39</v>
      </c>
      <c r="AA491">
        <v>3</v>
      </c>
      <c r="AB491">
        <f t="shared" si="6"/>
        <v>5.384615384615385</v>
      </c>
      <c r="AC491">
        <f t="shared" si="7"/>
        <v>7.6923076923076927E-2</v>
      </c>
      <c r="AD491" s="3" t="s">
        <v>46</v>
      </c>
      <c r="AE491" s="18">
        <v>210</v>
      </c>
      <c r="AG491" t="s">
        <v>31</v>
      </c>
      <c r="AH491" s="6">
        <v>15</v>
      </c>
      <c r="AI491">
        <v>0</v>
      </c>
      <c r="AJ491">
        <f t="shared" si="8"/>
        <v>5.2666666666666666</v>
      </c>
      <c r="AK491">
        <f t="shared" si="9"/>
        <v>0</v>
      </c>
      <c r="AL491" s="3" t="s">
        <v>46</v>
      </c>
      <c r="AM491" s="18">
        <v>79</v>
      </c>
      <c r="AO491" t="s">
        <v>1</v>
      </c>
      <c r="AP491">
        <v>28</v>
      </c>
      <c r="AQ491">
        <v>1</v>
      </c>
      <c r="AR491">
        <f t="shared" si="10"/>
        <v>5.1071428571428568</v>
      </c>
      <c r="AS491">
        <f t="shared" si="11"/>
        <v>3.5714285714285712E-2</v>
      </c>
      <c r="AT491" s="3" t="s">
        <v>45</v>
      </c>
      <c r="AU491" s="18">
        <v>143</v>
      </c>
      <c r="AW491" t="s">
        <v>117</v>
      </c>
      <c r="AX491" s="6">
        <v>11</v>
      </c>
      <c r="AY491">
        <v>2</v>
      </c>
      <c r="AZ491">
        <f t="shared" si="12"/>
        <v>4.9090909090909092</v>
      </c>
      <c r="BA491">
        <f t="shared" si="13"/>
        <v>0.18181818181818182</v>
      </c>
      <c r="BB491" s="33" t="s">
        <v>384</v>
      </c>
      <c r="BC491" s="18">
        <v>54</v>
      </c>
      <c r="BE491" t="s">
        <v>37</v>
      </c>
      <c r="BF491">
        <v>14</v>
      </c>
      <c r="BG491">
        <v>2</v>
      </c>
      <c r="BH491">
        <f t="shared" si="14"/>
        <v>4.7857142857142856</v>
      </c>
      <c r="BI491">
        <f t="shared" si="15"/>
        <v>0.14285714285714285</v>
      </c>
      <c r="BJ491" s="3" t="s">
        <v>45</v>
      </c>
      <c r="BK491" s="18">
        <v>67</v>
      </c>
    </row>
    <row r="492" spans="1:63" x14ac:dyDescent="0.35">
      <c r="I492" s="18" t="s">
        <v>90</v>
      </c>
      <c r="J492" s="31">
        <v>14</v>
      </c>
      <c r="K492" s="18">
        <v>1</v>
      </c>
      <c r="L492" s="18">
        <f t="shared" si="2"/>
        <v>6.5714285714285712</v>
      </c>
      <c r="M492" s="18">
        <f t="shared" si="3"/>
        <v>7.1428571428571425E-2</v>
      </c>
      <c r="N492" s="3" t="s">
        <v>376</v>
      </c>
      <c r="O492" s="18">
        <v>92</v>
      </c>
      <c r="Q492" t="s">
        <v>20</v>
      </c>
      <c r="R492">
        <v>11</v>
      </c>
      <c r="S492">
        <v>1</v>
      </c>
      <c r="T492">
        <f t="shared" si="4"/>
        <v>5.8181818181818183</v>
      </c>
      <c r="U492">
        <f t="shared" si="5"/>
        <v>9.0909090909090912E-2</v>
      </c>
      <c r="V492" s="3" t="s">
        <v>54</v>
      </c>
      <c r="W492" s="18">
        <v>64</v>
      </c>
      <c r="Y492" t="s">
        <v>4</v>
      </c>
      <c r="Z492" s="6">
        <v>11</v>
      </c>
      <c r="AA492">
        <v>0</v>
      </c>
      <c r="AB492">
        <f t="shared" si="6"/>
        <v>5.6363636363636367</v>
      </c>
      <c r="AC492">
        <f t="shared" si="7"/>
        <v>0</v>
      </c>
      <c r="AD492" s="3" t="s">
        <v>85</v>
      </c>
      <c r="AE492" s="18">
        <v>62</v>
      </c>
      <c r="AG492" t="s">
        <v>6</v>
      </c>
      <c r="AH492">
        <v>39</v>
      </c>
      <c r="AI492">
        <v>3</v>
      </c>
      <c r="AJ492">
        <f t="shared" si="8"/>
        <v>5.384615384615385</v>
      </c>
      <c r="AK492">
        <f t="shared" si="9"/>
        <v>7.6923076923076927E-2</v>
      </c>
      <c r="AL492" s="3" t="s">
        <v>46</v>
      </c>
      <c r="AM492" s="18">
        <v>210</v>
      </c>
      <c r="AO492" t="s">
        <v>25</v>
      </c>
      <c r="AP492">
        <v>50</v>
      </c>
      <c r="AQ492">
        <v>4</v>
      </c>
      <c r="AR492">
        <f t="shared" si="10"/>
        <v>5.12</v>
      </c>
      <c r="AS492">
        <f t="shared" si="11"/>
        <v>0.08</v>
      </c>
      <c r="AT492" s="3" t="s">
        <v>45</v>
      </c>
      <c r="AU492" s="18">
        <v>256</v>
      </c>
      <c r="AW492" t="s">
        <v>1</v>
      </c>
      <c r="AX492" s="6">
        <v>30</v>
      </c>
      <c r="AY492">
        <v>1</v>
      </c>
      <c r="AZ492">
        <f t="shared" si="12"/>
        <v>5.0666666666666664</v>
      </c>
      <c r="BA492">
        <f t="shared" si="13"/>
        <v>3.3333333333333333E-2</v>
      </c>
      <c r="BC492" s="18">
        <v>152</v>
      </c>
      <c r="BE492" t="s">
        <v>50</v>
      </c>
      <c r="BF492" s="6">
        <v>12</v>
      </c>
      <c r="BG492">
        <v>0</v>
      </c>
      <c r="BH492">
        <f t="shared" si="14"/>
        <v>4.833333333333333</v>
      </c>
      <c r="BI492">
        <f t="shared" si="15"/>
        <v>0</v>
      </c>
      <c r="BJ492" s="3" t="s">
        <v>45</v>
      </c>
      <c r="BK492" s="18">
        <v>58</v>
      </c>
    </row>
    <row r="493" spans="1:63" x14ac:dyDescent="0.35">
      <c r="Q493" t="s">
        <v>33</v>
      </c>
      <c r="R493">
        <v>11</v>
      </c>
      <c r="S493">
        <v>0</v>
      </c>
      <c r="T493">
        <f t="shared" si="4"/>
        <v>5.8181818181818183</v>
      </c>
      <c r="U493">
        <f t="shared" si="5"/>
        <v>0</v>
      </c>
      <c r="V493" s="3" t="s">
        <v>54</v>
      </c>
      <c r="W493" s="18">
        <v>64</v>
      </c>
      <c r="Y493" t="s">
        <v>20</v>
      </c>
      <c r="Z493">
        <v>11</v>
      </c>
      <c r="AA493">
        <v>1</v>
      </c>
      <c r="AB493">
        <f t="shared" si="6"/>
        <v>5.8181818181818183</v>
      </c>
      <c r="AC493">
        <f t="shared" si="7"/>
        <v>9.0909090909090912E-2</v>
      </c>
      <c r="AD493" s="3" t="s">
        <v>46</v>
      </c>
      <c r="AE493" s="18">
        <v>64</v>
      </c>
      <c r="AG493" t="s">
        <v>79</v>
      </c>
      <c r="AH493" s="6">
        <v>16</v>
      </c>
      <c r="AI493">
        <v>0</v>
      </c>
      <c r="AJ493">
        <f t="shared" si="8"/>
        <v>5.4375</v>
      </c>
      <c r="AK493">
        <f t="shared" si="9"/>
        <v>0</v>
      </c>
      <c r="AL493" s="3" t="s">
        <v>55</v>
      </c>
      <c r="AM493" s="18">
        <v>87</v>
      </c>
      <c r="AO493" t="s">
        <v>31</v>
      </c>
      <c r="AP493">
        <v>15</v>
      </c>
      <c r="AQ493">
        <v>0</v>
      </c>
      <c r="AR493">
        <f t="shared" si="10"/>
        <v>5.2666666666666666</v>
      </c>
      <c r="AS493">
        <f t="shared" si="11"/>
        <v>0</v>
      </c>
      <c r="AT493" s="3" t="s">
        <v>45</v>
      </c>
      <c r="AU493" s="18">
        <v>79</v>
      </c>
      <c r="AW493" t="s">
        <v>81</v>
      </c>
      <c r="AX493">
        <v>13</v>
      </c>
      <c r="AY493">
        <v>1</v>
      </c>
      <c r="AZ493">
        <f t="shared" si="12"/>
        <v>5.0769230769230766</v>
      </c>
      <c r="BA493">
        <f t="shared" si="13"/>
        <v>7.6923076923076927E-2</v>
      </c>
      <c r="BB493" s="3" t="s">
        <v>45</v>
      </c>
      <c r="BC493" s="18">
        <v>66</v>
      </c>
      <c r="BE493" t="s">
        <v>117</v>
      </c>
      <c r="BF493">
        <v>11</v>
      </c>
      <c r="BG493">
        <v>2</v>
      </c>
      <c r="BH493">
        <f t="shared" si="14"/>
        <v>4.9090909090909092</v>
      </c>
      <c r="BI493">
        <f t="shared" si="15"/>
        <v>0.18181818181818182</v>
      </c>
      <c r="BJ493" s="3" t="s">
        <v>45</v>
      </c>
      <c r="BK493" s="18">
        <v>54</v>
      </c>
    </row>
    <row r="494" spans="1:63" x14ac:dyDescent="0.35">
      <c r="Q494" t="s">
        <v>32</v>
      </c>
      <c r="R494">
        <v>12</v>
      </c>
      <c r="S494">
        <v>1</v>
      </c>
      <c r="T494">
        <f t="shared" si="4"/>
        <v>5.833333333333333</v>
      </c>
      <c r="U494">
        <f t="shared" si="5"/>
        <v>8.3333333333333329E-2</v>
      </c>
      <c r="V494" s="3" t="s">
        <v>54</v>
      </c>
      <c r="W494" s="18">
        <v>70</v>
      </c>
      <c r="Y494" t="s">
        <v>33</v>
      </c>
      <c r="Z494">
        <v>11</v>
      </c>
      <c r="AA494">
        <v>0</v>
      </c>
      <c r="AB494">
        <f t="shared" si="6"/>
        <v>5.8181818181818183</v>
      </c>
      <c r="AC494">
        <f t="shared" si="7"/>
        <v>0</v>
      </c>
      <c r="AD494" s="3" t="s">
        <v>46</v>
      </c>
      <c r="AE494" s="18">
        <v>64</v>
      </c>
      <c r="AG494" t="s">
        <v>4</v>
      </c>
      <c r="AH494">
        <v>11</v>
      </c>
      <c r="AI494">
        <v>0</v>
      </c>
      <c r="AJ494">
        <f t="shared" si="8"/>
        <v>5.6363636363636367</v>
      </c>
      <c r="AK494">
        <f t="shared" si="9"/>
        <v>0</v>
      </c>
      <c r="AL494" s="3" t="s">
        <v>45</v>
      </c>
      <c r="AM494" s="18">
        <v>62</v>
      </c>
      <c r="AO494" t="s">
        <v>6</v>
      </c>
      <c r="AP494">
        <v>39</v>
      </c>
      <c r="AQ494">
        <v>3</v>
      </c>
      <c r="AR494">
        <f t="shared" si="10"/>
        <v>5.384615384615385</v>
      </c>
      <c r="AS494">
        <f t="shared" si="11"/>
        <v>7.6923076923076927E-2</v>
      </c>
      <c r="AT494" s="3" t="s">
        <v>45</v>
      </c>
      <c r="AU494" s="18">
        <v>210</v>
      </c>
      <c r="AW494" t="s">
        <v>51</v>
      </c>
      <c r="AX494" s="6">
        <v>21</v>
      </c>
      <c r="AY494">
        <v>1</v>
      </c>
      <c r="AZ494">
        <f t="shared" si="12"/>
        <v>5.0952380952380949</v>
      </c>
      <c r="BA494">
        <f t="shared" si="13"/>
        <v>4.7619047619047616E-2</v>
      </c>
      <c r="BB494" s="3" t="s">
        <v>55</v>
      </c>
      <c r="BC494" s="18">
        <v>107</v>
      </c>
      <c r="BE494" t="s">
        <v>1</v>
      </c>
      <c r="BF494">
        <v>30</v>
      </c>
      <c r="BG494">
        <v>1</v>
      </c>
      <c r="BH494">
        <f t="shared" si="14"/>
        <v>5.0666666666666664</v>
      </c>
      <c r="BI494">
        <f t="shared" si="15"/>
        <v>3.3333333333333333E-2</v>
      </c>
      <c r="BJ494" s="3" t="s">
        <v>45</v>
      </c>
      <c r="BK494" s="18">
        <v>152</v>
      </c>
    </row>
    <row r="495" spans="1:63" x14ac:dyDescent="0.35">
      <c r="Q495" t="s">
        <v>90</v>
      </c>
      <c r="R495" s="6">
        <v>16</v>
      </c>
      <c r="S495">
        <v>1</v>
      </c>
      <c r="T495">
        <f t="shared" si="4"/>
        <v>6.0625</v>
      </c>
      <c r="U495">
        <f t="shared" si="5"/>
        <v>6.25E-2</v>
      </c>
      <c r="V495" s="3" t="s">
        <v>376</v>
      </c>
      <c r="W495" s="18">
        <v>97</v>
      </c>
      <c r="Y495" t="s">
        <v>32</v>
      </c>
      <c r="Z495">
        <v>12</v>
      </c>
      <c r="AA495">
        <v>1</v>
      </c>
      <c r="AB495">
        <f t="shared" si="6"/>
        <v>5.833333333333333</v>
      </c>
      <c r="AC495">
        <f t="shared" si="7"/>
        <v>8.3333333333333329E-2</v>
      </c>
      <c r="AD495" s="3" t="s">
        <v>46</v>
      </c>
      <c r="AE495" s="18">
        <v>70</v>
      </c>
      <c r="AG495" t="s">
        <v>20</v>
      </c>
      <c r="AH495">
        <v>11</v>
      </c>
      <c r="AI495">
        <v>1</v>
      </c>
      <c r="AJ495">
        <f t="shared" si="8"/>
        <v>5.8181818181818183</v>
      </c>
      <c r="AK495">
        <f t="shared" si="9"/>
        <v>9.0909090909090912E-2</v>
      </c>
      <c r="AL495" s="3" t="s">
        <v>45</v>
      </c>
      <c r="AM495" s="18">
        <v>64</v>
      </c>
      <c r="AO495" t="s">
        <v>79</v>
      </c>
      <c r="AP495">
        <v>16</v>
      </c>
      <c r="AQ495">
        <v>0</v>
      </c>
      <c r="AR495">
        <f t="shared" si="10"/>
        <v>5.4375</v>
      </c>
      <c r="AS495">
        <f t="shared" si="11"/>
        <v>0</v>
      </c>
      <c r="AT495" s="3" t="s">
        <v>45</v>
      </c>
      <c r="AU495" s="18">
        <v>87</v>
      </c>
      <c r="AW495" t="s">
        <v>25</v>
      </c>
      <c r="AX495">
        <v>50</v>
      </c>
      <c r="AY495">
        <v>4</v>
      </c>
      <c r="AZ495">
        <f t="shared" si="12"/>
        <v>5.12</v>
      </c>
      <c r="BA495">
        <f t="shared" si="13"/>
        <v>0.08</v>
      </c>
      <c r="BB495" s="3" t="s">
        <v>45</v>
      </c>
      <c r="BC495" s="18">
        <v>256</v>
      </c>
      <c r="BE495" t="s">
        <v>51</v>
      </c>
      <c r="BF495">
        <v>21</v>
      </c>
      <c r="BG495">
        <v>1</v>
      </c>
      <c r="BH495">
        <f t="shared" si="14"/>
        <v>5.0952380952380949</v>
      </c>
      <c r="BI495">
        <f t="shared" si="15"/>
        <v>4.7619047619047616E-2</v>
      </c>
      <c r="BJ495" s="3" t="s">
        <v>46</v>
      </c>
      <c r="BK495" s="18">
        <v>107</v>
      </c>
    </row>
    <row r="496" spans="1:63" x14ac:dyDescent="0.35">
      <c r="Y496" t="s">
        <v>90</v>
      </c>
      <c r="Z496" s="6">
        <v>18</v>
      </c>
      <c r="AA496">
        <v>1</v>
      </c>
      <c r="AB496">
        <f t="shared" si="6"/>
        <v>6.1111111111111107</v>
      </c>
      <c r="AC496">
        <f t="shared" si="7"/>
        <v>5.5555555555555552E-2</v>
      </c>
      <c r="AD496" s="3" t="s">
        <v>376</v>
      </c>
      <c r="AE496" s="18">
        <v>110</v>
      </c>
      <c r="AG496" t="s">
        <v>33</v>
      </c>
      <c r="AH496">
        <v>11</v>
      </c>
      <c r="AI496">
        <v>0</v>
      </c>
      <c r="AJ496">
        <f t="shared" si="8"/>
        <v>5.8181818181818183</v>
      </c>
      <c r="AK496">
        <f t="shared" si="9"/>
        <v>0</v>
      </c>
      <c r="AL496" s="3" t="s">
        <v>45</v>
      </c>
      <c r="AM496" s="18">
        <v>64</v>
      </c>
      <c r="AO496" t="s">
        <v>28</v>
      </c>
      <c r="AP496" s="6">
        <v>10</v>
      </c>
      <c r="AQ496">
        <v>0</v>
      </c>
      <c r="AR496">
        <f t="shared" si="10"/>
        <v>5.6</v>
      </c>
      <c r="AS496">
        <f t="shared" si="11"/>
        <v>0</v>
      </c>
      <c r="AT496" s="3" t="s">
        <v>382</v>
      </c>
      <c r="AU496" s="18">
        <v>56</v>
      </c>
      <c r="AW496" t="s">
        <v>31</v>
      </c>
      <c r="AX496">
        <v>15</v>
      </c>
      <c r="AY496">
        <v>0</v>
      </c>
      <c r="AZ496">
        <f t="shared" si="12"/>
        <v>5.2666666666666666</v>
      </c>
      <c r="BA496">
        <f t="shared" si="13"/>
        <v>0</v>
      </c>
      <c r="BB496" s="3" t="s">
        <v>45</v>
      </c>
      <c r="BC496" s="18">
        <v>79</v>
      </c>
      <c r="BE496" t="s">
        <v>25</v>
      </c>
      <c r="BF496">
        <v>50</v>
      </c>
      <c r="BG496">
        <v>4</v>
      </c>
      <c r="BH496">
        <f t="shared" si="14"/>
        <v>5.12</v>
      </c>
      <c r="BI496">
        <f t="shared" si="15"/>
        <v>0.08</v>
      </c>
      <c r="BJ496" s="3" t="s">
        <v>46</v>
      </c>
      <c r="BK496" s="18">
        <v>256</v>
      </c>
    </row>
    <row r="497" spans="28:63" x14ac:dyDescent="0.35">
      <c r="AG497" t="s">
        <v>32</v>
      </c>
      <c r="AH497">
        <v>12</v>
      </c>
      <c r="AI497">
        <v>1</v>
      </c>
      <c r="AJ497">
        <f t="shared" si="8"/>
        <v>5.833333333333333</v>
      </c>
      <c r="AK497">
        <f t="shared" si="9"/>
        <v>8.3333333333333329E-2</v>
      </c>
      <c r="AL497" s="3" t="s">
        <v>45</v>
      </c>
      <c r="AM497" s="18">
        <v>70</v>
      </c>
      <c r="AO497" t="s">
        <v>4</v>
      </c>
      <c r="AP497" s="6">
        <v>13</v>
      </c>
      <c r="AQ497">
        <v>0</v>
      </c>
      <c r="AR497">
        <f t="shared" si="10"/>
        <v>5.615384615384615</v>
      </c>
      <c r="AS497">
        <f t="shared" si="11"/>
        <v>0</v>
      </c>
      <c r="AT497" s="3" t="s">
        <v>54</v>
      </c>
      <c r="AU497" s="18">
        <v>73</v>
      </c>
      <c r="AW497" t="s">
        <v>6</v>
      </c>
      <c r="AX497">
        <v>39</v>
      </c>
      <c r="AY497">
        <v>3</v>
      </c>
      <c r="AZ497">
        <f t="shared" si="12"/>
        <v>5.384615384615385</v>
      </c>
      <c r="BA497">
        <f t="shared" si="13"/>
        <v>7.6923076923076927E-2</v>
      </c>
      <c r="BB497" s="3" t="s">
        <v>45</v>
      </c>
      <c r="BC497" s="18">
        <v>210</v>
      </c>
      <c r="BE497" t="s">
        <v>6</v>
      </c>
      <c r="BF497">
        <v>39</v>
      </c>
      <c r="BG497">
        <v>3</v>
      </c>
      <c r="BH497">
        <f t="shared" si="14"/>
        <v>5.384615384615385</v>
      </c>
      <c r="BI497">
        <f t="shared" si="15"/>
        <v>7.6923076923076927E-2</v>
      </c>
      <c r="BK497" s="18">
        <v>210</v>
      </c>
    </row>
    <row r="498" spans="28:63" x14ac:dyDescent="0.35">
      <c r="AG498" t="s">
        <v>90</v>
      </c>
      <c r="AH498">
        <v>18</v>
      </c>
      <c r="AI498">
        <v>1</v>
      </c>
      <c r="AJ498">
        <f t="shared" si="8"/>
        <v>6.1111111111111107</v>
      </c>
      <c r="AK498">
        <f t="shared" si="9"/>
        <v>5.5555555555555552E-2</v>
      </c>
      <c r="AL498" s="3" t="s">
        <v>45</v>
      </c>
      <c r="AM498" s="18">
        <v>110</v>
      </c>
      <c r="AO498" t="s">
        <v>33</v>
      </c>
      <c r="AP498">
        <v>11</v>
      </c>
      <c r="AQ498">
        <v>0</v>
      </c>
      <c r="AR498">
        <f t="shared" si="10"/>
        <v>5.8181818181818183</v>
      </c>
      <c r="AS498">
        <f t="shared" si="11"/>
        <v>0</v>
      </c>
      <c r="AT498" s="3" t="s">
        <v>45</v>
      </c>
      <c r="AU498" s="18">
        <v>64</v>
      </c>
      <c r="AW498" t="s">
        <v>79</v>
      </c>
      <c r="AX498">
        <v>16</v>
      </c>
      <c r="AY498">
        <v>0</v>
      </c>
      <c r="AZ498">
        <f t="shared" si="12"/>
        <v>5.4375</v>
      </c>
      <c r="BA498">
        <f t="shared" si="13"/>
        <v>0</v>
      </c>
      <c r="BB498" s="3" t="s">
        <v>45</v>
      </c>
      <c r="BC498" s="18">
        <v>87</v>
      </c>
      <c r="BE498" t="s">
        <v>79</v>
      </c>
      <c r="BF498">
        <v>16</v>
      </c>
      <c r="BG498">
        <v>0</v>
      </c>
      <c r="BH498">
        <f t="shared" si="14"/>
        <v>5.4375</v>
      </c>
      <c r="BI498">
        <f t="shared" si="15"/>
        <v>0</v>
      </c>
      <c r="BK498" s="18">
        <v>87</v>
      </c>
    </row>
    <row r="499" spans="28:63" x14ac:dyDescent="0.35">
      <c r="AO499" t="s">
        <v>20</v>
      </c>
      <c r="AP499" s="6">
        <v>12</v>
      </c>
      <c r="AQ499">
        <v>1</v>
      </c>
      <c r="AR499">
        <f t="shared" si="10"/>
        <v>5.833333333333333</v>
      </c>
      <c r="AS499">
        <f t="shared" si="11"/>
        <v>8.3333333333333329E-2</v>
      </c>
      <c r="AT499" s="3" t="s">
        <v>55</v>
      </c>
      <c r="AU499" s="18">
        <v>70</v>
      </c>
      <c r="AW499" t="s">
        <v>28</v>
      </c>
      <c r="AX499">
        <v>10</v>
      </c>
      <c r="AY499">
        <v>0</v>
      </c>
      <c r="AZ499">
        <f t="shared" si="12"/>
        <v>5.6</v>
      </c>
      <c r="BA499">
        <f t="shared" si="13"/>
        <v>0</v>
      </c>
      <c r="BB499" s="3" t="s">
        <v>45</v>
      </c>
      <c r="BC499" s="18">
        <v>56</v>
      </c>
      <c r="BE499" t="s">
        <v>20</v>
      </c>
      <c r="BF499" s="6">
        <v>14</v>
      </c>
      <c r="BG499">
        <v>1</v>
      </c>
      <c r="BH499">
        <f t="shared" si="14"/>
        <v>5.5714285714285712</v>
      </c>
      <c r="BI499">
        <f t="shared" si="15"/>
        <v>7.1428571428571425E-2</v>
      </c>
      <c r="BJ499" s="2" t="s">
        <v>59</v>
      </c>
      <c r="BK499" s="18">
        <v>78</v>
      </c>
    </row>
    <row r="500" spans="28:63" x14ac:dyDescent="0.35">
      <c r="AO500" t="s">
        <v>32</v>
      </c>
      <c r="AP500">
        <v>12</v>
      </c>
      <c r="AQ500">
        <v>1</v>
      </c>
      <c r="AR500">
        <f t="shared" si="10"/>
        <v>5.833333333333333</v>
      </c>
      <c r="AS500">
        <f t="shared" si="11"/>
        <v>8.3333333333333329E-2</v>
      </c>
      <c r="AT500" s="3" t="s">
        <v>54</v>
      </c>
      <c r="AU500" s="18">
        <v>70</v>
      </c>
      <c r="AW500" t="s">
        <v>4</v>
      </c>
      <c r="AX500">
        <v>13</v>
      </c>
      <c r="AY500">
        <v>0</v>
      </c>
      <c r="AZ500">
        <f t="shared" si="12"/>
        <v>5.615384615384615</v>
      </c>
      <c r="BA500">
        <f t="shared" si="13"/>
        <v>0</v>
      </c>
      <c r="BB500" s="3" t="s">
        <v>45</v>
      </c>
      <c r="BC500" s="18">
        <v>73</v>
      </c>
      <c r="BE500" t="s">
        <v>28</v>
      </c>
      <c r="BF500">
        <v>10</v>
      </c>
      <c r="BG500">
        <v>0</v>
      </c>
      <c r="BH500">
        <f t="shared" si="14"/>
        <v>5.6</v>
      </c>
      <c r="BI500">
        <f t="shared" si="15"/>
        <v>0</v>
      </c>
      <c r="BJ500" s="3" t="s">
        <v>46</v>
      </c>
      <c r="BK500" s="18">
        <v>56</v>
      </c>
    </row>
    <row r="501" spans="28:63" x14ac:dyDescent="0.35">
      <c r="AO501" t="s">
        <v>90</v>
      </c>
      <c r="AP501" s="6">
        <v>19</v>
      </c>
      <c r="AQ501">
        <v>1</v>
      </c>
      <c r="AR501">
        <f t="shared" si="10"/>
        <v>5.9473684210526319</v>
      </c>
      <c r="AS501">
        <f t="shared" si="11"/>
        <v>5.2631578947368418E-2</v>
      </c>
      <c r="AT501" s="3" t="s">
        <v>54</v>
      </c>
      <c r="AU501" s="18">
        <v>113</v>
      </c>
      <c r="AW501" t="s">
        <v>33</v>
      </c>
      <c r="AX501">
        <v>11</v>
      </c>
      <c r="AY501">
        <v>0</v>
      </c>
      <c r="AZ501">
        <f t="shared" si="12"/>
        <v>5.8181818181818183</v>
      </c>
      <c r="BA501">
        <f t="shared" si="13"/>
        <v>0</v>
      </c>
      <c r="BB501" s="3" t="s">
        <v>45</v>
      </c>
      <c r="BC501" s="18">
        <v>64</v>
      </c>
      <c r="BE501" t="s">
        <v>4</v>
      </c>
      <c r="BF501">
        <v>13</v>
      </c>
      <c r="BG501">
        <v>0</v>
      </c>
      <c r="BH501">
        <f t="shared" si="14"/>
        <v>5.615384615384615</v>
      </c>
      <c r="BI501">
        <f t="shared" si="15"/>
        <v>0</v>
      </c>
      <c r="BJ501" s="3" t="s">
        <v>46</v>
      </c>
      <c r="BK501" s="18">
        <v>73</v>
      </c>
    </row>
    <row r="502" spans="28:63" x14ac:dyDescent="0.35">
      <c r="AW502" t="s">
        <v>20</v>
      </c>
      <c r="AX502">
        <v>12</v>
      </c>
      <c r="AY502">
        <v>1</v>
      </c>
      <c r="AZ502">
        <f t="shared" si="12"/>
        <v>5.833333333333333</v>
      </c>
      <c r="BA502">
        <f t="shared" si="13"/>
        <v>8.3333333333333329E-2</v>
      </c>
      <c r="BB502" s="3" t="s">
        <v>45</v>
      </c>
      <c r="BC502" s="18">
        <v>70</v>
      </c>
      <c r="BE502" t="s">
        <v>32</v>
      </c>
      <c r="BF502">
        <v>12</v>
      </c>
      <c r="BG502">
        <v>1</v>
      </c>
      <c r="BH502">
        <f t="shared" si="14"/>
        <v>5.833333333333333</v>
      </c>
      <c r="BI502">
        <f t="shared" si="15"/>
        <v>8.3333333333333329E-2</v>
      </c>
      <c r="BJ502" s="2" t="s">
        <v>44</v>
      </c>
      <c r="BK502" s="18">
        <v>70</v>
      </c>
    </row>
    <row r="503" spans="28:63" x14ac:dyDescent="0.35">
      <c r="AW503" t="s">
        <v>32</v>
      </c>
      <c r="AX503">
        <v>12</v>
      </c>
      <c r="AY503">
        <v>1</v>
      </c>
      <c r="AZ503">
        <f t="shared" si="12"/>
        <v>5.833333333333333</v>
      </c>
      <c r="BA503">
        <f t="shared" si="13"/>
        <v>8.3333333333333329E-2</v>
      </c>
      <c r="BB503" s="3" t="s">
        <v>45</v>
      </c>
      <c r="BC503" s="18">
        <v>70</v>
      </c>
      <c r="BE503" t="s">
        <v>33</v>
      </c>
      <c r="BF503" s="6">
        <v>12</v>
      </c>
      <c r="BG503">
        <v>0</v>
      </c>
      <c r="BH503">
        <f t="shared" si="14"/>
        <v>5.916666666666667</v>
      </c>
      <c r="BI503">
        <f t="shared" si="15"/>
        <v>0</v>
      </c>
      <c r="BJ503" s="3" t="s">
        <v>45</v>
      </c>
      <c r="BK503" s="18">
        <v>71</v>
      </c>
    </row>
    <row r="504" spans="28:63" x14ac:dyDescent="0.35">
      <c r="AW504" t="s">
        <v>90</v>
      </c>
      <c r="AX504">
        <v>19</v>
      </c>
      <c r="AY504">
        <v>1</v>
      </c>
      <c r="AZ504">
        <f t="shared" si="12"/>
        <v>5.9473684210526319</v>
      </c>
      <c r="BA504">
        <f t="shared" si="13"/>
        <v>5.2631578947368418E-2</v>
      </c>
      <c r="BB504" s="3" t="s">
        <v>45</v>
      </c>
      <c r="BC504" s="18">
        <v>113</v>
      </c>
      <c r="BE504" t="s">
        <v>90</v>
      </c>
      <c r="BF504" s="6">
        <v>20</v>
      </c>
      <c r="BG504">
        <v>1</v>
      </c>
      <c r="BH504">
        <f t="shared" si="14"/>
        <v>5.95</v>
      </c>
      <c r="BI504">
        <f t="shared" si="15"/>
        <v>0.05</v>
      </c>
      <c r="BK504" s="18">
        <v>119</v>
      </c>
    </row>
    <row r="506" spans="28:63" x14ac:dyDescent="0.35">
      <c r="AB506" s="4" t="s">
        <v>42</v>
      </c>
      <c r="AC506" s="4" t="s">
        <v>38</v>
      </c>
      <c r="AD506" s="4" t="s">
        <v>39</v>
      </c>
      <c r="AE506" s="4" t="s">
        <v>40</v>
      </c>
      <c r="AF506" s="4" t="s">
        <v>111</v>
      </c>
      <c r="AJ506" s="4" t="s">
        <v>42</v>
      </c>
      <c r="AK506" s="4" t="s">
        <v>38</v>
      </c>
      <c r="AL506" s="4" t="s">
        <v>39</v>
      </c>
      <c r="AM506" s="4" t="s">
        <v>40</v>
      </c>
      <c r="AN506" s="4" t="s">
        <v>111</v>
      </c>
      <c r="AS506" s="4" t="s">
        <v>42</v>
      </c>
      <c r="AT506" s="4" t="s">
        <v>38</v>
      </c>
      <c r="AU506" s="4" t="s">
        <v>39</v>
      </c>
      <c r="AV506" s="4" t="s">
        <v>40</v>
      </c>
      <c r="AW506" s="4" t="s">
        <v>111</v>
      </c>
      <c r="AX506" s="4" t="s">
        <v>391</v>
      </c>
      <c r="BB506" s="4" t="s">
        <v>42</v>
      </c>
      <c r="BC506" s="4" t="s">
        <v>38</v>
      </c>
      <c r="BD506" s="4" t="s">
        <v>39</v>
      </c>
      <c r="BE506" s="4" t="s">
        <v>40</v>
      </c>
      <c r="BF506" s="4" t="s">
        <v>111</v>
      </c>
      <c r="BG506" s="4" t="s">
        <v>391</v>
      </c>
    </row>
    <row r="507" spans="28:63" x14ac:dyDescent="0.35">
      <c r="AB507" t="s">
        <v>128</v>
      </c>
      <c r="AC507">
        <v>43</v>
      </c>
      <c r="AD507">
        <v>15</v>
      </c>
      <c r="AE507">
        <f t="shared" ref="AE507:AE538" si="16">AH507/AC507</f>
        <v>2.86046511627907</v>
      </c>
      <c r="AF507">
        <f t="shared" ref="AF507:AF538" si="17">AD507/AC507</f>
        <v>0.34883720930232559</v>
      </c>
      <c r="AH507" s="18">
        <v>123</v>
      </c>
      <c r="AJ507" t="s">
        <v>128</v>
      </c>
      <c r="AK507">
        <v>43</v>
      </c>
      <c r="AL507">
        <v>15</v>
      </c>
      <c r="AM507">
        <f t="shared" ref="AM507:AM538" si="18">AP507/AK507</f>
        <v>2.86046511627907</v>
      </c>
      <c r="AN507" s="7">
        <f t="shared" ref="AN507:AN538" si="19">AL507/AK507</f>
        <v>0.34883720930232559</v>
      </c>
      <c r="AP507" s="18">
        <v>123</v>
      </c>
      <c r="AS507" t="s">
        <v>128</v>
      </c>
      <c r="AT507" s="6">
        <v>45</v>
      </c>
      <c r="AU507">
        <v>15</v>
      </c>
      <c r="AV507">
        <f t="shared" ref="AV507:AV538" si="20">AZ507/AT507</f>
        <v>2.9333333333333331</v>
      </c>
      <c r="AW507">
        <f t="shared" ref="AW507:AW538" si="21">AU507/AT507</f>
        <v>0.33333333333333331</v>
      </c>
      <c r="AX507" t="s">
        <v>392</v>
      </c>
      <c r="AZ507">
        <v>132</v>
      </c>
      <c r="BB507" t="s">
        <v>128</v>
      </c>
      <c r="BC507">
        <v>45</v>
      </c>
      <c r="BD507">
        <v>15</v>
      </c>
      <c r="BE507">
        <f t="shared" ref="BE507:BE538" si="22">BI507/BC507</f>
        <v>2.9333333333333331</v>
      </c>
      <c r="BF507">
        <f t="shared" ref="BF507:BF538" si="23">BD507/BC507</f>
        <v>0.33333333333333331</v>
      </c>
      <c r="BG507" t="s">
        <v>392</v>
      </c>
      <c r="BI507" s="18">
        <v>132</v>
      </c>
    </row>
    <row r="508" spans="28:63" x14ac:dyDescent="0.35">
      <c r="AB508" t="s">
        <v>232</v>
      </c>
      <c r="AC508" s="6">
        <v>11</v>
      </c>
      <c r="AD508" s="6">
        <v>2</v>
      </c>
      <c r="AE508">
        <f t="shared" si="16"/>
        <v>3.4545454545454546</v>
      </c>
      <c r="AF508">
        <f t="shared" si="17"/>
        <v>0.18181818181818182</v>
      </c>
      <c r="AG508" s="11" t="s">
        <v>387</v>
      </c>
      <c r="AH508" s="18">
        <v>38</v>
      </c>
      <c r="AJ508" t="s">
        <v>232</v>
      </c>
      <c r="AK508">
        <v>11</v>
      </c>
      <c r="AL508">
        <v>2</v>
      </c>
      <c r="AM508">
        <f t="shared" si="18"/>
        <v>3.4545454545454546</v>
      </c>
      <c r="AN508">
        <f t="shared" si="19"/>
        <v>0.18181818181818182</v>
      </c>
      <c r="AP508" s="18">
        <v>38</v>
      </c>
      <c r="AS508" t="s">
        <v>232</v>
      </c>
      <c r="AT508">
        <v>11</v>
      </c>
      <c r="AU508">
        <v>2</v>
      </c>
      <c r="AV508">
        <f t="shared" si="20"/>
        <v>3.4545454545454546</v>
      </c>
      <c r="AW508">
        <f t="shared" si="21"/>
        <v>0.18181818181818182</v>
      </c>
      <c r="AX508" t="s">
        <v>392</v>
      </c>
      <c r="AZ508">
        <v>38</v>
      </c>
      <c r="BB508" t="s">
        <v>232</v>
      </c>
      <c r="BC508">
        <v>11</v>
      </c>
      <c r="BD508">
        <v>2</v>
      </c>
      <c r="BE508">
        <f t="shared" si="22"/>
        <v>3.4545454545454546</v>
      </c>
      <c r="BF508">
        <f t="shared" si="23"/>
        <v>0.18181818181818182</v>
      </c>
      <c r="BG508" t="s">
        <v>392</v>
      </c>
      <c r="BI508" s="18">
        <v>38</v>
      </c>
    </row>
    <row r="509" spans="28:63" x14ac:dyDescent="0.35">
      <c r="AB509" t="s">
        <v>35</v>
      </c>
      <c r="AC509">
        <v>51</v>
      </c>
      <c r="AD509" s="7">
        <v>18</v>
      </c>
      <c r="AE509">
        <f t="shared" si="16"/>
        <v>3.607843137254902</v>
      </c>
      <c r="AF509">
        <f t="shared" si="17"/>
        <v>0.35294117647058826</v>
      </c>
      <c r="AH509" s="18">
        <v>184</v>
      </c>
      <c r="AJ509" t="s">
        <v>35</v>
      </c>
      <c r="AK509" s="6">
        <v>53</v>
      </c>
      <c r="AL509" s="7">
        <v>18</v>
      </c>
      <c r="AM509">
        <f t="shared" si="18"/>
        <v>3.6226415094339623</v>
      </c>
      <c r="AN509">
        <f t="shared" si="19"/>
        <v>0.33962264150943394</v>
      </c>
      <c r="AP509" s="18">
        <v>192</v>
      </c>
      <c r="AS509" t="s">
        <v>148</v>
      </c>
      <c r="AT509" s="6">
        <v>13</v>
      </c>
      <c r="AU509" s="6">
        <v>2</v>
      </c>
      <c r="AV509">
        <f t="shared" si="20"/>
        <v>3.6153846153846154</v>
      </c>
      <c r="AW509">
        <f t="shared" si="21"/>
        <v>0.15384615384615385</v>
      </c>
      <c r="AX509" t="s">
        <v>392</v>
      </c>
      <c r="AY509" s="2" t="s">
        <v>59</v>
      </c>
      <c r="AZ509">
        <v>47</v>
      </c>
      <c r="BB509" t="s">
        <v>121</v>
      </c>
      <c r="BC509" s="6">
        <v>39</v>
      </c>
      <c r="BD509">
        <v>8</v>
      </c>
      <c r="BE509">
        <f t="shared" si="22"/>
        <v>3.6153846153846154</v>
      </c>
      <c r="BF509">
        <f t="shared" si="23"/>
        <v>0.20512820512820512</v>
      </c>
      <c r="BG509" t="s">
        <v>392</v>
      </c>
      <c r="BH509" s="2" t="s">
        <v>44</v>
      </c>
      <c r="BI509" s="18">
        <v>141</v>
      </c>
    </row>
    <row r="510" spans="28:63" x14ac:dyDescent="0.35">
      <c r="AB510" t="s">
        <v>121</v>
      </c>
      <c r="AC510" s="6">
        <v>36</v>
      </c>
      <c r="AD510">
        <v>8</v>
      </c>
      <c r="AE510">
        <f t="shared" si="16"/>
        <v>3.6388888888888888</v>
      </c>
      <c r="AF510">
        <f t="shared" si="17"/>
        <v>0.22222222222222221</v>
      </c>
      <c r="AG510" s="3" t="s">
        <v>45</v>
      </c>
      <c r="AH510" s="18">
        <v>131</v>
      </c>
      <c r="AJ510" t="s">
        <v>121</v>
      </c>
      <c r="AK510">
        <v>36</v>
      </c>
      <c r="AL510">
        <v>8</v>
      </c>
      <c r="AM510">
        <f t="shared" si="18"/>
        <v>3.6388888888888888</v>
      </c>
      <c r="AN510">
        <f t="shared" si="19"/>
        <v>0.22222222222222221</v>
      </c>
      <c r="AP510" s="18">
        <v>131</v>
      </c>
      <c r="AS510" t="s">
        <v>121</v>
      </c>
      <c r="AT510" s="6">
        <v>37</v>
      </c>
      <c r="AU510">
        <v>8</v>
      </c>
      <c r="AV510">
        <f t="shared" si="20"/>
        <v>3.6216216216216215</v>
      </c>
      <c r="AW510">
        <f t="shared" si="21"/>
        <v>0.21621621621621623</v>
      </c>
      <c r="AX510" t="s">
        <v>392</v>
      </c>
      <c r="AZ510">
        <v>134</v>
      </c>
      <c r="BB510" t="s">
        <v>35</v>
      </c>
      <c r="BC510" s="6">
        <v>57</v>
      </c>
      <c r="BD510">
        <v>18</v>
      </c>
      <c r="BE510">
        <f t="shared" si="22"/>
        <v>3.6491228070175437</v>
      </c>
      <c r="BF510">
        <f t="shared" si="23"/>
        <v>0.31578947368421051</v>
      </c>
      <c r="BG510" t="s">
        <v>392</v>
      </c>
      <c r="BH510" s="2" t="s">
        <v>44</v>
      </c>
      <c r="BI510" s="18">
        <v>208</v>
      </c>
    </row>
    <row r="511" spans="28:63" x14ac:dyDescent="0.35">
      <c r="AB511" t="s">
        <v>52</v>
      </c>
      <c r="AC511">
        <v>10</v>
      </c>
      <c r="AD511">
        <v>1</v>
      </c>
      <c r="AE511">
        <f t="shared" si="16"/>
        <v>3.7</v>
      </c>
      <c r="AF511">
        <f t="shared" si="17"/>
        <v>0.1</v>
      </c>
      <c r="AG511" s="3" t="s">
        <v>46</v>
      </c>
      <c r="AH511" s="18">
        <v>37</v>
      </c>
      <c r="AJ511" t="s">
        <v>52</v>
      </c>
      <c r="AK511">
        <v>10</v>
      </c>
      <c r="AL511">
        <v>1</v>
      </c>
      <c r="AM511">
        <f t="shared" si="18"/>
        <v>3.7</v>
      </c>
      <c r="AN511">
        <f t="shared" si="19"/>
        <v>0.1</v>
      </c>
      <c r="AP511" s="18">
        <v>37</v>
      </c>
      <c r="AS511" t="s">
        <v>35</v>
      </c>
      <c r="AT511" s="6">
        <v>55</v>
      </c>
      <c r="AU511">
        <v>18</v>
      </c>
      <c r="AV511">
        <f t="shared" si="20"/>
        <v>3.709090909090909</v>
      </c>
      <c r="AW511">
        <f t="shared" si="21"/>
        <v>0.32727272727272727</v>
      </c>
      <c r="AX511" t="s">
        <v>392</v>
      </c>
      <c r="AY511" s="3" t="s">
        <v>45</v>
      </c>
      <c r="AZ511">
        <v>204</v>
      </c>
      <c r="BB511" t="s">
        <v>122</v>
      </c>
      <c r="BC511" s="6">
        <v>20</v>
      </c>
      <c r="BD511">
        <v>3</v>
      </c>
      <c r="BE511">
        <f t="shared" si="22"/>
        <v>3.75</v>
      </c>
      <c r="BF511">
        <f t="shared" si="23"/>
        <v>0.15</v>
      </c>
      <c r="BG511" t="s">
        <v>392</v>
      </c>
      <c r="BH511" s="2" t="s">
        <v>370</v>
      </c>
      <c r="BI511" s="18">
        <v>75</v>
      </c>
    </row>
    <row r="512" spans="28:63" x14ac:dyDescent="0.35">
      <c r="AB512" t="s">
        <v>139</v>
      </c>
      <c r="AC512">
        <v>14</v>
      </c>
      <c r="AD512">
        <v>2</v>
      </c>
      <c r="AE512">
        <f t="shared" si="16"/>
        <v>3.8571428571428572</v>
      </c>
      <c r="AF512">
        <f t="shared" si="17"/>
        <v>0.14285714285714285</v>
      </c>
      <c r="AG512" s="3" t="s">
        <v>46</v>
      </c>
      <c r="AH512" s="18">
        <v>54</v>
      </c>
      <c r="AJ512" t="s">
        <v>148</v>
      </c>
      <c r="AK512" s="6">
        <v>10</v>
      </c>
      <c r="AL512" s="6">
        <v>1</v>
      </c>
      <c r="AM512">
        <f t="shared" si="18"/>
        <v>3.7</v>
      </c>
      <c r="AN512">
        <f t="shared" si="19"/>
        <v>0.1</v>
      </c>
      <c r="AO512" s="11" t="s">
        <v>390</v>
      </c>
      <c r="AP512" s="18">
        <v>37</v>
      </c>
      <c r="AS512" t="s">
        <v>2</v>
      </c>
      <c r="AT512" s="6">
        <v>25</v>
      </c>
      <c r="AU512" s="6">
        <v>5</v>
      </c>
      <c r="AV512">
        <f t="shared" si="20"/>
        <v>3.96</v>
      </c>
      <c r="AW512">
        <f t="shared" si="21"/>
        <v>0.2</v>
      </c>
      <c r="AX512" t="s">
        <v>392</v>
      </c>
      <c r="AY512" s="2" t="s">
        <v>133</v>
      </c>
      <c r="AZ512">
        <v>99</v>
      </c>
      <c r="BB512" t="s">
        <v>148</v>
      </c>
      <c r="BC512" s="6">
        <v>15</v>
      </c>
      <c r="BD512">
        <v>2</v>
      </c>
      <c r="BE512">
        <f t="shared" si="22"/>
        <v>3.8666666666666667</v>
      </c>
      <c r="BF512">
        <f t="shared" si="23"/>
        <v>0.13333333333333333</v>
      </c>
      <c r="BG512" t="s">
        <v>392</v>
      </c>
      <c r="BH512" s="3" t="s">
        <v>54</v>
      </c>
      <c r="BI512" s="18">
        <v>58</v>
      </c>
    </row>
    <row r="513" spans="28:61" x14ac:dyDescent="0.35">
      <c r="AB513" t="s">
        <v>0</v>
      </c>
      <c r="AC513" s="6">
        <v>60</v>
      </c>
      <c r="AD513">
        <v>10</v>
      </c>
      <c r="AE513">
        <f t="shared" si="16"/>
        <v>3.9666666666666668</v>
      </c>
      <c r="AF513">
        <f t="shared" si="17"/>
        <v>0.16666666666666666</v>
      </c>
      <c r="AG513" s="3" t="s">
        <v>46</v>
      </c>
      <c r="AH513" s="18">
        <v>238</v>
      </c>
      <c r="AJ513" t="s">
        <v>139</v>
      </c>
      <c r="AK513">
        <v>14</v>
      </c>
      <c r="AL513">
        <v>2</v>
      </c>
      <c r="AM513">
        <f t="shared" si="18"/>
        <v>3.8571428571428572</v>
      </c>
      <c r="AN513">
        <f t="shared" si="19"/>
        <v>0.14285714285714285</v>
      </c>
      <c r="AO513" s="3" t="s">
        <v>46</v>
      </c>
      <c r="AP513" s="18">
        <v>54</v>
      </c>
      <c r="AS513" t="s">
        <v>52</v>
      </c>
      <c r="AT513" s="6">
        <v>11</v>
      </c>
      <c r="AU513">
        <v>1</v>
      </c>
      <c r="AV513">
        <f t="shared" si="20"/>
        <v>4</v>
      </c>
      <c r="AW513">
        <f t="shared" si="21"/>
        <v>9.0909090909090912E-2</v>
      </c>
      <c r="AX513" t="s">
        <v>392</v>
      </c>
      <c r="AY513" s="3" t="s">
        <v>45</v>
      </c>
      <c r="AZ513">
        <v>44</v>
      </c>
      <c r="BB513" t="s">
        <v>2</v>
      </c>
      <c r="BC513">
        <v>25</v>
      </c>
      <c r="BD513">
        <v>5</v>
      </c>
      <c r="BE513">
        <f t="shared" si="22"/>
        <v>3.96</v>
      </c>
      <c r="BF513">
        <f t="shared" si="23"/>
        <v>0.2</v>
      </c>
      <c r="BG513" t="s">
        <v>392</v>
      </c>
      <c r="BH513" s="3" t="s">
        <v>46</v>
      </c>
      <c r="BI513" s="18">
        <v>99</v>
      </c>
    </row>
    <row r="514" spans="28:61" x14ac:dyDescent="0.35">
      <c r="AB514" t="s">
        <v>9</v>
      </c>
      <c r="AC514">
        <v>11</v>
      </c>
      <c r="AD514">
        <v>1</v>
      </c>
      <c r="AE514">
        <f t="shared" si="16"/>
        <v>4</v>
      </c>
      <c r="AF514">
        <f t="shared" si="17"/>
        <v>9.0909090909090912E-2</v>
      </c>
      <c r="AG514" s="3" t="s">
        <v>46</v>
      </c>
      <c r="AH514" s="18">
        <v>44</v>
      </c>
      <c r="AJ514" t="s">
        <v>0</v>
      </c>
      <c r="AK514">
        <v>60</v>
      </c>
      <c r="AL514">
        <v>10</v>
      </c>
      <c r="AM514">
        <f t="shared" si="18"/>
        <v>3.9666666666666668</v>
      </c>
      <c r="AN514">
        <f t="shared" si="19"/>
        <v>0.16666666666666666</v>
      </c>
      <c r="AO514" s="3" t="s">
        <v>46</v>
      </c>
      <c r="AP514" s="18">
        <v>238</v>
      </c>
      <c r="AS514" t="s">
        <v>112</v>
      </c>
      <c r="AT514" s="6">
        <v>11</v>
      </c>
      <c r="AU514" s="6">
        <v>4</v>
      </c>
      <c r="AV514">
        <f t="shared" si="20"/>
        <v>4</v>
      </c>
      <c r="AW514" s="7">
        <f t="shared" si="21"/>
        <v>0.36363636363636365</v>
      </c>
      <c r="AX514" s="7">
        <v>1</v>
      </c>
      <c r="AY514" s="2" t="s">
        <v>194</v>
      </c>
      <c r="AZ514">
        <v>44</v>
      </c>
      <c r="BB514" t="s">
        <v>0</v>
      </c>
      <c r="BC514" s="6">
        <v>64</v>
      </c>
      <c r="BD514">
        <v>11</v>
      </c>
      <c r="BE514">
        <f t="shared" si="22"/>
        <v>3.96875</v>
      </c>
      <c r="BF514">
        <f t="shared" si="23"/>
        <v>0.171875</v>
      </c>
      <c r="BG514" t="s">
        <v>392</v>
      </c>
      <c r="BH514" s="2" t="s">
        <v>44</v>
      </c>
      <c r="BI514" s="18">
        <v>254</v>
      </c>
    </row>
    <row r="515" spans="28:61" x14ac:dyDescent="0.35">
      <c r="AB515" t="s">
        <v>2</v>
      </c>
      <c r="AC515">
        <v>22</v>
      </c>
      <c r="AD515">
        <v>4</v>
      </c>
      <c r="AE515">
        <f t="shared" si="16"/>
        <v>4.0454545454545459</v>
      </c>
      <c r="AF515">
        <f t="shared" si="17"/>
        <v>0.18181818181818182</v>
      </c>
      <c r="AG515" s="3" t="s">
        <v>46</v>
      </c>
      <c r="AH515" s="18">
        <v>89</v>
      </c>
      <c r="AJ515" t="s">
        <v>9</v>
      </c>
      <c r="AK515">
        <v>11</v>
      </c>
      <c r="AL515">
        <v>1</v>
      </c>
      <c r="AM515">
        <f t="shared" si="18"/>
        <v>4</v>
      </c>
      <c r="AN515">
        <f t="shared" si="19"/>
        <v>9.0909090909090912E-2</v>
      </c>
      <c r="AO515" s="3" t="s">
        <v>46</v>
      </c>
      <c r="AP515" s="18">
        <v>44</v>
      </c>
      <c r="AS515" t="s">
        <v>0</v>
      </c>
      <c r="AT515" s="6">
        <v>62</v>
      </c>
      <c r="AU515">
        <v>10</v>
      </c>
      <c r="AV515">
        <f t="shared" si="20"/>
        <v>4</v>
      </c>
      <c r="AW515">
        <f t="shared" si="21"/>
        <v>0.16129032258064516</v>
      </c>
      <c r="AX515" t="s">
        <v>392</v>
      </c>
      <c r="AY515" s="3" t="s">
        <v>46</v>
      </c>
      <c r="AZ515">
        <v>248</v>
      </c>
      <c r="BB515" t="s">
        <v>52</v>
      </c>
      <c r="BC515">
        <v>11</v>
      </c>
      <c r="BD515">
        <v>1</v>
      </c>
      <c r="BE515">
        <f t="shared" si="22"/>
        <v>4</v>
      </c>
      <c r="BF515">
        <f t="shared" si="23"/>
        <v>9.0909090909090912E-2</v>
      </c>
      <c r="BG515" t="s">
        <v>392</v>
      </c>
      <c r="BH515" s="3" t="s">
        <v>45</v>
      </c>
      <c r="BI515" s="18">
        <v>44</v>
      </c>
    </row>
    <row r="516" spans="28:61" x14ac:dyDescent="0.35">
      <c r="AB516" t="s">
        <v>122</v>
      </c>
      <c r="AC516" s="6">
        <v>14</v>
      </c>
      <c r="AD516">
        <v>2</v>
      </c>
      <c r="AE516">
        <f t="shared" si="16"/>
        <v>4.0714285714285712</v>
      </c>
      <c r="AF516">
        <f t="shared" si="17"/>
        <v>0.14285714285714285</v>
      </c>
      <c r="AG516" s="3" t="s">
        <v>46</v>
      </c>
      <c r="AH516" s="18">
        <v>57</v>
      </c>
      <c r="AJ516" t="s">
        <v>2</v>
      </c>
      <c r="AK516">
        <v>22</v>
      </c>
      <c r="AL516">
        <v>4</v>
      </c>
      <c r="AM516">
        <f t="shared" si="18"/>
        <v>4.0454545454545459</v>
      </c>
      <c r="AN516">
        <f t="shared" si="19"/>
        <v>0.18181818181818182</v>
      </c>
      <c r="AO516" s="3" t="s">
        <v>46</v>
      </c>
      <c r="AP516" s="18">
        <v>89</v>
      </c>
      <c r="AS516" t="s">
        <v>122</v>
      </c>
      <c r="AT516" s="6">
        <v>18</v>
      </c>
      <c r="AU516">
        <v>2</v>
      </c>
      <c r="AV516">
        <f t="shared" si="20"/>
        <v>4</v>
      </c>
      <c r="AW516">
        <f t="shared" si="21"/>
        <v>0.1111111111111111</v>
      </c>
      <c r="AX516" t="s">
        <v>392</v>
      </c>
      <c r="AY516" s="2" t="s">
        <v>44</v>
      </c>
      <c r="AZ516">
        <v>72</v>
      </c>
      <c r="BB516" t="s">
        <v>112</v>
      </c>
      <c r="BC516">
        <v>11</v>
      </c>
      <c r="BD516">
        <v>4</v>
      </c>
      <c r="BE516">
        <f t="shared" si="22"/>
        <v>4</v>
      </c>
      <c r="BF516">
        <f t="shared" si="23"/>
        <v>0.36363636363636365</v>
      </c>
      <c r="BG516">
        <v>1</v>
      </c>
      <c r="BH516" s="3" t="s">
        <v>45</v>
      </c>
      <c r="BI516" s="18">
        <v>44</v>
      </c>
    </row>
    <row r="517" spans="28:61" x14ac:dyDescent="0.35">
      <c r="AB517" t="s">
        <v>22</v>
      </c>
      <c r="AC517" s="8">
        <v>115</v>
      </c>
      <c r="AD517">
        <v>18</v>
      </c>
      <c r="AE517">
        <f t="shared" si="16"/>
        <v>4.0782608695652174</v>
      </c>
      <c r="AF517">
        <f t="shared" si="17"/>
        <v>0.15652173913043479</v>
      </c>
      <c r="AG517" s="3" t="s">
        <v>46</v>
      </c>
      <c r="AH517" s="18">
        <v>469</v>
      </c>
      <c r="AJ517" t="s">
        <v>122</v>
      </c>
      <c r="AK517" s="6">
        <v>17</v>
      </c>
      <c r="AL517">
        <v>2</v>
      </c>
      <c r="AM517">
        <f t="shared" si="18"/>
        <v>4.0588235294117645</v>
      </c>
      <c r="AN517">
        <f t="shared" si="19"/>
        <v>0.11764705882352941</v>
      </c>
      <c r="AO517" s="3" t="s">
        <v>46</v>
      </c>
      <c r="AP517" s="18">
        <v>69</v>
      </c>
      <c r="AS517" t="s">
        <v>139</v>
      </c>
      <c r="AT517" s="6">
        <v>15</v>
      </c>
      <c r="AU517">
        <v>2</v>
      </c>
      <c r="AV517">
        <f t="shared" si="20"/>
        <v>4.0666666666666664</v>
      </c>
      <c r="AW517">
        <f t="shared" si="21"/>
        <v>0.13333333333333333</v>
      </c>
      <c r="AX517" t="s">
        <v>392</v>
      </c>
      <c r="AY517" s="3" t="s">
        <v>55</v>
      </c>
      <c r="AZ517">
        <v>61</v>
      </c>
      <c r="BB517" t="s">
        <v>22</v>
      </c>
      <c r="BC517" s="8">
        <v>127</v>
      </c>
      <c r="BD517" s="8">
        <v>22</v>
      </c>
      <c r="BE517">
        <f t="shared" si="22"/>
        <v>4.0236220472440944</v>
      </c>
      <c r="BF517">
        <f t="shared" si="23"/>
        <v>0.17322834645669291</v>
      </c>
      <c r="BG517" t="s">
        <v>392</v>
      </c>
      <c r="BH517" s="2" t="s">
        <v>44</v>
      </c>
      <c r="BI517" s="18">
        <v>511</v>
      </c>
    </row>
    <row r="518" spans="28:61" x14ac:dyDescent="0.35">
      <c r="AB518" t="s">
        <v>63</v>
      </c>
      <c r="AC518">
        <v>12</v>
      </c>
      <c r="AD518">
        <v>2</v>
      </c>
      <c r="AE518">
        <f t="shared" si="16"/>
        <v>4.166666666666667</v>
      </c>
      <c r="AF518">
        <f t="shared" si="17"/>
        <v>0.16666666666666666</v>
      </c>
      <c r="AG518" s="3" t="s">
        <v>46</v>
      </c>
      <c r="AH518" s="18">
        <v>50</v>
      </c>
      <c r="AJ518" t="s">
        <v>22</v>
      </c>
      <c r="AK518" s="8">
        <v>118</v>
      </c>
      <c r="AL518">
        <v>18</v>
      </c>
      <c r="AM518">
        <f t="shared" si="18"/>
        <v>4.0847457627118642</v>
      </c>
      <c r="AN518">
        <f t="shared" si="19"/>
        <v>0.15254237288135594</v>
      </c>
      <c r="AO518" s="3" t="s">
        <v>46</v>
      </c>
      <c r="AP518" s="18">
        <v>482</v>
      </c>
      <c r="AS518" t="s">
        <v>22</v>
      </c>
      <c r="AT518" s="8">
        <v>123</v>
      </c>
      <c r="AU518" s="8">
        <v>19</v>
      </c>
      <c r="AV518">
        <f t="shared" si="20"/>
        <v>4.0813008130081299</v>
      </c>
      <c r="AW518">
        <f t="shared" si="21"/>
        <v>0.15447154471544716</v>
      </c>
      <c r="AX518" t="s">
        <v>392</v>
      </c>
      <c r="AZ518">
        <v>502</v>
      </c>
      <c r="BB518" t="s">
        <v>139</v>
      </c>
      <c r="BC518">
        <v>15</v>
      </c>
      <c r="BD518">
        <v>2</v>
      </c>
      <c r="BE518">
        <f t="shared" si="22"/>
        <v>4.0666666666666664</v>
      </c>
      <c r="BF518">
        <f t="shared" si="23"/>
        <v>0.13333333333333333</v>
      </c>
      <c r="BG518" t="s">
        <v>392</v>
      </c>
      <c r="BH518" s="3" t="s">
        <v>46</v>
      </c>
      <c r="BI518" s="18">
        <v>61</v>
      </c>
    </row>
    <row r="519" spans="28:61" x14ac:dyDescent="0.35">
      <c r="AB519" t="s">
        <v>116</v>
      </c>
      <c r="AC519">
        <v>10</v>
      </c>
      <c r="AD519">
        <v>1</v>
      </c>
      <c r="AE519">
        <f t="shared" si="16"/>
        <v>4.2</v>
      </c>
      <c r="AF519">
        <f t="shared" si="17"/>
        <v>0.1</v>
      </c>
      <c r="AH519" s="18">
        <v>42</v>
      </c>
      <c r="AJ519" t="s">
        <v>63</v>
      </c>
      <c r="AK519">
        <v>12</v>
      </c>
      <c r="AL519">
        <v>2</v>
      </c>
      <c r="AM519">
        <f t="shared" si="18"/>
        <v>4.166666666666667</v>
      </c>
      <c r="AN519">
        <f t="shared" si="19"/>
        <v>0.16666666666666666</v>
      </c>
      <c r="AO519" s="3" t="s">
        <v>46</v>
      </c>
      <c r="AP519" s="18">
        <v>50</v>
      </c>
      <c r="AS519" t="s">
        <v>10</v>
      </c>
      <c r="AT519">
        <v>31</v>
      </c>
      <c r="AU519">
        <v>5</v>
      </c>
      <c r="AV519">
        <f t="shared" si="20"/>
        <v>4.193548387096774</v>
      </c>
      <c r="AW519">
        <f t="shared" si="21"/>
        <v>0.16129032258064516</v>
      </c>
      <c r="AX519" t="s">
        <v>392</v>
      </c>
      <c r="AY519" s="2" t="s">
        <v>44</v>
      </c>
      <c r="AZ519">
        <v>130</v>
      </c>
      <c r="BB519" t="s">
        <v>10</v>
      </c>
      <c r="BC519">
        <v>31</v>
      </c>
      <c r="BD519">
        <v>5</v>
      </c>
      <c r="BE519">
        <f t="shared" si="22"/>
        <v>4.193548387096774</v>
      </c>
      <c r="BF519">
        <f t="shared" si="23"/>
        <v>0.16129032258064516</v>
      </c>
      <c r="BG519" t="s">
        <v>392</v>
      </c>
      <c r="BI519" s="18">
        <v>130</v>
      </c>
    </row>
    <row r="520" spans="28:61" x14ac:dyDescent="0.35">
      <c r="AB520" t="s">
        <v>27</v>
      </c>
      <c r="AC520">
        <v>19</v>
      </c>
      <c r="AD520">
        <v>1</v>
      </c>
      <c r="AE520">
        <f t="shared" si="16"/>
        <v>4.2105263157894735</v>
      </c>
      <c r="AF520">
        <f t="shared" si="17"/>
        <v>5.2631578947368418E-2</v>
      </c>
      <c r="AG520" s="2" t="s">
        <v>44</v>
      </c>
      <c r="AH520" s="18">
        <v>80</v>
      </c>
      <c r="AJ520" t="s">
        <v>10</v>
      </c>
      <c r="AK520" s="6">
        <v>31</v>
      </c>
      <c r="AL520">
        <v>5</v>
      </c>
      <c r="AM520">
        <f t="shared" si="18"/>
        <v>4.193548387096774</v>
      </c>
      <c r="AN520">
        <f t="shared" si="19"/>
        <v>0.16129032258064516</v>
      </c>
      <c r="AO520" s="2" t="s">
        <v>47</v>
      </c>
      <c r="AP520" s="18">
        <v>130</v>
      </c>
      <c r="AS520" t="s">
        <v>116</v>
      </c>
      <c r="AT520">
        <v>10</v>
      </c>
      <c r="AU520">
        <v>1</v>
      </c>
      <c r="AV520">
        <f t="shared" si="20"/>
        <v>4.2</v>
      </c>
      <c r="AW520">
        <f t="shared" si="21"/>
        <v>0.1</v>
      </c>
      <c r="AX520" t="s">
        <v>392</v>
      </c>
      <c r="AY520" s="2" t="s">
        <v>44</v>
      </c>
      <c r="AZ520">
        <v>42</v>
      </c>
      <c r="BB520" t="s">
        <v>116</v>
      </c>
      <c r="BC520">
        <v>10</v>
      </c>
      <c r="BD520">
        <v>1</v>
      </c>
      <c r="BE520">
        <f t="shared" si="22"/>
        <v>4.2</v>
      </c>
      <c r="BF520">
        <f t="shared" si="23"/>
        <v>0.1</v>
      </c>
      <c r="BG520" t="s">
        <v>392</v>
      </c>
      <c r="BI520" s="18">
        <v>42</v>
      </c>
    </row>
    <row r="521" spans="28:61" x14ac:dyDescent="0.35">
      <c r="AB521" t="s">
        <v>104</v>
      </c>
      <c r="AC521" s="6">
        <v>33</v>
      </c>
      <c r="AD521">
        <v>2</v>
      </c>
      <c r="AE521">
        <f t="shared" si="16"/>
        <v>4.2424242424242422</v>
      </c>
      <c r="AF521">
        <f t="shared" si="17"/>
        <v>6.0606060606060608E-2</v>
      </c>
      <c r="AG521" s="2" t="s">
        <v>370</v>
      </c>
      <c r="AH521" s="18">
        <v>140</v>
      </c>
      <c r="AJ521" t="s">
        <v>116</v>
      </c>
      <c r="AK521">
        <v>10</v>
      </c>
      <c r="AL521">
        <v>1</v>
      </c>
      <c r="AM521">
        <f t="shared" si="18"/>
        <v>4.2</v>
      </c>
      <c r="AN521">
        <f t="shared" si="19"/>
        <v>0.1</v>
      </c>
      <c r="AO521" s="3" t="s">
        <v>45</v>
      </c>
      <c r="AP521" s="18">
        <v>42</v>
      </c>
      <c r="AS521" t="s">
        <v>125</v>
      </c>
      <c r="AT521" s="6">
        <v>14</v>
      </c>
      <c r="AU521">
        <v>1</v>
      </c>
      <c r="AV521">
        <f t="shared" si="20"/>
        <v>4.2142857142857144</v>
      </c>
      <c r="AW521">
        <f t="shared" si="21"/>
        <v>7.1428571428571425E-2</v>
      </c>
      <c r="AX521" t="s">
        <v>392</v>
      </c>
      <c r="AY521" s="35" t="s">
        <v>393</v>
      </c>
      <c r="AZ521">
        <v>59</v>
      </c>
      <c r="BB521" t="s">
        <v>125</v>
      </c>
      <c r="BC521">
        <v>14</v>
      </c>
      <c r="BD521">
        <v>1</v>
      </c>
      <c r="BE521">
        <f t="shared" si="22"/>
        <v>4.2142857142857144</v>
      </c>
      <c r="BF521">
        <f t="shared" si="23"/>
        <v>7.1428571428571425E-2</v>
      </c>
      <c r="BG521" t="s">
        <v>392</v>
      </c>
      <c r="BI521" s="18">
        <v>59</v>
      </c>
    </row>
    <row r="522" spans="28:61" x14ac:dyDescent="0.35">
      <c r="AB522" t="s">
        <v>10</v>
      </c>
      <c r="AC522">
        <v>30</v>
      </c>
      <c r="AD522">
        <v>5</v>
      </c>
      <c r="AE522">
        <f t="shared" si="16"/>
        <v>4.2666666666666666</v>
      </c>
      <c r="AF522">
        <f t="shared" si="17"/>
        <v>0.16666666666666666</v>
      </c>
      <c r="AH522" s="18">
        <v>128</v>
      </c>
      <c r="AJ522" t="s">
        <v>104</v>
      </c>
      <c r="AK522" s="6">
        <v>34</v>
      </c>
      <c r="AL522">
        <v>2</v>
      </c>
      <c r="AM522">
        <f t="shared" si="18"/>
        <v>4.2352941176470589</v>
      </c>
      <c r="AN522">
        <f t="shared" si="19"/>
        <v>5.8823529411764705E-2</v>
      </c>
      <c r="AO522" s="3" t="s">
        <v>46</v>
      </c>
      <c r="AP522" s="18">
        <v>144</v>
      </c>
      <c r="AS522" t="s">
        <v>104</v>
      </c>
      <c r="AT522">
        <v>34</v>
      </c>
      <c r="AU522">
        <v>2</v>
      </c>
      <c r="AV522">
        <f t="shared" si="20"/>
        <v>4.2352941176470589</v>
      </c>
      <c r="AW522">
        <f t="shared" si="21"/>
        <v>5.8823529411764705E-2</v>
      </c>
      <c r="AX522" t="s">
        <v>392</v>
      </c>
      <c r="AZ522">
        <v>144</v>
      </c>
      <c r="BB522" t="s">
        <v>104</v>
      </c>
      <c r="BC522">
        <v>34</v>
      </c>
      <c r="BD522">
        <v>2</v>
      </c>
      <c r="BE522">
        <f t="shared" si="22"/>
        <v>4.2352941176470589</v>
      </c>
      <c r="BF522">
        <f t="shared" si="23"/>
        <v>5.8823529411764705E-2</v>
      </c>
      <c r="BG522" t="s">
        <v>392</v>
      </c>
      <c r="BI522" s="18">
        <v>144</v>
      </c>
    </row>
    <row r="523" spans="28:61" x14ac:dyDescent="0.35">
      <c r="AB523" t="s">
        <v>129</v>
      </c>
      <c r="AC523" s="6">
        <v>31</v>
      </c>
      <c r="AD523">
        <v>6</v>
      </c>
      <c r="AE523">
        <f t="shared" si="16"/>
        <v>4.290322580645161</v>
      </c>
      <c r="AF523">
        <f t="shared" si="17"/>
        <v>0.19354838709677419</v>
      </c>
      <c r="AG523" s="3" t="s">
        <v>54</v>
      </c>
      <c r="AH523" s="18">
        <v>133</v>
      </c>
      <c r="AJ523" t="s">
        <v>129</v>
      </c>
      <c r="AK523">
        <v>31</v>
      </c>
      <c r="AL523">
        <v>6</v>
      </c>
      <c r="AM523">
        <f t="shared" si="18"/>
        <v>4.290322580645161</v>
      </c>
      <c r="AN523">
        <f t="shared" si="19"/>
        <v>0.19354838709677419</v>
      </c>
      <c r="AP523" s="18">
        <v>133</v>
      </c>
      <c r="AS523" t="s">
        <v>29</v>
      </c>
      <c r="AT523" s="6">
        <v>33</v>
      </c>
      <c r="AU523" s="6">
        <v>3</v>
      </c>
      <c r="AV523">
        <f t="shared" si="20"/>
        <v>4.2424242424242422</v>
      </c>
      <c r="AW523">
        <f t="shared" si="21"/>
        <v>9.0909090909090912E-2</v>
      </c>
      <c r="AX523" t="s">
        <v>392</v>
      </c>
      <c r="AY523" s="2" t="s">
        <v>194</v>
      </c>
      <c r="AZ523">
        <v>140</v>
      </c>
      <c r="BB523" t="s">
        <v>29</v>
      </c>
      <c r="BC523">
        <v>33</v>
      </c>
      <c r="BD523">
        <v>3</v>
      </c>
      <c r="BE523">
        <f t="shared" si="22"/>
        <v>4.2424242424242422</v>
      </c>
      <c r="BF523">
        <f t="shared" si="23"/>
        <v>9.0909090909090912E-2</v>
      </c>
      <c r="BG523" t="s">
        <v>392</v>
      </c>
      <c r="BI523" s="18">
        <v>140</v>
      </c>
    </row>
    <row r="524" spans="28:61" x14ac:dyDescent="0.35">
      <c r="AB524" t="s">
        <v>112</v>
      </c>
      <c r="AC524">
        <v>10</v>
      </c>
      <c r="AD524">
        <v>3</v>
      </c>
      <c r="AE524">
        <f t="shared" si="16"/>
        <v>4.3</v>
      </c>
      <c r="AF524">
        <f t="shared" si="17"/>
        <v>0.3</v>
      </c>
      <c r="AH524" s="18">
        <v>43</v>
      </c>
      <c r="AJ524" t="s">
        <v>36</v>
      </c>
      <c r="AK524" s="6">
        <v>10</v>
      </c>
      <c r="AL524">
        <v>0</v>
      </c>
      <c r="AM524">
        <f t="shared" si="18"/>
        <v>4.3</v>
      </c>
      <c r="AN524">
        <f t="shared" si="19"/>
        <v>0</v>
      </c>
      <c r="AO524" s="12" t="s">
        <v>388</v>
      </c>
      <c r="AP524" s="18">
        <v>43</v>
      </c>
      <c r="AS524" t="s">
        <v>115</v>
      </c>
      <c r="AT524" s="6">
        <v>12</v>
      </c>
      <c r="AU524">
        <v>0</v>
      </c>
      <c r="AV524">
        <f t="shared" si="20"/>
        <v>4.25</v>
      </c>
      <c r="AW524">
        <f t="shared" si="21"/>
        <v>0</v>
      </c>
      <c r="AX524" t="s">
        <v>392</v>
      </c>
      <c r="AY524" s="2" t="s">
        <v>133</v>
      </c>
      <c r="AZ524">
        <v>51</v>
      </c>
      <c r="BB524" t="s">
        <v>115</v>
      </c>
      <c r="BC524">
        <v>12</v>
      </c>
      <c r="BD524">
        <v>0</v>
      </c>
      <c r="BE524">
        <f t="shared" si="22"/>
        <v>4.25</v>
      </c>
      <c r="BF524">
        <f t="shared" si="23"/>
        <v>0</v>
      </c>
      <c r="BG524" t="s">
        <v>392</v>
      </c>
      <c r="BI524" s="18">
        <v>51</v>
      </c>
    </row>
    <row r="525" spans="28:61" x14ac:dyDescent="0.35">
      <c r="AB525" t="s">
        <v>7</v>
      </c>
      <c r="AC525">
        <v>13</v>
      </c>
      <c r="AD525">
        <v>3</v>
      </c>
      <c r="AE525">
        <f t="shared" si="16"/>
        <v>4.3076923076923075</v>
      </c>
      <c r="AF525">
        <f t="shared" si="17"/>
        <v>0.23076923076923078</v>
      </c>
      <c r="AH525" s="18">
        <v>56</v>
      </c>
      <c r="AJ525" t="s">
        <v>112</v>
      </c>
      <c r="AK525">
        <v>10</v>
      </c>
      <c r="AL525">
        <v>3</v>
      </c>
      <c r="AM525">
        <f t="shared" si="18"/>
        <v>4.3</v>
      </c>
      <c r="AN525">
        <f t="shared" si="19"/>
        <v>0.3</v>
      </c>
      <c r="AO525" s="3" t="s">
        <v>46</v>
      </c>
      <c r="AP525" s="18">
        <v>43</v>
      </c>
      <c r="AS525" t="s">
        <v>129</v>
      </c>
      <c r="AT525" s="6">
        <v>33</v>
      </c>
      <c r="AU525">
        <v>6</v>
      </c>
      <c r="AV525">
        <f t="shared" si="20"/>
        <v>4.2727272727272725</v>
      </c>
      <c r="AW525">
        <f t="shared" si="21"/>
        <v>0.18181818181818182</v>
      </c>
      <c r="AX525" t="s">
        <v>392</v>
      </c>
      <c r="AY525" s="3" t="s">
        <v>45</v>
      </c>
      <c r="AZ525">
        <v>141</v>
      </c>
      <c r="BB525" t="s">
        <v>129</v>
      </c>
      <c r="BC525">
        <v>33</v>
      </c>
      <c r="BD525">
        <v>6</v>
      </c>
      <c r="BE525">
        <f t="shared" si="22"/>
        <v>4.2727272727272725</v>
      </c>
      <c r="BF525">
        <f t="shared" si="23"/>
        <v>0.18181818181818182</v>
      </c>
      <c r="BG525" t="s">
        <v>392</v>
      </c>
      <c r="BI525" s="18">
        <v>141</v>
      </c>
    </row>
    <row r="526" spans="28:61" x14ac:dyDescent="0.35">
      <c r="AB526" t="s">
        <v>15</v>
      </c>
      <c r="AC526" s="6">
        <v>88</v>
      </c>
      <c r="AD526">
        <v>16</v>
      </c>
      <c r="AE526">
        <f t="shared" si="16"/>
        <v>4.3181818181818183</v>
      </c>
      <c r="AF526">
        <f t="shared" si="17"/>
        <v>0.18181818181818182</v>
      </c>
      <c r="AG526" s="3" t="s">
        <v>54</v>
      </c>
      <c r="AH526" s="18">
        <v>380</v>
      </c>
      <c r="AJ526" t="s">
        <v>27</v>
      </c>
      <c r="AK526" s="6">
        <v>20</v>
      </c>
      <c r="AL526">
        <v>1</v>
      </c>
      <c r="AM526">
        <f t="shared" si="18"/>
        <v>4.3</v>
      </c>
      <c r="AN526">
        <f t="shared" si="19"/>
        <v>0.05</v>
      </c>
      <c r="AO526" s="3" t="s">
        <v>195</v>
      </c>
      <c r="AP526" s="18">
        <v>86</v>
      </c>
      <c r="AS526" t="s">
        <v>27</v>
      </c>
      <c r="AT526" s="6">
        <v>21</v>
      </c>
      <c r="AU526">
        <v>1</v>
      </c>
      <c r="AV526">
        <f t="shared" si="20"/>
        <v>4.2857142857142856</v>
      </c>
      <c r="AW526">
        <f t="shared" si="21"/>
        <v>4.7619047619047616E-2</v>
      </c>
      <c r="AX526" t="s">
        <v>392</v>
      </c>
      <c r="AZ526">
        <v>90</v>
      </c>
      <c r="BB526" t="s">
        <v>36</v>
      </c>
      <c r="BC526">
        <v>10</v>
      </c>
      <c r="BD526">
        <v>0</v>
      </c>
      <c r="BE526">
        <f t="shared" si="22"/>
        <v>4.3</v>
      </c>
      <c r="BF526">
        <f t="shared" si="23"/>
        <v>0</v>
      </c>
      <c r="BG526" t="s">
        <v>392</v>
      </c>
      <c r="BH526" s="2" t="s">
        <v>44</v>
      </c>
      <c r="BI526" s="18">
        <v>43</v>
      </c>
    </row>
    <row r="527" spans="28:61" x14ac:dyDescent="0.35">
      <c r="AB527" t="s">
        <v>115</v>
      </c>
      <c r="AC527">
        <v>11</v>
      </c>
      <c r="AD527">
        <v>0</v>
      </c>
      <c r="AE527">
        <f t="shared" si="16"/>
        <v>4.3636363636363633</v>
      </c>
      <c r="AF527">
        <f t="shared" si="17"/>
        <v>0</v>
      </c>
      <c r="AH527" s="18">
        <v>48</v>
      </c>
      <c r="AJ527" t="s">
        <v>7</v>
      </c>
      <c r="AK527">
        <v>13</v>
      </c>
      <c r="AL527">
        <v>3</v>
      </c>
      <c r="AM527">
        <f t="shared" si="18"/>
        <v>4.3076923076923075</v>
      </c>
      <c r="AN527">
        <f t="shared" si="19"/>
        <v>0.23076923076923078</v>
      </c>
      <c r="AO527" s="3" t="s">
        <v>45</v>
      </c>
      <c r="AP527" s="18">
        <v>56</v>
      </c>
      <c r="AS527" t="s">
        <v>36</v>
      </c>
      <c r="AT527">
        <v>10</v>
      </c>
      <c r="AU527">
        <v>0</v>
      </c>
      <c r="AV527">
        <f t="shared" si="20"/>
        <v>4.3</v>
      </c>
      <c r="AW527">
        <f t="shared" si="21"/>
        <v>0</v>
      </c>
      <c r="AX527" t="s">
        <v>392</v>
      </c>
      <c r="AY527" s="3" t="s">
        <v>54</v>
      </c>
      <c r="AZ527">
        <v>43</v>
      </c>
      <c r="BB527" t="s">
        <v>63</v>
      </c>
      <c r="BC527">
        <v>13</v>
      </c>
      <c r="BD527">
        <v>2</v>
      </c>
      <c r="BE527">
        <f t="shared" si="22"/>
        <v>4.3076923076923075</v>
      </c>
      <c r="BF527">
        <f t="shared" si="23"/>
        <v>0.15384615384615385</v>
      </c>
      <c r="BG527" t="s">
        <v>392</v>
      </c>
      <c r="BH527" s="2" t="s">
        <v>44</v>
      </c>
      <c r="BI527" s="18">
        <v>56</v>
      </c>
    </row>
    <row r="528" spans="28:61" x14ac:dyDescent="0.35">
      <c r="AB528" t="s">
        <v>8</v>
      </c>
      <c r="AC528" s="6">
        <v>37</v>
      </c>
      <c r="AD528">
        <v>5</v>
      </c>
      <c r="AE528">
        <f t="shared" si="16"/>
        <v>4.4054054054054053</v>
      </c>
      <c r="AF528">
        <f t="shared" si="17"/>
        <v>0.13513513513513514</v>
      </c>
      <c r="AG528" s="3" t="s">
        <v>386</v>
      </c>
      <c r="AH528" s="18">
        <v>163</v>
      </c>
      <c r="AJ528" t="s">
        <v>115</v>
      </c>
      <c r="AK528">
        <v>11</v>
      </c>
      <c r="AL528">
        <v>0</v>
      </c>
      <c r="AM528">
        <f t="shared" si="18"/>
        <v>4.3636363636363633</v>
      </c>
      <c r="AN528">
        <f t="shared" si="19"/>
        <v>0</v>
      </c>
      <c r="AO528" s="3" t="s">
        <v>46</v>
      </c>
      <c r="AP528" s="18">
        <v>48</v>
      </c>
      <c r="AS528" t="s">
        <v>63</v>
      </c>
      <c r="AT528" s="6">
        <v>13</v>
      </c>
      <c r="AU528">
        <v>2</v>
      </c>
      <c r="AV528">
        <f t="shared" si="20"/>
        <v>4.3076923076923075</v>
      </c>
      <c r="AW528">
        <f t="shared" si="21"/>
        <v>0.15384615384615385</v>
      </c>
      <c r="AX528" t="s">
        <v>392</v>
      </c>
      <c r="AY528" s="3" t="s">
        <v>84</v>
      </c>
      <c r="AZ528">
        <v>56</v>
      </c>
      <c r="BB528" t="s">
        <v>9</v>
      </c>
      <c r="BC528">
        <v>12</v>
      </c>
      <c r="BD528">
        <v>1</v>
      </c>
      <c r="BE528">
        <f t="shared" si="22"/>
        <v>4.333333333333333</v>
      </c>
      <c r="BF528">
        <f t="shared" si="23"/>
        <v>8.3333333333333329E-2</v>
      </c>
      <c r="BG528" t="s">
        <v>392</v>
      </c>
      <c r="BH528" s="2" t="s">
        <v>44</v>
      </c>
      <c r="BI528" s="18">
        <v>52</v>
      </c>
    </row>
    <row r="529" spans="28:61" x14ac:dyDescent="0.35">
      <c r="AB529" t="s">
        <v>24</v>
      </c>
      <c r="AC529" s="6">
        <v>55</v>
      </c>
      <c r="AD529" s="6">
        <v>7</v>
      </c>
      <c r="AE529">
        <f t="shared" si="16"/>
        <v>4.418181818181818</v>
      </c>
      <c r="AF529">
        <f t="shared" si="17"/>
        <v>0.12727272727272726</v>
      </c>
      <c r="AG529" s="2" t="s">
        <v>44</v>
      </c>
      <c r="AH529" s="18">
        <v>243</v>
      </c>
      <c r="AJ529" t="s">
        <v>15</v>
      </c>
      <c r="AK529" s="6">
        <v>90</v>
      </c>
      <c r="AL529">
        <v>16</v>
      </c>
      <c r="AM529">
        <f t="shared" si="18"/>
        <v>4.3666666666666663</v>
      </c>
      <c r="AN529">
        <f t="shared" si="19"/>
        <v>0.17777777777777778</v>
      </c>
      <c r="AO529" s="3" t="s">
        <v>54</v>
      </c>
      <c r="AP529" s="18">
        <v>393</v>
      </c>
      <c r="AS529" t="s">
        <v>9</v>
      </c>
      <c r="AT529" s="6">
        <v>12</v>
      </c>
      <c r="AU529">
        <v>1</v>
      </c>
      <c r="AV529">
        <f t="shared" si="20"/>
        <v>4.333333333333333</v>
      </c>
      <c r="AW529">
        <f t="shared" si="21"/>
        <v>8.3333333333333329E-2</v>
      </c>
      <c r="AX529" t="s">
        <v>392</v>
      </c>
      <c r="AY529" s="3" t="s">
        <v>394</v>
      </c>
      <c r="AZ529">
        <v>52</v>
      </c>
      <c r="BB529" t="s">
        <v>7</v>
      </c>
      <c r="BC529">
        <v>14</v>
      </c>
      <c r="BD529">
        <v>3</v>
      </c>
      <c r="BE529">
        <f t="shared" si="22"/>
        <v>4.3571428571428568</v>
      </c>
      <c r="BF529">
        <f t="shared" si="23"/>
        <v>0.21428571428571427</v>
      </c>
      <c r="BG529" t="s">
        <v>392</v>
      </c>
      <c r="BH529" s="2" t="s">
        <v>44</v>
      </c>
      <c r="BI529" s="18">
        <v>61</v>
      </c>
    </row>
    <row r="530" spans="28:61" x14ac:dyDescent="0.35">
      <c r="AB530" t="s">
        <v>23</v>
      </c>
      <c r="AC530">
        <v>18</v>
      </c>
      <c r="AD530">
        <v>0</v>
      </c>
      <c r="AE530">
        <f t="shared" si="16"/>
        <v>4.5</v>
      </c>
      <c r="AF530">
        <f t="shared" si="17"/>
        <v>0</v>
      </c>
      <c r="AG530" s="3" t="s">
        <v>46</v>
      </c>
      <c r="AH530" s="18">
        <v>81</v>
      </c>
      <c r="AJ530" t="s">
        <v>8</v>
      </c>
      <c r="AK530">
        <v>37</v>
      </c>
      <c r="AL530">
        <v>5</v>
      </c>
      <c r="AM530">
        <f t="shared" si="18"/>
        <v>4.4054054054054053</v>
      </c>
      <c r="AN530">
        <f t="shared" si="19"/>
        <v>0.13513513513513514</v>
      </c>
      <c r="AO530" s="3" t="s">
        <v>45</v>
      </c>
      <c r="AP530" s="18">
        <v>163</v>
      </c>
      <c r="AS530" t="s">
        <v>7</v>
      </c>
      <c r="AT530" s="6">
        <v>14</v>
      </c>
      <c r="AU530">
        <v>3</v>
      </c>
      <c r="AV530">
        <f t="shared" si="20"/>
        <v>4.3571428571428568</v>
      </c>
      <c r="AW530">
        <f t="shared" si="21"/>
        <v>0.21428571428571427</v>
      </c>
      <c r="AX530" t="s">
        <v>392</v>
      </c>
      <c r="AY530" s="3" t="s">
        <v>54</v>
      </c>
      <c r="AZ530">
        <v>61</v>
      </c>
      <c r="BB530" t="s">
        <v>27</v>
      </c>
      <c r="BC530" s="6">
        <v>22</v>
      </c>
      <c r="BD530">
        <v>1</v>
      </c>
      <c r="BE530">
        <f t="shared" si="22"/>
        <v>4.3636363636363633</v>
      </c>
      <c r="BF530">
        <f t="shared" si="23"/>
        <v>4.5454545454545456E-2</v>
      </c>
      <c r="BG530" t="s">
        <v>392</v>
      </c>
      <c r="BH530" s="3" t="s">
        <v>55</v>
      </c>
      <c r="BI530" s="18">
        <v>96</v>
      </c>
    </row>
    <row r="531" spans="28:61" x14ac:dyDescent="0.35">
      <c r="AB531" t="s">
        <v>30</v>
      </c>
      <c r="AC531">
        <v>14</v>
      </c>
      <c r="AD531">
        <v>3</v>
      </c>
      <c r="AE531">
        <f t="shared" si="16"/>
        <v>4.5714285714285712</v>
      </c>
      <c r="AF531">
        <f t="shared" si="17"/>
        <v>0.21428571428571427</v>
      </c>
      <c r="AH531" s="18">
        <v>64</v>
      </c>
      <c r="AJ531" t="s">
        <v>23</v>
      </c>
      <c r="AK531">
        <v>18</v>
      </c>
      <c r="AL531">
        <v>0</v>
      </c>
      <c r="AM531">
        <f t="shared" si="18"/>
        <v>4.5</v>
      </c>
      <c r="AN531">
        <f t="shared" si="19"/>
        <v>0</v>
      </c>
      <c r="AO531" s="3" t="s">
        <v>46</v>
      </c>
      <c r="AP531" s="18">
        <v>81</v>
      </c>
      <c r="AS531" t="s">
        <v>21</v>
      </c>
      <c r="AT531" s="6">
        <v>11</v>
      </c>
      <c r="AU531">
        <v>0</v>
      </c>
      <c r="AV531">
        <f t="shared" si="20"/>
        <v>4.3636363636363633</v>
      </c>
      <c r="AW531">
        <f t="shared" si="21"/>
        <v>0</v>
      </c>
      <c r="AX531" t="s">
        <v>392</v>
      </c>
      <c r="AY531" s="2" t="s">
        <v>133</v>
      </c>
      <c r="AZ531">
        <v>48</v>
      </c>
      <c r="BB531" t="s">
        <v>21</v>
      </c>
      <c r="BC531">
        <v>11</v>
      </c>
      <c r="BD531">
        <v>0</v>
      </c>
      <c r="BE531">
        <f t="shared" si="22"/>
        <v>4.3636363636363633</v>
      </c>
      <c r="BF531">
        <f t="shared" si="23"/>
        <v>0</v>
      </c>
      <c r="BG531" t="s">
        <v>392</v>
      </c>
      <c r="BI531" s="18">
        <v>48</v>
      </c>
    </row>
    <row r="532" spans="28:61" x14ac:dyDescent="0.35">
      <c r="AB532" t="s">
        <v>13</v>
      </c>
      <c r="AC532">
        <v>29</v>
      </c>
      <c r="AD532">
        <v>2</v>
      </c>
      <c r="AE532">
        <f t="shared" si="16"/>
        <v>4.5862068965517242</v>
      </c>
      <c r="AF532">
        <f t="shared" si="17"/>
        <v>6.8965517241379309E-2</v>
      </c>
      <c r="AH532" s="18">
        <v>133</v>
      </c>
      <c r="AJ532" t="s">
        <v>24</v>
      </c>
      <c r="AK532" s="6">
        <v>57</v>
      </c>
      <c r="AL532">
        <v>7</v>
      </c>
      <c r="AM532">
        <f t="shared" si="18"/>
        <v>4.5087719298245617</v>
      </c>
      <c r="AN532">
        <f t="shared" si="19"/>
        <v>0.12280701754385964</v>
      </c>
      <c r="AO532" s="3" t="s">
        <v>54</v>
      </c>
      <c r="AP532" s="18">
        <v>257</v>
      </c>
      <c r="AS532" t="s">
        <v>15</v>
      </c>
      <c r="AT532" s="6">
        <v>96</v>
      </c>
      <c r="AU532">
        <v>18</v>
      </c>
      <c r="AV532">
        <f t="shared" si="20"/>
        <v>4.364583333333333</v>
      </c>
      <c r="AW532">
        <f t="shared" si="21"/>
        <v>0.1875</v>
      </c>
      <c r="AX532" s="7">
        <v>1</v>
      </c>
      <c r="AY532" s="3" t="s">
        <v>54</v>
      </c>
      <c r="AZ532">
        <v>419</v>
      </c>
      <c r="BB532" t="s">
        <v>15</v>
      </c>
      <c r="BC532" s="6">
        <v>100</v>
      </c>
      <c r="BD532">
        <v>18</v>
      </c>
      <c r="BE532">
        <f t="shared" si="22"/>
        <v>4.4400000000000004</v>
      </c>
      <c r="BF532">
        <f t="shared" si="23"/>
        <v>0.18</v>
      </c>
      <c r="BG532">
        <v>1</v>
      </c>
      <c r="BI532" s="18">
        <v>444</v>
      </c>
    </row>
    <row r="533" spans="28:61" x14ac:dyDescent="0.35">
      <c r="AB533" t="s">
        <v>21</v>
      </c>
      <c r="AC533">
        <v>10</v>
      </c>
      <c r="AD533">
        <v>0</v>
      </c>
      <c r="AE533">
        <f t="shared" si="16"/>
        <v>4.5999999999999996</v>
      </c>
      <c r="AF533">
        <f t="shared" si="17"/>
        <v>0</v>
      </c>
      <c r="AH533" s="18">
        <v>46</v>
      </c>
      <c r="AJ533" t="s">
        <v>30</v>
      </c>
      <c r="AK533">
        <v>14</v>
      </c>
      <c r="AL533">
        <v>3</v>
      </c>
      <c r="AM533">
        <f t="shared" si="18"/>
        <v>4.5714285714285712</v>
      </c>
      <c r="AN533">
        <f t="shared" si="19"/>
        <v>0.21428571428571427</v>
      </c>
      <c r="AO533" s="3" t="s">
        <v>45</v>
      </c>
      <c r="AP533" s="18">
        <v>64</v>
      </c>
      <c r="AS533" t="s">
        <v>24</v>
      </c>
      <c r="AT533" s="6">
        <v>62</v>
      </c>
      <c r="AU533">
        <v>8</v>
      </c>
      <c r="AV533">
        <f t="shared" si="20"/>
        <v>4.467741935483871</v>
      </c>
      <c r="AW533">
        <f t="shared" si="21"/>
        <v>0.12903225806451613</v>
      </c>
      <c r="AX533" t="s">
        <v>392</v>
      </c>
      <c r="AY533" s="3" t="s">
        <v>46</v>
      </c>
      <c r="AZ533">
        <v>277</v>
      </c>
      <c r="BB533" t="s">
        <v>8</v>
      </c>
      <c r="BC533">
        <v>38</v>
      </c>
      <c r="BD533">
        <v>5</v>
      </c>
      <c r="BE533">
        <f t="shared" si="22"/>
        <v>4.5</v>
      </c>
      <c r="BF533">
        <f t="shared" si="23"/>
        <v>0.13157894736842105</v>
      </c>
      <c r="BG533" t="s">
        <v>392</v>
      </c>
      <c r="BH533" s="2" t="s">
        <v>44</v>
      </c>
      <c r="BI533" s="18">
        <v>171</v>
      </c>
    </row>
    <row r="534" spans="28:61" x14ac:dyDescent="0.35">
      <c r="AB534" t="s">
        <v>14</v>
      </c>
      <c r="AC534">
        <v>43</v>
      </c>
      <c r="AD534">
        <v>3</v>
      </c>
      <c r="AE534">
        <f t="shared" si="16"/>
        <v>4.6279069767441863</v>
      </c>
      <c r="AF534">
        <f t="shared" si="17"/>
        <v>6.9767441860465115E-2</v>
      </c>
      <c r="AH534" s="18">
        <v>199</v>
      </c>
      <c r="AJ534" t="s">
        <v>29</v>
      </c>
      <c r="AK534" s="6">
        <v>29</v>
      </c>
      <c r="AL534">
        <v>2</v>
      </c>
      <c r="AM534">
        <f t="shared" si="18"/>
        <v>4.5862068965517242</v>
      </c>
      <c r="AN534">
        <f t="shared" si="19"/>
        <v>6.8965517241379309E-2</v>
      </c>
      <c r="AO534" s="2" t="s">
        <v>88</v>
      </c>
      <c r="AP534" s="18">
        <v>133</v>
      </c>
      <c r="AS534" t="s">
        <v>8</v>
      </c>
      <c r="AT534" s="6">
        <v>38</v>
      </c>
      <c r="AU534">
        <v>5</v>
      </c>
      <c r="AV534">
        <f t="shared" si="20"/>
        <v>4.5</v>
      </c>
      <c r="AW534">
        <f t="shared" si="21"/>
        <v>0.13157894736842105</v>
      </c>
      <c r="AX534" t="s">
        <v>392</v>
      </c>
      <c r="AY534" s="3" t="s">
        <v>55</v>
      </c>
      <c r="AZ534">
        <v>171</v>
      </c>
      <c r="BB534" t="s">
        <v>23</v>
      </c>
      <c r="BC534">
        <v>18</v>
      </c>
      <c r="BD534">
        <v>0</v>
      </c>
      <c r="BE534">
        <f t="shared" si="22"/>
        <v>4.5</v>
      </c>
      <c r="BF534">
        <f t="shared" si="23"/>
        <v>0</v>
      </c>
      <c r="BG534" t="s">
        <v>392</v>
      </c>
      <c r="BH534" s="2" t="s">
        <v>44</v>
      </c>
      <c r="BI534" s="18">
        <v>81</v>
      </c>
    </row>
    <row r="535" spans="28:61" x14ac:dyDescent="0.35">
      <c r="AB535" t="s">
        <v>26</v>
      </c>
      <c r="AC535">
        <v>14</v>
      </c>
      <c r="AD535">
        <v>2</v>
      </c>
      <c r="AE535">
        <f t="shared" si="16"/>
        <v>4.6428571428571432</v>
      </c>
      <c r="AF535">
        <f t="shared" si="17"/>
        <v>0.14285714285714285</v>
      </c>
      <c r="AH535" s="18">
        <v>65</v>
      </c>
      <c r="AJ535" t="s">
        <v>21</v>
      </c>
      <c r="AK535" s="6">
        <v>10</v>
      </c>
      <c r="AL535">
        <v>0</v>
      </c>
      <c r="AM535">
        <f t="shared" si="18"/>
        <v>4.5999999999999996</v>
      </c>
      <c r="AN535">
        <f t="shared" si="19"/>
        <v>0</v>
      </c>
      <c r="AO535" s="3" t="s">
        <v>45</v>
      </c>
      <c r="AP535" s="18">
        <v>46</v>
      </c>
      <c r="AS535" t="s">
        <v>23</v>
      </c>
      <c r="AT535">
        <v>18</v>
      </c>
      <c r="AU535">
        <v>0</v>
      </c>
      <c r="AV535">
        <f t="shared" si="20"/>
        <v>4.5</v>
      </c>
      <c r="AW535">
        <f t="shared" si="21"/>
        <v>0</v>
      </c>
      <c r="AX535" t="s">
        <v>392</v>
      </c>
      <c r="AY535" s="3" t="s">
        <v>55</v>
      </c>
      <c r="AZ535">
        <v>81</v>
      </c>
      <c r="BB535" t="s">
        <v>24</v>
      </c>
      <c r="BC535" s="6">
        <v>64</v>
      </c>
      <c r="BD535">
        <v>8</v>
      </c>
      <c r="BE535">
        <f t="shared" si="22"/>
        <v>4.515625</v>
      </c>
      <c r="BF535">
        <f t="shared" si="23"/>
        <v>0.125</v>
      </c>
      <c r="BG535" t="s">
        <v>392</v>
      </c>
      <c r="BH535" s="3" t="s">
        <v>45</v>
      </c>
      <c r="BI535" s="18">
        <v>289</v>
      </c>
    </row>
    <row r="536" spans="28:61" x14ac:dyDescent="0.35">
      <c r="AB536" t="s">
        <v>3</v>
      </c>
      <c r="AC536">
        <v>18</v>
      </c>
      <c r="AD536">
        <v>3</v>
      </c>
      <c r="AE536">
        <f t="shared" si="16"/>
        <v>4.666666666666667</v>
      </c>
      <c r="AF536">
        <f t="shared" si="17"/>
        <v>0.16666666666666666</v>
      </c>
      <c r="AG536" s="2" t="s">
        <v>44</v>
      </c>
      <c r="AH536" s="18">
        <v>84</v>
      </c>
      <c r="AJ536" t="s">
        <v>14</v>
      </c>
      <c r="AK536">
        <v>43</v>
      </c>
      <c r="AL536">
        <v>3</v>
      </c>
      <c r="AM536">
        <f t="shared" si="18"/>
        <v>4.6279069767441863</v>
      </c>
      <c r="AN536">
        <f t="shared" si="19"/>
        <v>6.9767441860465115E-2</v>
      </c>
      <c r="AO536" s="3" t="s">
        <v>45</v>
      </c>
      <c r="AP536" s="18">
        <v>199</v>
      </c>
      <c r="AS536" t="s">
        <v>30</v>
      </c>
      <c r="AT536">
        <v>14</v>
      </c>
      <c r="AU536">
        <v>3</v>
      </c>
      <c r="AV536">
        <f t="shared" si="20"/>
        <v>4.5714285714285712</v>
      </c>
      <c r="AW536">
        <f t="shared" si="21"/>
        <v>0.21428571428571427</v>
      </c>
      <c r="AX536" t="s">
        <v>392</v>
      </c>
      <c r="AY536" s="3" t="s">
        <v>54</v>
      </c>
      <c r="AZ536">
        <v>64</v>
      </c>
      <c r="BB536" t="s">
        <v>30</v>
      </c>
      <c r="BC536">
        <v>14</v>
      </c>
      <c r="BD536">
        <v>3</v>
      </c>
      <c r="BE536">
        <f t="shared" si="22"/>
        <v>4.5714285714285712</v>
      </c>
      <c r="BF536">
        <f t="shared" si="23"/>
        <v>0.21428571428571427</v>
      </c>
      <c r="BG536" t="s">
        <v>392</v>
      </c>
      <c r="BI536" s="18">
        <v>64</v>
      </c>
    </row>
    <row r="537" spans="28:61" x14ac:dyDescent="0.35">
      <c r="AB537" t="s">
        <v>87</v>
      </c>
      <c r="AC537" s="6">
        <v>10</v>
      </c>
      <c r="AD537">
        <v>1</v>
      </c>
      <c r="AE537">
        <f t="shared" si="16"/>
        <v>4.7</v>
      </c>
      <c r="AF537">
        <f t="shared" si="17"/>
        <v>0.1</v>
      </c>
      <c r="AG537" s="12" t="s">
        <v>385</v>
      </c>
      <c r="AH537" s="18">
        <v>47</v>
      </c>
      <c r="AJ537" t="s">
        <v>13</v>
      </c>
      <c r="AK537" s="6">
        <v>30</v>
      </c>
      <c r="AL537">
        <v>2</v>
      </c>
      <c r="AM537">
        <f t="shared" si="18"/>
        <v>4.6333333333333337</v>
      </c>
      <c r="AN537">
        <f t="shared" si="19"/>
        <v>6.6666666666666666E-2</v>
      </c>
      <c r="AO537" s="3" t="s">
        <v>381</v>
      </c>
      <c r="AP537" s="18">
        <v>139</v>
      </c>
      <c r="AS537" t="s">
        <v>14</v>
      </c>
      <c r="AT537">
        <v>43</v>
      </c>
      <c r="AU537">
        <v>3</v>
      </c>
      <c r="AV537">
        <f t="shared" si="20"/>
        <v>4.6279069767441863</v>
      </c>
      <c r="AW537">
        <f t="shared" si="21"/>
        <v>6.9767441860465115E-2</v>
      </c>
      <c r="AX537" t="s">
        <v>392</v>
      </c>
      <c r="AY537" s="3" t="s">
        <v>46</v>
      </c>
      <c r="AZ537">
        <v>199</v>
      </c>
      <c r="BB537" t="s">
        <v>14</v>
      </c>
      <c r="BC537">
        <v>43</v>
      </c>
      <c r="BD537">
        <v>3</v>
      </c>
      <c r="BE537">
        <f t="shared" si="22"/>
        <v>4.6279069767441863</v>
      </c>
      <c r="BF537">
        <f t="shared" si="23"/>
        <v>6.9767441860465115E-2</v>
      </c>
      <c r="BG537" t="s">
        <v>392</v>
      </c>
      <c r="BI537" s="18">
        <v>199</v>
      </c>
    </row>
    <row r="538" spans="28:61" x14ac:dyDescent="0.35">
      <c r="AB538" t="s">
        <v>99</v>
      </c>
      <c r="AC538">
        <v>10</v>
      </c>
      <c r="AD538">
        <v>2</v>
      </c>
      <c r="AE538">
        <f t="shared" si="16"/>
        <v>4.7</v>
      </c>
      <c r="AF538">
        <f t="shared" si="17"/>
        <v>0.2</v>
      </c>
      <c r="AH538" s="18">
        <v>47</v>
      </c>
      <c r="AJ538" t="s">
        <v>26</v>
      </c>
      <c r="AK538">
        <v>14</v>
      </c>
      <c r="AL538">
        <v>2</v>
      </c>
      <c r="AM538">
        <f t="shared" si="18"/>
        <v>4.6428571428571432</v>
      </c>
      <c r="AN538">
        <f t="shared" si="19"/>
        <v>0.14285714285714285</v>
      </c>
      <c r="AO538" s="3" t="s">
        <v>54</v>
      </c>
      <c r="AP538" s="18">
        <v>65</v>
      </c>
      <c r="AS538" t="s">
        <v>13</v>
      </c>
      <c r="AT538">
        <v>30</v>
      </c>
      <c r="AU538">
        <v>2</v>
      </c>
      <c r="AV538">
        <f t="shared" si="20"/>
        <v>4.6333333333333337</v>
      </c>
      <c r="AW538">
        <f t="shared" si="21"/>
        <v>6.6666666666666666E-2</v>
      </c>
      <c r="AX538" t="s">
        <v>392</v>
      </c>
      <c r="AY538" s="3" t="s">
        <v>46</v>
      </c>
      <c r="AZ538">
        <v>139</v>
      </c>
      <c r="BB538" t="s">
        <v>13</v>
      </c>
      <c r="BC538">
        <v>30</v>
      </c>
      <c r="BD538">
        <v>2</v>
      </c>
      <c r="BE538">
        <f t="shared" si="22"/>
        <v>4.6333333333333337</v>
      </c>
      <c r="BF538">
        <f t="shared" si="23"/>
        <v>6.6666666666666666E-2</v>
      </c>
      <c r="BG538" t="s">
        <v>392</v>
      </c>
      <c r="BI538" s="18">
        <v>139</v>
      </c>
    </row>
    <row r="539" spans="28:61" x14ac:dyDescent="0.35">
      <c r="AB539" t="s">
        <v>29</v>
      </c>
      <c r="AC539" s="6">
        <v>27</v>
      </c>
      <c r="AD539">
        <v>2</v>
      </c>
      <c r="AE539">
        <f t="shared" ref="AE539:AE555" si="24">AH539/AC539</f>
        <v>4.7407407407407405</v>
      </c>
      <c r="AF539">
        <f t="shared" ref="AF539:AF555" si="25">AD539/AC539</f>
        <v>7.407407407407407E-2</v>
      </c>
      <c r="AG539" s="3" t="s">
        <v>144</v>
      </c>
      <c r="AH539" s="18">
        <v>128</v>
      </c>
      <c r="AJ539" t="s">
        <v>3</v>
      </c>
      <c r="AK539">
        <v>18</v>
      </c>
      <c r="AL539">
        <v>3</v>
      </c>
      <c r="AM539">
        <f t="shared" ref="AM539:AM557" si="26">AP539/AK539</f>
        <v>4.666666666666667</v>
      </c>
      <c r="AN539">
        <f t="shared" ref="AN539:AN557" si="27">AL539/AK539</f>
        <v>0.16666666666666666</v>
      </c>
      <c r="AO539" s="3" t="s">
        <v>54</v>
      </c>
      <c r="AP539" s="18">
        <v>84</v>
      </c>
      <c r="AS539" t="s">
        <v>26</v>
      </c>
      <c r="AT539">
        <v>14</v>
      </c>
      <c r="AU539">
        <v>2</v>
      </c>
      <c r="AV539">
        <f t="shared" ref="AV539:AV558" si="28">AZ539/AT539</f>
        <v>4.6428571428571432</v>
      </c>
      <c r="AW539">
        <f t="shared" ref="AW539:AW558" si="29">AU539/AT539</f>
        <v>0.14285714285714285</v>
      </c>
      <c r="AX539" t="s">
        <v>392</v>
      </c>
      <c r="AY539" s="3" t="s">
        <v>46</v>
      </c>
      <c r="AZ539">
        <v>65</v>
      </c>
      <c r="BB539" t="s">
        <v>26</v>
      </c>
      <c r="BC539">
        <v>14</v>
      </c>
      <c r="BD539">
        <v>2</v>
      </c>
      <c r="BE539">
        <f t="shared" ref="BE539:BE559" si="30">BI539/BC539</f>
        <v>4.6428571428571432</v>
      </c>
      <c r="BF539">
        <f t="shared" ref="BF539:BF559" si="31">BD539/BC539</f>
        <v>0.14285714285714285</v>
      </c>
      <c r="BG539" t="s">
        <v>392</v>
      </c>
      <c r="BI539" s="18">
        <v>65</v>
      </c>
    </row>
    <row r="540" spans="28:61" x14ac:dyDescent="0.35">
      <c r="AB540" t="s">
        <v>37</v>
      </c>
      <c r="AC540" s="6">
        <v>15</v>
      </c>
      <c r="AD540">
        <v>2</v>
      </c>
      <c r="AE540">
        <f t="shared" si="24"/>
        <v>4.8</v>
      </c>
      <c r="AF540">
        <f t="shared" si="25"/>
        <v>0.13333333333333333</v>
      </c>
      <c r="AH540" s="18">
        <v>72</v>
      </c>
      <c r="AJ540" t="s">
        <v>87</v>
      </c>
      <c r="AK540">
        <v>10</v>
      </c>
      <c r="AL540">
        <v>1</v>
      </c>
      <c r="AM540">
        <f t="shared" si="26"/>
        <v>4.7</v>
      </c>
      <c r="AN540">
        <f t="shared" si="27"/>
        <v>0.1</v>
      </c>
      <c r="AO540" s="3" t="s">
        <v>54</v>
      </c>
      <c r="AP540" s="18">
        <v>47</v>
      </c>
      <c r="AS540" t="s">
        <v>87</v>
      </c>
      <c r="AT540">
        <v>10</v>
      </c>
      <c r="AU540">
        <v>1</v>
      </c>
      <c r="AV540">
        <f t="shared" si="28"/>
        <v>4.7</v>
      </c>
      <c r="AW540">
        <f t="shared" si="29"/>
        <v>0.1</v>
      </c>
      <c r="AX540" t="s">
        <v>392</v>
      </c>
      <c r="AZ540">
        <v>47</v>
      </c>
      <c r="BB540" t="s">
        <v>50</v>
      </c>
      <c r="BC540" s="6">
        <v>13</v>
      </c>
      <c r="BD540">
        <v>0</v>
      </c>
      <c r="BE540">
        <f t="shared" si="30"/>
        <v>4.6923076923076925</v>
      </c>
      <c r="BF540">
        <f t="shared" si="31"/>
        <v>0</v>
      </c>
      <c r="BG540" t="s">
        <v>392</v>
      </c>
      <c r="BH540" s="2" t="s">
        <v>59</v>
      </c>
      <c r="BI540" s="18">
        <v>61</v>
      </c>
    </row>
    <row r="541" spans="28:61" x14ac:dyDescent="0.35">
      <c r="AB541" t="s">
        <v>31</v>
      </c>
      <c r="AC541" s="6">
        <v>21</v>
      </c>
      <c r="AD541">
        <v>2</v>
      </c>
      <c r="AE541">
        <f t="shared" si="24"/>
        <v>4.8095238095238093</v>
      </c>
      <c r="AF541">
        <f t="shared" si="25"/>
        <v>9.5238095238095233E-2</v>
      </c>
      <c r="AG541" s="3" t="s">
        <v>45</v>
      </c>
      <c r="AH541" s="18">
        <v>101</v>
      </c>
      <c r="AJ541" t="s">
        <v>99</v>
      </c>
      <c r="AK541">
        <v>10</v>
      </c>
      <c r="AL541">
        <v>2</v>
      </c>
      <c r="AM541">
        <f t="shared" si="26"/>
        <v>4.7</v>
      </c>
      <c r="AN541">
        <f t="shared" si="27"/>
        <v>0.2</v>
      </c>
      <c r="AO541" s="3" t="s">
        <v>54</v>
      </c>
      <c r="AP541" s="18">
        <v>47</v>
      </c>
      <c r="AS541" t="s">
        <v>3</v>
      </c>
      <c r="AT541" s="6">
        <v>19</v>
      </c>
      <c r="AU541">
        <v>3</v>
      </c>
      <c r="AV541">
        <f t="shared" si="28"/>
        <v>4.7894736842105265</v>
      </c>
      <c r="AW541">
        <f t="shared" si="29"/>
        <v>0.15789473684210525</v>
      </c>
      <c r="AX541" t="s">
        <v>392</v>
      </c>
      <c r="AY541" s="3" t="s">
        <v>45</v>
      </c>
      <c r="AZ541">
        <v>91</v>
      </c>
      <c r="BB541" t="s">
        <v>87</v>
      </c>
      <c r="BC541">
        <v>10</v>
      </c>
      <c r="BD541">
        <v>1</v>
      </c>
      <c r="BE541">
        <f t="shared" si="30"/>
        <v>4.7</v>
      </c>
      <c r="BF541">
        <f t="shared" si="31"/>
        <v>0.1</v>
      </c>
      <c r="BG541" t="s">
        <v>392</v>
      </c>
      <c r="BH541" s="3" t="s">
        <v>46</v>
      </c>
      <c r="BI541" s="18">
        <v>47</v>
      </c>
    </row>
    <row r="542" spans="28:61" x14ac:dyDescent="0.35">
      <c r="AB542" t="s">
        <v>50</v>
      </c>
      <c r="AC542">
        <v>12</v>
      </c>
      <c r="AD542">
        <v>0</v>
      </c>
      <c r="AE542">
        <f t="shared" si="24"/>
        <v>4.833333333333333</v>
      </c>
      <c r="AF542">
        <f t="shared" si="25"/>
        <v>0</v>
      </c>
      <c r="AG542" s="3" t="s">
        <v>46</v>
      </c>
      <c r="AH542" s="18">
        <v>58</v>
      </c>
      <c r="AJ542" t="s">
        <v>37</v>
      </c>
      <c r="AK542">
        <v>15</v>
      </c>
      <c r="AL542">
        <v>2</v>
      </c>
      <c r="AM542">
        <f t="shared" si="26"/>
        <v>4.8</v>
      </c>
      <c r="AN542">
        <f t="shared" si="27"/>
        <v>0.13333333333333333</v>
      </c>
      <c r="AO542" s="3" t="s">
        <v>45</v>
      </c>
      <c r="AP542" s="18">
        <v>72</v>
      </c>
      <c r="AS542" t="s">
        <v>37</v>
      </c>
      <c r="AT542">
        <v>15</v>
      </c>
      <c r="AU542">
        <v>2</v>
      </c>
      <c r="AV542">
        <f t="shared" si="28"/>
        <v>4.8</v>
      </c>
      <c r="AW542">
        <f t="shared" si="29"/>
        <v>0.13333333333333333</v>
      </c>
      <c r="AX542" t="s">
        <v>392</v>
      </c>
      <c r="AZ542">
        <v>72</v>
      </c>
      <c r="BB542" t="s">
        <v>3</v>
      </c>
      <c r="BC542">
        <v>19</v>
      </c>
      <c r="BD542">
        <v>3</v>
      </c>
      <c r="BE542">
        <f t="shared" si="30"/>
        <v>4.7894736842105265</v>
      </c>
      <c r="BF542">
        <f t="shared" si="31"/>
        <v>0.15789473684210525</v>
      </c>
      <c r="BG542" t="s">
        <v>392</v>
      </c>
      <c r="BH542" s="3" t="s">
        <v>46</v>
      </c>
      <c r="BI542" s="18">
        <v>91</v>
      </c>
    </row>
    <row r="543" spans="28:61" x14ac:dyDescent="0.35">
      <c r="AB543" t="s">
        <v>81</v>
      </c>
      <c r="AC543" s="6">
        <v>17</v>
      </c>
      <c r="AD543">
        <v>1</v>
      </c>
      <c r="AE543">
        <f t="shared" si="24"/>
        <v>4.882352941176471</v>
      </c>
      <c r="AF543">
        <f t="shared" si="25"/>
        <v>5.8823529411764705E-2</v>
      </c>
      <c r="AG543" s="3" t="s">
        <v>69</v>
      </c>
      <c r="AH543" s="18">
        <v>83</v>
      </c>
      <c r="AJ543" t="s">
        <v>50</v>
      </c>
      <c r="AK543">
        <v>12</v>
      </c>
      <c r="AL543">
        <v>0</v>
      </c>
      <c r="AM543">
        <f t="shared" si="26"/>
        <v>4.833333333333333</v>
      </c>
      <c r="AN543">
        <f t="shared" si="27"/>
        <v>0</v>
      </c>
      <c r="AO543" s="3" t="s">
        <v>46</v>
      </c>
      <c r="AP543" s="18">
        <v>58</v>
      </c>
      <c r="AS543" t="s">
        <v>50</v>
      </c>
      <c r="AT543">
        <v>12</v>
      </c>
      <c r="AU543">
        <v>0</v>
      </c>
      <c r="AV543">
        <f t="shared" si="28"/>
        <v>4.833333333333333</v>
      </c>
      <c r="AW543">
        <f t="shared" si="29"/>
        <v>0</v>
      </c>
      <c r="AX543" t="s">
        <v>392</v>
      </c>
      <c r="AZ543">
        <v>58</v>
      </c>
      <c r="BB543" t="s">
        <v>37</v>
      </c>
      <c r="BC543">
        <v>15</v>
      </c>
      <c r="BD543">
        <v>2</v>
      </c>
      <c r="BE543">
        <f t="shared" si="30"/>
        <v>4.8</v>
      </c>
      <c r="BF543">
        <f t="shared" si="31"/>
        <v>0.13333333333333333</v>
      </c>
      <c r="BG543" t="s">
        <v>392</v>
      </c>
      <c r="BH543" s="3" t="s">
        <v>46</v>
      </c>
      <c r="BI543" s="18">
        <v>72</v>
      </c>
    </row>
    <row r="544" spans="28:61" x14ac:dyDescent="0.35">
      <c r="AB544" t="s">
        <v>117</v>
      </c>
      <c r="AC544">
        <v>11</v>
      </c>
      <c r="AD544">
        <v>2</v>
      </c>
      <c r="AE544">
        <f t="shared" si="24"/>
        <v>4.9090909090909092</v>
      </c>
      <c r="AF544">
        <f t="shared" si="25"/>
        <v>0.18181818181818182</v>
      </c>
      <c r="AG544" s="3" t="s">
        <v>45</v>
      </c>
      <c r="AH544" s="18">
        <v>54</v>
      </c>
      <c r="AJ544" t="s">
        <v>81</v>
      </c>
      <c r="AK544">
        <v>17</v>
      </c>
      <c r="AL544">
        <v>1</v>
      </c>
      <c r="AM544">
        <f t="shared" si="26"/>
        <v>4.882352941176471</v>
      </c>
      <c r="AN544">
        <f t="shared" si="27"/>
        <v>5.8823529411764705E-2</v>
      </c>
      <c r="AO544" s="3" t="s">
        <v>46</v>
      </c>
      <c r="AP544" s="18">
        <v>83</v>
      </c>
      <c r="AS544" t="s">
        <v>117</v>
      </c>
      <c r="AT544">
        <v>11</v>
      </c>
      <c r="AU544">
        <v>2</v>
      </c>
      <c r="AV544">
        <f t="shared" si="28"/>
        <v>4.9090909090909092</v>
      </c>
      <c r="AW544">
        <f t="shared" si="29"/>
        <v>0.18181818181818182</v>
      </c>
      <c r="AX544" t="s">
        <v>392</v>
      </c>
      <c r="AY544" s="2" t="s">
        <v>44</v>
      </c>
      <c r="AZ544">
        <v>54</v>
      </c>
      <c r="BB544" t="s">
        <v>117</v>
      </c>
      <c r="BC544">
        <v>11</v>
      </c>
      <c r="BD544">
        <v>2</v>
      </c>
      <c r="BE544">
        <f t="shared" si="30"/>
        <v>4.9090909090909092</v>
      </c>
      <c r="BF544">
        <f t="shared" si="31"/>
        <v>0.18181818181818182</v>
      </c>
      <c r="BG544" t="s">
        <v>392</v>
      </c>
      <c r="BI544" s="18">
        <v>54</v>
      </c>
    </row>
    <row r="545" spans="1:61" x14ac:dyDescent="0.35">
      <c r="AB545" t="s">
        <v>1</v>
      </c>
      <c r="AC545" s="6">
        <v>32</v>
      </c>
      <c r="AD545">
        <v>1</v>
      </c>
      <c r="AE545">
        <f t="shared" si="24"/>
        <v>4.96875</v>
      </c>
      <c r="AF545">
        <f t="shared" si="25"/>
        <v>3.125E-2</v>
      </c>
      <c r="AG545" s="3" t="s">
        <v>45</v>
      </c>
      <c r="AH545" s="18">
        <v>159</v>
      </c>
      <c r="AJ545" t="s">
        <v>117</v>
      </c>
      <c r="AK545">
        <v>11</v>
      </c>
      <c r="AL545">
        <v>2</v>
      </c>
      <c r="AM545">
        <f t="shared" si="26"/>
        <v>4.9090909090909092</v>
      </c>
      <c r="AN545">
        <f t="shared" si="27"/>
        <v>0.18181818181818182</v>
      </c>
      <c r="AO545" s="3" t="s">
        <v>46</v>
      </c>
      <c r="AP545" s="18">
        <v>54</v>
      </c>
      <c r="AS545" t="s">
        <v>81</v>
      </c>
      <c r="AT545" s="6">
        <v>18</v>
      </c>
      <c r="AU545">
        <v>1</v>
      </c>
      <c r="AV545">
        <f t="shared" si="28"/>
        <v>4.9444444444444446</v>
      </c>
      <c r="AW545">
        <f t="shared" si="29"/>
        <v>5.5555555555555552E-2</v>
      </c>
      <c r="AX545" t="s">
        <v>392</v>
      </c>
      <c r="AY545" s="3" t="s">
        <v>46</v>
      </c>
      <c r="AZ545">
        <v>89</v>
      </c>
      <c r="BB545" t="s">
        <v>81</v>
      </c>
      <c r="BC545">
        <v>18</v>
      </c>
      <c r="BD545">
        <v>1</v>
      </c>
      <c r="BE545">
        <f t="shared" si="30"/>
        <v>4.9444444444444446</v>
      </c>
      <c r="BF545">
        <f t="shared" si="31"/>
        <v>5.5555555555555552E-2</v>
      </c>
      <c r="BG545" t="s">
        <v>392</v>
      </c>
      <c r="BI545" s="18">
        <v>89</v>
      </c>
    </row>
    <row r="546" spans="1:61" x14ac:dyDescent="0.35">
      <c r="AB546" t="s">
        <v>51</v>
      </c>
      <c r="AC546">
        <v>21</v>
      </c>
      <c r="AD546">
        <v>1</v>
      </c>
      <c r="AE546">
        <f t="shared" si="24"/>
        <v>5.0952380952380949</v>
      </c>
      <c r="AF546">
        <f t="shared" si="25"/>
        <v>4.7619047619047616E-2</v>
      </c>
      <c r="AG546" s="3" t="s">
        <v>45</v>
      </c>
      <c r="AH546" s="18">
        <v>107</v>
      </c>
      <c r="AJ546" t="s">
        <v>1</v>
      </c>
      <c r="AK546">
        <v>32</v>
      </c>
      <c r="AL546">
        <v>1</v>
      </c>
      <c r="AM546">
        <f t="shared" si="26"/>
        <v>4.96875</v>
      </c>
      <c r="AN546">
        <f t="shared" si="27"/>
        <v>3.125E-2</v>
      </c>
      <c r="AO546" s="3" t="s">
        <v>46</v>
      </c>
      <c r="AP546" s="18">
        <v>159</v>
      </c>
      <c r="AS546" t="s">
        <v>1</v>
      </c>
      <c r="AT546">
        <v>32</v>
      </c>
      <c r="AU546">
        <v>1</v>
      </c>
      <c r="AV546">
        <f t="shared" si="28"/>
        <v>4.96875</v>
      </c>
      <c r="AW546">
        <f t="shared" si="29"/>
        <v>3.125E-2</v>
      </c>
      <c r="AX546" t="s">
        <v>392</v>
      </c>
      <c r="AZ546">
        <v>159</v>
      </c>
      <c r="BB546" t="s">
        <v>1</v>
      </c>
      <c r="BC546">
        <v>32</v>
      </c>
      <c r="BD546">
        <v>1</v>
      </c>
      <c r="BE546">
        <f t="shared" si="30"/>
        <v>4.96875</v>
      </c>
      <c r="BF546">
        <f t="shared" si="31"/>
        <v>3.125E-2</v>
      </c>
      <c r="BG546" t="s">
        <v>392</v>
      </c>
      <c r="BI546" s="18">
        <v>159</v>
      </c>
    </row>
    <row r="547" spans="1:61" x14ac:dyDescent="0.35">
      <c r="AB547" t="s">
        <v>25</v>
      </c>
      <c r="AC547">
        <v>50</v>
      </c>
      <c r="AD547">
        <v>4</v>
      </c>
      <c r="AE547">
        <f t="shared" si="24"/>
        <v>5.12</v>
      </c>
      <c r="AF547">
        <f t="shared" si="25"/>
        <v>0.08</v>
      </c>
      <c r="AG547" s="3" t="s">
        <v>45</v>
      </c>
      <c r="AH547" s="18">
        <v>256</v>
      </c>
      <c r="AJ547" t="s">
        <v>31</v>
      </c>
      <c r="AK547" s="6">
        <v>24</v>
      </c>
      <c r="AL547">
        <v>2</v>
      </c>
      <c r="AM547">
        <f t="shared" si="26"/>
        <v>5.041666666666667</v>
      </c>
      <c r="AN547">
        <f t="shared" si="27"/>
        <v>8.3333333333333329E-2</v>
      </c>
      <c r="AO547" s="3" t="s">
        <v>195</v>
      </c>
      <c r="AP547" s="18">
        <v>121</v>
      </c>
      <c r="AS547" t="s">
        <v>31</v>
      </c>
      <c r="AT547">
        <v>24</v>
      </c>
      <c r="AU547">
        <v>2</v>
      </c>
      <c r="AV547">
        <f t="shared" si="28"/>
        <v>5.041666666666667</v>
      </c>
      <c r="AW547">
        <f t="shared" si="29"/>
        <v>8.3333333333333329E-2</v>
      </c>
      <c r="AX547" t="s">
        <v>392</v>
      </c>
      <c r="AZ547">
        <v>121</v>
      </c>
      <c r="BB547" t="s">
        <v>99</v>
      </c>
      <c r="BC547">
        <v>12</v>
      </c>
      <c r="BD547">
        <v>2</v>
      </c>
      <c r="BE547">
        <f t="shared" si="30"/>
        <v>5.083333333333333</v>
      </c>
      <c r="BF547">
        <f t="shared" si="31"/>
        <v>0.16666666666666666</v>
      </c>
      <c r="BG547" t="s">
        <v>392</v>
      </c>
      <c r="BH547" s="2" t="s">
        <v>44</v>
      </c>
      <c r="BI547" s="18">
        <v>61</v>
      </c>
    </row>
    <row r="548" spans="1:61" x14ac:dyDescent="0.35">
      <c r="AB548" t="s">
        <v>6</v>
      </c>
      <c r="AC548">
        <v>39</v>
      </c>
      <c r="AD548">
        <v>3</v>
      </c>
      <c r="AE548">
        <f t="shared" si="24"/>
        <v>5.384615384615385</v>
      </c>
      <c r="AF548">
        <f t="shared" si="25"/>
        <v>7.6923076923076927E-2</v>
      </c>
      <c r="AG548" s="3" t="s">
        <v>45</v>
      </c>
      <c r="AH548" s="18">
        <v>210</v>
      </c>
      <c r="AJ548" t="s">
        <v>51</v>
      </c>
      <c r="AK548">
        <v>21</v>
      </c>
      <c r="AL548">
        <v>1</v>
      </c>
      <c r="AM548">
        <f t="shared" si="26"/>
        <v>5.0952380952380949</v>
      </c>
      <c r="AN548">
        <f t="shared" si="27"/>
        <v>4.7619047619047616E-2</v>
      </c>
      <c r="AO548" s="3" t="s">
        <v>45</v>
      </c>
      <c r="AP548" s="18">
        <v>107</v>
      </c>
      <c r="AS548" t="s">
        <v>99</v>
      </c>
      <c r="AT548" s="6">
        <v>12</v>
      </c>
      <c r="AU548">
        <v>2</v>
      </c>
      <c r="AV548">
        <f t="shared" si="28"/>
        <v>5.083333333333333</v>
      </c>
      <c r="AW548">
        <f t="shared" si="29"/>
        <v>0.16666666666666666</v>
      </c>
      <c r="AX548" t="s">
        <v>392</v>
      </c>
      <c r="AY548" s="3" t="s">
        <v>69</v>
      </c>
      <c r="AZ548">
        <v>61</v>
      </c>
      <c r="BB548" t="s">
        <v>51</v>
      </c>
      <c r="BC548">
        <v>21</v>
      </c>
      <c r="BD548">
        <v>1</v>
      </c>
      <c r="BE548">
        <f t="shared" si="30"/>
        <v>5.0952380952380949</v>
      </c>
      <c r="BF548">
        <f t="shared" si="31"/>
        <v>4.7619047619047616E-2</v>
      </c>
      <c r="BG548" t="s">
        <v>392</v>
      </c>
      <c r="BH548" s="2" t="s">
        <v>44</v>
      </c>
      <c r="BI548" s="18">
        <v>107</v>
      </c>
    </row>
    <row r="549" spans="1:61" x14ac:dyDescent="0.35">
      <c r="AB549" t="s">
        <v>79</v>
      </c>
      <c r="AC549">
        <v>16</v>
      </c>
      <c r="AD549">
        <v>0</v>
      </c>
      <c r="AE549">
        <f t="shared" si="24"/>
        <v>5.4375</v>
      </c>
      <c r="AF549">
        <f t="shared" si="25"/>
        <v>0</v>
      </c>
      <c r="AG549" s="3" t="s">
        <v>45</v>
      </c>
      <c r="AH549" s="18">
        <v>87</v>
      </c>
      <c r="AJ549" t="s">
        <v>25</v>
      </c>
      <c r="AK549">
        <v>50</v>
      </c>
      <c r="AL549">
        <v>4</v>
      </c>
      <c r="AM549">
        <f t="shared" si="26"/>
        <v>5.12</v>
      </c>
      <c r="AN549">
        <f t="shared" si="27"/>
        <v>0.08</v>
      </c>
      <c r="AO549" s="3" t="s">
        <v>45</v>
      </c>
      <c r="AP549" s="18">
        <v>256</v>
      </c>
      <c r="AS549" t="s">
        <v>51</v>
      </c>
      <c r="AT549">
        <v>21</v>
      </c>
      <c r="AU549">
        <v>1</v>
      </c>
      <c r="AV549">
        <f t="shared" si="28"/>
        <v>5.0952380952380949</v>
      </c>
      <c r="AW549">
        <f t="shared" si="29"/>
        <v>4.7619047619047616E-2</v>
      </c>
      <c r="AX549" t="s">
        <v>392</v>
      </c>
      <c r="AY549" s="3" t="s">
        <v>46</v>
      </c>
      <c r="AZ549">
        <v>107</v>
      </c>
      <c r="BB549" t="s">
        <v>25</v>
      </c>
      <c r="BC549">
        <v>50</v>
      </c>
      <c r="BD549">
        <v>4</v>
      </c>
      <c r="BE549">
        <f t="shared" si="30"/>
        <v>5.12</v>
      </c>
      <c r="BF549">
        <f t="shared" si="31"/>
        <v>0.08</v>
      </c>
      <c r="BG549" t="s">
        <v>392</v>
      </c>
      <c r="BH549" s="2" t="s">
        <v>44</v>
      </c>
      <c r="BI549" s="18">
        <v>256</v>
      </c>
    </row>
    <row r="550" spans="1:61" x14ac:dyDescent="0.35">
      <c r="AB550" t="s">
        <v>20</v>
      </c>
      <c r="AC550">
        <v>14</v>
      </c>
      <c r="AD550">
        <v>1</v>
      </c>
      <c r="AE550">
        <f t="shared" si="24"/>
        <v>5.5714285714285712</v>
      </c>
      <c r="AF550">
        <f t="shared" si="25"/>
        <v>7.1428571428571425E-2</v>
      </c>
      <c r="AG550" s="3" t="s">
        <v>45</v>
      </c>
      <c r="AH550" s="18">
        <v>78</v>
      </c>
      <c r="AJ550" t="s">
        <v>6</v>
      </c>
      <c r="AK550">
        <v>39</v>
      </c>
      <c r="AL550">
        <v>3</v>
      </c>
      <c r="AM550">
        <f t="shared" si="26"/>
        <v>5.384615384615385</v>
      </c>
      <c r="AN550">
        <f t="shared" si="27"/>
        <v>7.6923076923076927E-2</v>
      </c>
      <c r="AO550" s="3" t="s">
        <v>45</v>
      </c>
      <c r="AP550" s="18">
        <v>210</v>
      </c>
      <c r="AS550" t="s">
        <v>25</v>
      </c>
      <c r="AT550">
        <v>50</v>
      </c>
      <c r="AU550">
        <v>4</v>
      </c>
      <c r="AV550">
        <f t="shared" si="28"/>
        <v>5.12</v>
      </c>
      <c r="AW550">
        <f t="shared" si="29"/>
        <v>0.08</v>
      </c>
      <c r="AX550" t="s">
        <v>392</v>
      </c>
      <c r="AY550" s="3" t="s">
        <v>46</v>
      </c>
      <c r="AZ550">
        <v>256</v>
      </c>
      <c r="BB550" t="s">
        <v>31</v>
      </c>
      <c r="BC550" s="6">
        <v>28</v>
      </c>
      <c r="BD550">
        <v>2</v>
      </c>
      <c r="BE550">
        <f t="shared" si="30"/>
        <v>5.25</v>
      </c>
      <c r="BF550">
        <f t="shared" si="31"/>
        <v>7.1428571428571425E-2</v>
      </c>
      <c r="BG550" t="s">
        <v>392</v>
      </c>
      <c r="BH550" s="3" t="s">
        <v>54</v>
      </c>
      <c r="BI550" s="18">
        <v>147</v>
      </c>
    </row>
    <row r="551" spans="1:61" x14ac:dyDescent="0.35">
      <c r="AB551" t="s">
        <v>28</v>
      </c>
      <c r="AC551">
        <v>10</v>
      </c>
      <c r="AD551">
        <v>0</v>
      </c>
      <c r="AE551">
        <f t="shared" si="24"/>
        <v>5.6</v>
      </c>
      <c r="AF551">
        <f t="shared" si="25"/>
        <v>0</v>
      </c>
      <c r="AG551" s="3" t="s">
        <v>45</v>
      </c>
      <c r="AH551" s="18">
        <v>56</v>
      </c>
      <c r="AJ551" t="s">
        <v>79</v>
      </c>
      <c r="AK551">
        <v>16</v>
      </c>
      <c r="AL551">
        <v>0</v>
      </c>
      <c r="AM551">
        <f t="shared" si="26"/>
        <v>5.4375</v>
      </c>
      <c r="AN551">
        <f t="shared" si="27"/>
        <v>0</v>
      </c>
      <c r="AO551" s="3" t="s">
        <v>45</v>
      </c>
      <c r="AP551" s="18">
        <v>87</v>
      </c>
      <c r="AS551" t="s">
        <v>6</v>
      </c>
      <c r="AT551">
        <v>39</v>
      </c>
      <c r="AU551">
        <v>3</v>
      </c>
      <c r="AV551">
        <f t="shared" si="28"/>
        <v>5.384615384615385</v>
      </c>
      <c r="AW551">
        <f t="shared" si="29"/>
        <v>7.6923076923076927E-2</v>
      </c>
      <c r="AX551" t="s">
        <v>392</v>
      </c>
      <c r="AY551" s="3" t="s">
        <v>46</v>
      </c>
      <c r="AZ551">
        <v>210</v>
      </c>
      <c r="BB551" t="s">
        <v>6</v>
      </c>
      <c r="BC551">
        <v>39</v>
      </c>
      <c r="BD551">
        <v>3</v>
      </c>
      <c r="BE551">
        <f t="shared" si="30"/>
        <v>5.384615384615385</v>
      </c>
      <c r="BF551">
        <f t="shared" si="31"/>
        <v>7.6923076923076927E-2</v>
      </c>
      <c r="BG551" t="s">
        <v>392</v>
      </c>
      <c r="BI551" s="18">
        <v>210</v>
      </c>
    </row>
    <row r="552" spans="1:61" x14ac:dyDescent="0.35">
      <c r="AB552" t="s">
        <v>4</v>
      </c>
      <c r="AC552">
        <v>13</v>
      </c>
      <c r="AD552">
        <v>0</v>
      </c>
      <c r="AE552">
        <f t="shared" si="24"/>
        <v>5.615384615384615</v>
      </c>
      <c r="AF552">
        <f t="shared" si="25"/>
        <v>0</v>
      </c>
      <c r="AG552" s="3" t="s">
        <v>45</v>
      </c>
      <c r="AH552" s="18">
        <v>73</v>
      </c>
      <c r="AJ552" t="s">
        <v>20</v>
      </c>
      <c r="AK552">
        <v>14</v>
      </c>
      <c r="AL552">
        <v>1</v>
      </c>
      <c r="AM552">
        <f t="shared" si="26"/>
        <v>5.5714285714285712</v>
      </c>
      <c r="AN552">
        <f t="shared" si="27"/>
        <v>7.1428571428571425E-2</v>
      </c>
      <c r="AO552" s="3" t="s">
        <v>45</v>
      </c>
      <c r="AP552" s="18">
        <v>78</v>
      </c>
      <c r="AS552" t="s">
        <v>79</v>
      </c>
      <c r="AT552">
        <v>16</v>
      </c>
      <c r="AU552">
        <v>0</v>
      </c>
      <c r="AV552">
        <f t="shared" si="28"/>
        <v>5.4375</v>
      </c>
      <c r="AW552">
        <f t="shared" si="29"/>
        <v>0</v>
      </c>
      <c r="AX552" t="s">
        <v>392</v>
      </c>
      <c r="AY552" s="3" t="s">
        <v>46</v>
      </c>
      <c r="AZ552">
        <v>87</v>
      </c>
      <c r="BB552" t="s">
        <v>79</v>
      </c>
      <c r="BC552">
        <v>16</v>
      </c>
      <c r="BD552">
        <v>0</v>
      </c>
      <c r="BE552">
        <f t="shared" si="30"/>
        <v>5.4375</v>
      </c>
      <c r="BF552">
        <f t="shared" si="31"/>
        <v>0</v>
      </c>
      <c r="BG552" t="s">
        <v>392</v>
      </c>
      <c r="BI552" s="18">
        <v>87</v>
      </c>
    </row>
    <row r="553" spans="1:61" x14ac:dyDescent="0.35">
      <c r="AB553" t="s">
        <v>32</v>
      </c>
      <c r="AC553">
        <v>12</v>
      </c>
      <c r="AD553">
        <v>1</v>
      </c>
      <c r="AE553">
        <f t="shared" si="24"/>
        <v>5.833333333333333</v>
      </c>
      <c r="AF553">
        <f t="shared" si="25"/>
        <v>8.3333333333333329E-2</v>
      </c>
      <c r="AG553" s="3" t="s">
        <v>45</v>
      </c>
      <c r="AH553" s="18">
        <v>70</v>
      </c>
      <c r="AJ553" t="s">
        <v>28</v>
      </c>
      <c r="AK553">
        <v>10</v>
      </c>
      <c r="AL553">
        <v>0</v>
      </c>
      <c r="AM553">
        <f t="shared" si="26"/>
        <v>5.6</v>
      </c>
      <c r="AN553">
        <f t="shared" si="27"/>
        <v>0</v>
      </c>
      <c r="AO553" s="3" t="s">
        <v>45</v>
      </c>
      <c r="AP553" s="18">
        <v>56</v>
      </c>
      <c r="AS553" t="s">
        <v>20</v>
      </c>
      <c r="AT553">
        <v>14</v>
      </c>
      <c r="AU553">
        <v>1</v>
      </c>
      <c r="AV553">
        <f t="shared" si="28"/>
        <v>5.5714285714285712</v>
      </c>
      <c r="AW553">
        <f t="shared" si="29"/>
        <v>7.1428571428571425E-2</v>
      </c>
      <c r="AX553" t="s">
        <v>392</v>
      </c>
      <c r="AY553" s="3" t="s">
        <v>46</v>
      </c>
      <c r="AZ553">
        <v>78</v>
      </c>
      <c r="BB553" t="s">
        <v>19</v>
      </c>
      <c r="BC553" s="6">
        <v>10</v>
      </c>
      <c r="BD553">
        <v>1</v>
      </c>
      <c r="BE553">
        <f t="shared" si="30"/>
        <v>5.5</v>
      </c>
      <c r="BF553">
        <f t="shared" si="31"/>
        <v>0.1</v>
      </c>
      <c r="BG553" t="s">
        <v>392</v>
      </c>
      <c r="BH553" s="12" t="s">
        <v>397</v>
      </c>
      <c r="BI553" s="18">
        <v>55</v>
      </c>
    </row>
    <row r="554" spans="1:61" x14ac:dyDescent="0.35">
      <c r="AB554" t="s">
        <v>33</v>
      </c>
      <c r="AC554">
        <v>12</v>
      </c>
      <c r="AD554">
        <v>0</v>
      </c>
      <c r="AE554">
        <f t="shared" si="24"/>
        <v>5.916666666666667</v>
      </c>
      <c r="AF554">
        <f t="shared" si="25"/>
        <v>0</v>
      </c>
      <c r="AG554" s="3" t="s">
        <v>45</v>
      </c>
      <c r="AH554" s="18">
        <v>71</v>
      </c>
      <c r="AJ554" t="s">
        <v>4</v>
      </c>
      <c r="AK554">
        <v>13</v>
      </c>
      <c r="AL554">
        <v>0</v>
      </c>
      <c r="AM554">
        <f t="shared" si="26"/>
        <v>5.615384615384615</v>
      </c>
      <c r="AN554">
        <f t="shared" si="27"/>
        <v>0</v>
      </c>
      <c r="AO554" s="3" t="s">
        <v>45</v>
      </c>
      <c r="AP554" s="18">
        <v>73</v>
      </c>
      <c r="AS554" t="s">
        <v>90</v>
      </c>
      <c r="AT554" s="6">
        <v>22</v>
      </c>
      <c r="AU554">
        <v>2</v>
      </c>
      <c r="AV554">
        <f t="shared" si="28"/>
        <v>5.5909090909090908</v>
      </c>
      <c r="AW554">
        <f t="shared" si="29"/>
        <v>9.0909090909090912E-2</v>
      </c>
      <c r="AX554" t="s">
        <v>392</v>
      </c>
      <c r="AY554" s="2" t="s">
        <v>44</v>
      </c>
      <c r="AZ554">
        <v>123</v>
      </c>
      <c r="BB554" t="s">
        <v>20</v>
      </c>
      <c r="BC554">
        <v>14</v>
      </c>
      <c r="BD554">
        <v>1</v>
      </c>
      <c r="BE554">
        <f t="shared" si="30"/>
        <v>5.5714285714285712</v>
      </c>
      <c r="BF554">
        <f t="shared" si="31"/>
        <v>7.1428571428571425E-2</v>
      </c>
      <c r="BG554" t="s">
        <v>392</v>
      </c>
      <c r="BH554" s="3" t="s">
        <v>46</v>
      </c>
      <c r="BI554" s="18">
        <v>78</v>
      </c>
    </row>
    <row r="555" spans="1:61" x14ac:dyDescent="0.35">
      <c r="AB555" t="s">
        <v>90</v>
      </c>
      <c r="AC555">
        <v>20</v>
      </c>
      <c r="AD555">
        <v>1</v>
      </c>
      <c r="AE555">
        <f t="shared" si="24"/>
        <v>5.95</v>
      </c>
      <c r="AF555">
        <f t="shared" si="25"/>
        <v>0.05</v>
      </c>
      <c r="AG555" s="3" t="s">
        <v>45</v>
      </c>
      <c r="AH555" s="18">
        <v>119</v>
      </c>
      <c r="AJ555" t="s">
        <v>90</v>
      </c>
      <c r="AK555" s="6">
        <v>21</v>
      </c>
      <c r="AL555">
        <v>2</v>
      </c>
      <c r="AM555">
        <f t="shared" si="26"/>
        <v>5.7142857142857144</v>
      </c>
      <c r="AN555">
        <f t="shared" si="27"/>
        <v>9.5238095238095233E-2</v>
      </c>
      <c r="AP555" s="18">
        <v>120</v>
      </c>
      <c r="AS555" t="s">
        <v>28</v>
      </c>
      <c r="AT555">
        <v>10</v>
      </c>
      <c r="AU555">
        <v>0</v>
      </c>
      <c r="AV555">
        <f t="shared" si="28"/>
        <v>5.6</v>
      </c>
      <c r="AW555">
        <f t="shared" si="29"/>
        <v>0</v>
      </c>
      <c r="AX555" t="s">
        <v>392</v>
      </c>
      <c r="AY555" s="3" t="s">
        <v>45</v>
      </c>
      <c r="AZ555">
        <v>56</v>
      </c>
      <c r="BB555" t="s">
        <v>90</v>
      </c>
      <c r="BC555">
        <v>22</v>
      </c>
      <c r="BD555">
        <v>2</v>
      </c>
      <c r="BE555">
        <f t="shared" si="30"/>
        <v>5.5909090909090908</v>
      </c>
      <c r="BF555">
        <f t="shared" si="31"/>
        <v>9.0909090909090912E-2</v>
      </c>
      <c r="BG555" t="s">
        <v>392</v>
      </c>
      <c r="BH555" s="3" t="s">
        <v>46</v>
      </c>
      <c r="BI555" s="18">
        <v>123</v>
      </c>
    </row>
    <row r="556" spans="1:61" x14ac:dyDescent="0.35">
      <c r="AJ556" t="s">
        <v>32</v>
      </c>
      <c r="AK556">
        <v>12</v>
      </c>
      <c r="AL556">
        <v>1</v>
      </c>
      <c r="AM556">
        <f t="shared" si="26"/>
        <v>5.833333333333333</v>
      </c>
      <c r="AN556">
        <f t="shared" si="27"/>
        <v>8.3333333333333329E-2</v>
      </c>
      <c r="AO556" s="3" t="s">
        <v>54</v>
      </c>
      <c r="AP556" s="18">
        <v>70</v>
      </c>
      <c r="AS556" t="s">
        <v>4</v>
      </c>
      <c r="AT556">
        <v>13</v>
      </c>
      <c r="AU556">
        <v>0</v>
      </c>
      <c r="AV556">
        <f t="shared" si="28"/>
        <v>5.615384615384615</v>
      </c>
      <c r="AW556">
        <f t="shared" si="29"/>
        <v>0</v>
      </c>
      <c r="AX556" t="s">
        <v>392</v>
      </c>
      <c r="AY556" s="3" t="s">
        <v>45</v>
      </c>
      <c r="AZ556">
        <v>73</v>
      </c>
      <c r="BB556" t="s">
        <v>4</v>
      </c>
      <c r="BC556">
        <v>13</v>
      </c>
      <c r="BD556">
        <v>0</v>
      </c>
      <c r="BE556">
        <f t="shared" si="30"/>
        <v>5.615384615384615</v>
      </c>
      <c r="BF556">
        <f t="shared" si="31"/>
        <v>0</v>
      </c>
      <c r="BG556" t="s">
        <v>392</v>
      </c>
      <c r="BI556" s="18">
        <v>73</v>
      </c>
    </row>
    <row r="557" spans="1:61" x14ac:dyDescent="0.35">
      <c r="AJ557" t="s">
        <v>33</v>
      </c>
      <c r="AK557" s="6">
        <v>13</v>
      </c>
      <c r="AL557">
        <v>0</v>
      </c>
      <c r="AM557">
        <f t="shared" si="26"/>
        <v>6</v>
      </c>
      <c r="AN557">
        <f t="shared" si="27"/>
        <v>0</v>
      </c>
      <c r="AO557" s="3" t="s">
        <v>389</v>
      </c>
      <c r="AP557" s="18">
        <v>78</v>
      </c>
      <c r="AS557" t="s">
        <v>32</v>
      </c>
      <c r="AT557" s="6">
        <v>13</v>
      </c>
      <c r="AU557">
        <v>1</v>
      </c>
      <c r="AV557">
        <f t="shared" si="28"/>
        <v>5.8461538461538458</v>
      </c>
      <c r="AW557">
        <f t="shared" si="29"/>
        <v>7.6923076923076927E-2</v>
      </c>
      <c r="AX557" t="s">
        <v>392</v>
      </c>
      <c r="AY557" s="3" t="s">
        <v>46</v>
      </c>
      <c r="AZ557">
        <v>76</v>
      </c>
      <c r="BB557" t="s">
        <v>28</v>
      </c>
      <c r="BC557" s="6">
        <v>11</v>
      </c>
      <c r="BD557">
        <v>0</v>
      </c>
      <c r="BE557">
        <f t="shared" si="30"/>
        <v>5.6363636363636367</v>
      </c>
      <c r="BF557">
        <f t="shared" si="31"/>
        <v>0</v>
      </c>
      <c r="BG557" t="s">
        <v>392</v>
      </c>
      <c r="BH557" s="3" t="s">
        <v>45</v>
      </c>
      <c r="BI557" s="18">
        <v>62</v>
      </c>
    </row>
    <row r="558" spans="1:61" x14ac:dyDescent="0.35">
      <c r="AS558" t="s">
        <v>33</v>
      </c>
      <c r="AT558" s="6">
        <v>15</v>
      </c>
      <c r="AU558">
        <v>0</v>
      </c>
      <c r="AV558">
        <f t="shared" si="28"/>
        <v>6</v>
      </c>
      <c r="AW558">
        <f t="shared" si="29"/>
        <v>0</v>
      </c>
      <c r="AX558" t="s">
        <v>395</v>
      </c>
      <c r="AY558" s="3" t="s">
        <v>396</v>
      </c>
      <c r="AZ558">
        <v>90</v>
      </c>
      <c r="BB558" t="s">
        <v>32</v>
      </c>
      <c r="BC558">
        <v>13</v>
      </c>
      <c r="BD558">
        <v>1</v>
      </c>
      <c r="BE558">
        <f t="shared" si="30"/>
        <v>5.8461538461538458</v>
      </c>
      <c r="BF558">
        <f t="shared" si="31"/>
        <v>7.6923076923076927E-2</v>
      </c>
      <c r="BG558" t="s">
        <v>392</v>
      </c>
      <c r="BH558" s="3" t="s">
        <v>46</v>
      </c>
      <c r="BI558" s="18">
        <v>76</v>
      </c>
    </row>
    <row r="559" spans="1:61" x14ac:dyDescent="0.35">
      <c r="A559" s="4" t="s">
        <v>42</v>
      </c>
      <c r="B559" s="4" t="s">
        <v>38</v>
      </c>
      <c r="C559" s="4" t="s">
        <v>39</v>
      </c>
      <c r="D559" s="4" t="s">
        <v>40</v>
      </c>
      <c r="E559" s="4" t="s">
        <v>111</v>
      </c>
      <c r="F559" s="4" t="s">
        <v>391</v>
      </c>
      <c r="K559" s="4" t="s">
        <v>42</v>
      </c>
      <c r="L559" s="4" t="s">
        <v>38</v>
      </c>
      <c r="M559" s="4" t="s">
        <v>39</v>
      </c>
      <c r="N559" s="4" t="s">
        <v>40</v>
      </c>
      <c r="O559" s="4" t="s">
        <v>111</v>
      </c>
      <c r="P559" s="4" t="s">
        <v>391</v>
      </c>
      <c r="T559" s="4" t="s">
        <v>42</v>
      </c>
      <c r="U559" s="4" t="s">
        <v>38</v>
      </c>
      <c r="V559" s="4" t="s">
        <v>39</v>
      </c>
      <c r="W559" s="4" t="s">
        <v>40</v>
      </c>
      <c r="X559" s="4" t="s">
        <v>111</v>
      </c>
      <c r="Y559" s="4" t="s">
        <v>391</v>
      </c>
      <c r="AD559" s="4" t="s">
        <v>42</v>
      </c>
      <c r="AE559" s="4" t="s">
        <v>38</v>
      </c>
      <c r="AF559" s="4" t="s">
        <v>39</v>
      </c>
      <c r="AG559" s="4" t="s">
        <v>40</v>
      </c>
      <c r="AH559" s="4" t="s">
        <v>111</v>
      </c>
      <c r="AI559" s="4" t="s">
        <v>391</v>
      </c>
      <c r="BB559" t="s">
        <v>33</v>
      </c>
      <c r="BC559" s="6">
        <v>18</v>
      </c>
      <c r="BD559">
        <v>0</v>
      </c>
      <c r="BE559">
        <f t="shared" si="30"/>
        <v>6.0555555555555554</v>
      </c>
      <c r="BF559">
        <f t="shared" si="31"/>
        <v>0</v>
      </c>
      <c r="BG559" t="s">
        <v>392</v>
      </c>
      <c r="BH559" s="3" t="s">
        <v>46</v>
      </c>
      <c r="BI559" s="18">
        <v>109</v>
      </c>
    </row>
    <row r="560" spans="1:61" x14ac:dyDescent="0.35">
      <c r="A560" t="s">
        <v>128</v>
      </c>
      <c r="B560">
        <v>45</v>
      </c>
      <c r="C560">
        <v>15</v>
      </c>
      <c r="D560">
        <f t="shared" ref="D560:D591" si="32">H560/B560</f>
        <v>2.9333333333333331</v>
      </c>
      <c r="E560">
        <f t="shared" ref="E560:E591" si="33">C560/B560</f>
        <v>0.33333333333333331</v>
      </c>
      <c r="F560" t="s">
        <v>392</v>
      </c>
      <c r="H560">
        <v>132</v>
      </c>
      <c r="K560" t="s">
        <v>128</v>
      </c>
      <c r="L560" s="6">
        <v>47</v>
      </c>
      <c r="M560" s="6">
        <v>16</v>
      </c>
      <c r="N560">
        <f t="shared" ref="N560:N591" si="34">R560/L560</f>
        <v>2.9148936170212765</v>
      </c>
      <c r="O560">
        <f t="shared" ref="O560:O591" si="35">M560/L560</f>
        <v>0.34042553191489361</v>
      </c>
      <c r="P560" t="s">
        <v>392</v>
      </c>
      <c r="R560" s="18">
        <v>137</v>
      </c>
      <c r="T560" t="s">
        <v>128</v>
      </c>
      <c r="U560" s="6">
        <v>49</v>
      </c>
      <c r="V560" s="6">
        <v>17</v>
      </c>
      <c r="W560">
        <f t="shared" ref="W560:W591" si="36">AA560/U560</f>
        <v>2.8775510204081631</v>
      </c>
      <c r="X560">
        <f t="shared" ref="X560:X591" si="37">V560/U560</f>
        <v>0.34693877551020408</v>
      </c>
      <c r="Y560" t="s">
        <v>392</v>
      </c>
      <c r="AA560" s="18">
        <v>141</v>
      </c>
      <c r="AD560" t="s">
        <v>128</v>
      </c>
      <c r="AE560" s="6">
        <v>50</v>
      </c>
      <c r="AF560">
        <v>17</v>
      </c>
      <c r="AG560">
        <f t="shared" ref="AG560:AG591" si="38">AK560/AE560</f>
        <v>2.9</v>
      </c>
      <c r="AH560">
        <f t="shared" ref="AH560:AH591" si="39">AF560/AE560</f>
        <v>0.34</v>
      </c>
      <c r="AI560" t="s">
        <v>413</v>
      </c>
      <c r="AK560" s="18">
        <v>145</v>
      </c>
    </row>
    <row r="561" spans="1:37" x14ac:dyDescent="0.35">
      <c r="A561" t="s">
        <v>35</v>
      </c>
      <c r="B561" s="6">
        <v>59</v>
      </c>
      <c r="C561" s="6">
        <v>19</v>
      </c>
      <c r="D561">
        <f t="shared" si="32"/>
        <v>3.5762711864406778</v>
      </c>
      <c r="E561">
        <f t="shared" si="33"/>
        <v>0.32203389830508472</v>
      </c>
      <c r="F561" t="s">
        <v>392</v>
      </c>
      <c r="G561" s="2" t="s">
        <v>47</v>
      </c>
      <c r="H561">
        <v>211</v>
      </c>
      <c r="K561" t="s">
        <v>35</v>
      </c>
      <c r="L561">
        <v>59</v>
      </c>
      <c r="M561">
        <v>19</v>
      </c>
      <c r="N561">
        <f t="shared" si="34"/>
        <v>3.5762711864406778</v>
      </c>
      <c r="O561">
        <f t="shared" si="35"/>
        <v>0.32203389830508472</v>
      </c>
      <c r="P561" t="s">
        <v>392</v>
      </c>
      <c r="R561" s="18">
        <v>211</v>
      </c>
      <c r="T561" t="s">
        <v>35</v>
      </c>
      <c r="U561" s="6">
        <v>62</v>
      </c>
      <c r="V561" s="6">
        <v>20</v>
      </c>
      <c r="W561">
        <f t="shared" si="36"/>
        <v>3.532258064516129</v>
      </c>
      <c r="X561">
        <f t="shared" si="37"/>
        <v>0.32258064516129031</v>
      </c>
      <c r="Y561" t="s">
        <v>392</v>
      </c>
      <c r="AA561" s="18">
        <v>219</v>
      </c>
      <c r="AD561" t="s">
        <v>35</v>
      </c>
      <c r="AE561" s="6">
        <v>64</v>
      </c>
      <c r="AF561" s="6">
        <v>21</v>
      </c>
      <c r="AG561">
        <f t="shared" si="38"/>
        <v>3.5625</v>
      </c>
      <c r="AH561">
        <f t="shared" si="39"/>
        <v>0.328125</v>
      </c>
      <c r="AI561" t="s">
        <v>413</v>
      </c>
      <c r="AK561" s="18">
        <v>228</v>
      </c>
    </row>
    <row r="562" spans="1:37" x14ac:dyDescent="0.35">
      <c r="A562" t="s">
        <v>232</v>
      </c>
      <c r="B562" s="6">
        <v>12</v>
      </c>
      <c r="C562">
        <v>2</v>
      </c>
      <c r="D562">
        <f t="shared" si="32"/>
        <v>3.5833333333333335</v>
      </c>
      <c r="E562">
        <f t="shared" si="33"/>
        <v>0.16666666666666666</v>
      </c>
      <c r="F562" t="s">
        <v>392</v>
      </c>
      <c r="G562" s="3" t="s">
        <v>46</v>
      </c>
      <c r="H562">
        <v>43</v>
      </c>
      <c r="K562" t="s">
        <v>232</v>
      </c>
      <c r="L562">
        <v>12</v>
      </c>
      <c r="M562">
        <v>2</v>
      </c>
      <c r="N562">
        <f t="shared" si="34"/>
        <v>3.5833333333333335</v>
      </c>
      <c r="O562">
        <f t="shared" si="35"/>
        <v>0.16666666666666666</v>
      </c>
      <c r="P562" t="s">
        <v>392</v>
      </c>
      <c r="R562" s="18">
        <v>43</v>
      </c>
      <c r="T562" t="s">
        <v>121</v>
      </c>
      <c r="U562" s="6">
        <v>45</v>
      </c>
      <c r="V562" s="6">
        <v>9</v>
      </c>
      <c r="W562">
        <f t="shared" si="36"/>
        <v>3.6888888888888891</v>
      </c>
      <c r="X562">
        <f t="shared" si="37"/>
        <v>0.2</v>
      </c>
      <c r="Y562" t="s">
        <v>392</v>
      </c>
      <c r="Z562" s="2" t="s">
        <v>44</v>
      </c>
      <c r="AA562" s="18">
        <v>166</v>
      </c>
      <c r="AD562" t="s">
        <v>121</v>
      </c>
      <c r="AE562">
        <v>45</v>
      </c>
      <c r="AF562">
        <v>9</v>
      </c>
      <c r="AG562">
        <f t="shared" si="38"/>
        <v>3.6888888888888891</v>
      </c>
      <c r="AH562">
        <f t="shared" si="39"/>
        <v>0.2</v>
      </c>
      <c r="AI562" t="s">
        <v>413</v>
      </c>
      <c r="AK562" s="18">
        <v>166</v>
      </c>
    </row>
    <row r="563" spans="1:37" x14ac:dyDescent="0.35">
      <c r="A563" t="s">
        <v>121</v>
      </c>
      <c r="B563">
        <v>39</v>
      </c>
      <c r="C563">
        <v>8</v>
      </c>
      <c r="D563">
        <f t="shared" si="32"/>
        <v>3.6153846153846154</v>
      </c>
      <c r="E563">
        <f t="shared" si="33"/>
        <v>0.20512820512820512</v>
      </c>
      <c r="F563" t="s">
        <v>392</v>
      </c>
      <c r="G563" s="3" t="s">
        <v>46</v>
      </c>
      <c r="H563">
        <v>141</v>
      </c>
      <c r="K563" t="s">
        <v>121</v>
      </c>
      <c r="L563" s="6">
        <v>41</v>
      </c>
      <c r="M563">
        <v>8</v>
      </c>
      <c r="N563">
        <f t="shared" si="34"/>
        <v>3.6341463414634148</v>
      </c>
      <c r="O563">
        <f t="shared" si="35"/>
        <v>0.1951219512195122</v>
      </c>
      <c r="P563" t="s">
        <v>392</v>
      </c>
      <c r="R563" s="18">
        <v>149</v>
      </c>
      <c r="T563" t="s">
        <v>52</v>
      </c>
      <c r="U563">
        <v>13</v>
      </c>
      <c r="V563">
        <v>1</v>
      </c>
      <c r="W563">
        <f t="shared" si="36"/>
        <v>3.7692307692307692</v>
      </c>
      <c r="X563">
        <f t="shared" si="37"/>
        <v>7.6923076923076927E-2</v>
      </c>
      <c r="Y563" t="s">
        <v>392</v>
      </c>
      <c r="Z563" s="2" t="s">
        <v>59</v>
      </c>
      <c r="AA563" s="18">
        <v>49</v>
      </c>
      <c r="AD563" t="s">
        <v>52</v>
      </c>
      <c r="AE563">
        <v>13</v>
      </c>
      <c r="AF563">
        <v>1</v>
      </c>
      <c r="AG563">
        <f t="shared" si="38"/>
        <v>3.7692307692307692</v>
      </c>
      <c r="AH563">
        <f t="shared" si="39"/>
        <v>7.6923076923076927E-2</v>
      </c>
      <c r="AI563" t="s">
        <v>413</v>
      </c>
      <c r="AK563" s="18">
        <v>49</v>
      </c>
    </row>
    <row r="564" spans="1:37" x14ac:dyDescent="0.35">
      <c r="A564" t="s">
        <v>122</v>
      </c>
      <c r="B564">
        <v>20</v>
      </c>
      <c r="C564">
        <v>3</v>
      </c>
      <c r="D564">
        <f t="shared" si="32"/>
        <v>3.75</v>
      </c>
      <c r="E564">
        <f t="shared" si="33"/>
        <v>0.15</v>
      </c>
      <c r="F564" t="s">
        <v>392</v>
      </c>
      <c r="H564">
        <v>75</v>
      </c>
      <c r="K564" t="s">
        <v>58</v>
      </c>
      <c r="L564" s="6">
        <v>9</v>
      </c>
      <c r="M564" s="6">
        <v>1</v>
      </c>
      <c r="N564">
        <f t="shared" si="34"/>
        <v>3.6666666666666665</v>
      </c>
      <c r="O564">
        <f t="shared" si="35"/>
        <v>0.1111111111111111</v>
      </c>
      <c r="P564">
        <v>1</v>
      </c>
      <c r="Q564" s="35" t="s">
        <v>399</v>
      </c>
      <c r="R564">
        <v>33</v>
      </c>
      <c r="T564" t="s">
        <v>232</v>
      </c>
      <c r="U564" s="6">
        <v>13</v>
      </c>
      <c r="V564">
        <v>2</v>
      </c>
      <c r="W564">
        <f t="shared" si="36"/>
        <v>3.7692307692307692</v>
      </c>
      <c r="X564">
        <f t="shared" si="37"/>
        <v>0.15384615384615385</v>
      </c>
      <c r="Y564" t="s">
        <v>392</v>
      </c>
      <c r="Z564" s="3" t="s">
        <v>45</v>
      </c>
      <c r="AA564" s="18">
        <v>49</v>
      </c>
      <c r="AD564" t="s">
        <v>232</v>
      </c>
      <c r="AE564">
        <v>13</v>
      </c>
      <c r="AF564">
        <v>2</v>
      </c>
      <c r="AG564">
        <f t="shared" si="38"/>
        <v>3.7692307692307692</v>
      </c>
      <c r="AH564">
        <f t="shared" si="39"/>
        <v>0.15384615384615385</v>
      </c>
      <c r="AI564" t="s">
        <v>413</v>
      </c>
      <c r="AK564" s="18">
        <v>49</v>
      </c>
    </row>
    <row r="565" spans="1:37" x14ac:dyDescent="0.35">
      <c r="A565" t="s">
        <v>2</v>
      </c>
      <c r="B565">
        <v>25</v>
      </c>
      <c r="C565">
        <v>5</v>
      </c>
      <c r="D565">
        <f t="shared" si="32"/>
        <v>3.96</v>
      </c>
      <c r="E565">
        <f t="shared" si="33"/>
        <v>0.2</v>
      </c>
      <c r="F565" t="s">
        <v>392</v>
      </c>
      <c r="G565" s="2" t="s">
        <v>44</v>
      </c>
      <c r="H565">
        <v>99</v>
      </c>
      <c r="K565" t="s">
        <v>122</v>
      </c>
      <c r="L565">
        <v>20</v>
      </c>
      <c r="M565">
        <v>3</v>
      </c>
      <c r="N565">
        <f t="shared" si="34"/>
        <v>3.75</v>
      </c>
      <c r="O565">
        <f t="shared" si="35"/>
        <v>0.15</v>
      </c>
      <c r="P565" t="s">
        <v>392</v>
      </c>
      <c r="Q565" s="3" t="s">
        <v>46</v>
      </c>
      <c r="R565" s="18">
        <v>75</v>
      </c>
      <c r="T565" t="s">
        <v>122</v>
      </c>
      <c r="U565" s="6">
        <v>21</v>
      </c>
      <c r="V565">
        <v>3</v>
      </c>
      <c r="W565">
        <f t="shared" si="36"/>
        <v>3.8095238095238093</v>
      </c>
      <c r="X565">
        <f t="shared" si="37"/>
        <v>0.14285714285714285</v>
      </c>
      <c r="Y565" t="s">
        <v>392</v>
      </c>
      <c r="AA565" s="18">
        <v>80</v>
      </c>
      <c r="AD565" t="s">
        <v>122</v>
      </c>
      <c r="AE565" s="6">
        <v>22</v>
      </c>
      <c r="AF565">
        <v>3</v>
      </c>
      <c r="AG565">
        <f t="shared" si="38"/>
        <v>3.7727272727272729</v>
      </c>
      <c r="AH565">
        <f t="shared" si="39"/>
        <v>0.13636363636363635</v>
      </c>
      <c r="AI565" t="s">
        <v>413</v>
      </c>
      <c r="AK565" s="18">
        <v>83</v>
      </c>
    </row>
    <row r="566" spans="1:37" x14ac:dyDescent="0.35">
      <c r="A566" t="s">
        <v>0</v>
      </c>
      <c r="B566">
        <v>64</v>
      </c>
      <c r="C566">
        <v>11</v>
      </c>
      <c r="D566">
        <f t="shared" si="32"/>
        <v>3.96875</v>
      </c>
      <c r="E566">
        <f t="shared" si="33"/>
        <v>0.171875</v>
      </c>
      <c r="F566" t="s">
        <v>392</v>
      </c>
      <c r="G566" s="2" t="s">
        <v>44</v>
      </c>
      <c r="H566">
        <v>254</v>
      </c>
      <c r="K566" t="s">
        <v>52</v>
      </c>
      <c r="L566" s="6">
        <v>13</v>
      </c>
      <c r="M566">
        <v>1</v>
      </c>
      <c r="N566">
        <f t="shared" si="34"/>
        <v>3.7692307692307692</v>
      </c>
      <c r="O566">
        <f t="shared" si="35"/>
        <v>7.6923076923076927E-2</v>
      </c>
      <c r="P566" t="s">
        <v>392</v>
      </c>
      <c r="Q566" s="2" t="s">
        <v>44</v>
      </c>
      <c r="R566" s="18">
        <v>49</v>
      </c>
      <c r="T566" t="s">
        <v>148</v>
      </c>
      <c r="U566" s="6">
        <v>17</v>
      </c>
      <c r="V566" s="6">
        <v>3</v>
      </c>
      <c r="W566">
        <f t="shared" si="36"/>
        <v>3.8235294117647061</v>
      </c>
      <c r="X566">
        <f t="shared" si="37"/>
        <v>0.17647058823529413</v>
      </c>
      <c r="Y566">
        <v>1</v>
      </c>
      <c r="Z566" s="2" t="s">
        <v>133</v>
      </c>
      <c r="AA566" s="18">
        <v>65</v>
      </c>
      <c r="AD566" t="s">
        <v>148</v>
      </c>
      <c r="AE566">
        <v>17</v>
      </c>
      <c r="AF566">
        <v>3</v>
      </c>
      <c r="AG566">
        <f t="shared" si="38"/>
        <v>3.8235294117647061</v>
      </c>
      <c r="AH566">
        <f t="shared" si="39"/>
        <v>0.17647058823529413</v>
      </c>
      <c r="AI566">
        <v>1</v>
      </c>
      <c r="AK566" s="18">
        <v>65</v>
      </c>
    </row>
    <row r="567" spans="1:37" x14ac:dyDescent="0.35">
      <c r="A567" t="s">
        <v>52</v>
      </c>
      <c r="B567">
        <v>11</v>
      </c>
      <c r="C567">
        <v>1</v>
      </c>
      <c r="D567">
        <f t="shared" si="32"/>
        <v>4</v>
      </c>
      <c r="E567">
        <f t="shared" si="33"/>
        <v>9.0909090909090912E-2</v>
      </c>
      <c r="F567" t="s">
        <v>392</v>
      </c>
      <c r="G567" s="2"/>
      <c r="H567">
        <v>44</v>
      </c>
      <c r="K567" t="s">
        <v>2</v>
      </c>
      <c r="L567">
        <v>25</v>
      </c>
      <c r="M567">
        <v>5</v>
      </c>
      <c r="N567">
        <f t="shared" si="34"/>
        <v>3.96</v>
      </c>
      <c r="O567">
        <f t="shared" si="35"/>
        <v>0.2</v>
      </c>
      <c r="P567" t="s">
        <v>392</v>
      </c>
      <c r="Q567" s="3" t="s">
        <v>45</v>
      </c>
      <c r="R567" s="18">
        <v>99</v>
      </c>
      <c r="T567" t="s">
        <v>2</v>
      </c>
      <c r="U567">
        <v>25</v>
      </c>
      <c r="V567">
        <v>5</v>
      </c>
      <c r="W567">
        <f t="shared" si="36"/>
        <v>3.96</v>
      </c>
      <c r="X567">
        <f t="shared" si="37"/>
        <v>0.2</v>
      </c>
      <c r="Y567" t="s">
        <v>392</v>
      </c>
      <c r="AA567" s="18">
        <v>99</v>
      </c>
      <c r="AD567" t="s">
        <v>147</v>
      </c>
      <c r="AE567" s="6">
        <v>14</v>
      </c>
      <c r="AF567" s="6">
        <v>3</v>
      </c>
      <c r="AG567">
        <f t="shared" si="38"/>
        <v>3.9285714285714284</v>
      </c>
      <c r="AH567">
        <f t="shared" si="39"/>
        <v>0.21428571428571427</v>
      </c>
      <c r="AI567" t="s">
        <v>413</v>
      </c>
      <c r="AJ567" s="2" t="s">
        <v>415</v>
      </c>
      <c r="AK567" s="18">
        <v>55</v>
      </c>
    </row>
    <row r="568" spans="1:37" x14ac:dyDescent="0.35">
      <c r="A568" t="s">
        <v>112</v>
      </c>
      <c r="B568">
        <v>11</v>
      </c>
      <c r="C568">
        <v>4</v>
      </c>
      <c r="D568">
        <f t="shared" si="32"/>
        <v>4</v>
      </c>
      <c r="E568">
        <f t="shared" si="33"/>
        <v>0.36363636363636365</v>
      </c>
      <c r="F568">
        <v>1</v>
      </c>
      <c r="H568">
        <v>44</v>
      </c>
      <c r="K568" t="s">
        <v>0</v>
      </c>
      <c r="L568">
        <v>64</v>
      </c>
      <c r="M568">
        <v>11</v>
      </c>
      <c r="N568">
        <f t="shared" si="34"/>
        <v>3.96875</v>
      </c>
      <c r="O568">
        <f t="shared" si="35"/>
        <v>0.171875</v>
      </c>
      <c r="P568" t="s">
        <v>392</v>
      </c>
      <c r="Q568" s="3" t="s">
        <v>45</v>
      </c>
      <c r="R568" s="18">
        <v>254</v>
      </c>
      <c r="T568" t="s">
        <v>0</v>
      </c>
      <c r="U568">
        <v>64</v>
      </c>
      <c r="V568">
        <v>11</v>
      </c>
      <c r="W568">
        <f t="shared" si="36"/>
        <v>3.96875</v>
      </c>
      <c r="X568">
        <f t="shared" si="37"/>
        <v>0.171875</v>
      </c>
      <c r="Y568" t="s">
        <v>392</v>
      </c>
      <c r="AA568" s="18">
        <v>254</v>
      </c>
      <c r="AD568" t="s">
        <v>2</v>
      </c>
      <c r="AE568">
        <v>25</v>
      </c>
      <c r="AF568">
        <v>5</v>
      </c>
      <c r="AG568">
        <f t="shared" si="38"/>
        <v>3.96</v>
      </c>
      <c r="AH568">
        <f t="shared" si="39"/>
        <v>0.2</v>
      </c>
      <c r="AI568" t="s">
        <v>413</v>
      </c>
      <c r="AJ568" s="3" t="s">
        <v>46</v>
      </c>
      <c r="AK568" s="18">
        <v>99</v>
      </c>
    </row>
    <row r="569" spans="1:37" x14ac:dyDescent="0.35">
      <c r="A569" t="s">
        <v>148</v>
      </c>
      <c r="B569">
        <v>16</v>
      </c>
      <c r="C569">
        <v>2</v>
      </c>
      <c r="D569">
        <f t="shared" si="32"/>
        <v>4</v>
      </c>
      <c r="E569">
        <f t="shared" si="33"/>
        <v>0.125</v>
      </c>
      <c r="F569" t="s">
        <v>392</v>
      </c>
      <c r="G569" s="3" t="s">
        <v>54</v>
      </c>
      <c r="H569">
        <v>64</v>
      </c>
      <c r="K569" t="s">
        <v>112</v>
      </c>
      <c r="L569">
        <v>11</v>
      </c>
      <c r="M569">
        <v>4</v>
      </c>
      <c r="N569">
        <f t="shared" si="34"/>
        <v>4</v>
      </c>
      <c r="O569" s="7">
        <f t="shared" si="35"/>
        <v>0.36363636363636365</v>
      </c>
      <c r="P569">
        <v>1</v>
      </c>
      <c r="Q569" s="3" t="s">
        <v>46</v>
      </c>
      <c r="R569" s="18">
        <v>44</v>
      </c>
      <c r="T569" t="s">
        <v>22</v>
      </c>
      <c r="U569" s="8">
        <v>133</v>
      </c>
      <c r="V569" s="7">
        <v>22</v>
      </c>
      <c r="W569">
        <f t="shared" si="36"/>
        <v>4.030075187969925</v>
      </c>
      <c r="X569">
        <f t="shared" si="37"/>
        <v>0.16541353383458646</v>
      </c>
      <c r="Y569" t="s">
        <v>392</v>
      </c>
      <c r="Z569" s="2" t="s">
        <v>47</v>
      </c>
      <c r="AA569" s="18">
        <v>536</v>
      </c>
      <c r="AD569" t="s">
        <v>0</v>
      </c>
      <c r="AE569">
        <v>64</v>
      </c>
      <c r="AF569">
        <v>11</v>
      </c>
      <c r="AG569">
        <f t="shared" si="38"/>
        <v>3.96875</v>
      </c>
      <c r="AH569">
        <f t="shared" si="39"/>
        <v>0.171875</v>
      </c>
      <c r="AI569" t="s">
        <v>413</v>
      </c>
      <c r="AJ569" s="3" t="s">
        <v>46</v>
      </c>
      <c r="AK569" s="18">
        <v>254</v>
      </c>
    </row>
    <row r="570" spans="1:37" x14ac:dyDescent="0.35">
      <c r="A570" t="s">
        <v>22</v>
      </c>
      <c r="B570" s="6">
        <v>129</v>
      </c>
      <c r="C570">
        <v>22</v>
      </c>
      <c r="D570">
        <f t="shared" si="32"/>
        <v>4.0387596899224807</v>
      </c>
      <c r="E570">
        <f t="shared" si="33"/>
        <v>0.17054263565891473</v>
      </c>
      <c r="F570" t="s">
        <v>392</v>
      </c>
      <c r="H570">
        <v>521</v>
      </c>
      <c r="K570" t="s">
        <v>148</v>
      </c>
      <c r="L570">
        <v>16</v>
      </c>
      <c r="M570">
        <v>2</v>
      </c>
      <c r="N570">
        <f t="shared" si="34"/>
        <v>4</v>
      </c>
      <c r="O570">
        <f t="shared" si="35"/>
        <v>0.125</v>
      </c>
      <c r="P570" t="s">
        <v>392</v>
      </c>
      <c r="Q570" s="3" t="s">
        <v>46</v>
      </c>
      <c r="R570" s="18">
        <v>64</v>
      </c>
      <c r="T570" t="s">
        <v>139</v>
      </c>
      <c r="U570">
        <v>15</v>
      </c>
      <c r="V570">
        <v>2</v>
      </c>
      <c r="W570">
        <f t="shared" si="36"/>
        <v>4.0666666666666664</v>
      </c>
      <c r="X570">
        <f t="shared" si="37"/>
        <v>0.13333333333333333</v>
      </c>
      <c r="Y570" t="s">
        <v>392</v>
      </c>
      <c r="Z570" s="2" t="s">
        <v>47</v>
      </c>
      <c r="AA570" s="18">
        <v>61</v>
      </c>
      <c r="AD570" t="s">
        <v>139</v>
      </c>
      <c r="AE570" s="6">
        <v>16</v>
      </c>
      <c r="AF570">
        <v>2</v>
      </c>
      <c r="AG570">
        <f t="shared" si="38"/>
        <v>4.0625</v>
      </c>
      <c r="AH570">
        <f t="shared" si="39"/>
        <v>0.125</v>
      </c>
      <c r="AI570" t="s">
        <v>392</v>
      </c>
      <c r="AK570" s="18">
        <v>65</v>
      </c>
    </row>
    <row r="571" spans="1:37" x14ac:dyDescent="0.35">
      <c r="A571" t="s">
        <v>139</v>
      </c>
      <c r="B571">
        <v>15</v>
      </c>
      <c r="C571">
        <v>2</v>
      </c>
      <c r="D571">
        <f t="shared" si="32"/>
        <v>4.0666666666666664</v>
      </c>
      <c r="E571">
        <f t="shared" si="33"/>
        <v>0.13333333333333333</v>
      </c>
      <c r="F571" t="s">
        <v>392</v>
      </c>
      <c r="H571">
        <v>61</v>
      </c>
      <c r="K571" t="s">
        <v>22</v>
      </c>
      <c r="L571" s="7">
        <v>129</v>
      </c>
      <c r="M571" s="7">
        <v>22</v>
      </c>
      <c r="N571">
        <f t="shared" si="34"/>
        <v>4.0387596899224807</v>
      </c>
      <c r="O571">
        <f t="shared" si="35"/>
        <v>0.17054263565891473</v>
      </c>
      <c r="P571" t="s">
        <v>392</v>
      </c>
      <c r="Q571" s="3" t="s">
        <v>46</v>
      </c>
      <c r="R571" s="18">
        <v>521</v>
      </c>
      <c r="T571" t="s">
        <v>9</v>
      </c>
      <c r="U571">
        <v>13</v>
      </c>
      <c r="V571">
        <v>2</v>
      </c>
      <c r="W571">
        <f t="shared" si="36"/>
        <v>4.0769230769230766</v>
      </c>
      <c r="X571">
        <f t="shared" si="37"/>
        <v>0.15384615384615385</v>
      </c>
      <c r="Y571" t="s">
        <v>392</v>
      </c>
      <c r="Z571" s="2" t="s">
        <v>47</v>
      </c>
      <c r="AA571" s="18">
        <v>53</v>
      </c>
      <c r="AD571" t="s">
        <v>22</v>
      </c>
      <c r="AE571" s="8">
        <v>137</v>
      </c>
      <c r="AF571">
        <v>22</v>
      </c>
      <c r="AG571">
        <f t="shared" si="38"/>
        <v>4.0729927007299267</v>
      </c>
      <c r="AH571">
        <f t="shared" si="39"/>
        <v>0.16058394160583941</v>
      </c>
      <c r="AI571" t="s">
        <v>392</v>
      </c>
      <c r="AJ571" s="3" t="s">
        <v>45</v>
      </c>
      <c r="AK571" s="18">
        <v>558</v>
      </c>
    </row>
    <row r="572" spans="1:37" x14ac:dyDescent="0.35">
      <c r="A572" t="s">
        <v>9</v>
      </c>
      <c r="B572" s="6">
        <v>13</v>
      </c>
      <c r="C572" s="6">
        <v>2</v>
      </c>
      <c r="D572">
        <f t="shared" si="32"/>
        <v>4.0769230769230766</v>
      </c>
      <c r="E572">
        <f t="shared" si="33"/>
        <v>0.15384615384615385</v>
      </c>
      <c r="F572" t="s">
        <v>392</v>
      </c>
      <c r="G572" s="2" t="s">
        <v>378</v>
      </c>
      <c r="H572">
        <v>53</v>
      </c>
      <c r="K572" t="s">
        <v>139</v>
      </c>
      <c r="L572">
        <v>15</v>
      </c>
      <c r="M572">
        <v>2</v>
      </c>
      <c r="N572">
        <f t="shared" si="34"/>
        <v>4.0666666666666664</v>
      </c>
      <c r="O572">
        <f t="shared" si="35"/>
        <v>0.13333333333333333</v>
      </c>
      <c r="P572" t="s">
        <v>392</v>
      </c>
      <c r="Q572" s="3" t="s">
        <v>46</v>
      </c>
      <c r="R572" s="18">
        <v>61</v>
      </c>
      <c r="T572" t="s">
        <v>112</v>
      </c>
      <c r="U572" s="6">
        <v>12</v>
      </c>
      <c r="V572">
        <v>4</v>
      </c>
      <c r="W572">
        <f t="shared" si="36"/>
        <v>4.083333333333333</v>
      </c>
      <c r="X572">
        <f t="shared" si="37"/>
        <v>0.33333333333333331</v>
      </c>
      <c r="Y572">
        <v>1</v>
      </c>
      <c r="Z572" s="3" t="s">
        <v>54</v>
      </c>
      <c r="AA572" s="18">
        <v>49</v>
      </c>
      <c r="AD572" t="s">
        <v>9</v>
      </c>
      <c r="AE572">
        <v>13</v>
      </c>
      <c r="AF572">
        <v>2</v>
      </c>
      <c r="AG572">
        <f t="shared" si="38"/>
        <v>4.0769230769230766</v>
      </c>
      <c r="AH572">
        <f t="shared" si="39"/>
        <v>0.15384615384615385</v>
      </c>
      <c r="AI572" t="s">
        <v>392</v>
      </c>
      <c r="AJ572" s="3" t="s">
        <v>46</v>
      </c>
      <c r="AK572" s="18">
        <v>53</v>
      </c>
    </row>
    <row r="573" spans="1:37" x14ac:dyDescent="0.35">
      <c r="A573" t="s">
        <v>10</v>
      </c>
      <c r="B573">
        <v>31</v>
      </c>
      <c r="C573">
        <v>5</v>
      </c>
      <c r="D573">
        <f t="shared" si="32"/>
        <v>4.193548387096774</v>
      </c>
      <c r="E573">
        <f t="shared" si="33"/>
        <v>0.16129032258064516</v>
      </c>
      <c r="F573" t="s">
        <v>392</v>
      </c>
      <c r="G573" s="3" t="s">
        <v>46</v>
      </c>
      <c r="H573">
        <v>130</v>
      </c>
      <c r="K573" t="s">
        <v>9</v>
      </c>
      <c r="L573">
        <v>13</v>
      </c>
      <c r="M573">
        <v>2</v>
      </c>
      <c r="N573">
        <f t="shared" si="34"/>
        <v>4.0769230769230766</v>
      </c>
      <c r="O573">
        <f t="shared" si="35"/>
        <v>0.15384615384615385</v>
      </c>
      <c r="P573" t="s">
        <v>392</v>
      </c>
      <c r="Q573" s="3" t="s">
        <v>46</v>
      </c>
      <c r="R573" s="18">
        <v>53</v>
      </c>
      <c r="T573" t="s">
        <v>58</v>
      </c>
      <c r="U573" s="6">
        <v>11</v>
      </c>
      <c r="V573">
        <v>1</v>
      </c>
      <c r="W573">
        <f t="shared" si="36"/>
        <v>4.0909090909090908</v>
      </c>
      <c r="X573">
        <f t="shared" si="37"/>
        <v>9.0909090909090912E-2</v>
      </c>
      <c r="Y573">
        <v>1</v>
      </c>
      <c r="Z573" s="3" t="s">
        <v>84</v>
      </c>
      <c r="AA573" s="18">
        <v>45</v>
      </c>
      <c r="AD573" t="s">
        <v>112</v>
      </c>
      <c r="AE573">
        <v>12</v>
      </c>
      <c r="AF573">
        <v>4</v>
      </c>
      <c r="AG573">
        <f t="shared" si="38"/>
        <v>4.083333333333333</v>
      </c>
      <c r="AH573">
        <f t="shared" si="39"/>
        <v>0.33333333333333331</v>
      </c>
      <c r="AI573">
        <v>1</v>
      </c>
      <c r="AJ573" s="3" t="s">
        <v>46</v>
      </c>
      <c r="AK573" s="18">
        <v>49</v>
      </c>
    </row>
    <row r="574" spans="1:37" x14ac:dyDescent="0.35">
      <c r="A574" t="s">
        <v>116</v>
      </c>
      <c r="B574">
        <v>10</v>
      </c>
      <c r="C574">
        <v>1</v>
      </c>
      <c r="D574">
        <f t="shared" si="32"/>
        <v>4.2</v>
      </c>
      <c r="E574">
        <f t="shared" si="33"/>
        <v>0.1</v>
      </c>
      <c r="F574" t="s">
        <v>392</v>
      </c>
      <c r="G574" s="3" t="s">
        <v>46</v>
      </c>
      <c r="H574">
        <v>42</v>
      </c>
      <c r="K574" t="s">
        <v>10</v>
      </c>
      <c r="L574">
        <v>31</v>
      </c>
      <c r="M574">
        <v>5</v>
      </c>
      <c r="N574">
        <f t="shared" si="34"/>
        <v>4.193548387096774</v>
      </c>
      <c r="O574">
        <f t="shared" si="35"/>
        <v>0.16129032258064516</v>
      </c>
      <c r="P574" t="s">
        <v>392</v>
      </c>
      <c r="Q574" s="3" t="s">
        <v>46</v>
      </c>
      <c r="R574" s="18">
        <v>130</v>
      </c>
      <c r="T574" t="s">
        <v>29</v>
      </c>
      <c r="U574" s="6">
        <v>35</v>
      </c>
      <c r="V574">
        <v>3</v>
      </c>
      <c r="W574">
        <f t="shared" si="36"/>
        <v>4.1714285714285717</v>
      </c>
      <c r="X574">
        <f t="shared" si="37"/>
        <v>8.5714285714285715E-2</v>
      </c>
      <c r="Y574" t="s">
        <v>392</v>
      </c>
      <c r="Z574" s="2" t="s">
        <v>133</v>
      </c>
      <c r="AA574" s="18">
        <v>146</v>
      </c>
      <c r="AD574" t="s">
        <v>58</v>
      </c>
      <c r="AE574">
        <v>11</v>
      </c>
      <c r="AF574">
        <v>1</v>
      </c>
      <c r="AG574">
        <f t="shared" si="38"/>
        <v>4.0909090909090908</v>
      </c>
      <c r="AH574">
        <f t="shared" si="39"/>
        <v>9.0909090909090912E-2</v>
      </c>
      <c r="AI574">
        <v>1</v>
      </c>
      <c r="AJ574" s="3" t="s">
        <v>46</v>
      </c>
      <c r="AK574" s="18">
        <v>45</v>
      </c>
    </row>
    <row r="575" spans="1:37" x14ac:dyDescent="0.35">
      <c r="A575" t="s">
        <v>104</v>
      </c>
      <c r="B575">
        <v>34</v>
      </c>
      <c r="C575">
        <v>2</v>
      </c>
      <c r="D575">
        <f t="shared" si="32"/>
        <v>4.2352941176470589</v>
      </c>
      <c r="E575">
        <f t="shared" si="33"/>
        <v>5.8823529411764705E-2</v>
      </c>
      <c r="F575" t="s">
        <v>392</v>
      </c>
      <c r="H575">
        <v>144</v>
      </c>
      <c r="K575" t="s">
        <v>147</v>
      </c>
      <c r="L575" s="6">
        <v>10</v>
      </c>
      <c r="M575">
        <v>1</v>
      </c>
      <c r="N575">
        <f t="shared" si="34"/>
        <v>4.2</v>
      </c>
      <c r="O575">
        <f t="shared" si="35"/>
        <v>0.1</v>
      </c>
      <c r="P575" t="s">
        <v>392</v>
      </c>
      <c r="Q575" s="3" t="s">
        <v>400</v>
      </c>
      <c r="R575" s="18">
        <v>42</v>
      </c>
      <c r="T575" t="s">
        <v>10</v>
      </c>
      <c r="U575">
        <v>31</v>
      </c>
      <c r="V575">
        <v>5</v>
      </c>
      <c r="W575">
        <f t="shared" si="36"/>
        <v>4.193548387096774</v>
      </c>
      <c r="X575">
        <f t="shared" si="37"/>
        <v>0.16129032258064516</v>
      </c>
      <c r="Y575" t="s">
        <v>392</v>
      </c>
      <c r="Z575" s="3" t="s">
        <v>46</v>
      </c>
      <c r="AA575" s="18">
        <v>130</v>
      </c>
      <c r="AD575" t="s">
        <v>29</v>
      </c>
      <c r="AE575" s="6">
        <v>40</v>
      </c>
      <c r="AF575">
        <v>3</v>
      </c>
      <c r="AG575">
        <f t="shared" si="38"/>
        <v>4.1500000000000004</v>
      </c>
      <c r="AH575">
        <f t="shared" si="39"/>
        <v>7.4999999999999997E-2</v>
      </c>
      <c r="AI575" t="s">
        <v>392</v>
      </c>
      <c r="AJ575" s="3" t="s">
        <v>46</v>
      </c>
      <c r="AK575" s="18">
        <v>166</v>
      </c>
    </row>
    <row r="576" spans="1:37" x14ac:dyDescent="0.35">
      <c r="A576" t="s">
        <v>29</v>
      </c>
      <c r="B576">
        <v>34</v>
      </c>
      <c r="C576">
        <v>3</v>
      </c>
      <c r="D576">
        <f t="shared" si="32"/>
        <v>4.2352941176470589</v>
      </c>
      <c r="E576">
        <f t="shared" si="33"/>
        <v>8.8235294117647065E-2</v>
      </c>
      <c r="F576" t="s">
        <v>392</v>
      </c>
      <c r="H576">
        <v>144</v>
      </c>
      <c r="K576" t="s">
        <v>116</v>
      </c>
      <c r="L576">
        <v>10</v>
      </c>
      <c r="M576">
        <v>1</v>
      </c>
      <c r="N576">
        <f t="shared" si="34"/>
        <v>4.2</v>
      </c>
      <c r="O576">
        <f t="shared" si="35"/>
        <v>0.1</v>
      </c>
      <c r="P576" t="s">
        <v>392</v>
      </c>
      <c r="Q576" s="3" t="s">
        <v>46</v>
      </c>
      <c r="R576" s="18">
        <v>42</v>
      </c>
      <c r="T576" t="s">
        <v>104</v>
      </c>
      <c r="U576">
        <v>34</v>
      </c>
      <c r="V576">
        <v>2</v>
      </c>
      <c r="W576">
        <f t="shared" si="36"/>
        <v>4.2352941176470589</v>
      </c>
      <c r="X576">
        <f t="shared" si="37"/>
        <v>5.8823529411764705E-2</v>
      </c>
      <c r="Y576" t="s">
        <v>392</v>
      </c>
      <c r="Z576" s="2" t="s">
        <v>44</v>
      </c>
      <c r="AA576" s="18">
        <v>144</v>
      </c>
      <c r="AD576" t="s">
        <v>10</v>
      </c>
      <c r="AE576" s="6">
        <v>32</v>
      </c>
      <c r="AF576">
        <v>5</v>
      </c>
      <c r="AG576">
        <f t="shared" si="38"/>
        <v>4.15625</v>
      </c>
      <c r="AH576">
        <f t="shared" si="39"/>
        <v>0.15625</v>
      </c>
      <c r="AI576" t="s">
        <v>392</v>
      </c>
      <c r="AJ576" s="3" t="s">
        <v>46</v>
      </c>
      <c r="AK576" s="18">
        <v>133</v>
      </c>
    </row>
    <row r="577" spans="1:37" x14ac:dyDescent="0.35">
      <c r="A577" t="s">
        <v>115</v>
      </c>
      <c r="B577">
        <v>12</v>
      </c>
      <c r="C577">
        <v>0</v>
      </c>
      <c r="D577">
        <f t="shared" si="32"/>
        <v>4.25</v>
      </c>
      <c r="E577">
        <f t="shared" si="33"/>
        <v>0</v>
      </c>
      <c r="F577" t="s">
        <v>392</v>
      </c>
      <c r="H577">
        <v>51</v>
      </c>
      <c r="K577" t="s">
        <v>104</v>
      </c>
      <c r="L577">
        <v>34</v>
      </c>
      <c r="M577">
        <v>2</v>
      </c>
      <c r="N577">
        <f t="shared" si="34"/>
        <v>4.2352941176470589</v>
      </c>
      <c r="O577">
        <f t="shared" si="35"/>
        <v>5.8823529411764705E-2</v>
      </c>
      <c r="P577" t="s">
        <v>392</v>
      </c>
      <c r="Q577" s="3" t="s">
        <v>45</v>
      </c>
      <c r="R577" s="18">
        <v>144</v>
      </c>
      <c r="T577" t="s">
        <v>115</v>
      </c>
      <c r="U577">
        <v>12</v>
      </c>
      <c r="V577">
        <v>0</v>
      </c>
      <c r="W577">
        <f t="shared" si="36"/>
        <v>4.25</v>
      </c>
      <c r="X577">
        <f t="shared" si="37"/>
        <v>0</v>
      </c>
      <c r="Y577" t="s">
        <v>392</v>
      </c>
      <c r="Z577" s="2" t="s">
        <v>47</v>
      </c>
      <c r="AA577" s="18">
        <v>51</v>
      </c>
      <c r="AD577" t="s">
        <v>104</v>
      </c>
      <c r="AE577" s="6">
        <v>36</v>
      </c>
      <c r="AF577">
        <v>2</v>
      </c>
      <c r="AG577">
        <f t="shared" si="38"/>
        <v>4.166666666666667</v>
      </c>
      <c r="AH577">
        <f t="shared" si="39"/>
        <v>5.5555555555555552E-2</v>
      </c>
      <c r="AI577" t="s">
        <v>392</v>
      </c>
      <c r="AJ577" s="3" t="s">
        <v>46</v>
      </c>
      <c r="AK577" s="18">
        <v>150</v>
      </c>
    </row>
    <row r="578" spans="1:37" x14ac:dyDescent="0.35">
      <c r="A578" t="s">
        <v>129</v>
      </c>
      <c r="B578">
        <v>33</v>
      </c>
      <c r="C578">
        <v>6</v>
      </c>
      <c r="D578">
        <f t="shared" si="32"/>
        <v>4.2727272727272725</v>
      </c>
      <c r="E578">
        <f t="shared" si="33"/>
        <v>0.18181818181818182</v>
      </c>
      <c r="F578" t="s">
        <v>392</v>
      </c>
      <c r="H578">
        <v>141</v>
      </c>
      <c r="K578" t="s">
        <v>29</v>
      </c>
      <c r="L578">
        <v>34</v>
      </c>
      <c r="M578">
        <v>3</v>
      </c>
      <c r="N578">
        <f t="shared" si="34"/>
        <v>4.2352941176470589</v>
      </c>
      <c r="O578">
        <f t="shared" si="35"/>
        <v>8.8235294117647065E-2</v>
      </c>
      <c r="P578" t="s">
        <v>392</v>
      </c>
      <c r="Q578" s="3" t="s">
        <v>45</v>
      </c>
      <c r="R578" s="18">
        <v>144</v>
      </c>
      <c r="T578" t="s">
        <v>116</v>
      </c>
      <c r="U578" s="6">
        <v>11</v>
      </c>
      <c r="V578">
        <v>1</v>
      </c>
      <c r="W578">
        <f t="shared" si="36"/>
        <v>4.2727272727272725</v>
      </c>
      <c r="X578">
        <f t="shared" si="37"/>
        <v>9.0909090909090912E-2</v>
      </c>
      <c r="Y578" t="s">
        <v>392</v>
      </c>
      <c r="Z578" s="3" t="s">
        <v>45</v>
      </c>
      <c r="AA578" s="18">
        <v>47</v>
      </c>
      <c r="AD578" t="s">
        <v>63</v>
      </c>
      <c r="AE578" s="6">
        <v>14</v>
      </c>
      <c r="AF578">
        <v>2</v>
      </c>
      <c r="AG578">
        <f t="shared" si="38"/>
        <v>4.2142857142857144</v>
      </c>
      <c r="AH578">
        <f t="shared" si="39"/>
        <v>0.14285714285714285</v>
      </c>
      <c r="AI578" t="s">
        <v>392</v>
      </c>
      <c r="AJ578" s="2" t="s">
        <v>47</v>
      </c>
      <c r="AK578" s="18">
        <v>59</v>
      </c>
    </row>
    <row r="579" spans="1:37" x14ac:dyDescent="0.35">
      <c r="A579" t="s">
        <v>36</v>
      </c>
      <c r="B579">
        <v>10</v>
      </c>
      <c r="C579">
        <v>0</v>
      </c>
      <c r="D579">
        <f t="shared" si="32"/>
        <v>4.3</v>
      </c>
      <c r="E579">
        <f t="shared" si="33"/>
        <v>0</v>
      </c>
      <c r="F579" t="s">
        <v>392</v>
      </c>
      <c r="H579">
        <v>43</v>
      </c>
      <c r="K579" t="s">
        <v>115</v>
      </c>
      <c r="L579">
        <v>12</v>
      </c>
      <c r="M579">
        <v>0</v>
      </c>
      <c r="N579">
        <f t="shared" si="34"/>
        <v>4.25</v>
      </c>
      <c r="O579">
        <f t="shared" si="35"/>
        <v>0</v>
      </c>
      <c r="P579" t="s">
        <v>392</v>
      </c>
      <c r="Q579" s="3" t="s">
        <v>45</v>
      </c>
      <c r="R579" s="18">
        <v>51</v>
      </c>
      <c r="T579" t="s">
        <v>129</v>
      </c>
      <c r="U579">
        <v>33</v>
      </c>
      <c r="V579">
        <v>6</v>
      </c>
      <c r="W579">
        <f t="shared" si="36"/>
        <v>4.2727272727272725</v>
      </c>
      <c r="X579">
        <f t="shared" si="37"/>
        <v>0.18181818181818182</v>
      </c>
      <c r="Y579" t="s">
        <v>392</v>
      </c>
      <c r="Z579" s="2" t="s">
        <v>44</v>
      </c>
      <c r="AA579" s="18">
        <v>141</v>
      </c>
      <c r="AD579" t="s">
        <v>115</v>
      </c>
      <c r="AE579">
        <v>12</v>
      </c>
      <c r="AF579">
        <v>0</v>
      </c>
      <c r="AG579">
        <f t="shared" si="38"/>
        <v>4.25</v>
      </c>
      <c r="AH579">
        <f t="shared" si="39"/>
        <v>0</v>
      </c>
      <c r="AI579" t="s">
        <v>392</v>
      </c>
      <c r="AJ579" s="3" t="s">
        <v>45</v>
      </c>
      <c r="AK579" s="18">
        <v>51</v>
      </c>
    </row>
    <row r="580" spans="1:37" x14ac:dyDescent="0.35">
      <c r="A580" t="s">
        <v>63</v>
      </c>
      <c r="B580">
        <v>13</v>
      </c>
      <c r="C580">
        <v>2</v>
      </c>
      <c r="D580">
        <f t="shared" si="32"/>
        <v>4.3076923076923075</v>
      </c>
      <c r="E580">
        <f t="shared" si="33"/>
        <v>0.15384615384615385</v>
      </c>
      <c r="F580" t="s">
        <v>392</v>
      </c>
      <c r="H580">
        <v>56</v>
      </c>
      <c r="K580" t="s">
        <v>129</v>
      </c>
      <c r="L580">
        <v>33</v>
      </c>
      <c r="M580">
        <v>6</v>
      </c>
      <c r="N580">
        <f t="shared" si="34"/>
        <v>4.2727272727272725</v>
      </c>
      <c r="O580">
        <f t="shared" si="35"/>
        <v>0.18181818181818182</v>
      </c>
      <c r="P580" t="s">
        <v>392</v>
      </c>
      <c r="Q580" s="3" t="s">
        <v>45</v>
      </c>
      <c r="R580" s="18">
        <v>141</v>
      </c>
      <c r="T580" t="s">
        <v>63</v>
      </c>
      <c r="U580">
        <v>13</v>
      </c>
      <c r="V580">
        <v>2</v>
      </c>
      <c r="W580">
        <f t="shared" si="36"/>
        <v>4.3076923076923075</v>
      </c>
      <c r="X580">
        <f t="shared" si="37"/>
        <v>0.15384615384615385</v>
      </c>
      <c r="Y580" t="s">
        <v>392</v>
      </c>
      <c r="Z580" s="2" t="s">
        <v>44</v>
      </c>
      <c r="AA580" s="18">
        <v>56</v>
      </c>
      <c r="AD580" t="s">
        <v>113</v>
      </c>
      <c r="AE580" s="6">
        <v>12</v>
      </c>
      <c r="AF580">
        <v>0</v>
      </c>
      <c r="AG580">
        <f t="shared" si="38"/>
        <v>4.25</v>
      </c>
      <c r="AH580">
        <f t="shared" si="39"/>
        <v>0</v>
      </c>
      <c r="AI580" t="s">
        <v>392</v>
      </c>
      <c r="AJ580" s="2" t="s">
        <v>59</v>
      </c>
      <c r="AK580" s="18">
        <v>51</v>
      </c>
    </row>
    <row r="581" spans="1:37" x14ac:dyDescent="0.35">
      <c r="A581" t="s">
        <v>7</v>
      </c>
      <c r="B581">
        <v>14</v>
      </c>
      <c r="C581">
        <v>3</v>
      </c>
      <c r="D581">
        <f t="shared" si="32"/>
        <v>4.3571428571428568</v>
      </c>
      <c r="E581">
        <f t="shared" si="33"/>
        <v>0.21428571428571427</v>
      </c>
      <c r="F581" t="s">
        <v>392</v>
      </c>
      <c r="G581" s="2" t="s">
        <v>44</v>
      </c>
      <c r="H581">
        <v>61</v>
      </c>
      <c r="K581" t="s">
        <v>63</v>
      </c>
      <c r="L581">
        <v>13</v>
      </c>
      <c r="M581">
        <v>2</v>
      </c>
      <c r="N581">
        <f t="shared" si="34"/>
        <v>4.3076923076923075</v>
      </c>
      <c r="O581">
        <f t="shared" si="35"/>
        <v>0.15384615384615385</v>
      </c>
      <c r="P581" t="s">
        <v>392</v>
      </c>
      <c r="Q581" s="3" t="s">
        <v>46</v>
      </c>
      <c r="R581" s="18">
        <v>56</v>
      </c>
      <c r="T581" t="s">
        <v>7</v>
      </c>
      <c r="U581">
        <v>14</v>
      </c>
      <c r="V581">
        <v>3</v>
      </c>
      <c r="W581">
        <f t="shared" si="36"/>
        <v>4.3571428571428568</v>
      </c>
      <c r="X581">
        <f t="shared" si="37"/>
        <v>0.21428571428571427</v>
      </c>
      <c r="Y581" t="s">
        <v>392</v>
      </c>
      <c r="Z581" s="2" t="s">
        <v>44</v>
      </c>
      <c r="AA581" s="18">
        <v>61</v>
      </c>
      <c r="AD581" t="s">
        <v>116</v>
      </c>
      <c r="AE581">
        <v>11</v>
      </c>
      <c r="AF581">
        <v>1</v>
      </c>
      <c r="AG581">
        <f t="shared" si="38"/>
        <v>4.2727272727272725</v>
      </c>
      <c r="AH581">
        <f t="shared" si="39"/>
        <v>9.0909090909090912E-2</v>
      </c>
      <c r="AI581" t="s">
        <v>392</v>
      </c>
      <c r="AJ581" s="3" t="s">
        <v>54</v>
      </c>
      <c r="AK581" s="18">
        <v>47</v>
      </c>
    </row>
    <row r="582" spans="1:37" x14ac:dyDescent="0.35">
      <c r="A582" t="s">
        <v>27</v>
      </c>
      <c r="B582">
        <v>22</v>
      </c>
      <c r="C582">
        <v>1</v>
      </c>
      <c r="D582">
        <f t="shared" si="32"/>
        <v>4.3636363636363633</v>
      </c>
      <c r="E582">
        <f t="shared" si="33"/>
        <v>4.5454545454545456E-2</v>
      </c>
      <c r="F582" t="s">
        <v>392</v>
      </c>
      <c r="G582" s="2" t="s">
        <v>44</v>
      </c>
      <c r="H582">
        <v>96</v>
      </c>
      <c r="K582" t="s">
        <v>7</v>
      </c>
      <c r="L582">
        <v>14</v>
      </c>
      <c r="M582">
        <v>3</v>
      </c>
      <c r="N582">
        <f t="shared" si="34"/>
        <v>4.3571428571428568</v>
      </c>
      <c r="O582">
        <f t="shared" si="35"/>
        <v>0.21428571428571427</v>
      </c>
      <c r="P582" t="s">
        <v>392</v>
      </c>
      <c r="Q582" s="3" t="s">
        <v>46</v>
      </c>
      <c r="R582" s="18">
        <v>61</v>
      </c>
      <c r="T582" t="s">
        <v>36</v>
      </c>
      <c r="U582">
        <v>11</v>
      </c>
      <c r="V582">
        <v>0</v>
      </c>
      <c r="W582">
        <f t="shared" si="36"/>
        <v>4.3636363636363633</v>
      </c>
      <c r="X582">
        <f t="shared" si="37"/>
        <v>0</v>
      </c>
      <c r="Y582" t="s">
        <v>392</v>
      </c>
      <c r="Z582" s="2" t="s">
        <v>44</v>
      </c>
      <c r="AA582" s="18">
        <v>48</v>
      </c>
      <c r="AD582" t="s">
        <v>129</v>
      </c>
      <c r="AE582" s="6">
        <v>35</v>
      </c>
      <c r="AF582">
        <v>6</v>
      </c>
      <c r="AG582">
        <f t="shared" si="38"/>
        <v>4.3428571428571425</v>
      </c>
      <c r="AH582">
        <f t="shared" si="39"/>
        <v>0.17142857142857143</v>
      </c>
      <c r="AI582" t="s">
        <v>392</v>
      </c>
      <c r="AJ582" s="3" t="s">
        <v>54</v>
      </c>
      <c r="AK582" s="18">
        <v>152</v>
      </c>
    </row>
    <row r="583" spans="1:37" x14ac:dyDescent="0.35">
      <c r="A583" t="s">
        <v>21</v>
      </c>
      <c r="B583">
        <v>11</v>
      </c>
      <c r="C583">
        <v>0</v>
      </c>
      <c r="D583">
        <f t="shared" si="32"/>
        <v>4.3636363636363633</v>
      </c>
      <c r="E583">
        <f t="shared" si="33"/>
        <v>0</v>
      </c>
      <c r="F583" t="s">
        <v>392</v>
      </c>
      <c r="G583" s="2" t="s">
        <v>44</v>
      </c>
      <c r="H583">
        <v>48</v>
      </c>
      <c r="K583" t="s">
        <v>36</v>
      </c>
      <c r="L583" s="6">
        <v>11</v>
      </c>
      <c r="M583">
        <v>0</v>
      </c>
      <c r="N583">
        <f t="shared" si="34"/>
        <v>4.3636363636363633</v>
      </c>
      <c r="O583">
        <f t="shared" si="35"/>
        <v>0</v>
      </c>
      <c r="P583" t="s">
        <v>392</v>
      </c>
      <c r="Q583" s="3" t="s">
        <v>55</v>
      </c>
      <c r="R583" s="18">
        <v>48</v>
      </c>
      <c r="T583" t="s">
        <v>113</v>
      </c>
      <c r="U583" s="6">
        <v>11</v>
      </c>
      <c r="V583">
        <v>0</v>
      </c>
      <c r="W583">
        <f t="shared" si="36"/>
        <v>4.3636363636363633</v>
      </c>
      <c r="X583">
        <f t="shared" si="37"/>
        <v>0</v>
      </c>
      <c r="Y583" t="s">
        <v>392</v>
      </c>
      <c r="Z583" s="35" t="s">
        <v>412</v>
      </c>
      <c r="AA583" s="18">
        <v>48</v>
      </c>
      <c r="AD583" t="s">
        <v>7</v>
      </c>
      <c r="AE583">
        <v>14</v>
      </c>
      <c r="AF583">
        <v>3</v>
      </c>
      <c r="AG583">
        <f t="shared" si="38"/>
        <v>4.3571428571428568</v>
      </c>
      <c r="AH583">
        <f t="shared" si="39"/>
        <v>0.21428571428571427</v>
      </c>
      <c r="AI583" t="s">
        <v>392</v>
      </c>
      <c r="AJ583" s="3" t="s">
        <v>45</v>
      </c>
      <c r="AK583" s="18">
        <v>61</v>
      </c>
    </row>
    <row r="584" spans="1:37" x14ac:dyDescent="0.35">
      <c r="A584" t="s">
        <v>125</v>
      </c>
      <c r="B584" s="6">
        <v>16</v>
      </c>
      <c r="C584">
        <v>1</v>
      </c>
      <c r="D584">
        <f t="shared" si="32"/>
        <v>4.375</v>
      </c>
      <c r="E584">
        <f t="shared" si="33"/>
        <v>6.25E-2</v>
      </c>
      <c r="F584" t="s">
        <v>392</v>
      </c>
      <c r="G584" s="3" t="s">
        <v>182</v>
      </c>
      <c r="H584">
        <v>70</v>
      </c>
      <c r="K584" t="s">
        <v>27</v>
      </c>
      <c r="L584">
        <v>22</v>
      </c>
      <c r="M584">
        <v>1</v>
      </c>
      <c r="N584">
        <f t="shared" si="34"/>
        <v>4.3636363636363633</v>
      </c>
      <c r="O584">
        <f t="shared" si="35"/>
        <v>4.5454545454545456E-2</v>
      </c>
      <c r="P584" t="s">
        <v>392</v>
      </c>
      <c r="Q584" s="3" t="s">
        <v>45</v>
      </c>
      <c r="R584" s="18">
        <v>96</v>
      </c>
      <c r="T584" t="s">
        <v>15</v>
      </c>
      <c r="U584" s="6">
        <v>111</v>
      </c>
      <c r="V584" s="6">
        <v>21</v>
      </c>
      <c r="W584">
        <f t="shared" si="36"/>
        <v>4.3693693693693696</v>
      </c>
      <c r="X584">
        <f t="shared" si="37"/>
        <v>0.1891891891891892</v>
      </c>
      <c r="Y584">
        <v>1</v>
      </c>
      <c r="Z584" s="2" t="s">
        <v>59</v>
      </c>
      <c r="AA584" s="18">
        <v>485</v>
      </c>
      <c r="AD584" t="s">
        <v>36</v>
      </c>
      <c r="AE584">
        <v>11</v>
      </c>
      <c r="AF584">
        <v>0</v>
      </c>
      <c r="AG584">
        <f t="shared" si="38"/>
        <v>4.3636363636363633</v>
      </c>
      <c r="AH584">
        <f t="shared" si="39"/>
        <v>0</v>
      </c>
      <c r="AI584" t="s">
        <v>392</v>
      </c>
      <c r="AJ584" s="3" t="s">
        <v>45</v>
      </c>
      <c r="AK584" s="18">
        <v>48</v>
      </c>
    </row>
    <row r="585" spans="1:37" x14ac:dyDescent="0.35">
      <c r="A585" t="s">
        <v>15</v>
      </c>
      <c r="B585" s="6">
        <v>101</v>
      </c>
      <c r="C585">
        <v>18</v>
      </c>
      <c r="D585">
        <f t="shared" si="32"/>
        <v>4.4455445544554459</v>
      </c>
      <c r="E585">
        <f t="shared" si="33"/>
        <v>0.17821782178217821</v>
      </c>
      <c r="F585">
        <v>1</v>
      </c>
      <c r="H585">
        <v>449</v>
      </c>
      <c r="K585" t="s">
        <v>21</v>
      </c>
      <c r="L585">
        <v>11</v>
      </c>
      <c r="M585">
        <v>0</v>
      </c>
      <c r="N585">
        <f t="shared" si="34"/>
        <v>4.3636363636363633</v>
      </c>
      <c r="O585">
        <f t="shared" si="35"/>
        <v>0</v>
      </c>
      <c r="P585" t="s">
        <v>392</v>
      </c>
      <c r="Q585" s="3" t="s">
        <v>45</v>
      </c>
      <c r="R585" s="18">
        <v>48</v>
      </c>
      <c r="T585" t="s">
        <v>125</v>
      </c>
      <c r="U585">
        <v>16</v>
      </c>
      <c r="V585">
        <v>1</v>
      </c>
      <c r="W585">
        <f t="shared" si="36"/>
        <v>4.375</v>
      </c>
      <c r="X585">
        <f t="shared" si="37"/>
        <v>6.25E-2</v>
      </c>
      <c r="Y585" t="s">
        <v>392</v>
      </c>
      <c r="Z585" s="2" t="s">
        <v>44</v>
      </c>
      <c r="AA585" s="18">
        <v>70</v>
      </c>
      <c r="AD585" t="s">
        <v>15</v>
      </c>
      <c r="AE585" s="6">
        <v>114</v>
      </c>
      <c r="AF585">
        <v>22</v>
      </c>
      <c r="AG585">
        <f t="shared" si="38"/>
        <v>4.3684210526315788</v>
      </c>
      <c r="AH585">
        <f t="shared" si="39"/>
        <v>0.19298245614035087</v>
      </c>
      <c r="AI585">
        <v>2</v>
      </c>
      <c r="AJ585" s="3" t="s">
        <v>46</v>
      </c>
      <c r="AK585" s="18">
        <v>498</v>
      </c>
    </row>
    <row r="586" spans="1:37" x14ac:dyDescent="0.35">
      <c r="A586" t="s">
        <v>8</v>
      </c>
      <c r="B586">
        <v>38</v>
      </c>
      <c r="C586">
        <v>5</v>
      </c>
      <c r="D586">
        <f t="shared" si="32"/>
        <v>4.5</v>
      </c>
      <c r="E586">
        <f t="shared" si="33"/>
        <v>0.13157894736842105</v>
      </c>
      <c r="F586" t="s">
        <v>392</v>
      </c>
      <c r="H586">
        <v>171</v>
      </c>
      <c r="K586" t="s">
        <v>125</v>
      </c>
      <c r="L586">
        <v>16</v>
      </c>
      <c r="M586">
        <v>1</v>
      </c>
      <c r="N586">
        <f t="shared" si="34"/>
        <v>4.375</v>
      </c>
      <c r="O586">
        <f t="shared" si="35"/>
        <v>6.25E-2</v>
      </c>
      <c r="P586" t="s">
        <v>392</v>
      </c>
      <c r="Q586" s="3" t="s">
        <v>45</v>
      </c>
      <c r="R586" s="18">
        <v>70</v>
      </c>
      <c r="T586" t="s">
        <v>147</v>
      </c>
      <c r="U586" s="6">
        <v>12</v>
      </c>
      <c r="V586">
        <v>1</v>
      </c>
      <c r="W586">
        <f t="shared" si="36"/>
        <v>4.416666666666667</v>
      </c>
      <c r="X586">
        <f t="shared" si="37"/>
        <v>8.3333333333333329E-2</v>
      </c>
      <c r="Y586" t="s">
        <v>392</v>
      </c>
      <c r="Z586" s="3" t="s">
        <v>144</v>
      </c>
      <c r="AA586" s="18">
        <v>53</v>
      </c>
      <c r="AD586" t="s">
        <v>125</v>
      </c>
      <c r="AE586">
        <v>16</v>
      </c>
      <c r="AF586">
        <v>1</v>
      </c>
      <c r="AG586">
        <f t="shared" si="38"/>
        <v>4.375</v>
      </c>
      <c r="AH586">
        <f t="shared" si="39"/>
        <v>6.25E-2</v>
      </c>
      <c r="AI586" t="s">
        <v>392</v>
      </c>
      <c r="AJ586" s="3" t="s">
        <v>46</v>
      </c>
      <c r="AK586" s="18">
        <v>70</v>
      </c>
    </row>
    <row r="587" spans="1:37" x14ac:dyDescent="0.35">
      <c r="A587" t="s">
        <v>23</v>
      </c>
      <c r="B587">
        <v>18</v>
      </c>
      <c r="C587">
        <v>0</v>
      </c>
      <c r="D587">
        <f t="shared" si="32"/>
        <v>4.5</v>
      </c>
      <c r="E587">
        <f t="shared" si="33"/>
        <v>0</v>
      </c>
      <c r="F587" t="s">
        <v>392</v>
      </c>
      <c r="H587">
        <v>81</v>
      </c>
      <c r="K587" t="s">
        <v>15</v>
      </c>
      <c r="L587" s="6">
        <v>104</v>
      </c>
      <c r="M587">
        <v>18</v>
      </c>
      <c r="N587">
        <f t="shared" si="34"/>
        <v>4.4807692307692308</v>
      </c>
      <c r="O587">
        <f t="shared" si="35"/>
        <v>0.17307692307692307</v>
      </c>
      <c r="P587">
        <v>1</v>
      </c>
      <c r="Q587" s="3" t="s">
        <v>45</v>
      </c>
      <c r="R587" s="18">
        <v>466</v>
      </c>
      <c r="T587" t="s">
        <v>21</v>
      </c>
      <c r="U587" s="6">
        <v>15</v>
      </c>
      <c r="V587">
        <v>0</v>
      </c>
      <c r="W587">
        <f t="shared" si="36"/>
        <v>4.4666666666666668</v>
      </c>
      <c r="X587">
        <f t="shared" si="37"/>
        <v>0</v>
      </c>
      <c r="Y587" t="s">
        <v>392</v>
      </c>
      <c r="Z587" s="3" t="s">
        <v>45</v>
      </c>
      <c r="AA587" s="18">
        <v>67</v>
      </c>
      <c r="AD587" t="s">
        <v>23</v>
      </c>
      <c r="AE587">
        <v>19</v>
      </c>
      <c r="AF587">
        <v>0</v>
      </c>
      <c r="AG587">
        <f t="shared" si="38"/>
        <v>4.4736842105263159</v>
      </c>
      <c r="AH587">
        <f t="shared" si="39"/>
        <v>0</v>
      </c>
      <c r="AI587" t="s">
        <v>392</v>
      </c>
      <c r="AJ587" s="2" t="s">
        <v>44</v>
      </c>
      <c r="AK587" s="18">
        <v>85</v>
      </c>
    </row>
    <row r="588" spans="1:37" x14ac:dyDescent="0.35">
      <c r="A588" t="s">
        <v>24</v>
      </c>
      <c r="B588">
        <v>64</v>
      </c>
      <c r="C588">
        <v>8</v>
      </c>
      <c r="D588">
        <f t="shared" si="32"/>
        <v>4.515625</v>
      </c>
      <c r="E588">
        <f t="shared" si="33"/>
        <v>0.125</v>
      </c>
      <c r="F588" t="s">
        <v>392</v>
      </c>
      <c r="H588">
        <v>289</v>
      </c>
      <c r="K588" t="s">
        <v>8</v>
      </c>
      <c r="L588">
        <v>38</v>
      </c>
      <c r="M588">
        <v>5</v>
      </c>
      <c r="N588">
        <f t="shared" si="34"/>
        <v>4.5</v>
      </c>
      <c r="O588">
        <f t="shared" si="35"/>
        <v>0.13157894736842105</v>
      </c>
      <c r="P588" t="s">
        <v>392</v>
      </c>
      <c r="Q588" s="3" t="s">
        <v>45</v>
      </c>
      <c r="R588" s="18">
        <v>171</v>
      </c>
      <c r="T588" t="s">
        <v>23</v>
      </c>
      <c r="U588" s="6">
        <v>19</v>
      </c>
      <c r="V588">
        <v>0</v>
      </c>
      <c r="W588">
        <f t="shared" si="36"/>
        <v>4.4736842105263159</v>
      </c>
      <c r="X588">
        <f t="shared" si="37"/>
        <v>0</v>
      </c>
      <c r="Y588" t="s">
        <v>392</v>
      </c>
      <c r="Z588" s="2" t="s">
        <v>44</v>
      </c>
      <c r="AA588" s="18">
        <v>85</v>
      </c>
      <c r="AD588" t="s">
        <v>21</v>
      </c>
      <c r="AE588" s="6">
        <v>20</v>
      </c>
      <c r="AF588">
        <v>1</v>
      </c>
      <c r="AG588">
        <f t="shared" si="38"/>
        <v>4.5</v>
      </c>
      <c r="AH588">
        <f t="shared" si="39"/>
        <v>0.05</v>
      </c>
      <c r="AI588" t="s">
        <v>392</v>
      </c>
      <c r="AJ588" s="3" t="s">
        <v>418</v>
      </c>
      <c r="AK588" s="18">
        <v>90</v>
      </c>
    </row>
    <row r="589" spans="1:37" x14ac:dyDescent="0.35">
      <c r="A589" t="s">
        <v>30</v>
      </c>
      <c r="B589">
        <v>14</v>
      </c>
      <c r="C589">
        <v>3</v>
      </c>
      <c r="D589">
        <f t="shared" si="32"/>
        <v>4.5714285714285712</v>
      </c>
      <c r="E589">
        <f t="shared" si="33"/>
        <v>0.21428571428571427</v>
      </c>
      <c r="F589" t="s">
        <v>392</v>
      </c>
      <c r="H589">
        <v>64</v>
      </c>
      <c r="K589" t="s">
        <v>23</v>
      </c>
      <c r="L589">
        <v>18</v>
      </c>
      <c r="M589">
        <v>0</v>
      </c>
      <c r="N589">
        <f t="shared" si="34"/>
        <v>4.5</v>
      </c>
      <c r="O589">
        <f t="shared" si="35"/>
        <v>0</v>
      </c>
      <c r="P589" t="s">
        <v>392</v>
      </c>
      <c r="Q589" s="3" t="s">
        <v>45</v>
      </c>
      <c r="R589" s="18">
        <v>81</v>
      </c>
      <c r="T589" t="s">
        <v>8</v>
      </c>
      <c r="U589">
        <v>38</v>
      </c>
      <c r="V589">
        <v>5</v>
      </c>
      <c r="W589">
        <f t="shared" si="36"/>
        <v>4.5</v>
      </c>
      <c r="X589">
        <f t="shared" si="37"/>
        <v>0.13157894736842105</v>
      </c>
      <c r="Y589" t="s">
        <v>392</v>
      </c>
      <c r="Z589" s="3" t="s">
        <v>46</v>
      </c>
      <c r="AA589" s="18">
        <v>171</v>
      </c>
      <c r="AD589" t="s">
        <v>8</v>
      </c>
      <c r="AE589" s="6">
        <v>39</v>
      </c>
      <c r="AF589">
        <v>5</v>
      </c>
      <c r="AG589">
        <f t="shared" si="38"/>
        <v>4.5384615384615383</v>
      </c>
      <c r="AH589">
        <f t="shared" si="39"/>
        <v>0.12820512820512819</v>
      </c>
      <c r="AI589" t="s">
        <v>392</v>
      </c>
      <c r="AK589" s="18">
        <v>177</v>
      </c>
    </row>
    <row r="590" spans="1:37" x14ac:dyDescent="0.35">
      <c r="A590" t="s">
        <v>14</v>
      </c>
      <c r="B590">
        <v>43</v>
      </c>
      <c r="C590">
        <v>3</v>
      </c>
      <c r="D590">
        <f t="shared" si="32"/>
        <v>4.6279069767441863</v>
      </c>
      <c r="E590">
        <f t="shared" si="33"/>
        <v>6.9767441860465115E-2</v>
      </c>
      <c r="F590" t="s">
        <v>392</v>
      </c>
      <c r="H590">
        <v>199</v>
      </c>
      <c r="K590" t="s">
        <v>24</v>
      </c>
      <c r="L590" s="6">
        <v>67</v>
      </c>
      <c r="M590" s="6">
        <v>9</v>
      </c>
      <c r="N590">
        <f t="shared" si="34"/>
        <v>4.5373134328358207</v>
      </c>
      <c r="O590">
        <f t="shared" si="35"/>
        <v>0.13432835820895522</v>
      </c>
      <c r="P590" t="s">
        <v>392</v>
      </c>
      <c r="Q590" s="3" t="s">
        <v>45</v>
      </c>
      <c r="R590" s="18">
        <v>304</v>
      </c>
      <c r="T590" t="s">
        <v>27</v>
      </c>
      <c r="U590" s="6">
        <v>24</v>
      </c>
      <c r="V590">
        <v>1</v>
      </c>
      <c r="W590">
        <f t="shared" si="36"/>
        <v>4.541666666666667</v>
      </c>
      <c r="X590">
        <f t="shared" si="37"/>
        <v>4.1666666666666664E-2</v>
      </c>
      <c r="Y590" t="s">
        <v>392</v>
      </c>
      <c r="Z590" s="3" t="s">
        <v>195</v>
      </c>
      <c r="AA590" s="18">
        <v>109</v>
      </c>
      <c r="AD590" t="s">
        <v>27</v>
      </c>
      <c r="AE590">
        <v>24</v>
      </c>
      <c r="AF590">
        <v>1</v>
      </c>
      <c r="AG590">
        <f t="shared" si="38"/>
        <v>4.541666666666667</v>
      </c>
      <c r="AH590">
        <f t="shared" si="39"/>
        <v>4.1666666666666664E-2</v>
      </c>
      <c r="AI590" t="s">
        <v>392</v>
      </c>
      <c r="AK590" s="18">
        <v>109</v>
      </c>
    </row>
    <row r="591" spans="1:37" x14ac:dyDescent="0.35">
      <c r="A591" t="s">
        <v>13</v>
      </c>
      <c r="B591">
        <v>30</v>
      </c>
      <c r="C591">
        <v>2</v>
      </c>
      <c r="D591">
        <f t="shared" si="32"/>
        <v>4.6333333333333337</v>
      </c>
      <c r="E591">
        <f t="shared" si="33"/>
        <v>6.6666666666666666E-2</v>
      </c>
      <c r="F591" t="s">
        <v>392</v>
      </c>
      <c r="H591">
        <v>139</v>
      </c>
      <c r="K591" t="s">
        <v>30</v>
      </c>
      <c r="L591">
        <v>14</v>
      </c>
      <c r="M591">
        <v>3</v>
      </c>
      <c r="N591">
        <f t="shared" si="34"/>
        <v>4.5714285714285712</v>
      </c>
      <c r="O591">
        <f t="shared" si="35"/>
        <v>0.21428571428571427</v>
      </c>
      <c r="P591" t="s">
        <v>392</v>
      </c>
      <c r="Q591" s="3" t="s">
        <v>45</v>
      </c>
      <c r="R591" s="18">
        <v>64</v>
      </c>
      <c r="T591" t="s">
        <v>24</v>
      </c>
      <c r="U591" s="6">
        <v>70</v>
      </c>
      <c r="V591">
        <v>9</v>
      </c>
      <c r="W591">
        <f t="shared" si="36"/>
        <v>4.5714285714285712</v>
      </c>
      <c r="X591">
        <f t="shared" si="37"/>
        <v>0.12857142857142856</v>
      </c>
      <c r="Y591" t="s">
        <v>392</v>
      </c>
      <c r="Z591" s="3" t="s">
        <v>46</v>
      </c>
      <c r="AA591" s="18">
        <v>320</v>
      </c>
      <c r="AD591" t="s">
        <v>24</v>
      </c>
      <c r="AE591">
        <v>70</v>
      </c>
      <c r="AF591">
        <v>9</v>
      </c>
      <c r="AG591">
        <f t="shared" si="38"/>
        <v>4.5714285714285712</v>
      </c>
      <c r="AH591">
        <f t="shared" si="39"/>
        <v>0.12857142857142856</v>
      </c>
      <c r="AI591" t="s">
        <v>392</v>
      </c>
      <c r="AK591" s="18">
        <v>320</v>
      </c>
    </row>
    <row r="592" spans="1:37" x14ac:dyDescent="0.35">
      <c r="A592" t="s">
        <v>26</v>
      </c>
      <c r="B592">
        <v>14</v>
      </c>
      <c r="C592">
        <v>2</v>
      </c>
      <c r="D592">
        <f t="shared" ref="D592:D613" si="40">H592/B592</f>
        <v>4.6428571428571432</v>
      </c>
      <c r="E592">
        <f t="shared" ref="E592:E613" si="41">C592/B592</f>
        <v>0.14285714285714285</v>
      </c>
      <c r="F592" t="s">
        <v>392</v>
      </c>
      <c r="H592">
        <v>65</v>
      </c>
      <c r="K592" t="s">
        <v>14</v>
      </c>
      <c r="L592">
        <v>43</v>
      </c>
      <c r="M592">
        <v>3</v>
      </c>
      <c r="N592">
        <f t="shared" ref="N592:N615" si="42">R592/L592</f>
        <v>4.6279069767441863</v>
      </c>
      <c r="O592">
        <f t="shared" ref="O592:O615" si="43">M592/L592</f>
        <v>6.9767441860465115E-2</v>
      </c>
      <c r="P592" t="s">
        <v>392</v>
      </c>
      <c r="Q592" s="3" t="s">
        <v>45</v>
      </c>
      <c r="R592" s="18">
        <v>199</v>
      </c>
      <c r="T592" t="s">
        <v>30</v>
      </c>
      <c r="U592">
        <v>14</v>
      </c>
      <c r="V592">
        <v>3</v>
      </c>
      <c r="W592">
        <f t="shared" ref="W592:W622" si="44">AA592/U592</f>
        <v>4.5714285714285712</v>
      </c>
      <c r="X592">
        <f t="shared" ref="X592:X622" si="45">V592/U592</f>
        <v>0.21428571428571427</v>
      </c>
      <c r="Y592" t="s">
        <v>392</v>
      </c>
      <c r="Z592" s="3" t="s">
        <v>46</v>
      </c>
      <c r="AA592" s="18">
        <v>64</v>
      </c>
      <c r="AD592" t="s">
        <v>30</v>
      </c>
      <c r="AE592">
        <v>14</v>
      </c>
      <c r="AF592">
        <v>3</v>
      </c>
      <c r="AG592">
        <f t="shared" ref="AG592:AG623" si="46">AK592/AE592</f>
        <v>4.5714285714285712</v>
      </c>
      <c r="AH592">
        <f t="shared" ref="AH592:AH623" si="47">AF592/AE592</f>
        <v>0.21428571428571427</v>
      </c>
      <c r="AI592" t="s">
        <v>392</v>
      </c>
      <c r="AK592" s="18">
        <v>64</v>
      </c>
    </row>
    <row r="593" spans="1:37" x14ac:dyDescent="0.35">
      <c r="A593" t="s">
        <v>50</v>
      </c>
      <c r="B593">
        <v>13</v>
      </c>
      <c r="C593">
        <v>0</v>
      </c>
      <c r="D593">
        <f t="shared" si="40"/>
        <v>4.6923076923076925</v>
      </c>
      <c r="E593">
        <f t="shared" si="41"/>
        <v>0</v>
      </c>
      <c r="F593" t="s">
        <v>392</v>
      </c>
      <c r="H593">
        <v>61</v>
      </c>
      <c r="K593" t="s">
        <v>13</v>
      </c>
      <c r="L593">
        <v>30</v>
      </c>
      <c r="M593">
        <v>2</v>
      </c>
      <c r="N593">
        <f t="shared" si="42"/>
        <v>4.6333333333333337</v>
      </c>
      <c r="O593">
        <f t="shared" si="43"/>
        <v>6.6666666666666666E-2</v>
      </c>
      <c r="P593" t="s">
        <v>392</v>
      </c>
      <c r="Q593" s="3" t="s">
        <v>45</v>
      </c>
      <c r="R593" s="18">
        <v>139</v>
      </c>
      <c r="T593" t="s">
        <v>404</v>
      </c>
      <c r="U593" s="6">
        <v>10</v>
      </c>
      <c r="V593">
        <v>2</v>
      </c>
      <c r="W593">
        <f t="shared" si="44"/>
        <v>4.5999999999999996</v>
      </c>
      <c r="X593">
        <f t="shared" si="45"/>
        <v>0.2</v>
      </c>
      <c r="Y593" t="s">
        <v>392</v>
      </c>
      <c r="Z593" s="3" t="s">
        <v>406</v>
      </c>
      <c r="AA593" s="18">
        <v>46</v>
      </c>
      <c r="AD593" t="s">
        <v>404</v>
      </c>
      <c r="AE593">
        <v>10</v>
      </c>
      <c r="AF593">
        <v>2</v>
      </c>
      <c r="AG593">
        <f t="shared" si="46"/>
        <v>4.5999999999999996</v>
      </c>
      <c r="AH593">
        <f t="shared" si="47"/>
        <v>0.2</v>
      </c>
      <c r="AI593" t="s">
        <v>392</v>
      </c>
      <c r="AJ593" s="2" t="s">
        <v>44</v>
      </c>
      <c r="AK593" s="18">
        <v>46</v>
      </c>
    </row>
    <row r="594" spans="1:37" x14ac:dyDescent="0.35">
      <c r="A594" t="s">
        <v>87</v>
      </c>
      <c r="B594">
        <v>10</v>
      </c>
      <c r="C594">
        <v>1</v>
      </c>
      <c r="D594">
        <f t="shared" si="40"/>
        <v>4.7</v>
      </c>
      <c r="E594">
        <f t="shared" si="41"/>
        <v>0.1</v>
      </c>
      <c r="F594" t="s">
        <v>392</v>
      </c>
      <c r="H594">
        <v>47</v>
      </c>
      <c r="K594" t="s">
        <v>26</v>
      </c>
      <c r="L594">
        <v>14</v>
      </c>
      <c r="M594">
        <v>2</v>
      </c>
      <c r="N594">
        <f t="shared" si="42"/>
        <v>4.6428571428571432</v>
      </c>
      <c r="O594">
        <f t="shared" si="43"/>
        <v>0.14285714285714285</v>
      </c>
      <c r="P594" t="s">
        <v>392</v>
      </c>
      <c r="Q594" s="3" t="s">
        <v>45</v>
      </c>
      <c r="R594" s="18">
        <v>65</v>
      </c>
      <c r="T594" t="s">
        <v>14</v>
      </c>
      <c r="U594">
        <v>43</v>
      </c>
      <c r="V594">
        <v>3</v>
      </c>
      <c r="W594">
        <f t="shared" si="44"/>
        <v>4.6279069767441863</v>
      </c>
      <c r="X594">
        <f t="shared" si="45"/>
        <v>6.9767441860465115E-2</v>
      </c>
      <c r="Y594" t="s">
        <v>392</v>
      </c>
      <c r="Z594" s="3" t="s">
        <v>45</v>
      </c>
      <c r="AA594" s="18">
        <v>199</v>
      </c>
      <c r="AD594" t="s">
        <v>13</v>
      </c>
      <c r="AE594">
        <v>30</v>
      </c>
      <c r="AF594">
        <v>2</v>
      </c>
      <c r="AG594">
        <f t="shared" si="46"/>
        <v>4.6333333333333337</v>
      </c>
      <c r="AH594">
        <f t="shared" si="47"/>
        <v>6.6666666666666666E-2</v>
      </c>
      <c r="AI594" t="s">
        <v>392</v>
      </c>
      <c r="AJ594" s="2" t="s">
        <v>44</v>
      </c>
      <c r="AK594" s="18">
        <v>139</v>
      </c>
    </row>
    <row r="595" spans="1:37" x14ac:dyDescent="0.35">
      <c r="A595" t="s">
        <v>3</v>
      </c>
      <c r="B595">
        <v>19</v>
      </c>
      <c r="C595">
        <v>3</v>
      </c>
      <c r="D595">
        <f t="shared" si="40"/>
        <v>4.7894736842105265</v>
      </c>
      <c r="E595">
        <f t="shared" si="41"/>
        <v>0.15789473684210525</v>
      </c>
      <c r="F595" t="s">
        <v>392</v>
      </c>
      <c r="H595">
        <v>91</v>
      </c>
      <c r="K595" t="s">
        <v>50</v>
      </c>
      <c r="L595">
        <v>13</v>
      </c>
      <c r="M595">
        <v>0</v>
      </c>
      <c r="N595">
        <f t="shared" si="42"/>
        <v>4.6923076923076925</v>
      </c>
      <c r="O595">
        <f t="shared" si="43"/>
        <v>0</v>
      </c>
      <c r="P595" t="s">
        <v>392</v>
      </c>
      <c r="Q595" s="3" t="s">
        <v>45</v>
      </c>
      <c r="R595" s="18">
        <v>61</v>
      </c>
      <c r="T595" t="s">
        <v>13</v>
      </c>
      <c r="U595">
        <v>30</v>
      </c>
      <c r="V595">
        <v>2</v>
      </c>
      <c r="W595">
        <f t="shared" si="44"/>
        <v>4.6333333333333337</v>
      </c>
      <c r="X595">
        <f t="shared" si="45"/>
        <v>6.6666666666666666E-2</v>
      </c>
      <c r="Y595" t="s">
        <v>392</v>
      </c>
      <c r="Z595" s="3" t="s">
        <v>45</v>
      </c>
      <c r="AA595" s="18">
        <v>139</v>
      </c>
      <c r="AD595" t="s">
        <v>14</v>
      </c>
      <c r="AE595" s="6">
        <v>44</v>
      </c>
      <c r="AF595">
        <v>3</v>
      </c>
      <c r="AG595">
        <f t="shared" si="46"/>
        <v>4.6363636363636367</v>
      </c>
      <c r="AH595">
        <f t="shared" si="47"/>
        <v>6.8181818181818177E-2</v>
      </c>
      <c r="AI595" t="s">
        <v>392</v>
      </c>
      <c r="AJ595" s="3" t="s">
        <v>46</v>
      </c>
      <c r="AK595" s="18">
        <v>204</v>
      </c>
    </row>
    <row r="596" spans="1:37" x14ac:dyDescent="0.35">
      <c r="A596" t="s">
        <v>37</v>
      </c>
      <c r="B596">
        <v>15</v>
      </c>
      <c r="C596">
        <v>2</v>
      </c>
      <c r="D596">
        <f t="shared" si="40"/>
        <v>4.8</v>
      </c>
      <c r="E596">
        <f t="shared" si="41"/>
        <v>0.13333333333333333</v>
      </c>
      <c r="F596" t="s">
        <v>392</v>
      </c>
      <c r="H596">
        <v>72</v>
      </c>
      <c r="K596" t="s">
        <v>87</v>
      </c>
      <c r="L596">
        <v>10</v>
      </c>
      <c r="M596">
        <v>1</v>
      </c>
      <c r="N596">
        <f t="shared" si="42"/>
        <v>4.7</v>
      </c>
      <c r="O596">
        <f t="shared" si="43"/>
        <v>0.1</v>
      </c>
      <c r="P596" t="s">
        <v>392</v>
      </c>
      <c r="Q596" s="3" t="s">
        <v>45</v>
      </c>
      <c r="R596" s="18">
        <v>47</v>
      </c>
      <c r="T596" t="s">
        <v>26</v>
      </c>
      <c r="U596" s="6">
        <v>15</v>
      </c>
      <c r="V596">
        <v>2</v>
      </c>
      <c r="W596">
        <f t="shared" si="44"/>
        <v>4.666666666666667</v>
      </c>
      <c r="X596">
        <f t="shared" si="45"/>
        <v>0.13333333333333333</v>
      </c>
      <c r="Y596" t="s">
        <v>392</v>
      </c>
      <c r="Z596" s="3" t="s">
        <v>45</v>
      </c>
      <c r="AA596" s="18">
        <v>70</v>
      </c>
      <c r="AD596" t="s">
        <v>26</v>
      </c>
      <c r="AE596">
        <v>15</v>
      </c>
      <c r="AF596">
        <v>2</v>
      </c>
      <c r="AG596">
        <f t="shared" si="46"/>
        <v>4.666666666666667</v>
      </c>
      <c r="AH596">
        <f t="shared" si="47"/>
        <v>0.13333333333333333</v>
      </c>
      <c r="AI596" t="s">
        <v>392</v>
      </c>
      <c r="AK596" s="18">
        <v>70</v>
      </c>
    </row>
    <row r="597" spans="1:37" x14ac:dyDescent="0.35">
      <c r="A597" t="s">
        <v>117</v>
      </c>
      <c r="B597">
        <v>11</v>
      </c>
      <c r="C597">
        <v>2</v>
      </c>
      <c r="D597">
        <f t="shared" si="40"/>
        <v>4.9090909090909092</v>
      </c>
      <c r="E597">
        <f t="shared" si="41"/>
        <v>0.18181818181818182</v>
      </c>
      <c r="F597" t="s">
        <v>392</v>
      </c>
      <c r="H597">
        <v>54</v>
      </c>
      <c r="K597" t="s">
        <v>3</v>
      </c>
      <c r="L597">
        <v>19</v>
      </c>
      <c r="M597">
        <v>3</v>
      </c>
      <c r="N597">
        <f t="shared" si="42"/>
        <v>4.7894736842105265</v>
      </c>
      <c r="O597">
        <f t="shared" si="43"/>
        <v>0.15789473684210525</v>
      </c>
      <c r="P597" t="s">
        <v>392</v>
      </c>
      <c r="Q597" s="3" t="s">
        <v>45</v>
      </c>
      <c r="R597" s="18">
        <v>91</v>
      </c>
      <c r="T597" t="s">
        <v>50</v>
      </c>
      <c r="U597">
        <v>13</v>
      </c>
      <c r="V597">
        <v>0</v>
      </c>
      <c r="W597">
        <f t="shared" si="44"/>
        <v>4.6923076923076925</v>
      </c>
      <c r="X597">
        <f t="shared" si="45"/>
        <v>0</v>
      </c>
      <c r="Y597" t="s">
        <v>392</v>
      </c>
      <c r="Z597" s="3" t="s">
        <v>45</v>
      </c>
      <c r="AA597" s="18">
        <v>61</v>
      </c>
      <c r="AD597" t="s">
        <v>1</v>
      </c>
      <c r="AE597" s="6">
        <v>35</v>
      </c>
      <c r="AF597">
        <v>3</v>
      </c>
      <c r="AG597">
        <f t="shared" si="46"/>
        <v>4.6857142857142859</v>
      </c>
      <c r="AH597">
        <f t="shared" si="47"/>
        <v>8.5714285714285715E-2</v>
      </c>
      <c r="AI597" t="s">
        <v>392</v>
      </c>
      <c r="AJ597" s="2" t="s">
        <v>416</v>
      </c>
      <c r="AK597" s="18">
        <v>164</v>
      </c>
    </row>
    <row r="598" spans="1:37" x14ac:dyDescent="0.35">
      <c r="A598" t="s">
        <v>81</v>
      </c>
      <c r="B598">
        <v>18</v>
      </c>
      <c r="C598">
        <v>1</v>
      </c>
      <c r="D598">
        <f t="shared" si="40"/>
        <v>4.9444444444444446</v>
      </c>
      <c r="E598">
        <f t="shared" si="41"/>
        <v>5.5555555555555552E-2</v>
      </c>
      <c r="F598" t="s">
        <v>392</v>
      </c>
      <c r="H598">
        <v>89</v>
      </c>
      <c r="K598" t="s">
        <v>37</v>
      </c>
      <c r="L598">
        <v>15</v>
      </c>
      <c r="M598">
        <v>2</v>
      </c>
      <c r="N598">
        <f t="shared" si="42"/>
        <v>4.8</v>
      </c>
      <c r="O598">
        <f t="shared" si="43"/>
        <v>0.13333333333333333</v>
      </c>
      <c r="P598" t="s">
        <v>392</v>
      </c>
      <c r="Q598" s="3" t="s">
        <v>45</v>
      </c>
      <c r="R598" s="18">
        <v>72</v>
      </c>
      <c r="T598" t="s">
        <v>87</v>
      </c>
      <c r="U598">
        <v>10</v>
      </c>
      <c r="V598">
        <v>1</v>
      </c>
      <c r="W598">
        <f t="shared" si="44"/>
        <v>4.7</v>
      </c>
      <c r="X598">
        <f t="shared" si="45"/>
        <v>0.1</v>
      </c>
      <c r="Y598" t="s">
        <v>392</v>
      </c>
      <c r="Z598" s="3" t="s">
        <v>45</v>
      </c>
      <c r="AA598" s="18">
        <v>47</v>
      </c>
      <c r="AD598" t="s">
        <v>50</v>
      </c>
      <c r="AE598">
        <v>13</v>
      </c>
      <c r="AF598">
        <v>0</v>
      </c>
      <c r="AG598">
        <f t="shared" si="46"/>
        <v>4.6923076923076925</v>
      </c>
      <c r="AH598">
        <f t="shared" si="47"/>
        <v>0</v>
      </c>
      <c r="AI598" t="s">
        <v>392</v>
      </c>
      <c r="AJ598" s="3" t="s">
        <v>46</v>
      </c>
      <c r="AK598" s="18">
        <v>61</v>
      </c>
    </row>
    <row r="599" spans="1:37" x14ac:dyDescent="0.35">
      <c r="A599" t="s">
        <v>1</v>
      </c>
      <c r="B599">
        <v>32</v>
      </c>
      <c r="C599">
        <v>1</v>
      </c>
      <c r="D599">
        <f t="shared" si="40"/>
        <v>4.96875</v>
      </c>
      <c r="E599">
        <f t="shared" si="41"/>
        <v>3.125E-2</v>
      </c>
      <c r="F599" t="s">
        <v>392</v>
      </c>
      <c r="H599">
        <v>159</v>
      </c>
      <c r="K599" t="s">
        <v>117</v>
      </c>
      <c r="L599">
        <v>11</v>
      </c>
      <c r="M599">
        <v>2</v>
      </c>
      <c r="N599">
        <f t="shared" si="42"/>
        <v>4.9090909090909092</v>
      </c>
      <c r="O599">
        <f t="shared" si="43"/>
        <v>0.18181818181818182</v>
      </c>
      <c r="P599" t="s">
        <v>392</v>
      </c>
      <c r="Q599" s="3" t="s">
        <v>45</v>
      </c>
      <c r="R599" s="18">
        <v>54</v>
      </c>
      <c r="T599" t="s">
        <v>230</v>
      </c>
      <c r="U599" s="6">
        <v>10</v>
      </c>
      <c r="V599">
        <v>1</v>
      </c>
      <c r="W599">
        <f t="shared" si="44"/>
        <v>4.7</v>
      </c>
      <c r="X599">
        <f t="shared" si="45"/>
        <v>0.1</v>
      </c>
      <c r="Y599" t="s">
        <v>392</v>
      </c>
      <c r="Z599" s="3" t="s">
        <v>407</v>
      </c>
      <c r="AA599" s="18">
        <v>47</v>
      </c>
      <c r="AD599" t="s">
        <v>87</v>
      </c>
      <c r="AE599">
        <v>10</v>
      </c>
      <c r="AF599">
        <v>1</v>
      </c>
      <c r="AG599">
        <f t="shared" si="46"/>
        <v>4.7</v>
      </c>
      <c r="AH599">
        <f t="shared" si="47"/>
        <v>0.1</v>
      </c>
      <c r="AI599" t="s">
        <v>392</v>
      </c>
      <c r="AJ599" s="3" t="s">
        <v>46</v>
      </c>
      <c r="AK599" s="18">
        <v>47</v>
      </c>
    </row>
    <row r="600" spans="1:37" x14ac:dyDescent="0.35">
      <c r="A600" t="s">
        <v>99</v>
      </c>
      <c r="B600">
        <v>12</v>
      </c>
      <c r="C600">
        <v>2</v>
      </c>
      <c r="D600">
        <f t="shared" si="40"/>
        <v>5.083333333333333</v>
      </c>
      <c r="E600">
        <f t="shared" si="41"/>
        <v>0.16666666666666666</v>
      </c>
      <c r="F600" t="s">
        <v>392</v>
      </c>
      <c r="H600">
        <v>61</v>
      </c>
      <c r="K600" t="s">
        <v>81</v>
      </c>
      <c r="L600">
        <v>18</v>
      </c>
      <c r="M600">
        <v>1</v>
      </c>
      <c r="N600">
        <f t="shared" si="42"/>
        <v>4.9444444444444446</v>
      </c>
      <c r="O600">
        <f t="shared" si="43"/>
        <v>5.5555555555555552E-2</v>
      </c>
      <c r="P600" t="s">
        <v>392</v>
      </c>
      <c r="Q600" s="3" t="s">
        <v>45</v>
      </c>
      <c r="R600" s="18">
        <v>89</v>
      </c>
      <c r="T600" t="s">
        <v>3</v>
      </c>
      <c r="U600">
        <v>19</v>
      </c>
      <c r="V600">
        <v>3</v>
      </c>
      <c r="W600">
        <f t="shared" si="44"/>
        <v>4.7894736842105265</v>
      </c>
      <c r="X600">
        <f t="shared" si="45"/>
        <v>0.15789473684210525</v>
      </c>
      <c r="Y600" t="s">
        <v>392</v>
      </c>
      <c r="Z600" s="3" t="s">
        <v>54</v>
      </c>
      <c r="AA600" s="18">
        <v>91</v>
      </c>
      <c r="AD600" t="s">
        <v>230</v>
      </c>
      <c r="AE600">
        <v>10</v>
      </c>
      <c r="AF600">
        <v>1</v>
      </c>
      <c r="AG600">
        <f t="shared" si="46"/>
        <v>4.7</v>
      </c>
      <c r="AH600">
        <f t="shared" si="47"/>
        <v>0.1</v>
      </c>
      <c r="AI600" t="s">
        <v>392</v>
      </c>
      <c r="AJ600" s="3" t="s">
        <v>46</v>
      </c>
      <c r="AK600" s="18">
        <v>47</v>
      </c>
    </row>
    <row r="601" spans="1:37" x14ac:dyDescent="0.35">
      <c r="A601" t="s">
        <v>51</v>
      </c>
      <c r="B601">
        <v>21</v>
      </c>
      <c r="C601">
        <v>1</v>
      </c>
      <c r="D601">
        <f t="shared" si="40"/>
        <v>5.0952380952380949</v>
      </c>
      <c r="E601">
        <f t="shared" si="41"/>
        <v>4.7619047619047616E-2</v>
      </c>
      <c r="F601" t="s">
        <v>392</v>
      </c>
      <c r="H601">
        <v>107</v>
      </c>
      <c r="K601" t="s">
        <v>1</v>
      </c>
      <c r="L601">
        <v>32</v>
      </c>
      <c r="M601">
        <v>1</v>
      </c>
      <c r="N601">
        <f t="shared" si="42"/>
        <v>4.96875</v>
      </c>
      <c r="O601">
        <f t="shared" si="43"/>
        <v>3.125E-2</v>
      </c>
      <c r="P601" t="s">
        <v>392</v>
      </c>
      <c r="Q601" s="3" t="s">
        <v>45</v>
      </c>
      <c r="R601" s="18">
        <v>159</v>
      </c>
      <c r="T601" t="s">
        <v>37</v>
      </c>
      <c r="U601">
        <v>15</v>
      </c>
      <c r="V601">
        <v>2</v>
      </c>
      <c r="W601">
        <f t="shared" si="44"/>
        <v>4.8</v>
      </c>
      <c r="X601">
        <f t="shared" si="45"/>
        <v>0.13333333333333333</v>
      </c>
      <c r="Y601" t="s">
        <v>392</v>
      </c>
      <c r="Z601" s="3" t="s">
        <v>54</v>
      </c>
      <c r="AA601" s="18">
        <v>72</v>
      </c>
      <c r="AD601" t="s">
        <v>3</v>
      </c>
      <c r="AE601" s="6">
        <v>21</v>
      </c>
      <c r="AF601">
        <v>3</v>
      </c>
      <c r="AG601">
        <f t="shared" si="46"/>
        <v>4.7142857142857144</v>
      </c>
      <c r="AH601">
        <f t="shared" si="47"/>
        <v>0.14285714285714285</v>
      </c>
      <c r="AI601" t="s">
        <v>392</v>
      </c>
      <c r="AJ601" s="3" t="s">
        <v>46</v>
      </c>
      <c r="AK601" s="18">
        <v>99</v>
      </c>
    </row>
    <row r="602" spans="1:37" x14ac:dyDescent="0.35">
      <c r="A602" t="s">
        <v>25</v>
      </c>
      <c r="B602">
        <v>50</v>
      </c>
      <c r="C602">
        <v>4</v>
      </c>
      <c r="D602">
        <f t="shared" si="40"/>
        <v>5.12</v>
      </c>
      <c r="E602">
        <f t="shared" si="41"/>
        <v>0.08</v>
      </c>
      <c r="F602" t="s">
        <v>392</v>
      </c>
      <c r="H602">
        <v>256</v>
      </c>
      <c r="K602" t="s">
        <v>99</v>
      </c>
      <c r="L602">
        <v>12</v>
      </c>
      <c r="M602">
        <v>2</v>
      </c>
      <c r="N602">
        <f t="shared" si="42"/>
        <v>5.083333333333333</v>
      </c>
      <c r="O602">
        <f t="shared" si="43"/>
        <v>0.16666666666666666</v>
      </c>
      <c r="P602" t="s">
        <v>392</v>
      </c>
      <c r="Q602" s="3" t="s">
        <v>45</v>
      </c>
      <c r="R602" s="18">
        <v>61</v>
      </c>
      <c r="T602" t="s">
        <v>81</v>
      </c>
      <c r="U602" s="6">
        <v>19</v>
      </c>
      <c r="V602">
        <v>1</v>
      </c>
      <c r="W602">
        <f t="shared" si="44"/>
        <v>4.8421052631578947</v>
      </c>
      <c r="X602">
        <f t="shared" si="45"/>
        <v>5.2631578947368418E-2</v>
      </c>
      <c r="Y602" t="s">
        <v>392</v>
      </c>
      <c r="Z602" s="3" t="s">
        <v>45</v>
      </c>
      <c r="AA602" s="18">
        <v>92</v>
      </c>
      <c r="AD602" t="s">
        <v>37</v>
      </c>
      <c r="AE602">
        <v>15</v>
      </c>
      <c r="AF602">
        <v>2</v>
      </c>
      <c r="AG602">
        <f t="shared" si="46"/>
        <v>4.8</v>
      </c>
      <c r="AH602">
        <f t="shared" si="47"/>
        <v>0.13333333333333333</v>
      </c>
      <c r="AI602" t="s">
        <v>392</v>
      </c>
      <c r="AJ602" s="3" t="s">
        <v>46</v>
      </c>
      <c r="AK602" s="18">
        <v>72</v>
      </c>
    </row>
    <row r="603" spans="1:37" x14ac:dyDescent="0.35">
      <c r="A603" t="s">
        <v>31</v>
      </c>
      <c r="B603">
        <v>28</v>
      </c>
      <c r="C603">
        <v>2</v>
      </c>
      <c r="D603">
        <f t="shared" si="40"/>
        <v>5.25</v>
      </c>
      <c r="E603">
        <f t="shared" si="41"/>
        <v>7.1428571428571425E-2</v>
      </c>
      <c r="F603" t="s">
        <v>392</v>
      </c>
      <c r="H603">
        <v>147</v>
      </c>
      <c r="K603" t="s">
        <v>51</v>
      </c>
      <c r="L603">
        <v>21</v>
      </c>
      <c r="M603">
        <v>1</v>
      </c>
      <c r="N603">
        <f t="shared" si="42"/>
        <v>5.0952380952380949</v>
      </c>
      <c r="O603">
        <f t="shared" si="43"/>
        <v>4.7619047619047616E-2</v>
      </c>
      <c r="P603" t="s">
        <v>392</v>
      </c>
      <c r="Q603" s="3" t="s">
        <v>45</v>
      </c>
      <c r="R603" s="18">
        <v>107</v>
      </c>
      <c r="T603" t="s">
        <v>117</v>
      </c>
      <c r="U603">
        <v>11</v>
      </c>
      <c r="V603">
        <v>2</v>
      </c>
      <c r="W603">
        <f t="shared" si="44"/>
        <v>4.9090909090909092</v>
      </c>
      <c r="X603">
        <f t="shared" si="45"/>
        <v>0.18181818181818182</v>
      </c>
      <c r="Y603" t="s">
        <v>392</v>
      </c>
      <c r="Z603" s="3" t="s">
        <v>55</v>
      </c>
      <c r="AA603" s="18">
        <v>54</v>
      </c>
      <c r="AD603" t="s">
        <v>81</v>
      </c>
      <c r="AE603">
        <v>19</v>
      </c>
      <c r="AF603">
        <v>1</v>
      </c>
      <c r="AG603">
        <f t="shared" si="46"/>
        <v>4.8421052631578947</v>
      </c>
      <c r="AH603">
        <f t="shared" si="47"/>
        <v>5.2631578947368418E-2</v>
      </c>
      <c r="AI603" t="s">
        <v>392</v>
      </c>
      <c r="AJ603" s="3" t="s">
        <v>46</v>
      </c>
      <c r="AK603" s="18">
        <v>92</v>
      </c>
    </row>
    <row r="604" spans="1:37" x14ac:dyDescent="0.35">
      <c r="A604" t="s">
        <v>49</v>
      </c>
      <c r="B604" s="6">
        <v>10</v>
      </c>
      <c r="C604">
        <v>1</v>
      </c>
      <c r="D604">
        <f t="shared" si="40"/>
        <v>5.3</v>
      </c>
      <c r="E604">
        <f t="shared" si="41"/>
        <v>0.1</v>
      </c>
      <c r="F604" t="s">
        <v>392</v>
      </c>
      <c r="G604" s="12" t="s">
        <v>398</v>
      </c>
      <c r="H604">
        <v>53</v>
      </c>
      <c r="K604" t="s">
        <v>25</v>
      </c>
      <c r="L604" s="6">
        <v>51</v>
      </c>
      <c r="M604">
        <v>4</v>
      </c>
      <c r="N604">
        <f t="shared" si="42"/>
        <v>5.1372549019607847</v>
      </c>
      <c r="O604">
        <f t="shared" si="43"/>
        <v>7.8431372549019607E-2</v>
      </c>
      <c r="P604" t="s">
        <v>392</v>
      </c>
      <c r="Q604" s="3" t="s">
        <v>45</v>
      </c>
      <c r="R604" s="18">
        <v>262</v>
      </c>
      <c r="T604" t="s">
        <v>12</v>
      </c>
      <c r="U604" s="6">
        <v>11</v>
      </c>
      <c r="V604">
        <v>0</v>
      </c>
      <c r="W604">
        <f t="shared" si="44"/>
        <v>4.9090909090909092</v>
      </c>
      <c r="X604">
        <f t="shared" si="45"/>
        <v>0</v>
      </c>
      <c r="Y604" t="s">
        <v>392</v>
      </c>
      <c r="Z604" s="28" t="s">
        <v>405</v>
      </c>
      <c r="AA604" s="18">
        <v>54</v>
      </c>
      <c r="AD604" t="s">
        <v>117</v>
      </c>
      <c r="AE604">
        <v>11</v>
      </c>
      <c r="AF604">
        <v>2</v>
      </c>
      <c r="AG604">
        <f t="shared" si="46"/>
        <v>4.9090909090909092</v>
      </c>
      <c r="AH604">
        <f t="shared" si="47"/>
        <v>0.18181818181818182</v>
      </c>
      <c r="AI604" t="s">
        <v>392</v>
      </c>
      <c r="AJ604" s="3" t="s">
        <v>46</v>
      </c>
      <c r="AK604" s="18">
        <v>54</v>
      </c>
    </row>
    <row r="605" spans="1:37" x14ac:dyDescent="0.35">
      <c r="A605" t="s">
        <v>79</v>
      </c>
      <c r="B605" s="6">
        <v>18</v>
      </c>
      <c r="C605">
        <v>0</v>
      </c>
      <c r="D605">
        <f t="shared" si="40"/>
        <v>5.333333333333333</v>
      </c>
      <c r="E605">
        <f t="shared" si="41"/>
        <v>0</v>
      </c>
      <c r="F605" t="s">
        <v>392</v>
      </c>
      <c r="H605">
        <v>96</v>
      </c>
      <c r="K605" t="s">
        <v>31</v>
      </c>
      <c r="L605">
        <v>28</v>
      </c>
      <c r="M605">
        <v>2</v>
      </c>
      <c r="N605">
        <f t="shared" si="42"/>
        <v>5.25</v>
      </c>
      <c r="O605">
        <f t="shared" si="43"/>
        <v>7.1428571428571425E-2</v>
      </c>
      <c r="P605" t="s">
        <v>392</v>
      </c>
      <c r="Q605" s="3" t="s">
        <v>45</v>
      </c>
      <c r="R605" s="18">
        <v>147</v>
      </c>
      <c r="T605" t="s">
        <v>1</v>
      </c>
      <c r="U605">
        <v>32</v>
      </c>
      <c r="V605">
        <v>1</v>
      </c>
      <c r="W605">
        <f t="shared" si="44"/>
        <v>4.96875</v>
      </c>
      <c r="X605">
        <f t="shared" si="45"/>
        <v>3.125E-2</v>
      </c>
      <c r="Y605" t="s">
        <v>392</v>
      </c>
      <c r="Z605" s="3" t="s">
        <v>55</v>
      </c>
      <c r="AA605" s="18">
        <v>159</v>
      </c>
      <c r="AD605" t="s">
        <v>12</v>
      </c>
      <c r="AE605">
        <v>11</v>
      </c>
      <c r="AF605">
        <v>0</v>
      </c>
      <c r="AG605">
        <f t="shared" si="46"/>
        <v>4.9090909090909092</v>
      </c>
      <c r="AH605">
        <f t="shared" si="47"/>
        <v>0</v>
      </c>
      <c r="AI605" t="s">
        <v>392</v>
      </c>
      <c r="AJ605" s="3" t="s">
        <v>46</v>
      </c>
      <c r="AK605" s="18">
        <v>54</v>
      </c>
    </row>
    <row r="606" spans="1:37" x14ac:dyDescent="0.35">
      <c r="A606" t="s">
        <v>6</v>
      </c>
      <c r="B606">
        <v>39</v>
      </c>
      <c r="C606">
        <v>3</v>
      </c>
      <c r="D606">
        <f t="shared" si="40"/>
        <v>5.384615384615385</v>
      </c>
      <c r="E606">
        <f t="shared" si="41"/>
        <v>7.6923076923076927E-2</v>
      </c>
      <c r="F606" t="s">
        <v>392</v>
      </c>
      <c r="G606" s="3" t="s">
        <v>45</v>
      </c>
      <c r="H606">
        <v>210</v>
      </c>
      <c r="K606" t="s">
        <v>49</v>
      </c>
      <c r="L606">
        <v>10</v>
      </c>
      <c r="M606">
        <v>1</v>
      </c>
      <c r="N606">
        <f t="shared" si="42"/>
        <v>5.3</v>
      </c>
      <c r="O606">
        <f t="shared" si="43"/>
        <v>0.1</v>
      </c>
      <c r="P606" t="s">
        <v>392</v>
      </c>
      <c r="Q606" s="3" t="s">
        <v>45</v>
      </c>
      <c r="R606" s="18">
        <v>53</v>
      </c>
      <c r="T606" t="s">
        <v>99</v>
      </c>
      <c r="U606">
        <v>12</v>
      </c>
      <c r="V606">
        <v>2</v>
      </c>
      <c r="W606">
        <f t="shared" si="44"/>
        <v>5.083333333333333</v>
      </c>
      <c r="X606">
        <f t="shared" si="45"/>
        <v>0.16666666666666666</v>
      </c>
      <c r="Y606" t="s">
        <v>392</v>
      </c>
      <c r="Z606" s="3" t="s">
        <v>55</v>
      </c>
      <c r="AA606" s="18">
        <v>61</v>
      </c>
      <c r="AD606" t="s">
        <v>56</v>
      </c>
      <c r="AE606" s="6">
        <v>11</v>
      </c>
      <c r="AF606">
        <v>0</v>
      </c>
      <c r="AG606">
        <f t="shared" si="46"/>
        <v>5</v>
      </c>
      <c r="AH606">
        <f t="shared" si="47"/>
        <v>0</v>
      </c>
      <c r="AI606" t="s">
        <v>392</v>
      </c>
      <c r="AJ606" s="3" t="s">
        <v>417</v>
      </c>
      <c r="AK606" s="18">
        <v>55</v>
      </c>
    </row>
    <row r="607" spans="1:37" x14ac:dyDescent="0.35">
      <c r="A607" t="s">
        <v>19</v>
      </c>
      <c r="B607">
        <v>10</v>
      </c>
      <c r="C607">
        <v>1</v>
      </c>
      <c r="D607">
        <f t="shared" si="40"/>
        <v>5.5</v>
      </c>
      <c r="E607">
        <f t="shared" si="41"/>
        <v>0.1</v>
      </c>
      <c r="F607" t="s">
        <v>392</v>
      </c>
      <c r="G607" s="3" t="s">
        <v>46</v>
      </c>
      <c r="H607">
        <v>55</v>
      </c>
      <c r="K607" t="s">
        <v>79</v>
      </c>
      <c r="L607">
        <v>18</v>
      </c>
      <c r="M607">
        <v>0</v>
      </c>
      <c r="N607">
        <f t="shared" si="42"/>
        <v>5.333333333333333</v>
      </c>
      <c r="O607">
        <f t="shared" si="43"/>
        <v>0</v>
      </c>
      <c r="P607" t="s">
        <v>392</v>
      </c>
      <c r="Q607" s="3" t="s">
        <v>45</v>
      </c>
      <c r="R607" s="18">
        <v>96</v>
      </c>
      <c r="T607" t="s">
        <v>51</v>
      </c>
      <c r="U607">
        <v>21</v>
      </c>
      <c r="V607">
        <v>1</v>
      </c>
      <c r="W607">
        <f t="shared" si="44"/>
        <v>5.0952380952380949</v>
      </c>
      <c r="X607">
        <f t="shared" si="45"/>
        <v>4.7619047619047616E-2</v>
      </c>
      <c r="Y607" t="s">
        <v>392</v>
      </c>
      <c r="Z607" s="3" t="s">
        <v>55</v>
      </c>
      <c r="AA607" s="18">
        <v>107</v>
      </c>
      <c r="AD607" t="s">
        <v>99</v>
      </c>
      <c r="AE607">
        <v>12</v>
      </c>
      <c r="AF607">
        <v>2</v>
      </c>
      <c r="AG607">
        <f t="shared" si="46"/>
        <v>5.083333333333333</v>
      </c>
      <c r="AH607">
        <f t="shared" si="47"/>
        <v>0.16666666666666666</v>
      </c>
      <c r="AI607" t="s">
        <v>392</v>
      </c>
      <c r="AJ607" s="3" t="s">
        <v>46</v>
      </c>
      <c r="AK607" s="18">
        <v>61</v>
      </c>
    </row>
    <row r="608" spans="1:37" x14ac:dyDescent="0.35">
      <c r="A608" t="s">
        <v>28</v>
      </c>
      <c r="B608" s="6">
        <v>13</v>
      </c>
      <c r="C608">
        <v>0</v>
      </c>
      <c r="D608">
        <f t="shared" si="40"/>
        <v>5.5384615384615383</v>
      </c>
      <c r="E608">
        <f t="shared" si="41"/>
        <v>0</v>
      </c>
      <c r="F608" t="s">
        <v>392</v>
      </c>
      <c r="G608" s="2" t="s">
        <v>47</v>
      </c>
      <c r="H608">
        <v>72</v>
      </c>
      <c r="K608" t="s">
        <v>6</v>
      </c>
      <c r="L608">
        <v>39</v>
      </c>
      <c r="M608">
        <v>3</v>
      </c>
      <c r="N608">
        <f t="shared" si="42"/>
        <v>5.384615384615385</v>
      </c>
      <c r="O608">
        <f t="shared" si="43"/>
        <v>7.6923076923076927E-2</v>
      </c>
      <c r="P608" t="s">
        <v>392</v>
      </c>
      <c r="Q608" s="3" t="s">
        <v>45</v>
      </c>
      <c r="R608" s="18">
        <v>210</v>
      </c>
      <c r="T608" t="s">
        <v>25</v>
      </c>
      <c r="U608" s="6">
        <v>54</v>
      </c>
      <c r="V608">
        <v>4</v>
      </c>
      <c r="W608">
        <f t="shared" si="44"/>
        <v>5.1481481481481479</v>
      </c>
      <c r="X608">
        <f t="shared" si="45"/>
        <v>7.407407407407407E-2</v>
      </c>
      <c r="Y608" t="s">
        <v>392</v>
      </c>
      <c r="Z608" s="3" t="s">
        <v>55</v>
      </c>
      <c r="AA608" s="18">
        <v>278</v>
      </c>
      <c r="AD608" t="s">
        <v>51</v>
      </c>
      <c r="AE608">
        <v>21</v>
      </c>
      <c r="AF608">
        <v>1</v>
      </c>
      <c r="AG608">
        <f t="shared" si="46"/>
        <v>5.0952380952380949</v>
      </c>
      <c r="AH608">
        <f t="shared" si="47"/>
        <v>4.7619047619047616E-2</v>
      </c>
      <c r="AI608" t="s">
        <v>392</v>
      </c>
      <c r="AJ608" s="3" t="s">
        <v>46</v>
      </c>
      <c r="AK608" s="18">
        <v>107</v>
      </c>
    </row>
    <row r="609" spans="1:37" x14ac:dyDescent="0.35">
      <c r="A609" t="s">
        <v>20</v>
      </c>
      <c r="B609">
        <v>14</v>
      </c>
      <c r="C609">
        <v>1</v>
      </c>
      <c r="D609">
        <f t="shared" si="40"/>
        <v>5.5714285714285712</v>
      </c>
      <c r="E609">
        <f t="shared" si="41"/>
        <v>7.1428571428571425E-2</v>
      </c>
      <c r="F609" t="s">
        <v>392</v>
      </c>
      <c r="G609" s="3" t="s">
        <v>45</v>
      </c>
      <c r="H609">
        <v>78</v>
      </c>
      <c r="K609" t="s">
        <v>19</v>
      </c>
      <c r="L609">
        <v>10</v>
      </c>
      <c r="M609">
        <v>1</v>
      </c>
      <c r="N609">
        <f t="shared" si="42"/>
        <v>5.5</v>
      </c>
      <c r="O609">
        <f t="shared" si="43"/>
        <v>0.1</v>
      </c>
      <c r="P609" t="s">
        <v>392</v>
      </c>
      <c r="Q609" s="3" t="s">
        <v>45</v>
      </c>
      <c r="R609" s="18">
        <v>55</v>
      </c>
      <c r="T609" t="s">
        <v>19</v>
      </c>
      <c r="U609" s="6">
        <v>11</v>
      </c>
      <c r="V609">
        <v>1</v>
      </c>
      <c r="W609">
        <f t="shared" si="44"/>
        <v>5.1818181818181817</v>
      </c>
      <c r="X609">
        <f t="shared" si="45"/>
        <v>9.0909090909090912E-2</v>
      </c>
      <c r="Y609" t="s">
        <v>392</v>
      </c>
      <c r="AA609" s="18">
        <v>57</v>
      </c>
      <c r="AD609" t="s">
        <v>25</v>
      </c>
      <c r="AE609" s="6">
        <v>58</v>
      </c>
      <c r="AF609">
        <v>4</v>
      </c>
      <c r="AG609">
        <f t="shared" si="46"/>
        <v>5.1379310344827589</v>
      </c>
      <c r="AH609">
        <f t="shared" si="47"/>
        <v>6.8965517241379309E-2</v>
      </c>
      <c r="AI609" t="s">
        <v>392</v>
      </c>
      <c r="AJ609" s="3" t="s">
        <v>46</v>
      </c>
      <c r="AK609" s="18">
        <v>298</v>
      </c>
    </row>
    <row r="610" spans="1:37" x14ac:dyDescent="0.35">
      <c r="A610" t="s">
        <v>90</v>
      </c>
      <c r="B610">
        <v>22</v>
      </c>
      <c r="C610">
        <v>2</v>
      </c>
      <c r="D610">
        <f t="shared" si="40"/>
        <v>5.5909090909090908</v>
      </c>
      <c r="E610">
        <f t="shared" si="41"/>
        <v>9.0909090909090912E-2</v>
      </c>
      <c r="F610" t="s">
        <v>392</v>
      </c>
      <c r="G610" s="3" t="s">
        <v>45</v>
      </c>
      <c r="H610">
        <v>123</v>
      </c>
      <c r="K610" t="s">
        <v>28</v>
      </c>
      <c r="L610">
        <v>13</v>
      </c>
      <c r="M610">
        <v>0</v>
      </c>
      <c r="N610">
        <f t="shared" si="42"/>
        <v>5.5384615384615383</v>
      </c>
      <c r="O610">
        <f t="shared" si="43"/>
        <v>0</v>
      </c>
      <c r="P610" t="s">
        <v>392</v>
      </c>
      <c r="Q610" s="3" t="s">
        <v>45</v>
      </c>
      <c r="R610" s="18">
        <v>72</v>
      </c>
      <c r="T610" t="s">
        <v>34</v>
      </c>
      <c r="U610" s="6">
        <v>10</v>
      </c>
      <c r="V610">
        <v>1</v>
      </c>
      <c r="W610">
        <f t="shared" si="44"/>
        <v>5.2</v>
      </c>
      <c r="X610">
        <f t="shared" si="45"/>
        <v>0.1</v>
      </c>
      <c r="Y610" t="s">
        <v>392</v>
      </c>
      <c r="Z610" s="3" t="s">
        <v>408</v>
      </c>
      <c r="AA610" s="18">
        <v>52</v>
      </c>
      <c r="AD610" t="s">
        <v>19</v>
      </c>
      <c r="AE610">
        <v>11</v>
      </c>
      <c r="AF610">
        <v>1</v>
      </c>
      <c r="AG610">
        <f t="shared" si="46"/>
        <v>5.1818181818181817</v>
      </c>
      <c r="AH610">
        <f t="shared" si="47"/>
        <v>9.0909090909090912E-2</v>
      </c>
      <c r="AI610" t="s">
        <v>392</v>
      </c>
      <c r="AJ610" s="3" t="s">
        <v>46</v>
      </c>
      <c r="AK610" s="18">
        <v>57</v>
      </c>
    </row>
    <row r="611" spans="1:37" x14ac:dyDescent="0.35">
      <c r="A611" t="s">
        <v>4</v>
      </c>
      <c r="B611">
        <v>13</v>
      </c>
      <c r="C611">
        <v>0</v>
      </c>
      <c r="D611">
        <f t="shared" si="40"/>
        <v>5.615384615384615</v>
      </c>
      <c r="E611">
        <f t="shared" si="41"/>
        <v>0</v>
      </c>
      <c r="F611" t="s">
        <v>392</v>
      </c>
      <c r="G611" s="3" t="s">
        <v>45</v>
      </c>
      <c r="H611">
        <v>73</v>
      </c>
      <c r="K611" t="s">
        <v>20</v>
      </c>
      <c r="L611">
        <v>14</v>
      </c>
      <c r="M611">
        <v>1</v>
      </c>
      <c r="N611">
        <f t="shared" si="42"/>
        <v>5.5714285714285712</v>
      </c>
      <c r="O611">
        <f t="shared" si="43"/>
        <v>7.1428571428571425E-2</v>
      </c>
      <c r="P611" t="s">
        <v>392</v>
      </c>
      <c r="Q611" s="3" t="s">
        <v>45</v>
      </c>
      <c r="R611" s="18">
        <v>78</v>
      </c>
      <c r="T611" t="s">
        <v>31</v>
      </c>
      <c r="U611" s="6">
        <v>33</v>
      </c>
      <c r="V611">
        <v>2</v>
      </c>
      <c r="W611">
        <f t="shared" si="44"/>
        <v>5.2121212121212119</v>
      </c>
      <c r="X611">
        <f t="shared" si="45"/>
        <v>6.0606060606060608E-2</v>
      </c>
      <c r="Y611" t="s">
        <v>392</v>
      </c>
      <c r="Z611" s="3" t="s">
        <v>195</v>
      </c>
      <c r="AA611" s="18">
        <v>172</v>
      </c>
      <c r="AD611" t="s">
        <v>31</v>
      </c>
      <c r="AE611" s="6">
        <v>35</v>
      </c>
      <c r="AF611">
        <v>2</v>
      </c>
      <c r="AG611">
        <f t="shared" si="46"/>
        <v>5.2571428571428571</v>
      </c>
      <c r="AH611">
        <f t="shared" si="47"/>
        <v>5.7142857142857141E-2</v>
      </c>
      <c r="AI611" t="s">
        <v>392</v>
      </c>
      <c r="AK611" s="18">
        <v>184</v>
      </c>
    </row>
    <row r="612" spans="1:37" x14ac:dyDescent="0.35">
      <c r="A612" t="s">
        <v>32</v>
      </c>
      <c r="B612">
        <v>13</v>
      </c>
      <c r="C612">
        <v>1</v>
      </c>
      <c r="D612">
        <f t="shared" si="40"/>
        <v>5.8461538461538458</v>
      </c>
      <c r="E612">
        <f t="shared" si="41"/>
        <v>7.6923076923076927E-2</v>
      </c>
      <c r="F612" t="s">
        <v>392</v>
      </c>
      <c r="G612" s="3" t="s">
        <v>46</v>
      </c>
      <c r="H612">
        <v>76</v>
      </c>
      <c r="K612" t="s">
        <v>90</v>
      </c>
      <c r="L612">
        <v>22</v>
      </c>
      <c r="M612">
        <v>2</v>
      </c>
      <c r="N612">
        <f t="shared" si="42"/>
        <v>5.5909090909090908</v>
      </c>
      <c r="O612">
        <f t="shared" si="43"/>
        <v>9.0909090909090912E-2</v>
      </c>
      <c r="P612" t="s">
        <v>392</v>
      </c>
      <c r="Q612" s="3" t="s">
        <v>45</v>
      </c>
      <c r="R612" s="18">
        <v>123</v>
      </c>
      <c r="T612" t="s">
        <v>49</v>
      </c>
      <c r="U612" s="6">
        <v>13</v>
      </c>
      <c r="V612">
        <v>2</v>
      </c>
      <c r="W612">
        <f t="shared" si="44"/>
        <v>5.3076923076923075</v>
      </c>
      <c r="X612">
        <f t="shared" si="45"/>
        <v>0.15384615384615385</v>
      </c>
      <c r="Y612" t="s">
        <v>392</v>
      </c>
      <c r="Z612" s="3" t="s">
        <v>195</v>
      </c>
      <c r="AA612" s="18">
        <v>69</v>
      </c>
      <c r="AD612" t="s">
        <v>49</v>
      </c>
      <c r="AE612">
        <v>13</v>
      </c>
      <c r="AF612">
        <v>2</v>
      </c>
      <c r="AG612">
        <f t="shared" si="46"/>
        <v>5.3076923076923075</v>
      </c>
      <c r="AH612">
        <f t="shared" si="47"/>
        <v>0.15384615384615385</v>
      </c>
      <c r="AI612" t="s">
        <v>392</v>
      </c>
      <c r="AK612" s="18">
        <v>69</v>
      </c>
    </row>
    <row r="613" spans="1:37" x14ac:dyDescent="0.35">
      <c r="A613" t="s">
        <v>33</v>
      </c>
      <c r="B613">
        <v>18</v>
      </c>
      <c r="C613">
        <v>0</v>
      </c>
      <c r="D613">
        <f t="shared" si="40"/>
        <v>6.0555555555555554</v>
      </c>
      <c r="E613">
        <f t="shared" si="41"/>
        <v>0</v>
      </c>
      <c r="F613" t="s">
        <v>392</v>
      </c>
      <c r="G613" s="3" t="s">
        <v>46</v>
      </c>
      <c r="H613">
        <v>109</v>
      </c>
      <c r="K613" t="s">
        <v>4</v>
      </c>
      <c r="L613">
        <v>13</v>
      </c>
      <c r="M613">
        <v>0</v>
      </c>
      <c r="N613">
        <f t="shared" si="42"/>
        <v>5.615384615384615</v>
      </c>
      <c r="O613">
        <f t="shared" si="43"/>
        <v>0</v>
      </c>
      <c r="P613" t="s">
        <v>392</v>
      </c>
      <c r="Q613" s="3" t="s">
        <v>45</v>
      </c>
      <c r="R613" s="18">
        <v>73</v>
      </c>
      <c r="T613" t="s">
        <v>79</v>
      </c>
      <c r="U613">
        <v>18</v>
      </c>
      <c r="V613">
        <v>0</v>
      </c>
      <c r="W613">
        <f t="shared" si="44"/>
        <v>5.333333333333333</v>
      </c>
      <c r="X613">
        <f t="shared" si="45"/>
        <v>0</v>
      </c>
      <c r="Y613" t="s">
        <v>392</v>
      </c>
      <c r="Z613" s="3" t="s">
        <v>195</v>
      </c>
      <c r="AA613" s="18">
        <v>96</v>
      </c>
      <c r="AD613" t="s">
        <v>34</v>
      </c>
      <c r="AE613" s="6">
        <v>12</v>
      </c>
      <c r="AF613">
        <v>1</v>
      </c>
      <c r="AG613">
        <f t="shared" si="46"/>
        <v>5.333333333333333</v>
      </c>
      <c r="AH613">
        <f t="shared" si="47"/>
        <v>8.3333333333333329E-2</v>
      </c>
      <c r="AI613" t="s">
        <v>392</v>
      </c>
      <c r="AJ613" s="3" t="s">
        <v>54</v>
      </c>
      <c r="AK613" s="18">
        <v>64</v>
      </c>
    </row>
    <row r="614" spans="1:37" x14ac:dyDescent="0.35">
      <c r="K614" t="s">
        <v>32</v>
      </c>
      <c r="L614" s="6">
        <v>20</v>
      </c>
      <c r="M614">
        <v>1</v>
      </c>
      <c r="N614">
        <f t="shared" si="42"/>
        <v>5.9</v>
      </c>
      <c r="O614">
        <f t="shared" si="43"/>
        <v>0.05</v>
      </c>
      <c r="P614" t="s">
        <v>392</v>
      </c>
      <c r="Q614" s="3" t="s">
        <v>45</v>
      </c>
      <c r="R614" s="18">
        <v>118</v>
      </c>
      <c r="T614" t="s">
        <v>6</v>
      </c>
      <c r="U614">
        <v>39</v>
      </c>
      <c r="V614">
        <v>3</v>
      </c>
      <c r="W614">
        <f t="shared" si="44"/>
        <v>5.384615384615385</v>
      </c>
      <c r="X614">
        <f t="shared" si="45"/>
        <v>7.6923076923076927E-2</v>
      </c>
      <c r="Y614" t="s">
        <v>392</v>
      </c>
      <c r="Z614" s="3" t="s">
        <v>195</v>
      </c>
      <c r="AA614" s="18">
        <v>210</v>
      </c>
      <c r="AD614" t="s">
        <v>79</v>
      </c>
      <c r="AE614" s="6">
        <v>21</v>
      </c>
      <c r="AF614">
        <v>0</v>
      </c>
      <c r="AG614">
        <f t="shared" si="46"/>
        <v>5.3809523809523814</v>
      </c>
      <c r="AH614">
        <f t="shared" si="47"/>
        <v>0</v>
      </c>
      <c r="AI614" t="s">
        <v>392</v>
      </c>
      <c r="AJ614" s="3" t="s">
        <v>46</v>
      </c>
      <c r="AK614" s="18">
        <v>113</v>
      </c>
    </row>
    <row r="615" spans="1:37" x14ac:dyDescent="0.35">
      <c r="K615" t="s">
        <v>33</v>
      </c>
      <c r="L615">
        <v>18</v>
      </c>
      <c r="M615">
        <v>0</v>
      </c>
      <c r="N615">
        <f t="shared" si="42"/>
        <v>6.0555555555555554</v>
      </c>
      <c r="O615">
        <f t="shared" si="43"/>
        <v>0</v>
      </c>
      <c r="P615" t="s">
        <v>392</v>
      </c>
      <c r="Q615" s="3" t="s">
        <v>45</v>
      </c>
      <c r="R615" s="18">
        <v>109</v>
      </c>
      <c r="T615" t="s">
        <v>28</v>
      </c>
      <c r="U615">
        <v>13</v>
      </c>
      <c r="V615">
        <v>0</v>
      </c>
      <c r="W615">
        <f t="shared" si="44"/>
        <v>5.5384615384615383</v>
      </c>
      <c r="X615">
        <f t="shared" si="45"/>
        <v>0</v>
      </c>
      <c r="Y615" t="s">
        <v>392</v>
      </c>
      <c r="Z615" s="3" t="s">
        <v>381</v>
      </c>
      <c r="AA615" s="18">
        <v>72</v>
      </c>
      <c r="AD615" t="s">
        <v>6</v>
      </c>
      <c r="AE615">
        <v>39</v>
      </c>
      <c r="AF615">
        <v>3</v>
      </c>
      <c r="AG615">
        <f t="shared" si="46"/>
        <v>5.384615384615385</v>
      </c>
      <c r="AH615">
        <f t="shared" si="47"/>
        <v>7.6923076923076927E-2</v>
      </c>
      <c r="AI615" t="s">
        <v>392</v>
      </c>
      <c r="AJ615" s="3" t="s">
        <v>46</v>
      </c>
      <c r="AK615" s="18">
        <v>210</v>
      </c>
    </row>
    <row r="616" spans="1:37" x14ac:dyDescent="0.35">
      <c r="T616" t="s">
        <v>90</v>
      </c>
      <c r="U616">
        <v>22</v>
      </c>
      <c r="V616">
        <v>2</v>
      </c>
      <c r="W616">
        <f t="shared" si="44"/>
        <v>5.5909090909090908</v>
      </c>
      <c r="X616">
        <f t="shared" si="45"/>
        <v>9.0909090909090912E-2</v>
      </c>
      <c r="Y616" t="s">
        <v>392</v>
      </c>
      <c r="Z616" s="3" t="s">
        <v>55</v>
      </c>
      <c r="AA616" s="18">
        <v>123</v>
      </c>
      <c r="AD616" t="s">
        <v>82</v>
      </c>
      <c r="AE616" s="6">
        <v>12</v>
      </c>
      <c r="AF616">
        <v>0</v>
      </c>
      <c r="AG616">
        <f t="shared" si="46"/>
        <v>5.416666666666667</v>
      </c>
      <c r="AH616">
        <f t="shared" si="47"/>
        <v>0</v>
      </c>
      <c r="AI616" t="s">
        <v>392</v>
      </c>
      <c r="AJ616" s="2" t="s">
        <v>133</v>
      </c>
      <c r="AK616" s="18">
        <v>65</v>
      </c>
    </row>
    <row r="617" spans="1:37" x14ac:dyDescent="0.35">
      <c r="T617" t="s">
        <v>4</v>
      </c>
      <c r="U617" s="6">
        <v>14</v>
      </c>
      <c r="V617">
        <v>0</v>
      </c>
      <c r="W617">
        <f t="shared" si="44"/>
        <v>5.6428571428571432</v>
      </c>
      <c r="X617">
        <f t="shared" si="45"/>
        <v>0</v>
      </c>
      <c r="Y617" t="s">
        <v>392</v>
      </c>
      <c r="Z617" s="3" t="s">
        <v>55</v>
      </c>
      <c r="AA617" s="18">
        <v>79</v>
      </c>
      <c r="AD617" t="s">
        <v>28</v>
      </c>
      <c r="AE617">
        <v>13</v>
      </c>
      <c r="AF617">
        <v>0</v>
      </c>
      <c r="AG617">
        <f t="shared" si="46"/>
        <v>5.5384615384615383</v>
      </c>
      <c r="AH617">
        <f t="shared" si="47"/>
        <v>0</v>
      </c>
      <c r="AI617" t="s">
        <v>392</v>
      </c>
      <c r="AJ617" s="3" t="s">
        <v>45</v>
      </c>
      <c r="AK617" s="18">
        <v>72</v>
      </c>
    </row>
    <row r="618" spans="1:37" x14ac:dyDescent="0.35">
      <c r="T618" t="s">
        <v>105</v>
      </c>
      <c r="U618" s="6">
        <v>10</v>
      </c>
      <c r="V618">
        <v>0</v>
      </c>
      <c r="W618">
        <f t="shared" si="44"/>
        <v>5.7</v>
      </c>
      <c r="X618">
        <f t="shared" si="45"/>
        <v>0</v>
      </c>
      <c r="Y618" t="s">
        <v>392</v>
      </c>
      <c r="Z618" s="3" t="s">
        <v>409</v>
      </c>
      <c r="AA618" s="18">
        <v>57</v>
      </c>
      <c r="AD618" t="s">
        <v>90</v>
      </c>
      <c r="AE618">
        <v>22</v>
      </c>
      <c r="AF618">
        <v>2</v>
      </c>
      <c r="AG618">
        <f t="shared" si="46"/>
        <v>5.5909090909090908</v>
      </c>
      <c r="AH618">
        <f t="shared" si="47"/>
        <v>9.0909090909090912E-2</v>
      </c>
      <c r="AI618" t="s">
        <v>392</v>
      </c>
      <c r="AJ618" s="3" t="s">
        <v>45</v>
      </c>
      <c r="AK618" s="18">
        <v>123</v>
      </c>
    </row>
    <row r="619" spans="1:37" x14ac:dyDescent="0.35">
      <c r="T619" t="s">
        <v>20</v>
      </c>
      <c r="U619" s="6">
        <v>15</v>
      </c>
      <c r="V619">
        <v>1</v>
      </c>
      <c r="W619">
        <f t="shared" si="44"/>
        <v>5.7333333333333334</v>
      </c>
      <c r="X619">
        <f t="shared" si="45"/>
        <v>6.6666666666666666E-2</v>
      </c>
      <c r="Y619" t="s">
        <v>392</v>
      </c>
      <c r="Z619" s="3" t="s">
        <v>67</v>
      </c>
      <c r="AA619" s="18">
        <v>86</v>
      </c>
      <c r="AD619" t="s">
        <v>4</v>
      </c>
      <c r="AE619">
        <v>14</v>
      </c>
      <c r="AF619">
        <v>0</v>
      </c>
      <c r="AG619">
        <f t="shared" si="46"/>
        <v>5.6428571428571432</v>
      </c>
      <c r="AH619">
        <f t="shared" si="47"/>
        <v>0</v>
      </c>
      <c r="AI619" t="s">
        <v>392</v>
      </c>
      <c r="AJ619" s="3" t="s">
        <v>45</v>
      </c>
      <c r="AK619" s="18">
        <v>79</v>
      </c>
    </row>
    <row r="620" spans="1:37" x14ac:dyDescent="0.35">
      <c r="T620" t="s">
        <v>82</v>
      </c>
      <c r="U620" s="6">
        <v>10</v>
      </c>
      <c r="V620">
        <v>0</v>
      </c>
      <c r="W620">
        <f t="shared" si="44"/>
        <v>5.9</v>
      </c>
      <c r="X620">
        <f t="shared" si="45"/>
        <v>0</v>
      </c>
      <c r="Y620" t="s">
        <v>392</v>
      </c>
      <c r="Z620" s="3" t="s">
        <v>410</v>
      </c>
      <c r="AA620" s="18">
        <v>59</v>
      </c>
      <c r="AD620" t="s">
        <v>105</v>
      </c>
      <c r="AE620">
        <v>10</v>
      </c>
      <c r="AF620">
        <v>0</v>
      </c>
      <c r="AG620">
        <f t="shared" si="46"/>
        <v>5.7</v>
      </c>
      <c r="AH620">
        <f t="shared" si="47"/>
        <v>0</v>
      </c>
      <c r="AI620" t="s">
        <v>392</v>
      </c>
      <c r="AJ620" s="3" t="s">
        <v>45</v>
      </c>
      <c r="AK620" s="18">
        <v>57</v>
      </c>
    </row>
    <row r="621" spans="1:37" x14ac:dyDescent="0.35">
      <c r="T621" t="s">
        <v>401</v>
      </c>
      <c r="U621" s="6">
        <v>23</v>
      </c>
      <c r="V621">
        <v>1</v>
      </c>
      <c r="W621">
        <f t="shared" si="44"/>
        <v>5.9565217391304346</v>
      </c>
      <c r="X621">
        <f t="shared" si="45"/>
        <v>4.3478260869565216E-2</v>
      </c>
      <c r="Y621" t="s">
        <v>392</v>
      </c>
      <c r="Z621" s="3" t="s">
        <v>69</v>
      </c>
      <c r="AA621" s="18">
        <v>137</v>
      </c>
      <c r="AD621" t="s">
        <v>20</v>
      </c>
      <c r="AE621">
        <v>15</v>
      </c>
      <c r="AF621">
        <v>1</v>
      </c>
      <c r="AG621">
        <f t="shared" si="46"/>
        <v>5.7333333333333334</v>
      </c>
      <c r="AH621">
        <f t="shared" si="47"/>
        <v>6.6666666666666666E-2</v>
      </c>
      <c r="AI621" t="s">
        <v>392</v>
      </c>
      <c r="AJ621" s="3" t="s">
        <v>45</v>
      </c>
      <c r="AK621" s="18">
        <v>86</v>
      </c>
    </row>
    <row r="622" spans="1:37" x14ac:dyDescent="0.35">
      <c r="T622" t="s">
        <v>33</v>
      </c>
      <c r="U622">
        <v>18</v>
      </c>
      <c r="V622">
        <v>0</v>
      </c>
      <c r="W622">
        <f t="shared" si="44"/>
        <v>6.0555555555555554</v>
      </c>
      <c r="X622">
        <f t="shared" si="45"/>
        <v>0</v>
      </c>
      <c r="Y622" t="s">
        <v>392</v>
      </c>
      <c r="Z622" s="21" t="s">
        <v>411</v>
      </c>
      <c r="AA622" s="18">
        <v>109</v>
      </c>
      <c r="AD622" t="s">
        <v>401</v>
      </c>
      <c r="AE622">
        <v>23</v>
      </c>
      <c r="AF622">
        <v>1</v>
      </c>
      <c r="AG622">
        <f t="shared" si="46"/>
        <v>5.9565217391304346</v>
      </c>
      <c r="AH622">
        <f t="shared" si="47"/>
        <v>4.3478260869565216E-2</v>
      </c>
      <c r="AI622" t="s">
        <v>392</v>
      </c>
      <c r="AJ622" s="3" t="s">
        <v>46</v>
      </c>
      <c r="AK622" s="18">
        <v>137</v>
      </c>
    </row>
    <row r="623" spans="1:37" x14ac:dyDescent="0.35">
      <c r="AD623" t="s">
        <v>33</v>
      </c>
      <c r="AE623">
        <v>19</v>
      </c>
      <c r="AF623">
        <v>0</v>
      </c>
      <c r="AG623">
        <f t="shared" si="46"/>
        <v>6.1578947368421053</v>
      </c>
      <c r="AH623">
        <f t="shared" si="47"/>
        <v>0</v>
      </c>
      <c r="AI623" t="s">
        <v>392</v>
      </c>
      <c r="AJ623" s="21" t="s">
        <v>411</v>
      </c>
      <c r="AK623" s="18">
        <v>117</v>
      </c>
    </row>
    <row r="626" spans="1:34" x14ac:dyDescent="0.35">
      <c r="A626" s="4" t="s">
        <v>42</v>
      </c>
      <c r="B626" s="4" t="s">
        <v>38</v>
      </c>
      <c r="C626" s="4" t="s">
        <v>39</v>
      </c>
      <c r="D626" s="4" t="s">
        <v>40</v>
      </c>
      <c r="E626" s="4" t="s">
        <v>111</v>
      </c>
      <c r="F626" s="4" t="s">
        <v>391</v>
      </c>
      <c r="J626" s="4" t="s">
        <v>42</v>
      </c>
      <c r="K626" s="4" t="s">
        <v>38</v>
      </c>
      <c r="L626" s="4" t="s">
        <v>39</v>
      </c>
      <c r="M626" s="4" t="s">
        <v>40</v>
      </c>
      <c r="N626" s="4" t="s">
        <v>111</v>
      </c>
      <c r="O626" s="4" t="s">
        <v>391</v>
      </c>
      <c r="S626" s="4" t="s">
        <v>42</v>
      </c>
      <c r="T626" s="4" t="s">
        <v>38</v>
      </c>
      <c r="U626" s="4" t="s">
        <v>39</v>
      </c>
      <c r="V626" s="4" t="s">
        <v>40</v>
      </c>
      <c r="W626" s="4" t="s">
        <v>111</v>
      </c>
      <c r="X626" s="4" t="s">
        <v>391</v>
      </c>
      <c r="AB626" s="4" t="s">
        <v>42</v>
      </c>
      <c r="AC626" s="4" t="s">
        <v>38</v>
      </c>
      <c r="AD626" s="4" t="s">
        <v>39</v>
      </c>
      <c r="AE626" s="4" t="s">
        <v>40</v>
      </c>
      <c r="AF626" s="4" t="s">
        <v>111</v>
      </c>
    </row>
    <row r="627" spans="1:34" x14ac:dyDescent="0.35">
      <c r="A627" s="18" t="s">
        <v>128</v>
      </c>
      <c r="B627" s="31">
        <v>51</v>
      </c>
      <c r="C627" s="31">
        <v>18</v>
      </c>
      <c r="D627" s="18">
        <f t="shared" ref="D627:D658" si="48">H627/B627</f>
        <v>2.8627450980392157</v>
      </c>
      <c r="E627" s="30">
        <f t="shared" ref="E627:E658" si="49">C627/B627</f>
        <v>0.35294117647058826</v>
      </c>
      <c r="F627" s="18" t="s">
        <v>413</v>
      </c>
      <c r="H627" s="18">
        <v>146</v>
      </c>
      <c r="J627" s="18" t="s">
        <v>128</v>
      </c>
      <c r="K627" s="31">
        <v>53</v>
      </c>
      <c r="L627" s="18">
        <v>18</v>
      </c>
      <c r="M627" s="18">
        <f>Sheet4!Q627/K627</f>
        <v>2.9622641509433962</v>
      </c>
      <c r="N627" s="30">
        <f t="shared" ref="N627:N658" si="50">L627/K627</f>
        <v>0.33962264150943394</v>
      </c>
      <c r="O627" s="18" t="s">
        <v>413</v>
      </c>
      <c r="Q627" s="18">
        <v>157</v>
      </c>
      <c r="S627" s="18" t="s">
        <v>128</v>
      </c>
      <c r="T627" s="18">
        <v>59</v>
      </c>
      <c r="U627" s="18">
        <v>20</v>
      </c>
      <c r="V627" s="18">
        <f t="shared" ref="V627:V659" si="51">Z627/T627</f>
        <v>3.1186440677966103</v>
      </c>
      <c r="W627" s="18">
        <f t="shared" ref="W627:W659" si="52">U627/T627</f>
        <v>0.33898305084745761</v>
      </c>
      <c r="X627" s="18" t="s">
        <v>413</v>
      </c>
      <c r="Z627" s="18">
        <v>184</v>
      </c>
      <c r="AB627" s="18" t="s">
        <v>128</v>
      </c>
      <c r="AC627" s="18">
        <v>60</v>
      </c>
      <c r="AD627" s="18">
        <v>20</v>
      </c>
      <c r="AE627" s="18">
        <f t="shared" ref="AE627:AE661" si="53">AH627/AC627</f>
        <v>3.1166666666666667</v>
      </c>
      <c r="AF627" s="30">
        <f t="shared" ref="AF627:AF661" si="54">AD627/AC627</f>
        <v>0.33333333333333331</v>
      </c>
      <c r="AH627" s="18">
        <v>187</v>
      </c>
    </row>
    <row r="628" spans="1:34" x14ac:dyDescent="0.35">
      <c r="A628" s="36" t="s">
        <v>35</v>
      </c>
      <c r="B628" s="37">
        <v>67</v>
      </c>
      <c r="C628" s="36">
        <v>21</v>
      </c>
      <c r="D628" s="36">
        <f t="shared" si="48"/>
        <v>3.5820895522388061</v>
      </c>
      <c r="E628" s="36">
        <f t="shared" si="49"/>
        <v>0.31343283582089554</v>
      </c>
      <c r="F628" s="36" t="s">
        <v>413</v>
      </c>
      <c r="H628" s="18">
        <v>240</v>
      </c>
      <c r="J628" s="36" t="s">
        <v>35</v>
      </c>
      <c r="K628" s="37">
        <v>69</v>
      </c>
      <c r="L628" s="48">
        <v>23</v>
      </c>
      <c r="M628" s="36">
        <f>Sheet4!Q628/K628</f>
        <v>3.5072463768115942</v>
      </c>
      <c r="N628" s="36">
        <f t="shared" si="50"/>
        <v>0.33333333333333331</v>
      </c>
      <c r="O628" s="36" t="s">
        <v>413</v>
      </c>
      <c r="Q628" s="18">
        <v>242</v>
      </c>
      <c r="S628" s="36" t="s">
        <v>35</v>
      </c>
      <c r="T628" s="36">
        <v>78</v>
      </c>
      <c r="U628" s="36">
        <v>23</v>
      </c>
      <c r="V628" s="36">
        <f t="shared" si="51"/>
        <v>3.7051282051282053</v>
      </c>
      <c r="W628" s="36">
        <f t="shared" si="52"/>
        <v>0.29487179487179488</v>
      </c>
      <c r="X628" s="36" t="s">
        <v>413</v>
      </c>
      <c r="Z628" s="18">
        <v>289</v>
      </c>
      <c r="AB628" s="36" t="s">
        <v>35</v>
      </c>
      <c r="AC628" s="36">
        <v>81</v>
      </c>
      <c r="AD628" s="36">
        <v>23</v>
      </c>
      <c r="AE628" s="36">
        <f t="shared" si="53"/>
        <v>3.7037037037037037</v>
      </c>
      <c r="AF628" s="36">
        <f t="shared" si="54"/>
        <v>0.2839506172839506</v>
      </c>
      <c r="AH628" s="18">
        <v>300</v>
      </c>
    </row>
    <row r="629" spans="1:34" x14ac:dyDescent="0.35">
      <c r="A629" s="36" t="s">
        <v>52</v>
      </c>
      <c r="B629" s="36">
        <v>13</v>
      </c>
      <c r="C629" s="36">
        <v>1</v>
      </c>
      <c r="D629" s="36">
        <f t="shared" si="48"/>
        <v>3.7692307692307692</v>
      </c>
      <c r="E629" s="36">
        <f t="shared" si="49"/>
        <v>7.6923076923076927E-2</v>
      </c>
      <c r="F629" s="36" t="s">
        <v>413</v>
      </c>
      <c r="G629" s="2" t="s">
        <v>44</v>
      </c>
      <c r="H629" s="18">
        <v>49</v>
      </c>
      <c r="J629" s="36" t="s">
        <v>52</v>
      </c>
      <c r="K629" s="36">
        <v>13</v>
      </c>
      <c r="L629" s="36">
        <v>1</v>
      </c>
      <c r="M629" s="36">
        <f>Sheet4!Q629/K629</f>
        <v>3.7692307692307692</v>
      </c>
      <c r="N629" s="36">
        <f t="shared" si="50"/>
        <v>7.6923076923076927E-2</v>
      </c>
      <c r="O629" s="36" t="s">
        <v>413</v>
      </c>
      <c r="Q629" s="18">
        <v>49</v>
      </c>
      <c r="S629" s="36" t="s">
        <v>148</v>
      </c>
      <c r="T629" s="36">
        <v>22</v>
      </c>
      <c r="U629" s="36">
        <v>4</v>
      </c>
      <c r="V629" s="36">
        <f t="shared" si="51"/>
        <v>3.7272727272727271</v>
      </c>
      <c r="W629" s="36">
        <f t="shared" si="52"/>
        <v>0.18181818181818182</v>
      </c>
      <c r="X629" s="36">
        <v>1</v>
      </c>
      <c r="Z629" s="18">
        <v>82</v>
      </c>
      <c r="AB629" s="36" t="s">
        <v>147</v>
      </c>
      <c r="AC629" s="36">
        <v>32</v>
      </c>
      <c r="AD629" s="36">
        <v>5</v>
      </c>
      <c r="AE629" s="36">
        <f t="shared" si="53"/>
        <v>3.71875</v>
      </c>
      <c r="AF629" s="36">
        <f t="shared" si="54"/>
        <v>0.15625</v>
      </c>
      <c r="AG629" s="2" t="s">
        <v>133</v>
      </c>
      <c r="AH629" s="18">
        <v>119</v>
      </c>
    </row>
    <row r="630" spans="1:34" x14ac:dyDescent="0.35">
      <c r="A630" s="36" t="s">
        <v>232</v>
      </c>
      <c r="B630" s="36">
        <v>13</v>
      </c>
      <c r="C630" s="36">
        <v>2</v>
      </c>
      <c r="D630" s="36">
        <f t="shared" si="48"/>
        <v>3.7692307692307692</v>
      </c>
      <c r="E630" s="36">
        <f t="shared" si="49"/>
        <v>0.15384615384615385</v>
      </c>
      <c r="F630" s="36" t="s">
        <v>413</v>
      </c>
      <c r="G630" s="2" t="s">
        <v>44</v>
      </c>
      <c r="H630" s="18">
        <v>49</v>
      </c>
      <c r="J630" s="36" t="s">
        <v>232</v>
      </c>
      <c r="K630" s="36">
        <v>13</v>
      </c>
      <c r="L630" s="36">
        <v>2</v>
      </c>
      <c r="M630" s="36">
        <f>Sheet4!Q630/K630</f>
        <v>3.7692307692307692</v>
      </c>
      <c r="N630" s="36">
        <f t="shared" si="50"/>
        <v>0.15384615384615385</v>
      </c>
      <c r="O630" s="36" t="s">
        <v>413</v>
      </c>
      <c r="Q630" s="18">
        <v>49</v>
      </c>
      <c r="S630" s="36" t="s">
        <v>122</v>
      </c>
      <c r="T630" s="36">
        <v>28</v>
      </c>
      <c r="U630" s="36">
        <v>3</v>
      </c>
      <c r="V630" s="36">
        <f t="shared" si="51"/>
        <v>3.75</v>
      </c>
      <c r="W630" s="36">
        <f t="shared" si="52"/>
        <v>0.10714285714285714</v>
      </c>
      <c r="X630" s="36" t="s">
        <v>413</v>
      </c>
      <c r="Z630" s="18">
        <v>105</v>
      </c>
      <c r="AB630" s="36" t="s">
        <v>121</v>
      </c>
      <c r="AC630" s="36">
        <v>56</v>
      </c>
      <c r="AD630" s="36">
        <v>13</v>
      </c>
      <c r="AE630" s="36">
        <f t="shared" si="53"/>
        <v>3.7857142857142856</v>
      </c>
      <c r="AF630" s="36">
        <f t="shared" si="54"/>
        <v>0.23214285714285715</v>
      </c>
      <c r="AG630" s="2" t="s">
        <v>44</v>
      </c>
      <c r="AH630" s="18">
        <v>212</v>
      </c>
    </row>
    <row r="631" spans="1:34" x14ac:dyDescent="0.35">
      <c r="A631" s="36" t="s">
        <v>122</v>
      </c>
      <c r="B631" s="36">
        <v>22</v>
      </c>
      <c r="C631" s="36">
        <v>3</v>
      </c>
      <c r="D631" s="36">
        <f t="shared" si="48"/>
        <v>3.7727272727272729</v>
      </c>
      <c r="E631" s="36">
        <f t="shared" si="49"/>
        <v>0.13636363636363635</v>
      </c>
      <c r="F631" s="36" t="s">
        <v>413</v>
      </c>
      <c r="G631" s="2" t="s">
        <v>44</v>
      </c>
      <c r="H631" s="18">
        <v>83</v>
      </c>
      <c r="J631" s="36" t="s">
        <v>116</v>
      </c>
      <c r="K631" s="37">
        <v>13</v>
      </c>
      <c r="L631" s="37">
        <v>3</v>
      </c>
      <c r="M631" s="36">
        <f>Sheet4!Q631/K631</f>
        <v>3.7692307692307692</v>
      </c>
      <c r="N631" s="36">
        <f t="shared" si="50"/>
        <v>0.23076923076923078</v>
      </c>
      <c r="O631" s="36" t="s">
        <v>413</v>
      </c>
      <c r="P631" s="2" t="s">
        <v>370</v>
      </c>
      <c r="Q631" s="18">
        <v>49</v>
      </c>
      <c r="S631" s="36" t="s">
        <v>121</v>
      </c>
      <c r="T631" s="36">
        <v>52</v>
      </c>
      <c r="U631" s="36">
        <v>11</v>
      </c>
      <c r="V631" s="36">
        <f t="shared" si="51"/>
        <v>3.8269230769230771</v>
      </c>
      <c r="W631" s="36">
        <f t="shared" si="52"/>
        <v>0.21153846153846154</v>
      </c>
      <c r="X631" s="36" t="s">
        <v>413</v>
      </c>
      <c r="Z631" s="18">
        <v>199</v>
      </c>
      <c r="AB631" s="36" t="s">
        <v>122</v>
      </c>
      <c r="AC631" s="36">
        <v>33</v>
      </c>
      <c r="AD631" s="36">
        <v>4</v>
      </c>
      <c r="AE631" s="36">
        <f t="shared" si="53"/>
        <v>3.8181818181818183</v>
      </c>
      <c r="AF631" s="36">
        <f t="shared" si="54"/>
        <v>0.12121212121212122</v>
      </c>
      <c r="AG631" s="3" t="s">
        <v>46</v>
      </c>
      <c r="AH631" s="18">
        <v>126</v>
      </c>
    </row>
    <row r="632" spans="1:34" x14ac:dyDescent="0.35">
      <c r="A632" s="36" t="s">
        <v>148</v>
      </c>
      <c r="B632" s="37">
        <v>18</v>
      </c>
      <c r="C632" s="36">
        <v>3</v>
      </c>
      <c r="D632" s="36">
        <f t="shared" si="48"/>
        <v>3.7777777777777777</v>
      </c>
      <c r="E632" s="36">
        <f t="shared" si="49"/>
        <v>0.16666666666666666</v>
      </c>
      <c r="F632" s="36">
        <v>1</v>
      </c>
      <c r="G632" s="2" t="s">
        <v>44</v>
      </c>
      <c r="H632" s="18">
        <v>68</v>
      </c>
      <c r="J632" s="36" t="s">
        <v>148</v>
      </c>
      <c r="K632" s="36">
        <v>18</v>
      </c>
      <c r="L632" s="36">
        <v>3</v>
      </c>
      <c r="M632" s="36">
        <f>Sheet4!Q632/K632</f>
        <v>3.7777777777777777</v>
      </c>
      <c r="N632" s="36">
        <f t="shared" si="50"/>
        <v>0.16666666666666666</v>
      </c>
      <c r="O632" s="36">
        <v>1</v>
      </c>
      <c r="Q632" s="18">
        <v>68</v>
      </c>
      <c r="S632" s="36" t="s">
        <v>0</v>
      </c>
      <c r="T632" s="36">
        <v>67</v>
      </c>
      <c r="U632" s="36">
        <v>12</v>
      </c>
      <c r="V632" s="36">
        <f t="shared" si="51"/>
        <v>3.955223880597015</v>
      </c>
      <c r="W632" s="36">
        <f t="shared" si="52"/>
        <v>0.17910447761194029</v>
      </c>
      <c r="X632" s="36" t="s">
        <v>413</v>
      </c>
      <c r="Z632" s="18">
        <v>265</v>
      </c>
      <c r="AB632" s="36" t="s">
        <v>10</v>
      </c>
      <c r="AC632" s="36">
        <v>40</v>
      </c>
      <c r="AD632" s="36">
        <v>9</v>
      </c>
      <c r="AE632" s="36">
        <f t="shared" si="53"/>
        <v>3.8250000000000002</v>
      </c>
      <c r="AF632" s="36">
        <f t="shared" si="54"/>
        <v>0.22500000000000001</v>
      </c>
      <c r="AG632" s="2" t="s">
        <v>59</v>
      </c>
      <c r="AH632" s="18">
        <v>153</v>
      </c>
    </row>
    <row r="633" spans="1:34" x14ac:dyDescent="0.35">
      <c r="A633" s="36" t="s">
        <v>121</v>
      </c>
      <c r="B633" s="37">
        <v>49</v>
      </c>
      <c r="C633" s="37">
        <v>10</v>
      </c>
      <c r="D633" s="36">
        <f t="shared" si="48"/>
        <v>3.795918367346939</v>
      </c>
      <c r="E633" s="36">
        <f t="shared" si="49"/>
        <v>0.20408163265306123</v>
      </c>
      <c r="F633" s="36" t="s">
        <v>413</v>
      </c>
      <c r="G633" s="3" t="s">
        <v>55</v>
      </c>
      <c r="H633" s="18">
        <v>186</v>
      </c>
      <c r="J633" s="36" t="s">
        <v>121</v>
      </c>
      <c r="K633" s="36">
        <v>49</v>
      </c>
      <c r="L633" s="36">
        <v>10</v>
      </c>
      <c r="M633" s="36">
        <f>Sheet4!Q633/K633</f>
        <v>3.795918367346939</v>
      </c>
      <c r="N633" s="36">
        <f t="shared" si="50"/>
        <v>0.20408163265306123</v>
      </c>
      <c r="O633" s="36" t="s">
        <v>413</v>
      </c>
      <c r="Q633" s="18">
        <v>186</v>
      </c>
      <c r="S633" s="36" t="s">
        <v>147</v>
      </c>
      <c r="T633" s="36">
        <v>25</v>
      </c>
      <c r="U633" s="36">
        <v>3</v>
      </c>
      <c r="V633" s="36">
        <f t="shared" si="51"/>
        <v>3.96</v>
      </c>
      <c r="W633" s="36">
        <f t="shared" si="52"/>
        <v>0.12</v>
      </c>
      <c r="X633" s="36" t="s">
        <v>413</v>
      </c>
      <c r="Z633" s="18">
        <v>99</v>
      </c>
      <c r="AB633" s="36" t="s">
        <v>148</v>
      </c>
      <c r="AC633" s="36">
        <v>25</v>
      </c>
      <c r="AD633" s="36">
        <v>4</v>
      </c>
      <c r="AE633" s="36">
        <f t="shared" si="53"/>
        <v>3.88</v>
      </c>
      <c r="AF633" s="36">
        <f t="shared" si="54"/>
        <v>0.16</v>
      </c>
      <c r="AG633" s="3" t="s">
        <v>55</v>
      </c>
      <c r="AH633" s="18">
        <v>97</v>
      </c>
    </row>
    <row r="634" spans="1:34" x14ac:dyDescent="0.35">
      <c r="A634" s="36" t="s">
        <v>147</v>
      </c>
      <c r="B634" s="37">
        <v>17</v>
      </c>
      <c r="C634" s="36">
        <v>3</v>
      </c>
      <c r="D634" s="36">
        <f t="shared" si="48"/>
        <v>3.9411764705882355</v>
      </c>
      <c r="E634" s="36">
        <f t="shared" si="49"/>
        <v>0.17647058823529413</v>
      </c>
      <c r="F634" s="36" t="s">
        <v>413</v>
      </c>
      <c r="H634" s="18">
        <v>67</v>
      </c>
      <c r="J634" s="36" t="s">
        <v>122</v>
      </c>
      <c r="K634" s="37">
        <v>24</v>
      </c>
      <c r="L634" s="36">
        <v>3</v>
      </c>
      <c r="M634" s="36">
        <f>Sheet4!Q634/K634</f>
        <v>3.8333333333333335</v>
      </c>
      <c r="N634" s="36">
        <f t="shared" si="50"/>
        <v>0.125</v>
      </c>
      <c r="O634" s="36" t="s">
        <v>413</v>
      </c>
      <c r="P634" s="3" t="s">
        <v>54</v>
      </c>
      <c r="Q634" s="18">
        <v>92</v>
      </c>
      <c r="S634" s="41" t="s">
        <v>22</v>
      </c>
      <c r="T634" s="41">
        <v>146</v>
      </c>
      <c r="U634" s="41">
        <v>23</v>
      </c>
      <c r="V634" s="41">
        <f t="shared" si="51"/>
        <v>4.0342465753424657</v>
      </c>
      <c r="W634" s="41">
        <f t="shared" si="52"/>
        <v>0.15753424657534246</v>
      </c>
      <c r="X634" s="41" t="s">
        <v>392</v>
      </c>
      <c r="Z634" s="18">
        <v>589</v>
      </c>
      <c r="AB634" s="41" t="s">
        <v>0</v>
      </c>
      <c r="AC634" s="41">
        <v>70</v>
      </c>
      <c r="AD634" s="41">
        <v>12</v>
      </c>
      <c r="AE634" s="41">
        <f t="shared" si="53"/>
        <v>4.0571428571428569</v>
      </c>
      <c r="AF634" s="41">
        <f t="shared" si="54"/>
        <v>0.17142857142857143</v>
      </c>
      <c r="AG634" s="3" t="s">
        <v>45</v>
      </c>
      <c r="AH634" s="18">
        <v>284</v>
      </c>
    </row>
    <row r="635" spans="1:34" x14ac:dyDescent="0.35">
      <c r="A635" s="36" t="s">
        <v>0</v>
      </c>
      <c r="B635" s="36">
        <v>64</v>
      </c>
      <c r="C635" s="36">
        <v>11</v>
      </c>
      <c r="D635" s="36">
        <f t="shared" si="48"/>
        <v>3.96875</v>
      </c>
      <c r="E635" s="36">
        <f t="shared" si="49"/>
        <v>0.171875</v>
      </c>
      <c r="F635" s="36" t="s">
        <v>413</v>
      </c>
      <c r="G635" s="2" t="s">
        <v>44</v>
      </c>
      <c r="H635" s="18">
        <v>254</v>
      </c>
      <c r="J635" s="36" t="s">
        <v>147</v>
      </c>
      <c r="K635" s="37">
        <v>21</v>
      </c>
      <c r="L635" s="36">
        <v>3</v>
      </c>
      <c r="M635" s="36">
        <f>Sheet4!Q635/K635</f>
        <v>3.8571428571428572</v>
      </c>
      <c r="N635" s="36">
        <f t="shared" si="50"/>
        <v>0.14285714285714285</v>
      </c>
      <c r="O635" s="36" t="s">
        <v>413</v>
      </c>
      <c r="P635" s="3" t="s">
        <v>46</v>
      </c>
      <c r="Q635" s="18">
        <v>81</v>
      </c>
      <c r="S635" s="41" t="s">
        <v>10</v>
      </c>
      <c r="T635" s="41">
        <v>33</v>
      </c>
      <c r="U635" s="41">
        <v>6</v>
      </c>
      <c r="V635" s="41">
        <f t="shared" si="51"/>
        <v>4.0606060606060606</v>
      </c>
      <c r="W635" s="41">
        <f t="shared" si="52"/>
        <v>0.18181818181818182</v>
      </c>
      <c r="X635" s="41" t="s">
        <v>392</v>
      </c>
      <c r="Z635" s="18">
        <v>134</v>
      </c>
      <c r="AB635" s="41" t="s">
        <v>21</v>
      </c>
      <c r="AC635" s="41">
        <v>46</v>
      </c>
      <c r="AD635" s="41">
        <v>8</v>
      </c>
      <c r="AE635" s="41">
        <f t="shared" si="53"/>
        <v>4.0652173913043477</v>
      </c>
      <c r="AF635" s="41">
        <f t="shared" si="54"/>
        <v>0.17391304347826086</v>
      </c>
      <c r="AG635" s="2" t="s">
        <v>59</v>
      </c>
      <c r="AH635" s="18">
        <v>187</v>
      </c>
    </row>
    <row r="636" spans="1:34" x14ac:dyDescent="0.35">
      <c r="A636" s="38" t="s">
        <v>116</v>
      </c>
      <c r="B636" s="39">
        <v>12</v>
      </c>
      <c r="C636" s="38">
        <v>2</v>
      </c>
      <c r="D636" s="38">
        <f t="shared" si="48"/>
        <v>4</v>
      </c>
      <c r="E636" s="38">
        <f t="shared" si="49"/>
        <v>0.16666666666666666</v>
      </c>
      <c r="F636" s="38" t="s">
        <v>392</v>
      </c>
      <c r="G636" s="2" t="s">
        <v>419</v>
      </c>
      <c r="H636" s="18">
        <v>48</v>
      </c>
      <c r="J636" s="36" t="s">
        <v>0</v>
      </c>
      <c r="K636" s="36">
        <v>64</v>
      </c>
      <c r="L636" s="36">
        <v>11</v>
      </c>
      <c r="M636" s="36">
        <f>Sheet4!Q636/K636</f>
        <v>3.96875</v>
      </c>
      <c r="N636" s="36">
        <f t="shared" si="50"/>
        <v>0.171875</v>
      </c>
      <c r="O636" s="36" t="s">
        <v>413</v>
      </c>
      <c r="P636" s="3" t="s">
        <v>46</v>
      </c>
      <c r="Q636" s="18">
        <v>254</v>
      </c>
      <c r="S636" s="41" t="s">
        <v>104</v>
      </c>
      <c r="T636" s="41">
        <v>44</v>
      </c>
      <c r="U636" s="41">
        <v>3</v>
      </c>
      <c r="V636" s="41">
        <f t="shared" si="51"/>
        <v>4.0909090909090908</v>
      </c>
      <c r="W636" s="41">
        <f t="shared" si="52"/>
        <v>6.8181818181818177E-2</v>
      </c>
      <c r="X636" s="41" t="s">
        <v>392</v>
      </c>
      <c r="Z636" s="18">
        <v>180</v>
      </c>
      <c r="AB636" s="41" t="s">
        <v>22</v>
      </c>
      <c r="AC636" s="50">
        <v>154</v>
      </c>
      <c r="AD636" s="41">
        <v>23</v>
      </c>
      <c r="AE636" s="41">
        <f t="shared" si="53"/>
        <v>4.116883116883117</v>
      </c>
      <c r="AF636" s="41">
        <f t="shared" si="54"/>
        <v>0.14935064935064934</v>
      </c>
      <c r="AG636" s="3" t="s">
        <v>45</v>
      </c>
      <c r="AH636" s="18">
        <v>634</v>
      </c>
    </row>
    <row r="637" spans="1:34" x14ac:dyDescent="0.35">
      <c r="A637" s="38" t="s">
        <v>2</v>
      </c>
      <c r="B637" s="39">
        <v>26</v>
      </c>
      <c r="C637" s="38">
        <v>5</v>
      </c>
      <c r="D637" s="38">
        <f t="shared" si="48"/>
        <v>4.0384615384615383</v>
      </c>
      <c r="E637" s="38">
        <f t="shared" si="49"/>
        <v>0.19230769230769232</v>
      </c>
      <c r="F637" s="38" t="s">
        <v>392</v>
      </c>
      <c r="G637" s="3" t="s">
        <v>45</v>
      </c>
      <c r="H637" s="18">
        <v>105</v>
      </c>
      <c r="J637" s="38" t="s">
        <v>10</v>
      </c>
      <c r="K637" s="38">
        <v>33</v>
      </c>
      <c r="L637" s="38">
        <v>6</v>
      </c>
      <c r="M637" s="38">
        <f>Sheet4!Q637/K637</f>
        <v>4.0606060606060606</v>
      </c>
      <c r="N637" s="38">
        <f t="shared" si="50"/>
        <v>0.18181818181818182</v>
      </c>
      <c r="O637" s="38" t="s">
        <v>392</v>
      </c>
      <c r="P637" s="2" t="s">
        <v>44</v>
      </c>
      <c r="Q637" s="18">
        <v>134</v>
      </c>
      <c r="S637" s="41" t="s">
        <v>2</v>
      </c>
      <c r="T637" s="41">
        <v>28</v>
      </c>
      <c r="U637" s="41">
        <v>5</v>
      </c>
      <c r="V637" s="41">
        <f t="shared" si="51"/>
        <v>4.1428571428571432</v>
      </c>
      <c r="W637" s="41">
        <f t="shared" si="52"/>
        <v>0.17857142857142858</v>
      </c>
      <c r="X637" s="41" t="s">
        <v>392</v>
      </c>
      <c r="Z637" s="18">
        <v>116</v>
      </c>
      <c r="AB637" s="41" t="s">
        <v>104</v>
      </c>
      <c r="AC637" s="41">
        <v>49</v>
      </c>
      <c r="AD637" s="41">
        <v>3</v>
      </c>
      <c r="AE637" s="41">
        <f t="shared" si="53"/>
        <v>4.1428571428571432</v>
      </c>
      <c r="AF637" s="41">
        <f t="shared" si="54"/>
        <v>6.1224489795918366E-2</v>
      </c>
      <c r="AG637" s="3" t="s">
        <v>46</v>
      </c>
      <c r="AH637" s="18">
        <v>203</v>
      </c>
    </row>
    <row r="638" spans="1:34" x14ac:dyDescent="0.35">
      <c r="A638" s="38" t="s">
        <v>10</v>
      </c>
      <c r="B638" s="39">
        <v>33</v>
      </c>
      <c r="C638" s="38">
        <v>6</v>
      </c>
      <c r="D638" s="38">
        <f t="shared" si="48"/>
        <v>4.0606060606060606</v>
      </c>
      <c r="E638" s="38">
        <f t="shared" si="49"/>
        <v>0.18181818181818182</v>
      </c>
      <c r="F638" s="38" t="s">
        <v>392</v>
      </c>
      <c r="G638" s="2" t="s">
        <v>88</v>
      </c>
      <c r="H638" s="18">
        <v>134</v>
      </c>
      <c r="J638" s="38" t="s">
        <v>22</v>
      </c>
      <c r="K638" s="40">
        <v>140</v>
      </c>
      <c r="L638" s="47">
        <v>23</v>
      </c>
      <c r="M638" s="38">
        <f>Sheet4!Q638/K638</f>
        <v>4.0642857142857141</v>
      </c>
      <c r="N638" s="38">
        <f t="shared" si="50"/>
        <v>0.16428571428571428</v>
      </c>
      <c r="O638" s="38" t="s">
        <v>392</v>
      </c>
      <c r="P638" s="2" t="s">
        <v>44</v>
      </c>
      <c r="Q638" s="18">
        <v>569</v>
      </c>
      <c r="S638" s="41" t="s">
        <v>21</v>
      </c>
      <c r="T638" s="41">
        <v>36</v>
      </c>
      <c r="U638" s="41">
        <v>5</v>
      </c>
      <c r="V638" s="41">
        <f t="shared" si="51"/>
        <v>4.2222222222222223</v>
      </c>
      <c r="W638" s="41">
        <f t="shared" si="52"/>
        <v>0.1388888888888889</v>
      </c>
      <c r="X638" s="41">
        <v>1</v>
      </c>
      <c r="Z638" s="18">
        <v>152</v>
      </c>
      <c r="AB638" s="41" t="s">
        <v>2</v>
      </c>
      <c r="AC638" s="41">
        <v>28</v>
      </c>
      <c r="AD638" s="41">
        <v>5</v>
      </c>
      <c r="AE638" s="41">
        <f t="shared" si="53"/>
        <v>4.1428571428571432</v>
      </c>
      <c r="AF638" s="41">
        <f t="shared" si="54"/>
        <v>0.17857142857142858</v>
      </c>
      <c r="AG638" s="3" t="s">
        <v>46</v>
      </c>
      <c r="AH638" s="18">
        <v>116</v>
      </c>
    </row>
    <row r="639" spans="1:34" x14ac:dyDescent="0.35">
      <c r="A639" s="38" t="s">
        <v>22</v>
      </c>
      <c r="B639" s="40">
        <v>139</v>
      </c>
      <c r="C639" s="40">
        <v>23</v>
      </c>
      <c r="D639" s="38">
        <f t="shared" si="48"/>
        <v>4.0719424460431659</v>
      </c>
      <c r="E639" s="38">
        <f t="shared" si="49"/>
        <v>0.16546762589928057</v>
      </c>
      <c r="F639" s="38" t="s">
        <v>392</v>
      </c>
      <c r="G639" s="3" t="s">
        <v>46</v>
      </c>
      <c r="H639" s="18">
        <v>566</v>
      </c>
      <c r="J639" s="38" t="s">
        <v>9</v>
      </c>
      <c r="K639" s="38">
        <v>13</v>
      </c>
      <c r="L639" s="38">
        <v>2</v>
      </c>
      <c r="M639" s="38">
        <f>Sheet4!Q639/K639</f>
        <v>4.0769230769230766</v>
      </c>
      <c r="N639" s="38">
        <f t="shared" si="50"/>
        <v>0.15384615384615385</v>
      </c>
      <c r="O639" s="38" t="s">
        <v>392</v>
      </c>
      <c r="P639" s="2" t="s">
        <v>44</v>
      </c>
      <c r="Q639" s="18">
        <v>53</v>
      </c>
      <c r="S639" s="41" t="s">
        <v>29</v>
      </c>
      <c r="T639" s="41">
        <v>47</v>
      </c>
      <c r="U639" s="41">
        <v>4</v>
      </c>
      <c r="V639" s="41">
        <f t="shared" si="51"/>
        <v>4.2553191489361701</v>
      </c>
      <c r="W639" s="41">
        <f t="shared" si="52"/>
        <v>8.5106382978723402E-2</v>
      </c>
      <c r="X639" s="41" t="s">
        <v>392</v>
      </c>
      <c r="Z639" s="18">
        <v>200</v>
      </c>
      <c r="AB639" s="41" t="s">
        <v>29</v>
      </c>
      <c r="AC639" s="41">
        <v>51</v>
      </c>
      <c r="AD639" s="41">
        <v>5</v>
      </c>
      <c r="AE639" s="41">
        <f t="shared" si="53"/>
        <v>4.2352941176470589</v>
      </c>
      <c r="AF639" s="41">
        <f t="shared" si="54"/>
        <v>9.8039215686274508E-2</v>
      </c>
      <c r="AH639" s="18">
        <v>216</v>
      </c>
    </row>
    <row r="640" spans="1:34" x14ac:dyDescent="0.35">
      <c r="A640" s="38" t="s">
        <v>9</v>
      </c>
      <c r="B640" s="38">
        <v>13</v>
      </c>
      <c r="C640" s="38">
        <v>2</v>
      </c>
      <c r="D640" s="38">
        <f t="shared" si="48"/>
        <v>4.0769230769230766</v>
      </c>
      <c r="E640" s="38">
        <f t="shared" si="49"/>
        <v>0.15384615384615385</v>
      </c>
      <c r="F640" s="38" t="s">
        <v>392</v>
      </c>
      <c r="G640" s="3" t="s">
        <v>46</v>
      </c>
      <c r="H640" s="18">
        <v>53</v>
      </c>
      <c r="J640" s="38" t="s">
        <v>104</v>
      </c>
      <c r="K640" s="38">
        <v>41</v>
      </c>
      <c r="L640" s="38">
        <v>3</v>
      </c>
      <c r="M640" s="38">
        <f>Sheet4!Q640/K640</f>
        <v>4.0975609756097562</v>
      </c>
      <c r="N640" s="38">
        <f t="shared" si="50"/>
        <v>7.3170731707317069E-2</v>
      </c>
      <c r="O640" s="38" t="s">
        <v>392</v>
      </c>
      <c r="P640" s="2" t="s">
        <v>44</v>
      </c>
      <c r="Q640" s="18">
        <v>168</v>
      </c>
      <c r="S640" s="41" t="s">
        <v>129</v>
      </c>
      <c r="T640" s="41">
        <v>35</v>
      </c>
      <c r="U640" s="41">
        <v>6</v>
      </c>
      <c r="V640" s="41">
        <f t="shared" si="51"/>
        <v>4.3428571428571425</v>
      </c>
      <c r="W640" s="41">
        <f t="shared" si="52"/>
        <v>0.17142857142857143</v>
      </c>
      <c r="X640" s="41" t="s">
        <v>392</v>
      </c>
      <c r="Z640" s="18">
        <v>152</v>
      </c>
      <c r="AB640" s="41" t="s">
        <v>129</v>
      </c>
      <c r="AC640" s="41">
        <v>36</v>
      </c>
      <c r="AD640" s="41">
        <v>6</v>
      </c>
      <c r="AE640" s="41">
        <f t="shared" si="53"/>
        <v>4.333333333333333</v>
      </c>
      <c r="AF640" s="41">
        <f t="shared" si="54"/>
        <v>0.16666666666666666</v>
      </c>
      <c r="AH640" s="18">
        <v>156</v>
      </c>
    </row>
    <row r="641" spans="1:34" x14ac:dyDescent="0.35">
      <c r="A641" s="38" t="s">
        <v>104</v>
      </c>
      <c r="B641" s="39">
        <v>41</v>
      </c>
      <c r="C641" s="39">
        <v>3</v>
      </c>
      <c r="D641" s="38">
        <f t="shared" si="48"/>
        <v>4.0975609756097562</v>
      </c>
      <c r="E641" s="38">
        <f t="shared" si="49"/>
        <v>7.3170731707317069E-2</v>
      </c>
      <c r="F641" s="38" t="s">
        <v>392</v>
      </c>
      <c r="G641" s="2" t="s">
        <v>59</v>
      </c>
      <c r="H641" s="18">
        <v>168</v>
      </c>
      <c r="J641" s="38" t="s">
        <v>123</v>
      </c>
      <c r="K641" s="38">
        <v>10</v>
      </c>
      <c r="L641" s="38">
        <v>1</v>
      </c>
      <c r="M641" s="38">
        <f>Sheet4!Q641/K641</f>
        <v>4.0999999999999996</v>
      </c>
      <c r="N641" s="38">
        <f t="shared" si="50"/>
        <v>0.1</v>
      </c>
      <c r="O641" s="38" t="s">
        <v>392</v>
      </c>
      <c r="P641" s="19" t="s">
        <v>423</v>
      </c>
      <c r="Q641" s="18">
        <v>41</v>
      </c>
      <c r="S641" s="32" t="s">
        <v>15</v>
      </c>
      <c r="T641" s="32">
        <v>126</v>
      </c>
      <c r="U641" s="32">
        <v>24</v>
      </c>
      <c r="V641" s="32">
        <f t="shared" si="51"/>
        <v>4.412698412698413</v>
      </c>
      <c r="W641" s="32">
        <f t="shared" si="52"/>
        <v>0.19047619047619047</v>
      </c>
      <c r="X641" s="32">
        <v>2</v>
      </c>
      <c r="Z641" s="18">
        <v>556</v>
      </c>
      <c r="AB641" s="41" t="s">
        <v>15</v>
      </c>
      <c r="AC641" s="41">
        <v>130</v>
      </c>
      <c r="AD641" s="50">
        <v>25</v>
      </c>
      <c r="AE641" s="41">
        <f t="shared" si="53"/>
        <v>4.3769230769230774</v>
      </c>
      <c r="AF641" s="41">
        <f t="shared" si="54"/>
        <v>0.19230769230769232</v>
      </c>
      <c r="AH641" s="18">
        <v>569</v>
      </c>
    </row>
    <row r="642" spans="1:34" x14ac:dyDescent="0.35">
      <c r="A642" s="38" t="s">
        <v>29</v>
      </c>
      <c r="B642" s="38">
        <v>40</v>
      </c>
      <c r="C642" s="38">
        <v>3</v>
      </c>
      <c r="D642" s="38">
        <f t="shared" si="48"/>
        <v>4.1500000000000004</v>
      </c>
      <c r="E642" s="38">
        <f t="shared" si="49"/>
        <v>7.4999999999999997E-2</v>
      </c>
      <c r="F642" s="38" t="s">
        <v>392</v>
      </c>
      <c r="H642" s="18">
        <v>166</v>
      </c>
      <c r="J642" s="38" t="s">
        <v>112</v>
      </c>
      <c r="K642" s="39">
        <v>15</v>
      </c>
      <c r="L642" s="38">
        <v>4</v>
      </c>
      <c r="M642" s="38">
        <f>Sheet4!Q642/K642</f>
        <v>4.1333333333333337</v>
      </c>
      <c r="N642" s="38">
        <f t="shared" si="50"/>
        <v>0.26666666666666666</v>
      </c>
      <c r="O642" s="38">
        <v>1</v>
      </c>
      <c r="P642" s="2" t="s">
        <v>44</v>
      </c>
      <c r="Q642" s="18">
        <v>62</v>
      </c>
      <c r="S642" s="32" t="s">
        <v>8</v>
      </c>
      <c r="T642" s="32">
        <v>42</v>
      </c>
      <c r="U642" s="32">
        <v>5</v>
      </c>
      <c r="V642" s="32">
        <f t="shared" si="51"/>
        <v>4.5238095238095237</v>
      </c>
      <c r="W642" s="32">
        <f t="shared" si="52"/>
        <v>0.11904761904761904</v>
      </c>
      <c r="X642" s="32" t="s">
        <v>392</v>
      </c>
      <c r="Z642" s="18">
        <v>190</v>
      </c>
      <c r="AB642" s="32" t="s">
        <v>8</v>
      </c>
      <c r="AC642" s="32">
        <v>42</v>
      </c>
      <c r="AD642" s="32">
        <v>5</v>
      </c>
      <c r="AE642" s="32">
        <f t="shared" si="53"/>
        <v>4.5238095238095237</v>
      </c>
      <c r="AF642" s="32">
        <f t="shared" si="54"/>
        <v>0.11904761904761904</v>
      </c>
      <c r="AH642" s="18">
        <v>190</v>
      </c>
    </row>
    <row r="643" spans="1:34" x14ac:dyDescent="0.35">
      <c r="A643" s="38" t="s">
        <v>112</v>
      </c>
      <c r="B643" s="39">
        <v>13</v>
      </c>
      <c r="C643" s="38">
        <v>4</v>
      </c>
      <c r="D643" s="38">
        <f t="shared" si="48"/>
        <v>4.1538461538461542</v>
      </c>
      <c r="E643" s="38">
        <f t="shared" si="49"/>
        <v>0.30769230769230771</v>
      </c>
      <c r="F643" s="38">
        <v>1</v>
      </c>
      <c r="G643" s="3" t="s">
        <v>54</v>
      </c>
      <c r="H643" s="18">
        <v>54</v>
      </c>
      <c r="J643" s="38" t="s">
        <v>2</v>
      </c>
      <c r="K643" s="39">
        <v>28</v>
      </c>
      <c r="L643" s="38">
        <v>5</v>
      </c>
      <c r="M643" s="38">
        <f>Sheet4!Q643/K643</f>
        <v>4.1428571428571432</v>
      </c>
      <c r="N643" s="38">
        <f t="shared" si="50"/>
        <v>0.17857142857142858</v>
      </c>
      <c r="O643" s="38" t="s">
        <v>392</v>
      </c>
      <c r="P643" s="3" t="s">
        <v>195</v>
      </c>
      <c r="Q643" s="18">
        <v>116</v>
      </c>
      <c r="S643" s="32" t="s">
        <v>24</v>
      </c>
      <c r="T643" s="32">
        <v>71</v>
      </c>
      <c r="U643" s="32">
        <v>9</v>
      </c>
      <c r="V643" s="32">
        <f t="shared" si="51"/>
        <v>4.535211267605634</v>
      </c>
      <c r="W643" s="32">
        <f t="shared" si="52"/>
        <v>0.12676056338028169</v>
      </c>
      <c r="X643" s="32" t="s">
        <v>392</v>
      </c>
      <c r="Z643" s="18">
        <v>322</v>
      </c>
      <c r="AB643" s="32" t="s">
        <v>24</v>
      </c>
      <c r="AC643" s="32">
        <v>71</v>
      </c>
      <c r="AD643" s="32">
        <v>9</v>
      </c>
      <c r="AE643" s="32">
        <f t="shared" si="53"/>
        <v>4.535211267605634</v>
      </c>
      <c r="AF643" s="32">
        <f t="shared" si="54"/>
        <v>0.12676056338028169</v>
      </c>
      <c r="AH643" s="18">
        <v>322</v>
      </c>
    </row>
    <row r="644" spans="1:34" x14ac:dyDescent="0.35">
      <c r="A644" s="38" t="s">
        <v>139</v>
      </c>
      <c r="B644" s="39">
        <v>18</v>
      </c>
      <c r="C644" s="38">
        <v>2</v>
      </c>
      <c r="D644" s="38">
        <f t="shared" si="48"/>
        <v>4.166666666666667</v>
      </c>
      <c r="E644" s="38">
        <f t="shared" si="49"/>
        <v>0.1111111111111111</v>
      </c>
      <c r="F644" s="38" t="s">
        <v>392</v>
      </c>
      <c r="G644" s="3" t="s">
        <v>69</v>
      </c>
      <c r="H644" s="18">
        <v>75</v>
      </c>
      <c r="J644" s="38" t="s">
        <v>139</v>
      </c>
      <c r="K644" s="38">
        <v>18</v>
      </c>
      <c r="L644" s="38">
        <v>2</v>
      </c>
      <c r="M644" s="38">
        <f>Sheet4!Q644/K644</f>
        <v>4.166666666666667</v>
      </c>
      <c r="N644" s="38">
        <f t="shared" si="50"/>
        <v>0.1111111111111111</v>
      </c>
      <c r="O644" s="38" t="s">
        <v>392</v>
      </c>
      <c r="Q644" s="18">
        <v>75</v>
      </c>
      <c r="S644" s="32" t="s">
        <v>27</v>
      </c>
      <c r="T644" s="32">
        <v>24</v>
      </c>
      <c r="U644" s="32">
        <v>1</v>
      </c>
      <c r="V644" s="32">
        <f t="shared" si="51"/>
        <v>4.541666666666667</v>
      </c>
      <c r="W644" s="32">
        <f t="shared" si="52"/>
        <v>4.1666666666666664E-2</v>
      </c>
      <c r="X644" s="32" t="s">
        <v>392</v>
      </c>
      <c r="Z644" s="18">
        <v>109</v>
      </c>
      <c r="AB644" s="32" t="s">
        <v>27</v>
      </c>
      <c r="AC644" s="32">
        <v>26</v>
      </c>
      <c r="AD644" s="32">
        <v>1</v>
      </c>
      <c r="AE644" s="32">
        <f t="shared" si="53"/>
        <v>4.5769230769230766</v>
      </c>
      <c r="AF644" s="32">
        <f t="shared" si="54"/>
        <v>3.8461538461538464E-2</v>
      </c>
      <c r="AH644" s="18">
        <v>119</v>
      </c>
    </row>
    <row r="645" spans="1:34" x14ac:dyDescent="0.35">
      <c r="A645" s="38" t="s">
        <v>63</v>
      </c>
      <c r="B645" s="38">
        <v>14</v>
      </c>
      <c r="C645" s="38">
        <v>2</v>
      </c>
      <c r="D645" s="38">
        <f t="shared" si="48"/>
        <v>4.2142857142857144</v>
      </c>
      <c r="E645" s="38">
        <f t="shared" si="49"/>
        <v>0.14285714285714285</v>
      </c>
      <c r="F645" s="38" t="s">
        <v>392</v>
      </c>
      <c r="H645" s="18">
        <v>59</v>
      </c>
      <c r="J645" s="38" t="s">
        <v>29</v>
      </c>
      <c r="K645" s="39">
        <v>41</v>
      </c>
      <c r="L645" s="38">
        <v>3</v>
      </c>
      <c r="M645" s="38">
        <f>Sheet4!Q645/K645</f>
        <v>4.1951219512195124</v>
      </c>
      <c r="N645" s="38">
        <f t="shared" si="50"/>
        <v>7.3170731707317069E-2</v>
      </c>
      <c r="O645" s="38" t="s">
        <v>392</v>
      </c>
      <c r="P645" s="3" t="s">
        <v>54</v>
      </c>
      <c r="Q645" s="18">
        <v>172</v>
      </c>
      <c r="S645" s="32" t="s">
        <v>13</v>
      </c>
      <c r="T645" s="32">
        <v>31</v>
      </c>
      <c r="U645" s="32">
        <v>2</v>
      </c>
      <c r="V645" s="32">
        <f t="shared" si="51"/>
        <v>4.645161290322581</v>
      </c>
      <c r="W645" s="32">
        <f t="shared" si="52"/>
        <v>6.4516129032258063E-2</v>
      </c>
      <c r="X645" s="32" t="s">
        <v>392</v>
      </c>
      <c r="Z645" s="18">
        <v>144</v>
      </c>
      <c r="AB645" s="32" t="s">
        <v>1</v>
      </c>
      <c r="AC645" s="32">
        <v>47</v>
      </c>
      <c r="AD645" s="32">
        <v>4</v>
      </c>
      <c r="AE645" s="32">
        <f t="shared" si="53"/>
        <v>4.5957446808510642</v>
      </c>
      <c r="AF645" s="32">
        <f t="shared" si="54"/>
        <v>8.5106382978723402E-2</v>
      </c>
      <c r="AG645" s="2" t="s">
        <v>47</v>
      </c>
      <c r="AH645" s="18">
        <v>216</v>
      </c>
    </row>
    <row r="646" spans="1:34" x14ac:dyDescent="0.35">
      <c r="A646" s="38" t="s">
        <v>125</v>
      </c>
      <c r="B646" s="39">
        <v>17</v>
      </c>
      <c r="C646" s="38">
        <v>1</v>
      </c>
      <c r="D646" s="38">
        <f t="shared" si="48"/>
        <v>4.2941176470588234</v>
      </c>
      <c r="E646" s="38">
        <f t="shared" si="49"/>
        <v>5.8823529411764705E-2</v>
      </c>
      <c r="F646" s="38" t="s">
        <v>392</v>
      </c>
      <c r="G646" s="2" t="s">
        <v>132</v>
      </c>
      <c r="H646" s="18">
        <v>73</v>
      </c>
      <c r="J646" s="38" t="s">
        <v>58</v>
      </c>
      <c r="K646" s="39">
        <v>15</v>
      </c>
      <c r="L646" s="38">
        <v>2</v>
      </c>
      <c r="M646" s="38">
        <f>Sheet4!Q646/K646</f>
        <v>4.2</v>
      </c>
      <c r="N646" s="38">
        <f t="shared" si="50"/>
        <v>0.13333333333333333</v>
      </c>
      <c r="O646" s="38">
        <v>1</v>
      </c>
      <c r="P646" s="2" t="s">
        <v>132</v>
      </c>
      <c r="Q646" s="18">
        <v>63</v>
      </c>
      <c r="S646" s="32" t="s">
        <v>428</v>
      </c>
      <c r="T646" s="32">
        <v>20</v>
      </c>
      <c r="U646" s="32">
        <v>0</v>
      </c>
      <c r="V646" s="32">
        <f t="shared" si="51"/>
        <v>4.6500000000000004</v>
      </c>
      <c r="W646" s="32">
        <f t="shared" si="52"/>
        <v>0</v>
      </c>
      <c r="X646" s="32" t="s">
        <v>392</v>
      </c>
      <c r="Z646" s="18">
        <v>93</v>
      </c>
      <c r="AB646" s="32" t="s">
        <v>13</v>
      </c>
      <c r="AC646" s="32">
        <v>31</v>
      </c>
      <c r="AD646" s="32">
        <v>2</v>
      </c>
      <c r="AE646" s="32">
        <f t="shared" si="53"/>
        <v>4.645161290322581</v>
      </c>
      <c r="AF646" s="32">
        <f t="shared" si="54"/>
        <v>6.4516129032258063E-2</v>
      </c>
      <c r="AG646" s="3" t="s">
        <v>46</v>
      </c>
      <c r="AH646" s="18">
        <v>144</v>
      </c>
    </row>
    <row r="647" spans="1:34" x14ac:dyDescent="0.35">
      <c r="A647" s="38" t="s">
        <v>113</v>
      </c>
      <c r="B647" s="39">
        <v>13</v>
      </c>
      <c r="C647" s="38">
        <v>0</v>
      </c>
      <c r="D647" s="38">
        <f t="shared" si="48"/>
        <v>4.3076923076923075</v>
      </c>
      <c r="E647" s="38">
        <f t="shared" si="49"/>
        <v>0</v>
      </c>
      <c r="F647" s="38" t="s">
        <v>392</v>
      </c>
      <c r="H647" s="18">
        <v>56</v>
      </c>
      <c r="J647" s="38" t="s">
        <v>63</v>
      </c>
      <c r="K647" s="38">
        <v>14</v>
      </c>
      <c r="L647" s="38">
        <v>2</v>
      </c>
      <c r="M647" s="38">
        <f>Sheet4!Q647/K647</f>
        <v>4.2142857142857144</v>
      </c>
      <c r="N647" s="38">
        <f t="shared" si="50"/>
        <v>0.14285714285714285</v>
      </c>
      <c r="O647" s="38" t="s">
        <v>392</v>
      </c>
      <c r="P647" s="3" t="s">
        <v>45</v>
      </c>
      <c r="Q647" s="18">
        <v>59</v>
      </c>
      <c r="S647" s="32" t="s">
        <v>1</v>
      </c>
      <c r="T647" s="32">
        <v>43</v>
      </c>
      <c r="U647" s="32">
        <v>3</v>
      </c>
      <c r="V647" s="32">
        <f t="shared" si="51"/>
        <v>4.6744186046511631</v>
      </c>
      <c r="W647" s="32">
        <f t="shared" si="52"/>
        <v>6.9767441860465115E-2</v>
      </c>
      <c r="X647" s="32" t="s">
        <v>392</v>
      </c>
      <c r="Z647" s="18">
        <v>201</v>
      </c>
      <c r="AB647" s="32" t="s">
        <v>428</v>
      </c>
      <c r="AC647" s="32">
        <v>20</v>
      </c>
      <c r="AD647" s="32">
        <v>0</v>
      </c>
      <c r="AE647" s="32">
        <f t="shared" si="53"/>
        <v>4.6500000000000004</v>
      </c>
      <c r="AF647" s="32">
        <f t="shared" si="54"/>
        <v>0</v>
      </c>
      <c r="AG647" s="3" t="s">
        <v>46</v>
      </c>
      <c r="AH647" s="18">
        <v>93</v>
      </c>
    </row>
    <row r="648" spans="1:34" x14ac:dyDescent="0.35">
      <c r="A648" s="38" t="s">
        <v>129</v>
      </c>
      <c r="B648" s="38">
        <v>35</v>
      </c>
      <c r="C648" s="38">
        <v>6</v>
      </c>
      <c r="D648" s="38">
        <f t="shared" si="48"/>
        <v>4.3428571428571425</v>
      </c>
      <c r="E648" s="38">
        <f t="shared" si="49"/>
        <v>0.17142857142857143</v>
      </c>
      <c r="F648" s="38" t="s">
        <v>392</v>
      </c>
      <c r="G648" s="2" t="s">
        <v>44</v>
      </c>
      <c r="H648" s="18">
        <v>152</v>
      </c>
      <c r="J648" s="38" t="s">
        <v>125</v>
      </c>
      <c r="K648" s="38">
        <v>17</v>
      </c>
      <c r="L648" s="38">
        <v>1</v>
      </c>
      <c r="M648" s="38">
        <f>Sheet4!Q648/K648</f>
        <v>4.2941176470588234</v>
      </c>
      <c r="N648" s="38">
        <f t="shared" si="50"/>
        <v>5.8823529411764705E-2</v>
      </c>
      <c r="O648" s="38" t="s">
        <v>392</v>
      </c>
      <c r="P648" s="3" t="s">
        <v>45</v>
      </c>
      <c r="Q648" s="18">
        <v>73</v>
      </c>
      <c r="S648" s="32" t="s">
        <v>14</v>
      </c>
      <c r="T648" s="32">
        <v>45</v>
      </c>
      <c r="U648" s="32">
        <v>3</v>
      </c>
      <c r="V648" s="32">
        <f t="shared" si="51"/>
        <v>4.7111111111111112</v>
      </c>
      <c r="W648" s="32">
        <f t="shared" si="52"/>
        <v>6.6666666666666666E-2</v>
      </c>
      <c r="X648" s="32" t="s">
        <v>392</v>
      </c>
      <c r="Z648" s="18">
        <v>212</v>
      </c>
      <c r="AB648" s="32" t="s">
        <v>3</v>
      </c>
      <c r="AC648" s="32">
        <v>23</v>
      </c>
      <c r="AD648" s="32">
        <v>3</v>
      </c>
      <c r="AE648" s="32">
        <f t="shared" si="53"/>
        <v>4.6521739130434785</v>
      </c>
      <c r="AF648" s="32">
        <f t="shared" si="54"/>
        <v>0.13043478260869565</v>
      </c>
      <c r="AG648" s="2" t="s">
        <v>44</v>
      </c>
      <c r="AH648" s="18">
        <v>107</v>
      </c>
    </row>
    <row r="649" spans="1:34" x14ac:dyDescent="0.35">
      <c r="A649" s="38" t="s">
        <v>7</v>
      </c>
      <c r="B649" s="38">
        <v>14</v>
      </c>
      <c r="C649" s="38">
        <v>3</v>
      </c>
      <c r="D649" s="38">
        <f t="shared" si="48"/>
        <v>4.3571428571428568</v>
      </c>
      <c r="E649" s="38">
        <f t="shared" si="49"/>
        <v>0.21428571428571427</v>
      </c>
      <c r="F649" s="38" t="s">
        <v>392</v>
      </c>
      <c r="G649" s="2" t="s">
        <v>44</v>
      </c>
      <c r="H649" s="18">
        <v>61</v>
      </c>
      <c r="J649" s="38" t="s">
        <v>113</v>
      </c>
      <c r="K649" s="38">
        <v>13</v>
      </c>
      <c r="L649" s="38">
        <v>0</v>
      </c>
      <c r="M649" s="38">
        <f>Sheet4!Q649/K649</f>
        <v>4.3076923076923075</v>
      </c>
      <c r="N649" s="38">
        <f t="shared" si="50"/>
        <v>0</v>
      </c>
      <c r="O649" s="38" t="s">
        <v>392</v>
      </c>
      <c r="P649" s="3" t="s">
        <v>45</v>
      </c>
      <c r="Q649" s="18">
        <v>56</v>
      </c>
      <c r="S649" s="32" t="s">
        <v>3</v>
      </c>
      <c r="T649" s="32">
        <v>21</v>
      </c>
      <c r="U649" s="32">
        <v>3</v>
      </c>
      <c r="V649" s="32">
        <f t="shared" si="51"/>
        <v>4.7142857142857144</v>
      </c>
      <c r="W649" s="32">
        <f t="shared" si="52"/>
        <v>0.14285714285714285</v>
      </c>
      <c r="X649" s="32" t="s">
        <v>392</v>
      </c>
      <c r="Z649" s="18">
        <v>99</v>
      </c>
      <c r="AB649" s="32" t="s">
        <v>14</v>
      </c>
      <c r="AC649" s="32">
        <v>45</v>
      </c>
      <c r="AD649" s="32">
        <v>3</v>
      </c>
      <c r="AE649" s="32">
        <f t="shared" si="53"/>
        <v>4.7111111111111112</v>
      </c>
      <c r="AF649" s="32">
        <f t="shared" si="54"/>
        <v>6.6666666666666666E-2</v>
      </c>
      <c r="AG649" s="3" t="s">
        <v>46</v>
      </c>
      <c r="AH649" s="18">
        <v>212</v>
      </c>
    </row>
    <row r="650" spans="1:34" x14ac:dyDescent="0.35">
      <c r="A650" s="38" t="s">
        <v>36</v>
      </c>
      <c r="B650" s="38">
        <v>11</v>
      </c>
      <c r="C650" s="38">
        <v>0</v>
      </c>
      <c r="D650" s="38">
        <f t="shared" si="48"/>
        <v>4.3636363636363633</v>
      </c>
      <c r="E650" s="38">
        <f t="shared" si="49"/>
        <v>0</v>
      </c>
      <c r="F650" s="38" t="s">
        <v>392</v>
      </c>
      <c r="G650" s="2" t="s">
        <v>44</v>
      </c>
      <c r="H650" s="18">
        <v>48</v>
      </c>
      <c r="J650" s="38" t="s">
        <v>129</v>
      </c>
      <c r="K650" s="38">
        <v>35</v>
      </c>
      <c r="L650" s="38">
        <v>6</v>
      </c>
      <c r="M650" s="38">
        <f>Sheet4!Q650/K650</f>
        <v>4.3428571428571425</v>
      </c>
      <c r="N650" s="38">
        <f t="shared" si="50"/>
        <v>0.17142857142857143</v>
      </c>
      <c r="O650" s="38" t="s">
        <v>392</v>
      </c>
      <c r="P650" s="3" t="s">
        <v>45</v>
      </c>
      <c r="Q650" s="18">
        <v>152</v>
      </c>
      <c r="S650" s="38" t="s">
        <v>81</v>
      </c>
      <c r="T650" s="38">
        <v>26</v>
      </c>
      <c r="U650" s="38">
        <v>2</v>
      </c>
      <c r="V650" s="38">
        <f t="shared" si="51"/>
        <v>4.8076923076923075</v>
      </c>
      <c r="W650" s="38">
        <f t="shared" si="52"/>
        <v>7.6923076923076927E-2</v>
      </c>
      <c r="X650" s="38" t="s">
        <v>392</v>
      </c>
      <c r="Z650" s="18">
        <v>125</v>
      </c>
      <c r="AB650" s="32" t="s">
        <v>37</v>
      </c>
      <c r="AC650" s="32">
        <v>20</v>
      </c>
      <c r="AD650" s="32">
        <v>2</v>
      </c>
      <c r="AE650" s="32">
        <f t="shared" si="53"/>
        <v>4.75</v>
      </c>
      <c r="AF650" s="32">
        <f t="shared" si="54"/>
        <v>0.1</v>
      </c>
      <c r="AG650" s="3" t="s">
        <v>454</v>
      </c>
      <c r="AH650" s="18">
        <v>95</v>
      </c>
    </row>
    <row r="651" spans="1:34" x14ac:dyDescent="0.35">
      <c r="A651" s="38" t="s">
        <v>115</v>
      </c>
      <c r="B651" s="39">
        <v>13</v>
      </c>
      <c r="C651" s="38">
        <v>0</v>
      </c>
      <c r="D651" s="38">
        <f t="shared" si="48"/>
        <v>4.384615384615385</v>
      </c>
      <c r="E651" s="38">
        <f t="shared" si="49"/>
        <v>0</v>
      </c>
      <c r="F651" s="38" t="s">
        <v>392</v>
      </c>
      <c r="G651" s="3" t="s">
        <v>381</v>
      </c>
      <c r="H651" s="18">
        <v>57</v>
      </c>
      <c r="J651" s="38" t="s">
        <v>7</v>
      </c>
      <c r="K651" s="38">
        <v>14</v>
      </c>
      <c r="L651" s="38">
        <v>3</v>
      </c>
      <c r="M651" s="38">
        <f>Sheet4!Q651/K651</f>
        <v>4.3571428571428568</v>
      </c>
      <c r="N651" s="38">
        <f t="shared" si="50"/>
        <v>0.21428571428571427</v>
      </c>
      <c r="O651" s="38" t="s">
        <v>392</v>
      </c>
      <c r="P651" s="3" t="s">
        <v>45</v>
      </c>
      <c r="Q651" s="18">
        <v>61</v>
      </c>
      <c r="S651" s="38" t="s">
        <v>51</v>
      </c>
      <c r="T651" s="38">
        <v>21</v>
      </c>
      <c r="U651" s="38">
        <v>1</v>
      </c>
      <c r="V651" s="38">
        <f t="shared" si="51"/>
        <v>5.0952380952380949</v>
      </c>
      <c r="W651" s="38">
        <f t="shared" si="52"/>
        <v>4.7619047619047616E-2</v>
      </c>
      <c r="X651" s="38" t="s">
        <v>392</v>
      </c>
      <c r="Z651" s="18">
        <v>107</v>
      </c>
      <c r="AB651" s="38" t="s">
        <v>81</v>
      </c>
      <c r="AC651" s="38">
        <v>31</v>
      </c>
      <c r="AD651" s="38">
        <v>2</v>
      </c>
      <c r="AE651" s="38">
        <f t="shared" si="53"/>
        <v>4.870967741935484</v>
      </c>
      <c r="AF651" s="38">
        <f t="shared" si="54"/>
        <v>6.4516129032258063E-2</v>
      </c>
      <c r="AG651" s="3" t="s">
        <v>46</v>
      </c>
      <c r="AH651" s="18">
        <v>151</v>
      </c>
    </row>
    <row r="652" spans="1:34" x14ac:dyDescent="0.35">
      <c r="A652" s="38" t="s">
        <v>15</v>
      </c>
      <c r="B652" s="39">
        <v>119</v>
      </c>
      <c r="C652" s="40">
        <v>23</v>
      </c>
      <c r="D652" s="38">
        <f t="shared" si="48"/>
        <v>4.3865546218487399</v>
      </c>
      <c r="E652" s="38">
        <f t="shared" si="49"/>
        <v>0.19327731092436976</v>
      </c>
      <c r="F652" s="38">
        <v>2</v>
      </c>
      <c r="H652" s="18">
        <v>522</v>
      </c>
      <c r="J652" s="38" t="s">
        <v>36</v>
      </c>
      <c r="K652" s="38">
        <v>11</v>
      </c>
      <c r="L652" s="38">
        <v>0</v>
      </c>
      <c r="M652" s="38">
        <f>Sheet4!Q652/K652</f>
        <v>4.3636363636363633</v>
      </c>
      <c r="N652" s="38">
        <f t="shared" si="50"/>
        <v>0</v>
      </c>
      <c r="O652" s="38" t="s">
        <v>392</v>
      </c>
      <c r="P652" s="3" t="s">
        <v>45</v>
      </c>
      <c r="Q652" s="18">
        <v>48</v>
      </c>
      <c r="S652" s="38" t="s">
        <v>31</v>
      </c>
      <c r="T652" s="38">
        <v>47</v>
      </c>
      <c r="U652" s="38">
        <v>3</v>
      </c>
      <c r="V652" s="38">
        <f t="shared" si="51"/>
        <v>5.1063829787234045</v>
      </c>
      <c r="W652" s="38">
        <f t="shared" si="52"/>
        <v>6.3829787234042548E-2</v>
      </c>
      <c r="X652" s="38" t="s">
        <v>392</v>
      </c>
      <c r="Z652" s="18">
        <v>240</v>
      </c>
      <c r="AB652" s="38" t="s">
        <v>51</v>
      </c>
      <c r="AC652" s="38">
        <v>22</v>
      </c>
      <c r="AD652" s="38">
        <v>1</v>
      </c>
      <c r="AE652" s="38">
        <f t="shared" si="53"/>
        <v>5</v>
      </c>
      <c r="AF652" s="38">
        <f t="shared" si="54"/>
        <v>4.5454545454545456E-2</v>
      </c>
      <c r="AG652" s="3" t="s">
        <v>46</v>
      </c>
      <c r="AH652" s="18">
        <v>110</v>
      </c>
    </row>
    <row r="653" spans="1:34" x14ac:dyDescent="0.35">
      <c r="A653" s="41" t="s">
        <v>58</v>
      </c>
      <c r="B653" s="42">
        <v>13</v>
      </c>
      <c r="C653" s="41">
        <v>1</v>
      </c>
      <c r="D653" s="41">
        <f t="shared" si="48"/>
        <v>4.4615384615384617</v>
      </c>
      <c r="E653" s="41">
        <f t="shared" si="49"/>
        <v>7.6923076923076927E-2</v>
      </c>
      <c r="F653" s="41">
        <v>1</v>
      </c>
      <c r="G653" s="3" t="s">
        <v>152</v>
      </c>
      <c r="H653" s="18">
        <v>58</v>
      </c>
      <c r="J653" s="38" t="s">
        <v>115</v>
      </c>
      <c r="K653" s="38">
        <v>13</v>
      </c>
      <c r="L653" s="38">
        <v>0</v>
      </c>
      <c r="M653" s="38">
        <f>Sheet4!Q653/K653</f>
        <v>4.384615384615385</v>
      </c>
      <c r="N653" s="38">
        <f t="shared" si="50"/>
        <v>0</v>
      </c>
      <c r="O653" s="38" t="s">
        <v>392</v>
      </c>
      <c r="P653" s="3" t="s">
        <v>45</v>
      </c>
      <c r="Q653" s="18">
        <v>57</v>
      </c>
      <c r="S653" s="38" t="s">
        <v>25</v>
      </c>
      <c r="T653" s="38">
        <v>58</v>
      </c>
      <c r="U653" s="38">
        <v>4</v>
      </c>
      <c r="V653" s="38">
        <f t="shared" si="51"/>
        <v>5.1379310344827589</v>
      </c>
      <c r="W653" s="38">
        <f t="shared" si="52"/>
        <v>6.8965517241379309E-2</v>
      </c>
      <c r="X653" s="38" t="s">
        <v>392</v>
      </c>
      <c r="Z653" s="18">
        <v>298</v>
      </c>
      <c r="AB653" s="38" t="s">
        <v>79</v>
      </c>
      <c r="AC653" s="38">
        <v>23</v>
      </c>
      <c r="AD653" s="38">
        <v>0</v>
      </c>
      <c r="AE653" s="38">
        <f t="shared" si="53"/>
        <v>5.0869565217391308</v>
      </c>
      <c r="AF653" s="38">
        <f t="shared" si="54"/>
        <v>0</v>
      </c>
      <c r="AG653" s="2" t="s">
        <v>44</v>
      </c>
      <c r="AH653" s="18">
        <v>117</v>
      </c>
    </row>
    <row r="654" spans="1:34" x14ac:dyDescent="0.35">
      <c r="A654" s="41" t="s">
        <v>23</v>
      </c>
      <c r="B654" s="41">
        <v>19</v>
      </c>
      <c r="C654" s="41">
        <v>0</v>
      </c>
      <c r="D654" s="41">
        <f t="shared" si="48"/>
        <v>4.4736842105263159</v>
      </c>
      <c r="E654" s="41">
        <f t="shared" si="49"/>
        <v>0</v>
      </c>
      <c r="F654" s="41" t="s">
        <v>392</v>
      </c>
      <c r="H654" s="18">
        <v>85</v>
      </c>
      <c r="J654" s="41" t="s">
        <v>15</v>
      </c>
      <c r="K654" s="42">
        <v>120</v>
      </c>
      <c r="L654" s="50">
        <v>23</v>
      </c>
      <c r="M654" s="41">
        <f>Sheet4!Q654/K654</f>
        <v>4.416666666666667</v>
      </c>
      <c r="N654" s="41">
        <f t="shared" si="50"/>
        <v>0.19166666666666668</v>
      </c>
      <c r="O654" s="41">
        <v>2</v>
      </c>
      <c r="P654" s="3" t="s">
        <v>45</v>
      </c>
      <c r="Q654" s="18">
        <v>530</v>
      </c>
      <c r="S654" s="38" t="s">
        <v>79</v>
      </c>
      <c r="T654" s="38">
        <v>22</v>
      </c>
      <c r="U654" s="38">
        <v>0</v>
      </c>
      <c r="V654" s="38">
        <f t="shared" si="51"/>
        <v>5.2272727272727275</v>
      </c>
      <c r="W654" s="38">
        <f t="shared" si="52"/>
        <v>0</v>
      </c>
      <c r="X654" s="38" t="s">
        <v>392</v>
      </c>
      <c r="Z654" s="18">
        <v>115</v>
      </c>
      <c r="AB654" s="38" t="s">
        <v>30</v>
      </c>
      <c r="AC654" s="38">
        <v>20</v>
      </c>
      <c r="AD654" s="38">
        <v>3</v>
      </c>
      <c r="AE654" s="38">
        <f t="shared" si="53"/>
        <v>5.0999999999999996</v>
      </c>
      <c r="AF654" s="38">
        <f t="shared" si="54"/>
        <v>0.15</v>
      </c>
      <c r="AG654" s="3" t="s">
        <v>455</v>
      </c>
      <c r="AH654" s="18">
        <v>102</v>
      </c>
    </row>
    <row r="655" spans="1:34" x14ac:dyDescent="0.35">
      <c r="A655" s="41" t="s">
        <v>8</v>
      </c>
      <c r="B655" s="42">
        <v>42</v>
      </c>
      <c r="C655" s="41">
        <v>5</v>
      </c>
      <c r="D655" s="41">
        <f t="shared" si="48"/>
        <v>4.5238095238095237</v>
      </c>
      <c r="E655" s="41">
        <f t="shared" si="49"/>
        <v>0.11904761904761904</v>
      </c>
      <c r="F655" s="41" t="s">
        <v>392</v>
      </c>
      <c r="G655" s="2" t="s">
        <v>44</v>
      </c>
      <c r="H655" s="18">
        <v>190</v>
      </c>
      <c r="J655" s="41" t="s">
        <v>23</v>
      </c>
      <c r="K655" s="41">
        <v>19</v>
      </c>
      <c r="L655" s="41">
        <v>0</v>
      </c>
      <c r="M655" s="41">
        <f>Sheet4!Q655/K655</f>
        <v>4.4736842105263159</v>
      </c>
      <c r="N655" s="41">
        <f t="shared" si="50"/>
        <v>0</v>
      </c>
      <c r="O655" s="41" t="s">
        <v>392</v>
      </c>
      <c r="P655" s="3" t="s">
        <v>46</v>
      </c>
      <c r="Q655" s="18">
        <v>85</v>
      </c>
      <c r="S655" s="38" t="s">
        <v>6</v>
      </c>
      <c r="T655" s="38">
        <v>41</v>
      </c>
      <c r="U655" s="38">
        <v>3</v>
      </c>
      <c r="V655" s="38">
        <f t="shared" si="51"/>
        <v>5.2439024390243905</v>
      </c>
      <c r="W655" s="38">
        <f t="shared" si="52"/>
        <v>7.3170731707317069E-2</v>
      </c>
      <c r="X655" s="38" t="s">
        <v>392</v>
      </c>
      <c r="Z655" s="18">
        <v>215</v>
      </c>
      <c r="AB655" s="38" t="s">
        <v>25</v>
      </c>
      <c r="AC655" s="38">
        <v>58</v>
      </c>
      <c r="AD655" s="38">
        <v>4</v>
      </c>
      <c r="AE655" s="38">
        <f t="shared" si="53"/>
        <v>5.1379310344827589</v>
      </c>
      <c r="AF655" s="38">
        <f t="shared" si="54"/>
        <v>6.8965517241379309E-2</v>
      </c>
      <c r="AG655" s="3" t="s">
        <v>45</v>
      </c>
      <c r="AH655" s="18">
        <v>298</v>
      </c>
    </row>
    <row r="656" spans="1:34" x14ac:dyDescent="0.35">
      <c r="A656" s="41" t="s">
        <v>27</v>
      </c>
      <c r="B656" s="41">
        <v>24</v>
      </c>
      <c r="C656" s="41">
        <v>1</v>
      </c>
      <c r="D656" s="41">
        <f t="shared" si="48"/>
        <v>4.541666666666667</v>
      </c>
      <c r="E656" s="41">
        <f t="shared" si="49"/>
        <v>4.1666666666666664E-2</v>
      </c>
      <c r="F656" s="41" t="s">
        <v>392</v>
      </c>
      <c r="G656" s="2" t="s">
        <v>44</v>
      </c>
      <c r="H656" s="18">
        <v>109</v>
      </c>
      <c r="J656" s="41" t="s">
        <v>8</v>
      </c>
      <c r="K656" s="41">
        <v>42</v>
      </c>
      <c r="L656" s="41">
        <v>5</v>
      </c>
      <c r="M656" s="41">
        <f>Sheet4!Q656/K656</f>
        <v>4.5238095238095237</v>
      </c>
      <c r="N656" s="41">
        <f t="shared" si="50"/>
        <v>0.11904761904761904</v>
      </c>
      <c r="O656" s="41" t="s">
        <v>392</v>
      </c>
      <c r="P656" s="3" t="s">
        <v>46</v>
      </c>
      <c r="Q656" s="18">
        <v>190</v>
      </c>
      <c r="S656" s="53" t="s">
        <v>90</v>
      </c>
      <c r="T656" s="53">
        <v>27</v>
      </c>
      <c r="U656" s="53">
        <v>3</v>
      </c>
      <c r="V656" s="53">
        <f t="shared" si="51"/>
        <v>5.4074074074074074</v>
      </c>
      <c r="W656" s="53">
        <f t="shared" si="52"/>
        <v>0.1111111111111111</v>
      </c>
      <c r="X656" s="53" t="s">
        <v>392</v>
      </c>
      <c r="Z656" s="18">
        <v>146</v>
      </c>
      <c r="AB656" s="38" t="s">
        <v>31</v>
      </c>
      <c r="AC656" s="38">
        <v>57</v>
      </c>
      <c r="AD656" s="38">
        <v>4</v>
      </c>
      <c r="AE656" s="38">
        <f t="shared" si="53"/>
        <v>5.1578947368421053</v>
      </c>
      <c r="AF656" s="38">
        <f t="shared" si="54"/>
        <v>7.0175438596491224E-2</v>
      </c>
      <c r="AG656" s="3" t="s">
        <v>55</v>
      </c>
      <c r="AH656" s="18">
        <v>294</v>
      </c>
    </row>
    <row r="657" spans="1:34" x14ac:dyDescent="0.35">
      <c r="A657" s="41" t="s">
        <v>404</v>
      </c>
      <c r="B657" s="42">
        <v>11</v>
      </c>
      <c r="C657" s="41">
        <v>2</v>
      </c>
      <c r="D657" s="41">
        <f t="shared" si="48"/>
        <v>4.5454545454545459</v>
      </c>
      <c r="E657" s="41">
        <f t="shared" si="49"/>
        <v>0.18181818181818182</v>
      </c>
      <c r="F657" s="41" t="s">
        <v>392</v>
      </c>
      <c r="G657" s="2" t="s">
        <v>59</v>
      </c>
      <c r="H657" s="18">
        <v>50</v>
      </c>
      <c r="J657" s="41" t="s">
        <v>24</v>
      </c>
      <c r="K657" s="42">
        <v>71</v>
      </c>
      <c r="L657" s="41">
        <v>9</v>
      </c>
      <c r="M657" s="41">
        <f>Sheet4!Q657/K657</f>
        <v>4.535211267605634</v>
      </c>
      <c r="N657" s="41">
        <f t="shared" si="50"/>
        <v>0.12676056338028169</v>
      </c>
      <c r="O657" s="41" t="s">
        <v>392</v>
      </c>
      <c r="P657" s="2" t="s">
        <v>44</v>
      </c>
      <c r="Q657" s="18">
        <v>322</v>
      </c>
      <c r="S657" s="53" t="s">
        <v>49</v>
      </c>
      <c r="T657" s="53">
        <v>20</v>
      </c>
      <c r="U657" s="53">
        <v>2</v>
      </c>
      <c r="V657" s="53">
        <f t="shared" si="51"/>
        <v>5.45</v>
      </c>
      <c r="W657" s="53">
        <f t="shared" si="52"/>
        <v>0.1</v>
      </c>
      <c r="X657" s="53" t="s">
        <v>392</v>
      </c>
      <c r="Z657" s="18">
        <v>109</v>
      </c>
      <c r="AB657" s="38" t="s">
        <v>6</v>
      </c>
      <c r="AC657" s="38">
        <v>42</v>
      </c>
      <c r="AD657" s="38">
        <v>3</v>
      </c>
      <c r="AE657" s="38">
        <f t="shared" si="53"/>
        <v>5.2619047619047619</v>
      </c>
      <c r="AF657" s="38">
        <f t="shared" si="54"/>
        <v>7.1428571428571425E-2</v>
      </c>
      <c r="AG657" s="3" t="s">
        <v>45</v>
      </c>
      <c r="AH657" s="18">
        <v>221</v>
      </c>
    </row>
    <row r="658" spans="1:34" x14ac:dyDescent="0.35">
      <c r="A658" s="41" t="s">
        <v>24</v>
      </c>
      <c r="B658" s="41">
        <v>70</v>
      </c>
      <c r="C658" s="41">
        <v>9</v>
      </c>
      <c r="D658" s="41">
        <f t="shared" si="48"/>
        <v>4.5714285714285712</v>
      </c>
      <c r="E658" s="41">
        <f t="shared" si="49"/>
        <v>0.12857142857142856</v>
      </c>
      <c r="F658" s="41" t="s">
        <v>392</v>
      </c>
      <c r="H658" s="18">
        <v>320</v>
      </c>
      <c r="J658" s="41" t="s">
        <v>27</v>
      </c>
      <c r="K658" s="41">
        <v>24</v>
      </c>
      <c r="L658" s="41">
        <v>1</v>
      </c>
      <c r="M658" s="41">
        <f>Sheet4!Q658/K658</f>
        <v>4.541666666666667</v>
      </c>
      <c r="N658" s="41">
        <f t="shared" si="50"/>
        <v>4.1666666666666664E-2</v>
      </c>
      <c r="O658" s="41" t="s">
        <v>392</v>
      </c>
      <c r="P658" s="3" t="s">
        <v>45</v>
      </c>
      <c r="Q658" s="18">
        <v>109</v>
      </c>
      <c r="S658" s="53" t="s">
        <v>33</v>
      </c>
      <c r="T658" s="53">
        <v>25</v>
      </c>
      <c r="U658" s="53">
        <v>1</v>
      </c>
      <c r="V658" s="53">
        <f t="shared" si="51"/>
        <v>5.48</v>
      </c>
      <c r="W658" s="53">
        <f t="shared" si="52"/>
        <v>0.04</v>
      </c>
      <c r="X658" s="53" t="s">
        <v>392</v>
      </c>
      <c r="Z658" s="18">
        <v>137</v>
      </c>
      <c r="AB658" s="43" t="s">
        <v>90</v>
      </c>
      <c r="AC658" s="43">
        <v>27</v>
      </c>
      <c r="AD658" s="43">
        <v>3</v>
      </c>
      <c r="AE658" s="43">
        <f t="shared" si="53"/>
        <v>5.4074074074074074</v>
      </c>
      <c r="AF658" s="43">
        <f t="shared" si="54"/>
        <v>0.1111111111111111</v>
      </c>
      <c r="AG658" s="3" t="s">
        <v>45</v>
      </c>
      <c r="AH658" s="18">
        <v>146</v>
      </c>
    </row>
    <row r="659" spans="1:34" x14ac:dyDescent="0.35">
      <c r="A659" s="41" t="s">
        <v>1</v>
      </c>
      <c r="B659" s="42">
        <v>37</v>
      </c>
      <c r="C659" s="41">
        <v>3</v>
      </c>
      <c r="D659" s="41">
        <f t="shared" ref="D659:D691" si="55">H659/B659</f>
        <v>4.5945945945945947</v>
      </c>
      <c r="E659" s="41">
        <f t="shared" ref="E659:E691" si="56">C659/B659</f>
        <v>8.1081081081081086E-2</v>
      </c>
      <c r="F659" s="41" t="s">
        <v>392</v>
      </c>
      <c r="G659" s="2" t="s">
        <v>88</v>
      </c>
      <c r="H659" s="18">
        <v>170</v>
      </c>
      <c r="J659" s="41" t="s">
        <v>404</v>
      </c>
      <c r="K659" s="41">
        <v>11</v>
      </c>
      <c r="L659" s="41">
        <v>2</v>
      </c>
      <c r="M659" s="41">
        <f>Sheet4!Q659/K659</f>
        <v>4.5454545454545459</v>
      </c>
      <c r="N659" s="41">
        <f t="shared" ref="N659:N694" si="57">L659/K659</f>
        <v>0.18181818181818182</v>
      </c>
      <c r="O659" s="41" t="s">
        <v>392</v>
      </c>
      <c r="P659" s="3" t="s">
        <v>45</v>
      </c>
      <c r="Q659" s="18">
        <v>50</v>
      </c>
      <c r="S659" s="53" t="s">
        <v>401</v>
      </c>
      <c r="T659" s="53">
        <v>23</v>
      </c>
      <c r="U659" s="53">
        <v>1</v>
      </c>
      <c r="V659" s="53">
        <f t="shared" si="51"/>
        <v>5.9565217391304346</v>
      </c>
      <c r="W659" s="53">
        <f t="shared" si="52"/>
        <v>4.3478260869565216E-2</v>
      </c>
      <c r="X659" s="53" t="s">
        <v>392</v>
      </c>
      <c r="Z659" s="18">
        <v>137</v>
      </c>
      <c r="AB659" s="43" t="s">
        <v>33</v>
      </c>
      <c r="AC659" s="43">
        <v>25</v>
      </c>
      <c r="AD659" s="43">
        <v>1</v>
      </c>
      <c r="AE659" s="43">
        <f t="shared" si="53"/>
        <v>5.48</v>
      </c>
      <c r="AF659" s="43">
        <f t="shared" si="54"/>
        <v>0.04</v>
      </c>
      <c r="AG659" s="3" t="s">
        <v>46</v>
      </c>
      <c r="AH659" s="18">
        <v>137</v>
      </c>
    </row>
    <row r="660" spans="1:34" x14ac:dyDescent="0.35">
      <c r="A660" s="41" t="s">
        <v>21</v>
      </c>
      <c r="B660" s="42">
        <v>26</v>
      </c>
      <c r="C660" s="42">
        <v>2</v>
      </c>
      <c r="D660" s="41">
        <f t="shared" si="55"/>
        <v>4.615384615384615</v>
      </c>
      <c r="E660" s="41">
        <f t="shared" si="56"/>
        <v>7.6923076923076927E-2</v>
      </c>
      <c r="F660" s="41">
        <v>1</v>
      </c>
      <c r="G660" s="3" t="s">
        <v>420</v>
      </c>
      <c r="H660" s="18">
        <v>120</v>
      </c>
      <c r="J660" s="41" t="s">
        <v>21</v>
      </c>
      <c r="K660" s="41">
        <v>26</v>
      </c>
      <c r="L660" s="41">
        <v>2</v>
      </c>
      <c r="M660" s="41">
        <f>Sheet4!Q660/K660</f>
        <v>4.615384615384615</v>
      </c>
      <c r="N660" s="41">
        <f t="shared" si="57"/>
        <v>7.6923076923076927E-2</v>
      </c>
      <c r="O660" s="41">
        <v>1</v>
      </c>
      <c r="P660" s="49" t="s">
        <v>424</v>
      </c>
      <c r="Q660" s="18">
        <v>120</v>
      </c>
      <c r="AB660" s="43" t="s">
        <v>49</v>
      </c>
      <c r="AC660" s="43">
        <v>25</v>
      </c>
      <c r="AD660" s="43">
        <v>2</v>
      </c>
      <c r="AE660" s="43">
        <f t="shared" si="53"/>
        <v>5.68</v>
      </c>
      <c r="AF660" s="43">
        <f t="shared" si="54"/>
        <v>0.08</v>
      </c>
      <c r="AG660" s="3" t="s">
        <v>54</v>
      </c>
      <c r="AH660" s="18">
        <v>142</v>
      </c>
    </row>
    <row r="661" spans="1:34" x14ac:dyDescent="0.35">
      <c r="A661" s="41" t="s">
        <v>13</v>
      </c>
      <c r="B661" s="41">
        <v>30</v>
      </c>
      <c r="C661" s="41">
        <v>2</v>
      </c>
      <c r="D661" s="41">
        <f t="shared" si="55"/>
        <v>4.6333333333333337</v>
      </c>
      <c r="E661" s="41">
        <f t="shared" si="56"/>
        <v>6.6666666666666666E-2</v>
      </c>
      <c r="F661" s="41" t="s">
        <v>392</v>
      </c>
      <c r="H661" s="18">
        <v>139</v>
      </c>
      <c r="J661" s="41" t="s">
        <v>1</v>
      </c>
      <c r="K661" s="42">
        <v>39</v>
      </c>
      <c r="L661" s="41">
        <v>3</v>
      </c>
      <c r="M661" s="41">
        <f>Sheet4!Q661/K661</f>
        <v>4.615384615384615</v>
      </c>
      <c r="N661" s="41">
        <f t="shared" si="57"/>
        <v>7.6923076923076927E-2</v>
      </c>
      <c r="O661" s="41" t="s">
        <v>392</v>
      </c>
      <c r="P661" s="3" t="s">
        <v>45</v>
      </c>
      <c r="Q661" s="18">
        <v>180</v>
      </c>
      <c r="AB661" s="43" t="s">
        <v>401</v>
      </c>
      <c r="AC661" s="43">
        <v>25</v>
      </c>
      <c r="AD661" s="43">
        <v>1</v>
      </c>
      <c r="AE661" s="43">
        <f t="shared" si="53"/>
        <v>6</v>
      </c>
      <c r="AF661" s="43">
        <f t="shared" si="54"/>
        <v>0.04</v>
      </c>
      <c r="AG661" s="3" t="s">
        <v>45</v>
      </c>
      <c r="AH661" s="18">
        <v>150</v>
      </c>
    </row>
    <row r="662" spans="1:34" x14ac:dyDescent="0.35">
      <c r="A662" s="41" t="s">
        <v>14</v>
      </c>
      <c r="B662" s="41">
        <v>44</v>
      </c>
      <c r="C662" s="41">
        <v>3</v>
      </c>
      <c r="D662" s="41">
        <f t="shared" si="55"/>
        <v>4.6363636363636367</v>
      </c>
      <c r="E662" s="41">
        <f t="shared" si="56"/>
        <v>6.8181818181818177E-2</v>
      </c>
      <c r="F662" s="41" t="s">
        <v>392</v>
      </c>
      <c r="H662" s="18">
        <v>204</v>
      </c>
      <c r="J662" s="41" t="s">
        <v>13</v>
      </c>
      <c r="K662" s="41">
        <v>30</v>
      </c>
      <c r="L662" s="41">
        <v>2</v>
      </c>
      <c r="M662" s="41">
        <f>Sheet4!Q662/K662</f>
        <v>4.6333333333333337</v>
      </c>
      <c r="N662" s="41">
        <f t="shared" si="57"/>
        <v>6.6666666666666666E-2</v>
      </c>
      <c r="O662" s="41" t="s">
        <v>392</v>
      </c>
      <c r="P662" s="3" t="s">
        <v>46</v>
      </c>
      <c r="Q662" s="18">
        <v>139</v>
      </c>
    </row>
    <row r="663" spans="1:34" x14ac:dyDescent="0.35">
      <c r="A663" s="41" t="s">
        <v>26</v>
      </c>
      <c r="B663" s="41">
        <v>15</v>
      </c>
      <c r="C663" s="41">
        <v>2</v>
      </c>
      <c r="D663" s="41">
        <f t="shared" si="55"/>
        <v>4.666666666666667</v>
      </c>
      <c r="E663" s="41">
        <f t="shared" si="56"/>
        <v>0.13333333333333333</v>
      </c>
      <c r="F663" s="41" t="s">
        <v>392</v>
      </c>
      <c r="H663" s="18">
        <v>70</v>
      </c>
      <c r="J663" s="41" t="s">
        <v>26</v>
      </c>
      <c r="K663" s="41">
        <v>15</v>
      </c>
      <c r="L663" s="41">
        <v>2</v>
      </c>
      <c r="M663" s="41">
        <f>Sheet4!Q663/K663</f>
        <v>4.666666666666667</v>
      </c>
      <c r="N663" s="41">
        <f t="shared" si="57"/>
        <v>0.13333333333333333</v>
      </c>
      <c r="O663" s="41" t="s">
        <v>392</v>
      </c>
      <c r="Q663" s="18">
        <v>70</v>
      </c>
    </row>
    <row r="664" spans="1:34" x14ac:dyDescent="0.35">
      <c r="A664" s="41" t="s">
        <v>50</v>
      </c>
      <c r="B664" s="41">
        <v>13</v>
      </c>
      <c r="C664" s="41">
        <v>0</v>
      </c>
      <c r="D664" s="41">
        <f t="shared" si="55"/>
        <v>4.6923076923076925</v>
      </c>
      <c r="E664" s="41">
        <f t="shared" si="56"/>
        <v>0</v>
      </c>
      <c r="F664" s="41" t="s">
        <v>392</v>
      </c>
      <c r="G664" s="2" t="s">
        <v>44</v>
      </c>
      <c r="H664" s="18">
        <v>61</v>
      </c>
      <c r="J664" s="41" t="s">
        <v>50</v>
      </c>
      <c r="K664" s="41">
        <v>13</v>
      </c>
      <c r="L664" s="41">
        <v>0</v>
      </c>
      <c r="M664" s="41">
        <f>Sheet4!Q664/K664</f>
        <v>4.6923076923076925</v>
      </c>
      <c r="N664" s="41">
        <f t="shared" si="57"/>
        <v>0</v>
      </c>
      <c r="O664" s="41" t="s">
        <v>392</v>
      </c>
      <c r="Q664" s="18">
        <v>61</v>
      </c>
    </row>
    <row r="665" spans="1:34" x14ac:dyDescent="0.35">
      <c r="A665" s="41" t="s">
        <v>87</v>
      </c>
      <c r="B665" s="41">
        <v>10</v>
      </c>
      <c r="C665" s="41">
        <v>1</v>
      </c>
      <c r="D665" s="41">
        <f t="shared" si="55"/>
        <v>4.7</v>
      </c>
      <c r="E665" s="41">
        <f t="shared" si="56"/>
        <v>0.1</v>
      </c>
      <c r="F665" s="41" t="s">
        <v>392</v>
      </c>
      <c r="G665" s="2" t="s">
        <v>44</v>
      </c>
      <c r="H665" s="18">
        <v>47</v>
      </c>
      <c r="J665" s="41" t="s">
        <v>87</v>
      </c>
      <c r="K665" s="41">
        <v>10</v>
      </c>
      <c r="L665" s="41">
        <v>1</v>
      </c>
      <c r="M665" s="41">
        <f>Sheet4!Q665/K665</f>
        <v>4.7</v>
      </c>
      <c r="N665" s="41">
        <f t="shared" si="57"/>
        <v>0.1</v>
      </c>
      <c r="O665" s="41" t="s">
        <v>392</v>
      </c>
      <c r="Q665" s="18">
        <v>47</v>
      </c>
    </row>
    <row r="666" spans="1:34" x14ac:dyDescent="0.35">
      <c r="A666" s="41" t="s">
        <v>230</v>
      </c>
      <c r="B666" s="41">
        <v>10</v>
      </c>
      <c r="C666" s="41">
        <v>1</v>
      </c>
      <c r="D666" s="41">
        <f t="shared" si="55"/>
        <v>4.7</v>
      </c>
      <c r="E666" s="41">
        <f t="shared" si="56"/>
        <v>0.1</v>
      </c>
      <c r="F666" s="41" t="s">
        <v>392</v>
      </c>
      <c r="G666" s="2" t="s">
        <v>44</v>
      </c>
      <c r="H666" s="18">
        <v>47</v>
      </c>
      <c r="J666" s="41" t="s">
        <v>230</v>
      </c>
      <c r="K666" s="41">
        <v>10</v>
      </c>
      <c r="L666" s="41">
        <v>1</v>
      </c>
      <c r="M666" s="41">
        <f>Sheet4!Q666/K666</f>
        <v>4.7</v>
      </c>
      <c r="N666" s="41">
        <f t="shared" si="57"/>
        <v>0.1</v>
      </c>
      <c r="O666" s="41" t="s">
        <v>392</v>
      </c>
      <c r="Q666" s="18">
        <v>47</v>
      </c>
    </row>
    <row r="667" spans="1:34" x14ac:dyDescent="0.35">
      <c r="A667" s="41" t="s">
        <v>3</v>
      </c>
      <c r="B667" s="41">
        <v>21</v>
      </c>
      <c r="C667" s="41">
        <v>3</v>
      </c>
      <c r="D667" s="41">
        <f t="shared" si="55"/>
        <v>4.7142857142857144</v>
      </c>
      <c r="E667" s="41">
        <f t="shared" si="56"/>
        <v>0.14285714285714285</v>
      </c>
      <c r="F667" s="41" t="s">
        <v>392</v>
      </c>
      <c r="G667" s="2" t="s">
        <v>44</v>
      </c>
      <c r="H667" s="18">
        <v>99</v>
      </c>
      <c r="J667" s="41" t="s">
        <v>14</v>
      </c>
      <c r="K667" s="42">
        <v>45</v>
      </c>
      <c r="L667" s="41">
        <v>3</v>
      </c>
      <c r="M667" s="41">
        <f>Sheet4!Q667/K667</f>
        <v>4.7111111111111112</v>
      </c>
      <c r="N667" s="41">
        <f t="shared" si="57"/>
        <v>6.6666666666666666E-2</v>
      </c>
      <c r="O667" s="41" t="s">
        <v>392</v>
      </c>
      <c r="P667" s="3" t="s">
        <v>381</v>
      </c>
      <c r="Q667" s="18">
        <v>212</v>
      </c>
    </row>
    <row r="668" spans="1:34" x14ac:dyDescent="0.35">
      <c r="A668" s="41" t="s">
        <v>30</v>
      </c>
      <c r="B668" s="42">
        <v>16</v>
      </c>
      <c r="C668" s="41">
        <v>3</v>
      </c>
      <c r="D668" s="41">
        <f t="shared" si="55"/>
        <v>4.75</v>
      </c>
      <c r="E668" s="41">
        <f t="shared" si="56"/>
        <v>0.1875</v>
      </c>
      <c r="F668" s="41" t="s">
        <v>392</v>
      </c>
      <c r="G668" s="3" t="s">
        <v>84</v>
      </c>
      <c r="H668" s="18">
        <v>76</v>
      </c>
      <c r="J668" s="41" t="s">
        <v>3</v>
      </c>
      <c r="K668" s="41">
        <v>21</v>
      </c>
      <c r="L668" s="41">
        <v>3</v>
      </c>
      <c r="M668" s="41">
        <f>Sheet4!Q668/K668</f>
        <v>4.7142857142857144</v>
      </c>
      <c r="N668" s="41">
        <f t="shared" si="57"/>
        <v>0.14285714285714285</v>
      </c>
      <c r="O668" s="41" t="s">
        <v>392</v>
      </c>
      <c r="P668" s="3" t="s">
        <v>46</v>
      </c>
      <c r="Q668" s="18">
        <v>99</v>
      </c>
    </row>
    <row r="669" spans="1:34" x14ac:dyDescent="0.35">
      <c r="A669" s="41" t="s">
        <v>37</v>
      </c>
      <c r="B669" s="42">
        <v>19</v>
      </c>
      <c r="C669" s="41">
        <v>2</v>
      </c>
      <c r="D669" s="41">
        <f t="shared" si="55"/>
        <v>4.7894736842105265</v>
      </c>
      <c r="E669" s="41">
        <f t="shared" si="56"/>
        <v>0.10526315789473684</v>
      </c>
      <c r="F669" s="41" t="s">
        <v>392</v>
      </c>
      <c r="H669" s="18">
        <v>91</v>
      </c>
      <c r="J669" s="41" t="s">
        <v>37</v>
      </c>
      <c r="K669" s="41">
        <v>19</v>
      </c>
      <c r="L669" s="41">
        <v>2</v>
      </c>
      <c r="M669" s="41">
        <f>Sheet4!Q669/K669</f>
        <v>4.7894736842105265</v>
      </c>
      <c r="N669" s="41">
        <f t="shared" si="57"/>
        <v>0.10526315789473684</v>
      </c>
      <c r="O669" s="41" t="s">
        <v>392</v>
      </c>
      <c r="Q669" s="18">
        <v>91</v>
      </c>
    </row>
    <row r="670" spans="1:34" x14ac:dyDescent="0.35">
      <c r="A670" s="43" t="s">
        <v>117</v>
      </c>
      <c r="B670" s="43">
        <v>11</v>
      </c>
      <c r="C670" s="43">
        <v>2</v>
      </c>
      <c r="D670" s="43">
        <f t="shared" si="55"/>
        <v>4.9090909090909092</v>
      </c>
      <c r="E670" s="43">
        <f t="shared" si="56"/>
        <v>0.18181818181818182</v>
      </c>
      <c r="F670" s="43" t="s">
        <v>392</v>
      </c>
      <c r="G670" s="2" t="s">
        <v>44</v>
      </c>
      <c r="H670" s="18">
        <v>54</v>
      </c>
      <c r="J670" s="43" t="s">
        <v>81</v>
      </c>
      <c r="K670" s="44">
        <v>25</v>
      </c>
      <c r="L670" s="44">
        <v>2</v>
      </c>
      <c r="M670" s="43">
        <f>Sheet4!Q670/K670</f>
        <v>4.88</v>
      </c>
      <c r="N670" s="43">
        <f t="shared" si="57"/>
        <v>0.08</v>
      </c>
      <c r="O670" s="43" t="s">
        <v>392</v>
      </c>
      <c r="P670" s="2" t="s">
        <v>59</v>
      </c>
      <c r="Q670" s="18">
        <v>122</v>
      </c>
    </row>
    <row r="671" spans="1:34" x14ac:dyDescent="0.35">
      <c r="A671" s="43" t="s">
        <v>12</v>
      </c>
      <c r="B671" s="44">
        <v>13</v>
      </c>
      <c r="C671" s="43">
        <v>0</v>
      </c>
      <c r="D671" s="43">
        <f t="shared" si="55"/>
        <v>5</v>
      </c>
      <c r="E671" s="43">
        <f t="shared" si="56"/>
        <v>0</v>
      </c>
      <c r="F671" s="43" t="s">
        <v>392</v>
      </c>
      <c r="G671" s="2" t="s">
        <v>44</v>
      </c>
      <c r="H671" s="18">
        <v>65</v>
      </c>
      <c r="J671" s="43" t="s">
        <v>30</v>
      </c>
      <c r="K671" s="44">
        <v>17</v>
      </c>
      <c r="L671" s="43">
        <v>3</v>
      </c>
      <c r="M671" s="43">
        <f>Sheet4!Q671/K671</f>
        <v>4.882352941176471</v>
      </c>
      <c r="N671" s="43">
        <f t="shared" si="57"/>
        <v>0.17647058823529413</v>
      </c>
      <c r="O671" s="43" t="s">
        <v>392</v>
      </c>
      <c r="P671" s="3" t="s">
        <v>54</v>
      </c>
      <c r="Q671" s="18">
        <v>83</v>
      </c>
    </row>
    <row r="672" spans="1:34" x14ac:dyDescent="0.35">
      <c r="A672" s="43" t="s">
        <v>56</v>
      </c>
      <c r="B672" s="44">
        <v>13</v>
      </c>
      <c r="C672" s="43">
        <v>0</v>
      </c>
      <c r="D672" s="43">
        <f t="shared" si="55"/>
        <v>5.0769230769230766</v>
      </c>
      <c r="E672" s="43">
        <f t="shared" si="56"/>
        <v>0</v>
      </c>
      <c r="F672" s="43" t="s">
        <v>392</v>
      </c>
      <c r="G672" s="2" t="s">
        <v>44</v>
      </c>
      <c r="H672" s="18">
        <v>66</v>
      </c>
      <c r="J672" s="43" t="s">
        <v>117</v>
      </c>
      <c r="K672" s="43">
        <v>11</v>
      </c>
      <c r="L672" s="43">
        <v>2</v>
      </c>
      <c r="M672" s="43">
        <f>Sheet4!Q672/K672</f>
        <v>4.9090909090909092</v>
      </c>
      <c r="N672" s="43">
        <f t="shared" si="57"/>
        <v>0.18181818181818182</v>
      </c>
      <c r="O672" s="43" t="s">
        <v>392</v>
      </c>
      <c r="P672" s="3" t="s">
        <v>45</v>
      </c>
      <c r="Q672" s="18">
        <v>54</v>
      </c>
    </row>
    <row r="673" spans="1:17" x14ac:dyDescent="0.35">
      <c r="A673" s="43" t="s">
        <v>81</v>
      </c>
      <c r="B673" s="44">
        <v>23</v>
      </c>
      <c r="C673" s="43">
        <v>1</v>
      </c>
      <c r="D673" s="43">
        <f t="shared" si="55"/>
        <v>5.0869565217391308</v>
      </c>
      <c r="E673" s="43">
        <f t="shared" si="56"/>
        <v>4.3478260869565216E-2</v>
      </c>
      <c r="F673" s="43" t="s">
        <v>392</v>
      </c>
      <c r="G673" s="3" t="s">
        <v>54</v>
      </c>
      <c r="H673" s="18">
        <v>117</v>
      </c>
      <c r="J673" s="43" t="s">
        <v>414</v>
      </c>
      <c r="K673" s="44">
        <v>11</v>
      </c>
      <c r="L673" s="43">
        <v>1</v>
      </c>
      <c r="M673" s="43">
        <f>Sheet4!Q673/K673</f>
        <v>5</v>
      </c>
      <c r="N673" s="43">
        <f t="shared" si="57"/>
        <v>9.0909090909090912E-2</v>
      </c>
      <c r="O673" s="43" t="s">
        <v>392</v>
      </c>
      <c r="P673" s="3" t="s">
        <v>425</v>
      </c>
      <c r="Q673" s="18">
        <v>55</v>
      </c>
    </row>
    <row r="674" spans="1:17" x14ac:dyDescent="0.35">
      <c r="A674" s="43" t="s">
        <v>51</v>
      </c>
      <c r="B674" s="43">
        <v>21</v>
      </c>
      <c r="C674" s="43">
        <v>1</v>
      </c>
      <c r="D674" s="43">
        <f t="shared" si="55"/>
        <v>5.0952380952380949</v>
      </c>
      <c r="E674" s="43">
        <f t="shared" si="56"/>
        <v>4.7619047619047616E-2</v>
      </c>
      <c r="F674" s="43" t="s">
        <v>392</v>
      </c>
      <c r="G674" s="2" t="s">
        <v>44</v>
      </c>
      <c r="H674" s="18">
        <v>107</v>
      </c>
      <c r="J674" s="43" t="s">
        <v>12</v>
      </c>
      <c r="K674" s="43">
        <v>13</v>
      </c>
      <c r="L674" s="43">
        <v>0</v>
      </c>
      <c r="M674" s="43">
        <f>Sheet4!Q674/K674</f>
        <v>5</v>
      </c>
      <c r="N674" s="43">
        <f t="shared" si="57"/>
        <v>0</v>
      </c>
      <c r="O674" s="43" t="s">
        <v>392</v>
      </c>
      <c r="P674" s="3" t="s">
        <v>54</v>
      </c>
      <c r="Q674" s="18">
        <v>65</v>
      </c>
    </row>
    <row r="675" spans="1:17" x14ac:dyDescent="0.35">
      <c r="A675" s="43" t="s">
        <v>25</v>
      </c>
      <c r="B675" s="43">
        <v>58</v>
      </c>
      <c r="C675" s="43">
        <v>4</v>
      </c>
      <c r="D675" s="43">
        <f t="shared" si="55"/>
        <v>5.1379310344827589</v>
      </c>
      <c r="E675" s="43">
        <f t="shared" si="56"/>
        <v>6.8965517241379309E-2</v>
      </c>
      <c r="F675" s="43" t="s">
        <v>392</v>
      </c>
      <c r="G675" s="2" t="s">
        <v>44</v>
      </c>
      <c r="H675" s="18">
        <v>298</v>
      </c>
      <c r="J675" s="43" t="s">
        <v>56</v>
      </c>
      <c r="K675" s="43">
        <v>13</v>
      </c>
      <c r="L675" s="43">
        <v>0</v>
      </c>
      <c r="M675" s="43">
        <f>Sheet4!Q675/K675</f>
        <v>5.0769230769230766</v>
      </c>
      <c r="N675" s="43">
        <f t="shared" si="57"/>
        <v>0</v>
      </c>
      <c r="O675" s="43" t="s">
        <v>392</v>
      </c>
      <c r="P675" s="3" t="s">
        <v>54</v>
      </c>
      <c r="Q675" s="18">
        <v>66</v>
      </c>
    </row>
    <row r="676" spans="1:17" x14ac:dyDescent="0.35">
      <c r="A676" s="43" t="s">
        <v>99</v>
      </c>
      <c r="B676" s="44">
        <v>14</v>
      </c>
      <c r="C676" s="43">
        <v>2</v>
      </c>
      <c r="D676" s="43">
        <f t="shared" si="55"/>
        <v>5.1428571428571432</v>
      </c>
      <c r="E676" s="43">
        <f t="shared" si="56"/>
        <v>0.14285714285714285</v>
      </c>
      <c r="F676" s="43" t="s">
        <v>392</v>
      </c>
      <c r="G676" s="3" t="s">
        <v>45</v>
      </c>
      <c r="H676" s="18">
        <v>72</v>
      </c>
      <c r="J676" s="43" t="s">
        <v>51</v>
      </c>
      <c r="K676" s="43">
        <v>21</v>
      </c>
      <c r="L676" s="43">
        <v>1</v>
      </c>
      <c r="M676" s="43">
        <f>Sheet4!Q676/K676</f>
        <v>5.0952380952380949</v>
      </c>
      <c r="N676" s="43">
        <f t="shared" si="57"/>
        <v>4.7619047619047616E-2</v>
      </c>
      <c r="O676" s="43" t="s">
        <v>392</v>
      </c>
      <c r="P676" s="3" t="s">
        <v>45</v>
      </c>
      <c r="Q676" s="18">
        <v>107</v>
      </c>
    </row>
    <row r="677" spans="1:17" x14ac:dyDescent="0.35">
      <c r="A677" s="43" t="s">
        <v>19</v>
      </c>
      <c r="B677" s="43">
        <v>11</v>
      </c>
      <c r="C677" s="43">
        <v>1</v>
      </c>
      <c r="D677" s="43">
        <f t="shared" si="55"/>
        <v>5.1818181818181817</v>
      </c>
      <c r="E677" s="43">
        <f t="shared" si="56"/>
        <v>9.0909090909090912E-2</v>
      </c>
      <c r="F677" s="43" t="s">
        <v>392</v>
      </c>
      <c r="H677" s="18">
        <v>57</v>
      </c>
      <c r="J677" s="43" t="s">
        <v>25</v>
      </c>
      <c r="K677" s="43">
        <v>58</v>
      </c>
      <c r="L677" s="43">
        <v>4</v>
      </c>
      <c r="M677" s="43">
        <f>Sheet4!Q677/K677</f>
        <v>5.1379310344827589</v>
      </c>
      <c r="N677" s="43">
        <f t="shared" si="57"/>
        <v>6.8965517241379309E-2</v>
      </c>
      <c r="O677" s="43" t="s">
        <v>392</v>
      </c>
      <c r="P677" s="3" t="s">
        <v>45</v>
      </c>
      <c r="Q677" s="18">
        <v>298</v>
      </c>
    </row>
    <row r="678" spans="1:17" x14ac:dyDescent="0.35">
      <c r="A678" s="43" t="s">
        <v>61</v>
      </c>
      <c r="B678" s="44">
        <v>10</v>
      </c>
      <c r="C678" s="44">
        <v>2</v>
      </c>
      <c r="D678" s="43">
        <f t="shared" si="55"/>
        <v>5.2</v>
      </c>
      <c r="E678" s="43">
        <f t="shared" si="56"/>
        <v>0.2</v>
      </c>
      <c r="F678" s="43" t="s">
        <v>392</v>
      </c>
      <c r="G678" s="12" t="s">
        <v>421</v>
      </c>
      <c r="H678" s="18">
        <v>52</v>
      </c>
      <c r="J678" s="43" t="s">
        <v>99</v>
      </c>
      <c r="K678" s="43">
        <v>14</v>
      </c>
      <c r="L678" s="43">
        <v>2</v>
      </c>
      <c r="M678" s="43">
        <f>Sheet4!Q678/K678</f>
        <v>5.1428571428571432</v>
      </c>
      <c r="N678" s="43">
        <f t="shared" si="57"/>
        <v>0.14285714285714285</v>
      </c>
      <c r="O678" s="43" t="s">
        <v>392</v>
      </c>
      <c r="P678" s="3" t="s">
        <v>45</v>
      </c>
      <c r="Q678" s="18">
        <v>72</v>
      </c>
    </row>
    <row r="679" spans="1:17" x14ac:dyDescent="0.35">
      <c r="A679" s="43" t="s">
        <v>31</v>
      </c>
      <c r="B679" s="44">
        <v>39</v>
      </c>
      <c r="C679" s="43">
        <v>2</v>
      </c>
      <c r="D679" s="43">
        <f t="shared" si="55"/>
        <v>5.2051282051282053</v>
      </c>
      <c r="E679" s="43">
        <f t="shared" si="56"/>
        <v>5.128205128205128E-2</v>
      </c>
      <c r="F679" s="43" t="s">
        <v>392</v>
      </c>
      <c r="G679" s="3" t="s">
        <v>46</v>
      </c>
      <c r="H679" s="18">
        <v>203</v>
      </c>
      <c r="J679" s="43" t="s">
        <v>19</v>
      </c>
      <c r="K679" s="43">
        <v>11</v>
      </c>
      <c r="L679" s="43">
        <v>1</v>
      </c>
      <c r="M679" s="43">
        <f>Sheet4!Q679/K679</f>
        <v>5.1818181818181817</v>
      </c>
      <c r="N679" s="43">
        <f t="shared" si="57"/>
        <v>9.0909090909090912E-2</v>
      </c>
      <c r="O679" s="43" t="s">
        <v>392</v>
      </c>
      <c r="P679" s="3" t="s">
        <v>45</v>
      </c>
      <c r="Q679" s="18">
        <v>57</v>
      </c>
    </row>
    <row r="680" spans="1:17" x14ac:dyDescent="0.35">
      <c r="A680" s="43" t="s">
        <v>79</v>
      </c>
      <c r="B680" s="44">
        <v>22</v>
      </c>
      <c r="C680" s="43">
        <v>0</v>
      </c>
      <c r="D680" s="43">
        <f t="shared" si="55"/>
        <v>5.2272727272727275</v>
      </c>
      <c r="E680" s="43">
        <f t="shared" si="56"/>
        <v>0</v>
      </c>
      <c r="F680" s="43" t="s">
        <v>392</v>
      </c>
      <c r="G680" s="2" t="s">
        <v>44</v>
      </c>
      <c r="H680" s="18">
        <v>115</v>
      </c>
      <c r="J680" s="43" t="s">
        <v>31</v>
      </c>
      <c r="K680" s="44">
        <v>41</v>
      </c>
      <c r="L680" s="43">
        <v>2</v>
      </c>
      <c r="M680" s="43">
        <f>Sheet4!Q680/K680</f>
        <v>5.1951219512195124</v>
      </c>
      <c r="N680" s="43">
        <f t="shared" si="57"/>
        <v>4.878048780487805E-2</v>
      </c>
      <c r="O680" s="43" t="s">
        <v>392</v>
      </c>
      <c r="P680" s="3" t="s">
        <v>46</v>
      </c>
      <c r="Q680" s="18">
        <v>213</v>
      </c>
    </row>
    <row r="681" spans="1:17" x14ac:dyDescent="0.35">
      <c r="A681" s="43" t="s">
        <v>90</v>
      </c>
      <c r="B681" s="44">
        <v>26</v>
      </c>
      <c r="C681" s="43">
        <v>3</v>
      </c>
      <c r="D681" s="43">
        <f t="shared" si="55"/>
        <v>5.3076923076923075</v>
      </c>
      <c r="E681" s="43">
        <f t="shared" si="56"/>
        <v>0.11538461538461539</v>
      </c>
      <c r="F681" s="43" t="s">
        <v>392</v>
      </c>
      <c r="G681" s="2" t="s">
        <v>133</v>
      </c>
      <c r="H681" s="18">
        <v>138</v>
      </c>
      <c r="J681" s="43" t="s">
        <v>61</v>
      </c>
      <c r="K681" s="43">
        <v>10</v>
      </c>
      <c r="L681" s="43">
        <v>2</v>
      </c>
      <c r="M681" s="43">
        <f>Sheet4!Q681/K681</f>
        <v>5.2</v>
      </c>
      <c r="N681" s="43">
        <f t="shared" si="57"/>
        <v>0.2</v>
      </c>
      <c r="O681" s="43" t="s">
        <v>392</v>
      </c>
      <c r="P681" s="3" t="s">
        <v>54</v>
      </c>
      <c r="Q681" s="18">
        <v>52</v>
      </c>
    </row>
    <row r="682" spans="1:17" x14ac:dyDescent="0.35">
      <c r="A682" s="43" t="s">
        <v>6</v>
      </c>
      <c r="B682" s="44">
        <v>40</v>
      </c>
      <c r="C682" s="43">
        <v>3</v>
      </c>
      <c r="D682" s="43">
        <f t="shared" si="55"/>
        <v>5.3250000000000002</v>
      </c>
      <c r="E682" s="43">
        <f t="shared" si="56"/>
        <v>7.4999999999999997E-2</v>
      </c>
      <c r="F682" s="43" t="s">
        <v>392</v>
      </c>
      <c r="H682" s="18">
        <v>213</v>
      </c>
      <c r="J682" s="43" t="s">
        <v>79</v>
      </c>
      <c r="K682" s="43">
        <v>22</v>
      </c>
      <c r="L682" s="43">
        <v>0</v>
      </c>
      <c r="M682" s="43">
        <f>Sheet4!Q682/K682</f>
        <v>5.2272727272727275</v>
      </c>
      <c r="N682" s="43">
        <f t="shared" si="57"/>
        <v>0</v>
      </c>
      <c r="O682" s="43" t="s">
        <v>392</v>
      </c>
      <c r="P682" s="3" t="s">
        <v>45</v>
      </c>
      <c r="Q682" s="18">
        <v>115</v>
      </c>
    </row>
    <row r="683" spans="1:17" x14ac:dyDescent="0.35">
      <c r="A683" s="43" t="s">
        <v>34</v>
      </c>
      <c r="B683" s="43">
        <v>12</v>
      </c>
      <c r="C683" s="43">
        <v>1</v>
      </c>
      <c r="D683" s="43">
        <f t="shared" si="55"/>
        <v>5.333333333333333</v>
      </c>
      <c r="E683" s="43">
        <f t="shared" si="56"/>
        <v>8.3333333333333329E-2</v>
      </c>
      <c r="F683" s="43" t="s">
        <v>392</v>
      </c>
      <c r="G683" s="3" t="s">
        <v>54</v>
      </c>
      <c r="H683" s="18">
        <v>64</v>
      </c>
      <c r="J683" s="43" t="s">
        <v>90</v>
      </c>
      <c r="K683" s="43">
        <v>26</v>
      </c>
      <c r="L683" s="43">
        <v>3</v>
      </c>
      <c r="M683" s="43">
        <f>Sheet4!Q683/K683</f>
        <v>5.3076923076923075</v>
      </c>
      <c r="N683" s="43">
        <f t="shared" si="57"/>
        <v>0.11538461538461539</v>
      </c>
      <c r="O683" s="43" t="s">
        <v>392</v>
      </c>
      <c r="P683" s="3" t="s">
        <v>45</v>
      </c>
      <c r="Q683" s="18">
        <v>138</v>
      </c>
    </row>
    <row r="684" spans="1:17" x14ac:dyDescent="0.35">
      <c r="A684" s="43" t="s">
        <v>49</v>
      </c>
      <c r="B684" s="44">
        <v>15</v>
      </c>
      <c r="C684" s="43">
        <v>2</v>
      </c>
      <c r="D684" s="43">
        <f t="shared" si="55"/>
        <v>5.333333333333333</v>
      </c>
      <c r="E684" s="43">
        <f t="shared" si="56"/>
        <v>0.13333333333333333</v>
      </c>
      <c r="F684" s="43" t="s">
        <v>392</v>
      </c>
      <c r="G684" s="3" t="s">
        <v>381</v>
      </c>
      <c r="H684" s="18">
        <v>80</v>
      </c>
      <c r="J684" s="43" t="s">
        <v>6</v>
      </c>
      <c r="K684" s="43">
        <v>40</v>
      </c>
      <c r="L684" s="43">
        <v>3</v>
      </c>
      <c r="M684" s="43">
        <f>Sheet4!Q684/K684</f>
        <v>5.3250000000000002</v>
      </c>
      <c r="N684" s="43">
        <f t="shared" si="57"/>
        <v>7.4999999999999997E-2</v>
      </c>
      <c r="O684" s="43" t="s">
        <v>392</v>
      </c>
      <c r="P684" s="3" t="s">
        <v>45</v>
      </c>
      <c r="Q684" s="18">
        <v>213</v>
      </c>
    </row>
    <row r="685" spans="1:17" x14ac:dyDescent="0.35">
      <c r="A685" s="43" t="s">
        <v>105</v>
      </c>
      <c r="B685" s="44">
        <v>11</v>
      </c>
      <c r="C685" s="43">
        <v>0</v>
      </c>
      <c r="D685" s="43">
        <f t="shared" si="55"/>
        <v>5.3636363636363633</v>
      </c>
      <c r="E685" s="43">
        <f t="shared" si="56"/>
        <v>0</v>
      </c>
      <c r="F685" s="43" t="s">
        <v>392</v>
      </c>
      <c r="G685" s="2" t="s">
        <v>47</v>
      </c>
      <c r="H685" s="18">
        <v>59</v>
      </c>
      <c r="J685" s="43" t="s">
        <v>34</v>
      </c>
      <c r="K685" s="43">
        <v>12</v>
      </c>
      <c r="L685" s="43">
        <v>1</v>
      </c>
      <c r="M685" s="43">
        <f>Sheet4!Q685/K685</f>
        <v>5.333333333333333</v>
      </c>
      <c r="N685" s="43">
        <f t="shared" si="57"/>
        <v>8.3333333333333329E-2</v>
      </c>
      <c r="O685" s="43" t="s">
        <v>392</v>
      </c>
      <c r="P685" s="3" t="s">
        <v>45</v>
      </c>
      <c r="Q685" s="18">
        <v>64</v>
      </c>
    </row>
    <row r="686" spans="1:17" x14ac:dyDescent="0.35">
      <c r="A686" s="45" t="s">
        <v>82</v>
      </c>
      <c r="B686" s="45">
        <v>12</v>
      </c>
      <c r="C686" s="45">
        <v>0</v>
      </c>
      <c r="D686" s="45">
        <f t="shared" si="55"/>
        <v>5.416666666666667</v>
      </c>
      <c r="E686" s="45">
        <f t="shared" si="56"/>
        <v>0</v>
      </c>
      <c r="F686" s="45" t="s">
        <v>392</v>
      </c>
      <c r="G686" s="3" t="s">
        <v>54</v>
      </c>
      <c r="H686" s="18">
        <v>65</v>
      </c>
      <c r="J686" s="43" t="s">
        <v>105</v>
      </c>
      <c r="K686" s="43">
        <v>11</v>
      </c>
      <c r="L686" s="43">
        <v>0</v>
      </c>
      <c r="M686" s="43">
        <f>Sheet4!Q686/K686</f>
        <v>5.3636363636363633</v>
      </c>
      <c r="N686" s="43">
        <f t="shared" si="57"/>
        <v>0</v>
      </c>
      <c r="O686" s="43" t="s">
        <v>392</v>
      </c>
      <c r="P686" s="3" t="s">
        <v>46</v>
      </c>
      <c r="Q686" s="18">
        <v>59</v>
      </c>
    </row>
    <row r="687" spans="1:17" x14ac:dyDescent="0.35">
      <c r="A687" s="45" t="s">
        <v>33</v>
      </c>
      <c r="B687" s="46">
        <v>23</v>
      </c>
      <c r="C687" s="46">
        <v>1</v>
      </c>
      <c r="D687" s="45">
        <f t="shared" si="55"/>
        <v>5.4347826086956523</v>
      </c>
      <c r="E687" s="45">
        <f t="shared" si="56"/>
        <v>4.3478260869565216E-2</v>
      </c>
      <c r="F687" s="45" t="s">
        <v>392</v>
      </c>
      <c r="G687" s="3" t="s">
        <v>422</v>
      </c>
      <c r="H687" s="18">
        <v>125</v>
      </c>
      <c r="J687" s="45" t="s">
        <v>82</v>
      </c>
      <c r="K687" s="45">
        <v>12</v>
      </c>
      <c r="L687" s="45">
        <v>0</v>
      </c>
      <c r="M687" s="45">
        <f>Sheet4!Q687/K687</f>
        <v>5.416666666666667</v>
      </c>
      <c r="N687" s="45">
        <f t="shared" si="57"/>
        <v>0</v>
      </c>
      <c r="O687" s="45" t="s">
        <v>392</v>
      </c>
      <c r="P687" s="3" t="s">
        <v>46</v>
      </c>
      <c r="Q687" s="18">
        <v>65</v>
      </c>
    </row>
    <row r="688" spans="1:17" x14ac:dyDescent="0.35">
      <c r="A688" s="45" t="s">
        <v>28</v>
      </c>
      <c r="B688" s="45">
        <v>13</v>
      </c>
      <c r="C688" s="45">
        <v>0</v>
      </c>
      <c r="D688" s="45">
        <f t="shared" si="55"/>
        <v>5.5384615384615383</v>
      </c>
      <c r="E688" s="45">
        <f t="shared" si="56"/>
        <v>0</v>
      </c>
      <c r="F688" s="45" t="s">
        <v>392</v>
      </c>
      <c r="G688" s="3" t="s">
        <v>55</v>
      </c>
      <c r="H688" s="18">
        <v>72</v>
      </c>
      <c r="J688" s="45" t="s">
        <v>33</v>
      </c>
      <c r="K688" s="45">
        <v>23</v>
      </c>
      <c r="L688" s="45">
        <v>1</v>
      </c>
      <c r="M688" s="45">
        <f>Sheet4!Q688/K688</f>
        <v>5.4347826086956523</v>
      </c>
      <c r="N688" s="45">
        <f t="shared" si="57"/>
        <v>4.3478260869565216E-2</v>
      </c>
      <c r="O688" s="45" t="s">
        <v>392</v>
      </c>
      <c r="P688" s="3" t="s">
        <v>426</v>
      </c>
      <c r="Q688" s="18">
        <v>125</v>
      </c>
    </row>
    <row r="689" spans="1:47" x14ac:dyDescent="0.35">
      <c r="A689" s="45" t="s">
        <v>20</v>
      </c>
      <c r="B689" s="45">
        <v>15</v>
      </c>
      <c r="C689" s="45">
        <v>1</v>
      </c>
      <c r="D689" s="45">
        <f t="shared" si="55"/>
        <v>5.7333333333333334</v>
      </c>
      <c r="E689" s="45">
        <f t="shared" si="56"/>
        <v>6.6666666666666666E-2</v>
      </c>
      <c r="F689" s="45" t="s">
        <v>392</v>
      </c>
      <c r="G689" s="3" t="s">
        <v>46</v>
      </c>
      <c r="H689" s="18">
        <v>86</v>
      </c>
      <c r="J689" s="45" t="s">
        <v>49</v>
      </c>
      <c r="K689" s="46">
        <v>17</v>
      </c>
      <c r="L689" s="45">
        <v>2</v>
      </c>
      <c r="M689" s="45">
        <f>Sheet4!Q689/K689</f>
        <v>5.4705882352941178</v>
      </c>
      <c r="N689" s="45">
        <f t="shared" si="57"/>
        <v>0.11764705882352941</v>
      </c>
      <c r="O689" s="45" t="s">
        <v>392</v>
      </c>
      <c r="P689" s="3" t="s">
        <v>381</v>
      </c>
      <c r="Q689" s="18">
        <v>93</v>
      </c>
    </row>
    <row r="690" spans="1:47" x14ac:dyDescent="0.35">
      <c r="A690" s="45" t="s">
        <v>4</v>
      </c>
      <c r="B690" s="46">
        <v>15</v>
      </c>
      <c r="C690" s="45">
        <v>0</v>
      </c>
      <c r="D690" s="45">
        <f t="shared" si="55"/>
        <v>5.8</v>
      </c>
      <c r="E690" s="45">
        <f t="shared" si="56"/>
        <v>0</v>
      </c>
      <c r="F690" s="45" t="s">
        <v>392</v>
      </c>
      <c r="G690" s="3" t="s">
        <v>55</v>
      </c>
      <c r="H690" s="18">
        <v>87</v>
      </c>
      <c r="J690" s="45" t="s">
        <v>28</v>
      </c>
      <c r="K690" s="45">
        <v>13</v>
      </c>
      <c r="L690" s="45">
        <v>0</v>
      </c>
      <c r="M690" s="45">
        <f>Sheet4!Q690/K690</f>
        <v>5.5384615384615383</v>
      </c>
      <c r="N690" s="45">
        <f t="shared" si="57"/>
        <v>0</v>
      </c>
      <c r="O690" s="45" t="s">
        <v>392</v>
      </c>
      <c r="P690" s="3" t="s">
        <v>45</v>
      </c>
      <c r="Q690" s="18">
        <v>72</v>
      </c>
    </row>
    <row r="691" spans="1:47" x14ac:dyDescent="0.35">
      <c r="A691" s="45" t="s">
        <v>401</v>
      </c>
      <c r="B691" s="45">
        <v>23</v>
      </c>
      <c r="C691" s="45">
        <v>1</v>
      </c>
      <c r="D691" s="45">
        <f t="shared" si="55"/>
        <v>5.9565217391304346</v>
      </c>
      <c r="E691" s="45">
        <f t="shared" si="56"/>
        <v>4.3478260869565216E-2</v>
      </c>
      <c r="F691" s="45" t="s">
        <v>392</v>
      </c>
      <c r="G691" s="3" t="s">
        <v>45</v>
      </c>
      <c r="H691" s="18">
        <v>137</v>
      </c>
      <c r="J691" s="45" t="s">
        <v>110</v>
      </c>
      <c r="K691" s="46">
        <v>11</v>
      </c>
      <c r="L691" s="45">
        <v>0</v>
      </c>
      <c r="M691" s="45">
        <f>Sheet4!Q691/K691</f>
        <v>5.5454545454545459</v>
      </c>
      <c r="N691" s="45">
        <f t="shared" si="57"/>
        <v>0</v>
      </c>
      <c r="O691" s="45" t="s">
        <v>392</v>
      </c>
      <c r="P691" s="21" t="s">
        <v>427</v>
      </c>
      <c r="Q691" s="18">
        <v>61</v>
      </c>
    </row>
    <row r="692" spans="1:47" x14ac:dyDescent="0.35">
      <c r="J692" s="45" t="s">
        <v>20</v>
      </c>
      <c r="K692" s="45">
        <v>15</v>
      </c>
      <c r="L692" s="45">
        <v>1</v>
      </c>
      <c r="M692" s="45">
        <f>Sheet4!Q692/K692</f>
        <v>5.7333333333333334</v>
      </c>
      <c r="N692" s="45">
        <f t="shared" si="57"/>
        <v>6.6666666666666666E-2</v>
      </c>
      <c r="O692" s="45" t="s">
        <v>392</v>
      </c>
      <c r="P692" s="3" t="s">
        <v>54</v>
      </c>
      <c r="Q692" s="18">
        <v>86</v>
      </c>
    </row>
    <row r="693" spans="1:47" x14ac:dyDescent="0.35">
      <c r="J693" s="45" t="s">
        <v>4</v>
      </c>
      <c r="K693" s="45">
        <v>15</v>
      </c>
      <c r="L693" s="45">
        <v>0</v>
      </c>
      <c r="M693" s="45">
        <f>Sheet4!Q693/K693</f>
        <v>5.8</v>
      </c>
      <c r="N693" s="45">
        <f t="shared" si="57"/>
        <v>0</v>
      </c>
      <c r="O693" s="45" t="s">
        <v>392</v>
      </c>
      <c r="P693" s="3" t="s">
        <v>54</v>
      </c>
      <c r="Q693" s="18">
        <v>87</v>
      </c>
    </row>
    <row r="694" spans="1:47" x14ac:dyDescent="0.35">
      <c r="J694" s="45" t="s">
        <v>401</v>
      </c>
      <c r="K694" s="45">
        <v>23</v>
      </c>
      <c r="L694" s="45">
        <v>1</v>
      </c>
      <c r="M694" s="45">
        <f>Sheet4!Q694/K694</f>
        <v>5.9565217391304346</v>
      </c>
      <c r="N694" s="45">
        <f t="shared" si="57"/>
        <v>4.3478260869565216E-2</v>
      </c>
      <c r="O694" s="45" t="s">
        <v>392</v>
      </c>
      <c r="P694" s="3" t="s">
        <v>54</v>
      </c>
      <c r="Q694" s="18">
        <v>137</v>
      </c>
    </row>
    <row r="699" spans="1:47" x14ac:dyDescent="0.35">
      <c r="A699" s="4" t="s">
        <v>42</v>
      </c>
      <c r="B699" s="4" t="s">
        <v>38</v>
      </c>
      <c r="C699" s="4" t="s">
        <v>39</v>
      </c>
      <c r="D699" s="4" t="s">
        <v>40</v>
      </c>
      <c r="E699" s="4" t="s">
        <v>111</v>
      </c>
      <c r="I699" s="4" t="s">
        <v>42</v>
      </c>
      <c r="J699" s="4" t="s">
        <v>38</v>
      </c>
      <c r="K699" s="4" t="s">
        <v>39</v>
      </c>
      <c r="L699" s="4" t="s">
        <v>40</v>
      </c>
      <c r="M699" s="4" t="s">
        <v>111</v>
      </c>
      <c r="Q699" s="4" t="s">
        <v>42</v>
      </c>
      <c r="R699" s="4" t="s">
        <v>38</v>
      </c>
      <c r="S699" s="4" t="s">
        <v>39</v>
      </c>
      <c r="T699" s="4" t="s">
        <v>40</v>
      </c>
      <c r="U699" s="4" t="s">
        <v>111</v>
      </c>
      <c r="Y699" s="4" t="s">
        <v>42</v>
      </c>
      <c r="Z699" s="4" t="s">
        <v>38</v>
      </c>
      <c r="AA699" s="4" t="s">
        <v>39</v>
      </c>
      <c r="AB699" s="4" t="s">
        <v>40</v>
      </c>
      <c r="AC699" s="4" t="s">
        <v>111</v>
      </c>
      <c r="AG699" s="4" t="s">
        <v>42</v>
      </c>
      <c r="AH699" s="4" t="s">
        <v>38</v>
      </c>
      <c r="AI699" s="4" t="s">
        <v>39</v>
      </c>
      <c r="AJ699" s="4" t="s">
        <v>40</v>
      </c>
      <c r="AK699" s="4" t="s">
        <v>111</v>
      </c>
      <c r="AO699" s="4" t="s">
        <v>42</v>
      </c>
      <c r="AP699" s="4" t="s">
        <v>38</v>
      </c>
      <c r="AQ699" s="4" t="s">
        <v>39</v>
      </c>
      <c r="AR699" s="4" t="s">
        <v>40</v>
      </c>
      <c r="AS699" s="4" t="s">
        <v>111</v>
      </c>
    </row>
    <row r="700" spans="1:47" x14ac:dyDescent="0.35">
      <c r="A700" s="18" t="s">
        <v>128</v>
      </c>
      <c r="B700" s="18">
        <v>63</v>
      </c>
      <c r="C700" s="18">
        <v>20</v>
      </c>
      <c r="D700" s="18">
        <f t="shared" ref="D700:D735" si="58">G700/B700</f>
        <v>3.1428571428571428</v>
      </c>
      <c r="E700" s="18">
        <f t="shared" ref="E700:E735" si="59">C700/B700</f>
        <v>0.31746031746031744</v>
      </c>
      <c r="G700" s="18">
        <v>198</v>
      </c>
      <c r="I700" s="18" t="s">
        <v>128</v>
      </c>
      <c r="J700" s="18">
        <v>67</v>
      </c>
      <c r="K700" s="18">
        <v>21</v>
      </c>
      <c r="L700" s="18">
        <f t="shared" ref="L700:L736" si="60">O700/J700</f>
        <v>3.1044776119402986</v>
      </c>
      <c r="M700" s="30">
        <f t="shared" ref="M700:M736" si="61">K700/J700</f>
        <v>0.31343283582089554</v>
      </c>
      <c r="O700" s="18">
        <v>208</v>
      </c>
      <c r="Q700" s="18" t="s">
        <v>128</v>
      </c>
      <c r="R700" s="18">
        <v>67</v>
      </c>
      <c r="S700" s="18">
        <v>21</v>
      </c>
      <c r="T700" s="18">
        <f t="shared" ref="T700:T737" si="62">W700/R700</f>
        <v>3.1044776119402986</v>
      </c>
      <c r="U700" s="18">
        <f t="shared" ref="U700:U737" si="63">S700/R700</f>
        <v>0.31343283582089554</v>
      </c>
      <c r="W700" s="18">
        <v>208</v>
      </c>
      <c r="Y700" s="18" t="s">
        <v>128</v>
      </c>
      <c r="Z700" s="18">
        <v>68</v>
      </c>
      <c r="AA700" s="18">
        <v>21</v>
      </c>
      <c r="AB700" s="18">
        <f t="shared" ref="AB700:AB737" si="64">AE700/Z700</f>
        <v>3.1323529411764706</v>
      </c>
      <c r="AC700" s="18">
        <f t="shared" ref="AC700:AC737" si="65">AA700/Z700</f>
        <v>0.30882352941176472</v>
      </c>
      <c r="AE700" s="18">
        <v>213</v>
      </c>
      <c r="AG700" s="18" t="s">
        <v>128</v>
      </c>
      <c r="AH700" s="18">
        <v>71</v>
      </c>
      <c r="AI700" s="18">
        <v>23</v>
      </c>
      <c r="AJ700" s="18">
        <f t="shared" ref="AJ700:AJ738" si="66">AM700/AH700</f>
        <v>3.084507042253521</v>
      </c>
      <c r="AK700" s="18">
        <f t="shared" ref="AK700:AK738" si="67">AI700/AH700</f>
        <v>0.323943661971831</v>
      </c>
      <c r="AM700" s="18">
        <v>219</v>
      </c>
      <c r="AO700" s="18" t="s">
        <v>128</v>
      </c>
      <c r="AP700" s="18">
        <v>72</v>
      </c>
      <c r="AQ700" s="18">
        <v>23</v>
      </c>
      <c r="AR700" s="18">
        <f>Sheet4!AU700/AP700</f>
        <v>3.0694444444444446</v>
      </c>
      <c r="AS700" s="18">
        <f t="shared" ref="AS700:AS740" si="68">AQ700/AP700</f>
        <v>0.31944444444444442</v>
      </c>
      <c r="AU700" s="18">
        <v>221</v>
      </c>
    </row>
    <row r="701" spans="1:47" x14ac:dyDescent="0.35">
      <c r="A701" s="36" t="s">
        <v>35</v>
      </c>
      <c r="B701" s="36">
        <v>88</v>
      </c>
      <c r="C701" s="36">
        <v>26</v>
      </c>
      <c r="D701" s="36">
        <f t="shared" si="58"/>
        <v>3.5568181818181817</v>
      </c>
      <c r="E701" s="36">
        <f t="shared" si="59"/>
        <v>0.29545454545454547</v>
      </c>
      <c r="G701" s="18">
        <v>313</v>
      </c>
      <c r="I701" s="36" t="s">
        <v>35</v>
      </c>
      <c r="J701" s="36">
        <v>92</v>
      </c>
      <c r="K701" s="51">
        <v>27</v>
      </c>
      <c r="L701" s="36">
        <f t="shared" si="60"/>
        <v>3.5108695652173911</v>
      </c>
      <c r="M701" s="36">
        <f t="shared" si="61"/>
        <v>0.29347826086956524</v>
      </c>
      <c r="O701" s="18">
        <v>323</v>
      </c>
      <c r="Q701" s="36" t="s">
        <v>35</v>
      </c>
      <c r="R701" s="36">
        <v>94</v>
      </c>
      <c r="S701" s="36">
        <v>27</v>
      </c>
      <c r="T701" s="36">
        <f t="shared" si="62"/>
        <v>3.521276595744681</v>
      </c>
      <c r="U701" s="36">
        <f t="shared" si="63"/>
        <v>0.28723404255319152</v>
      </c>
      <c r="W701" s="18">
        <v>331</v>
      </c>
      <c r="Y701" s="36" t="s">
        <v>35</v>
      </c>
      <c r="Z701" s="36">
        <v>94</v>
      </c>
      <c r="AA701" s="36">
        <v>27</v>
      </c>
      <c r="AB701" s="36">
        <f t="shared" si="64"/>
        <v>3.521276595744681</v>
      </c>
      <c r="AC701" s="36">
        <f t="shared" si="65"/>
        <v>0.28723404255319152</v>
      </c>
      <c r="AE701" s="18">
        <v>331</v>
      </c>
      <c r="AG701" s="36" t="s">
        <v>35</v>
      </c>
      <c r="AH701" s="36">
        <v>94</v>
      </c>
      <c r="AI701" s="36">
        <v>27</v>
      </c>
      <c r="AJ701" s="36">
        <f t="shared" si="66"/>
        <v>3.521276595744681</v>
      </c>
      <c r="AK701" s="36">
        <f t="shared" si="67"/>
        <v>0.28723404255319152</v>
      </c>
      <c r="AM701" s="18">
        <v>331</v>
      </c>
      <c r="AO701" s="36" t="s">
        <v>35</v>
      </c>
      <c r="AP701" s="36">
        <v>94</v>
      </c>
      <c r="AQ701" s="36">
        <v>27</v>
      </c>
      <c r="AR701" s="36">
        <f>Sheet4!AU701/AP701</f>
        <v>3.521276595744681</v>
      </c>
      <c r="AS701" s="36">
        <f t="shared" si="68"/>
        <v>0.28723404255319152</v>
      </c>
      <c r="AU701" s="18">
        <v>331</v>
      </c>
    </row>
    <row r="702" spans="1:47" x14ac:dyDescent="0.35">
      <c r="A702" s="36" t="s">
        <v>121</v>
      </c>
      <c r="B702" s="36">
        <v>57</v>
      </c>
      <c r="C702" s="36">
        <v>13</v>
      </c>
      <c r="D702" s="36">
        <f t="shared" si="58"/>
        <v>3.7543859649122808</v>
      </c>
      <c r="E702" s="36">
        <f t="shared" si="59"/>
        <v>0.22807017543859648</v>
      </c>
      <c r="F702" s="2" t="s">
        <v>44</v>
      </c>
      <c r="G702" s="18">
        <v>214</v>
      </c>
      <c r="I702" s="36" t="s">
        <v>121</v>
      </c>
      <c r="J702" s="36">
        <v>58</v>
      </c>
      <c r="K702" s="36">
        <v>13</v>
      </c>
      <c r="L702" s="36">
        <f t="shared" si="60"/>
        <v>3.7586206896551726</v>
      </c>
      <c r="M702" s="36">
        <f t="shared" si="61"/>
        <v>0.22413793103448276</v>
      </c>
      <c r="O702" s="18">
        <v>218</v>
      </c>
      <c r="Q702" s="36" t="s">
        <v>121</v>
      </c>
      <c r="R702" s="36">
        <v>59</v>
      </c>
      <c r="S702" s="36">
        <v>14</v>
      </c>
      <c r="T702" s="36">
        <f t="shared" si="62"/>
        <v>3.7118644067796609</v>
      </c>
      <c r="U702" s="36">
        <f t="shared" si="63"/>
        <v>0.23728813559322035</v>
      </c>
      <c r="W702" s="18">
        <v>219</v>
      </c>
      <c r="Y702" s="36" t="s">
        <v>121</v>
      </c>
      <c r="Z702" s="36">
        <v>59</v>
      </c>
      <c r="AA702" s="36">
        <v>14</v>
      </c>
      <c r="AB702" s="36">
        <f t="shared" si="64"/>
        <v>3.7118644067796609</v>
      </c>
      <c r="AC702" s="36">
        <f t="shared" si="65"/>
        <v>0.23728813559322035</v>
      </c>
      <c r="AE702" s="18">
        <v>219</v>
      </c>
      <c r="AG702" s="36" t="s">
        <v>147</v>
      </c>
      <c r="AH702" s="36">
        <v>44</v>
      </c>
      <c r="AI702" s="36">
        <v>6</v>
      </c>
      <c r="AJ702" s="36">
        <f t="shared" si="66"/>
        <v>3.7954545454545454</v>
      </c>
      <c r="AK702" s="36">
        <f t="shared" si="67"/>
        <v>0.13636363636363635</v>
      </c>
      <c r="AL702" s="2" t="s">
        <v>44</v>
      </c>
      <c r="AM702" s="18">
        <v>167</v>
      </c>
      <c r="AO702" s="36" t="s">
        <v>147</v>
      </c>
      <c r="AP702" s="36">
        <v>44</v>
      </c>
      <c r="AQ702" s="36">
        <v>6</v>
      </c>
      <c r="AR702" s="36">
        <f>Sheet4!AU702/AP702</f>
        <v>3.7954545454545454</v>
      </c>
      <c r="AS702" s="36">
        <f t="shared" si="68"/>
        <v>0.13636363636363635</v>
      </c>
      <c r="AU702" s="18">
        <v>167</v>
      </c>
    </row>
    <row r="703" spans="1:47" x14ac:dyDescent="0.35">
      <c r="A703" s="36" t="s">
        <v>147</v>
      </c>
      <c r="B703" s="36">
        <v>36</v>
      </c>
      <c r="C703" s="36">
        <v>6</v>
      </c>
      <c r="D703" s="36">
        <f t="shared" si="58"/>
        <v>3.7777777777777777</v>
      </c>
      <c r="E703" s="36">
        <f t="shared" si="59"/>
        <v>0.16666666666666666</v>
      </c>
      <c r="F703" s="3" t="s">
        <v>46</v>
      </c>
      <c r="G703" s="18">
        <v>136</v>
      </c>
      <c r="I703" s="36" t="s">
        <v>147</v>
      </c>
      <c r="J703" s="36">
        <v>40</v>
      </c>
      <c r="K703" s="36">
        <v>6</v>
      </c>
      <c r="L703" s="36">
        <f t="shared" si="60"/>
        <v>3.8</v>
      </c>
      <c r="M703" s="36">
        <f t="shared" si="61"/>
        <v>0.15</v>
      </c>
      <c r="O703" s="18">
        <v>152</v>
      </c>
      <c r="Q703" s="36" t="s">
        <v>147</v>
      </c>
      <c r="R703" s="36">
        <v>40</v>
      </c>
      <c r="S703" s="36">
        <v>6</v>
      </c>
      <c r="T703" s="36">
        <f t="shared" si="62"/>
        <v>3.8</v>
      </c>
      <c r="U703" s="36">
        <f t="shared" si="63"/>
        <v>0.15</v>
      </c>
      <c r="W703" s="18">
        <v>152</v>
      </c>
      <c r="Y703" s="36" t="s">
        <v>147</v>
      </c>
      <c r="Z703" s="36">
        <v>42</v>
      </c>
      <c r="AA703" s="36">
        <v>6</v>
      </c>
      <c r="AB703" s="36">
        <f t="shared" si="64"/>
        <v>3.7380952380952381</v>
      </c>
      <c r="AC703" s="36">
        <f t="shared" si="65"/>
        <v>0.14285714285714285</v>
      </c>
      <c r="AE703" s="18">
        <v>157</v>
      </c>
      <c r="AG703" s="36" t="s">
        <v>121</v>
      </c>
      <c r="AH703" s="36">
        <v>61</v>
      </c>
      <c r="AI703" s="36">
        <v>14</v>
      </c>
      <c r="AJ703" s="36">
        <f t="shared" si="66"/>
        <v>3.8032786885245899</v>
      </c>
      <c r="AK703" s="36">
        <f t="shared" si="67"/>
        <v>0.22950819672131148</v>
      </c>
      <c r="AL703" s="3" t="s">
        <v>46</v>
      </c>
      <c r="AM703" s="18">
        <v>232</v>
      </c>
      <c r="AO703" s="36" t="s">
        <v>10</v>
      </c>
      <c r="AP703" s="36">
        <v>46</v>
      </c>
      <c r="AQ703" s="36">
        <v>10</v>
      </c>
      <c r="AR703" s="36">
        <f>Sheet4!AU703/AP703</f>
        <v>3.847826086956522</v>
      </c>
      <c r="AS703" s="36">
        <f t="shared" si="68"/>
        <v>0.21739130434782608</v>
      </c>
      <c r="AT703" s="2" t="s">
        <v>44</v>
      </c>
      <c r="AU703" s="18">
        <v>177</v>
      </c>
    </row>
    <row r="704" spans="1:47" x14ac:dyDescent="0.35">
      <c r="A704" s="36" t="s">
        <v>10</v>
      </c>
      <c r="B704" s="36">
        <v>41</v>
      </c>
      <c r="C704" s="36">
        <v>9</v>
      </c>
      <c r="D704" s="36">
        <f t="shared" si="58"/>
        <v>3.8536585365853657</v>
      </c>
      <c r="E704" s="36">
        <f t="shared" si="59"/>
        <v>0.21951219512195122</v>
      </c>
      <c r="F704" s="2" t="s">
        <v>44</v>
      </c>
      <c r="G704" s="18">
        <v>158</v>
      </c>
      <c r="I704" s="36" t="s">
        <v>148</v>
      </c>
      <c r="J704" s="36">
        <v>25</v>
      </c>
      <c r="K704" s="36">
        <v>4</v>
      </c>
      <c r="L704" s="36">
        <f t="shared" si="60"/>
        <v>3.88</v>
      </c>
      <c r="M704" s="36">
        <f t="shared" si="61"/>
        <v>0.16</v>
      </c>
      <c r="N704" s="2" t="s">
        <v>44</v>
      </c>
      <c r="O704" s="18">
        <v>97</v>
      </c>
      <c r="Q704" s="36" t="s">
        <v>148</v>
      </c>
      <c r="R704" s="36">
        <v>25</v>
      </c>
      <c r="S704" s="36">
        <v>4</v>
      </c>
      <c r="T704" s="36">
        <f t="shared" si="62"/>
        <v>3.88</v>
      </c>
      <c r="U704" s="36">
        <f t="shared" si="63"/>
        <v>0.16</v>
      </c>
      <c r="W704" s="18">
        <v>97</v>
      </c>
      <c r="Y704" s="36" t="s">
        <v>122</v>
      </c>
      <c r="Z704" s="36">
        <v>39</v>
      </c>
      <c r="AA704" s="36">
        <v>5</v>
      </c>
      <c r="AB704" s="36">
        <f t="shared" si="64"/>
        <v>3.7948717948717947</v>
      </c>
      <c r="AC704" s="36">
        <f t="shared" si="65"/>
        <v>0.12820512820512819</v>
      </c>
      <c r="AD704" s="2" t="s">
        <v>47</v>
      </c>
      <c r="AE704" s="18">
        <v>148</v>
      </c>
      <c r="AG704" s="36" t="s">
        <v>10</v>
      </c>
      <c r="AH704" s="36">
        <v>46</v>
      </c>
      <c r="AI704" s="36">
        <v>10</v>
      </c>
      <c r="AJ704" s="36">
        <f t="shared" si="66"/>
        <v>3.847826086956522</v>
      </c>
      <c r="AK704" s="36">
        <f t="shared" si="67"/>
        <v>0.21739130434782608</v>
      </c>
      <c r="AL704" s="2" t="s">
        <v>47</v>
      </c>
      <c r="AM704" s="18">
        <v>177</v>
      </c>
      <c r="AO704" s="36" t="s">
        <v>121</v>
      </c>
      <c r="AP704" s="36">
        <v>62</v>
      </c>
      <c r="AQ704" s="36">
        <v>14</v>
      </c>
      <c r="AR704" s="36">
        <f>Sheet4!AU704/AP704</f>
        <v>3.8548387096774195</v>
      </c>
      <c r="AS704" s="36">
        <f t="shared" si="68"/>
        <v>0.22580645161290322</v>
      </c>
      <c r="AT704" s="3" t="s">
        <v>46</v>
      </c>
      <c r="AU704" s="18">
        <v>239</v>
      </c>
    </row>
    <row r="705" spans="1:47" x14ac:dyDescent="0.35">
      <c r="A705" s="36" t="s">
        <v>148</v>
      </c>
      <c r="B705" s="36">
        <v>25</v>
      </c>
      <c r="C705" s="36">
        <v>4</v>
      </c>
      <c r="D705" s="36">
        <f t="shared" si="58"/>
        <v>3.88</v>
      </c>
      <c r="E705" s="36">
        <f t="shared" si="59"/>
        <v>0.16</v>
      </c>
      <c r="F705" s="2" t="s">
        <v>44</v>
      </c>
      <c r="G705" s="18">
        <v>97</v>
      </c>
      <c r="I705" s="36" t="s">
        <v>10</v>
      </c>
      <c r="J705" s="36">
        <v>45</v>
      </c>
      <c r="K705" s="36">
        <v>10</v>
      </c>
      <c r="L705" s="36">
        <f t="shared" si="60"/>
        <v>3.8888888888888888</v>
      </c>
      <c r="M705" s="36">
        <f t="shared" si="61"/>
        <v>0.22222222222222221</v>
      </c>
      <c r="N705" s="3" t="s">
        <v>46</v>
      </c>
      <c r="O705" s="18">
        <v>175</v>
      </c>
      <c r="Q705" s="36" t="s">
        <v>10</v>
      </c>
      <c r="R705" s="36">
        <v>45</v>
      </c>
      <c r="S705" s="36">
        <v>10</v>
      </c>
      <c r="T705" s="36">
        <f t="shared" si="62"/>
        <v>3.8888888888888888</v>
      </c>
      <c r="U705" s="36">
        <f t="shared" si="63"/>
        <v>0.22222222222222221</v>
      </c>
      <c r="W705" s="18">
        <v>175</v>
      </c>
      <c r="Y705" s="36" t="s">
        <v>148</v>
      </c>
      <c r="Z705" s="36">
        <v>25</v>
      </c>
      <c r="AA705" s="36">
        <v>4</v>
      </c>
      <c r="AB705" s="36">
        <f t="shared" si="64"/>
        <v>3.88</v>
      </c>
      <c r="AC705" s="36">
        <f t="shared" si="65"/>
        <v>0.16</v>
      </c>
      <c r="AD705" s="3" t="s">
        <v>46</v>
      </c>
      <c r="AE705" s="18">
        <v>97</v>
      </c>
      <c r="AG705" s="36" t="s">
        <v>148</v>
      </c>
      <c r="AH705" s="36">
        <v>25</v>
      </c>
      <c r="AI705" s="36">
        <v>4</v>
      </c>
      <c r="AJ705" s="36">
        <f t="shared" si="66"/>
        <v>3.88</v>
      </c>
      <c r="AK705" s="36">
        <f t="shared" si="67"/>
        <v>0.16</v>
      </c>
      <c r="AM705" s="18">
        <v>97</v>
      </c>
      <c r="AO705" s="36" t="s">
        <v>148</v>
      </c>
      <c r="AP705" s="36">
        <v>25</v>
      </c>
      <c r="AQ705" s="36">
        <v>4</v>
      </c>
      <c r="AR705" s="36">
        <f>Sheet4!AU705/AP705</f>
        <v>3.88</v>
      </c>
      <c r="AS705" s="36">
        <f t="shared" si="68"/>
        <v>0.16</v>
      </c>
      <c r="AU705" s="18">
        <v>97</v>
      </c>
    </row>
    <row r="706" spans="1:47" x14ac:dyDescent="0.35">
      <c r="A706" s="36" t="s">
        <v>122</v>
      </c>
      <c r="B706" s="36">
        <v>35</v>
      </c>
      <c r="C706" s="36">
        <v>4</v>
      </c>
      <c r="D706" s="36">
        <f t="shared" si="58"/>
        <v>3.9428571428571431</v>
      </c>
      <c r="E706" s="36">
        <f t="shared" si="59"/>
        <v>0.11428571428571428</v>
      </c>
      <c r="F706" s="3" t="s">
        <v>45</v>
      </c>
      <c r="G706" s="18">
        <v>138</v>
      </c>
      <c r="I706" s="36" t="s">
        <v>122</v>
      </c>
      <c r="J706" s="36">
        <v>37</v>
      </c>
      <c r="K706" s="36">
        <v>4</v>
      </c>
      <c r="L706" s="36">
        <f t="shared" si="60"/>
        <v>3.9189189189189189</v>
      </c>
      <c r="M706" s="36">
        <f t="shared" si="61"/>
        <v>0.10810810810810811</v>
      </c>
      <c r="O706" s="18">
        <v>145</v>
      </c>
      <c r="Q706" s="36" t="s">
        <v>122</v>
      </c>
      <c r="R706" s="36">
        <v>37</v>
      </c>
      <c r="S706" s="36">
        <v>4</v>
      </c>
      <c r="T706" s="36">
        <f t="shared" si="62"/>
        <v>3.9189189189189189</v>
      </c>
      <c r="U706" s="36">
        <f t="shared" si="63"/>
        <v>0.10810810810810811</v>
      </c>
      <c r="W706" s="18">
        <v>145</v>
      </c>
      <c r="Y706" s="36" t="s">
        <v>10</v>
      </c>
      <c r="Z706" s="36">
        <v>45</v>
      </c>
      <c r="AA706" s="36">
        <v>10</v>
      </c>
      <c r="AB706" s="36">
        <f t="shared" si="64"/>
        <v>3.8888888888888888</v>
      </c>
      <c r="AC706" s="36">
        <f t="shared" si="65"/>
        <v>0.22222222222222221</v>
      </c>
      <c r="AD706" s="3" t="s">
        <v>46</v>
      </c>
      <c r="AE706" s="18">
        <v>175</v>
      </c>
      <c r="AG706" s="36" t="s">
        <v>122</v>
      </c>
      <c r="AH706" s="36">
        <v>41</v>
      </c>
      <c r="AI706" s="36">
        <v>5</v>
      </c>
      <c r="AJ706" s="36">
        <f t="shared" si="66"/>
        <v>3.9024390243902438</v>
      </c>
      <c r="AK706" s="36">
        <f t="shared" si="67"/>
        <v>0.12195121951219512</v>
      </c>
      <c r="AL706" s="3" t="s">
        <v>45</v>
      </c>
      <c r="AM706" s="18">
        <v>160</v>
      </c>
      <c r="AO706" s="36" t="s">
        <v>122</v>
      </c>
      <c r="AP706" s="36">
        <v>43</v>
      </c>
      <c r="AQ706" s="36">
        <v>5</v>
      </c>
      <c r="AR706" s="36">
        <f>Sheet4!AU706/AP706</f>
        <v>3.9534883720930232</v>
      </c>
      <c r="AS706" s="36">
        <f t="shared" si="68"/>
        <v>0.11627906976744186</v>
      </c>
      <c r="AU706" s="18">
        <v>170</v>
      </c>
    </row>
    <row r="707" spans="1:47" x14ac:dyDescent="0.35">
      <c r="A707" s="41" t="s">
        <v>0</v>
      </c>
      <c r="B707" s="41">
        <v>70</v>
      </c>
      <c r="C707" s="41">
        <v>12</v>
      </c>
      <c r="D707" s="41">
        <f t="shared" si="58"/>
        <v>4.0571428571428569</v>
      </c>
      <c r="E707" s="41">
        <f t="shared" si="59"/>
        <v>0.17142857142857143</v>
      </c>
      <c r="G707" s="18">
        <v>284</v>
      </c>
      <c r="I707" s="41" t="s">
        <v>125</v>
      </c>
      <c r="J707" s="41">
        <v>20</v>
      </c>
      <c r="K707" s="41">
        <v>1</v>
      </c>
      <c r="L707" s="41">
        <f t="shared" si="60"/>
        <v>4.05</v>
      </c>
      <c r="M707" s="41">
        <f t="shared" si="61"/>
        <v>0.05</v>
      </c>
      <c r="N707" s="56" t="s">
        <v>457</v>
      </c>
      <c r="O707" s="18">
        <v>81</v>
      </c>
      <c r="Q707" s="41" t="s">
        <v>125</v>
      </c>
      <c r="R707" s="41">
        <v>20</v>
      </c>
      <c r="S707" s="41">
        <v>1</v>
      </c>
      <c r="T707" s="41">
        <f t="shared" si="62"/>
        <v>4.05</v>
      </c>
      <c r="U707" s="41">
        <f t="shared" si="63"/>
        <v>0.05</v>
      </c>
      <c r="W707" s="18">
        <v>81</v>
      </c>
      <c r="Y707" s="41" t="s">
        <v>29</v>
      </c>
      <c r="Z707" s="41">
        <v>60</v>
      </c>
      <c r="AA707" s="41">
        <v>8</v>
      </c>
      <c r="AB707" s="41">
        <f t="shared" si="64"/>
        <v>4</v>
      </c>
      <c r="AC707" s="41">
        <f t="shared" si="65"/>
        <v>0.13333333333333333</v>
      </c>
      <c r="AD707" s="2" t="s">
        <v>47</v>
      </c>
      <c r="AE707" s="18">
        <v>240</v>
      </c>
      <c r="AG707" s="41" t="s">
        <v>29</v>
      </c>
      <c r="AH707" s="41">
        <v>62</v>
      </c>
      <c r="AI707" s="41">
        <v>8</v>
      </c>
      <c r="AJ707" s="41">
        <f t="shared" si="66"/>
        <v>4</v>
      </c>
      <c r="AK707" s="41">
        <f t="shared" si="67"/>
        <v>0.12903225806451613</v>
      </c>
      <c r="AM707" s="18">
        <v>248</v>
      </c>
      <c r="AO707" s="36" t="s">
        <v>232</v>
      </c>
      <c r="AP707" s="36">
        <v>24</v>
      </c>
      <c r="AQ707" s="36">
        <v>5</v>
      </c>
      <c r="AR707" s="36">
        <f>Sheet4!AU707/AP707</f>
        <v>3.9583333333333335</v>
      </c>
      <c r="AS707" s="36">
        <f t="shared" si="68"/>
        <v>0.20833333333333334</v>
      </c>
      <c r="AT707" s="2" t="s">
        <v>44</v>
      </c>
      <c r="AU707" s="18">
        <v>95</v>
      </c>
    </row>
    <row r="708" spans="1:47" x14ac:dyDescent="0.35">
      <c r="A708" s="41" t="s">
        <v>22</v>
      </c>
      <c r="B708" s="41">
        <v>156</v>
      </c>
      <c r="C708" s="41">
        <v>24</v>
      </c>
      <c r="D708" s="41">
        <f t="shared" si="58"/>
        <v>4.1217948717948714</v>
      </c>
      <c r="E708" s="41">
        <f t="shared" si="59"/>
        <v>0.15384615384615385</v>
      </c>
      <c r="F708" s="2" t="s">
        <v>44</v>
      </c>
      <c r="G708" s="18">
        <v>643</v>
      </c>
      <c r="I708" s="41" t="s">
        <v>0</v>
      </c>
      <c r="J708" s="41">
        <v>70</v>
      </c>
      <c r="K708" s="41">
        <v>12</v>
      </c>
      <c r="L708" s="41">
        <f t="shared" si="60"/>
        <v>4.0571428571428569</v>
      </c>
      <c r="M708" s="41">
        <f t="shared" si="61"/>
        <v>0.17142857142857143</v>
      </c>
      <c r="N708" s="3" t="s">
        <v>46</v>
      </c>
      <c r="O708" s="18">
        <v>284</v>
      </c>
      <c r="Q708" s="41" t="s">
        <v>0</v>
      </c>
      <c r="R708" s="41">
        <v>70</v>
      </c>
      <c r="S708" s="41">
        <v>12</v>
      </c>
      <c r="T708" s="41">
        <f t="shared" si="62"/>
        <v>4.0571428571428569</v>
      </c>
      <c r="U708" s="41">
        <f t="shared" si="63"/>
        <v>0.17142857142857143</v>
      </c>
      <c r="W708" s="18">
        <v>284</v>
      </c>
      <c r="Y708" s="41" t="s">
        <v>125</v>
      </c>
      <c r="Z708" s="41">
        <v>20</v>
      </c>
      <c r="AA708" s="41">
        <v>1</v>
      </c>
      <c r="AB708" s="41">
        <f t="shared" si="64"/>
        <v>4.05</v>
      </c>
      <c r="AC708" s="41">
        <f t="shared" si="65"/>
        <v>0.05</v>
      </c>
      <c r="AD708" s="3" t="s">
        <v>46</v>
      </c>
      <c r="AE708" s="18">
        <v>81</v>
      </c>
      <c r="AG708" s="41" t="s">
        <v>232</v>
      </c>
      <c r="AH708" s="41">
        <v>23</v>
      </c>
      <c r="AI708" s="41">
        <v>5</v>
      </c>
      <c r="AJ708" s="41">
        <f t="shared" si="66"/>
        <v>4.0434782608695654</v>
      </c>
      <c r="AK708" s="41">
        <f t="shared" si="67"/>
        <v>0.21739130434782608</v>
      </c>
      <c r="AL708" s="11" t="s">
        <v>461</v>
      </c>
      <c r="AM708" s="18">
        <v>93</v>
      </c>
      <c r="AO708" s="36" t="s">
        <v>29</v>
      </c>
      <c r="AP708" s="36">
        <v>64</v>
      </c>
      <c r="AQ708" s="36">
        <v>8</v>
      </c>
      <c r="AR708" s="36">
        <f>Sheet4!AU708/AP708</f>
        <v>3.96875</v>
      </c>
      <c r="AS708" s="36">
        <f t="shared" si="68"/>
        <v>0.125</v>
      </c>
      <c r="AT708" s="3" t="s">
        <v>46</v>
      </c>
      <c r="AU708" s="18">
        <v>254</v>
      </c>
    </row>
    <row r="709" spans="1:47" x14ac:dyDescent="0.35">
      <c r="A709" s="41" t="s">
        <v>29</v>
      </c>
      <c r="B709" s="41">
        <v>54</v>
      </c>
      <c r="C709" s="41">
        <v>6</v>
      </c>
      <c r="D709" s="41">
        <f t="shared" si="58"/>
        <v>4.1296296296296298</v>
      </c>
      <c r="E709" s="41">
        <f t="shared" si="59"/>
        <v>0.1111111111111111</v>
      </c>
      <c r="F709" s="2" t="s">
        <v>59</v>
      </c>
      <c r="G709" s="18">
        <v>223</v>
      </c>
      <c r="I709" s="41" t="s">
        <v>29</v>
      </c>
      <c r="J709" s="41">
        <v>58</v>
      </c>
      <c r="K709" s="41">
        <v>8</v>
      </c>
      <c r="L709" s="41">
        <f t="shared" si="60"/>
        <v>4.068965517241379</v>
      </c>
      <c r="M709" s="41">
        <f t="shared" si="61"/>
        <v>0.13793103448275862</v>
      </c>
      <c r="O709" s="18">
        <v>236</v>
      </c>
      <c r="Q709" s="41" t="s">
        <v>29</v>
      </c>
      <c r="R709" s="41">
        <v>58</v>
      </c>
      <c r="S709" s="41">
        <v>8</v>
      </c>
      <c r="T709" s="41">
        <f t="shared" si="62"/>
        <v>4.068965517241379</v>
      </c>
      <c r="U709" s="41">
        <f t="shared" si="63"/>
        <v>0.13793103448275862</v>
      </c>
      <c r="W709" s="18">
        <v>236</v>
      </c>
      <c r="Y709" s="41" t="s">
        <v>0</v>
      </c>
      <c r="Z709" s="41">
        <v>70</v>
      </c>
      <c r="AA709" s="41">
        <v>12</v>
      </c>
      <c r="AB709" s="41">
        <f t="shared" si="64"/>
        <v>4.0571428571428569</v>
      </c>
      <c r="AC709" s="41">
        <f t="shared" si="65"/>
        <v>0.17142857142857143</v>
      </c>
      <c r="AD709" s="3" t="s">
        <v>46</v>
      </c>
      <c r="AE709" s="18">
        <v>284</v>
      </c>
      <c r="AG709" s="41" t="s">
        <v>125</v>
      </c>
      <c r="AH709" s="41">
        <v>20</v>
      </c>
      <c r="AI709" s="41">
        <v>1</v>
      </c>
      <c r="AJ709" s="41">
        <f t="shared" si="66"/>
        <v>4.05</v>
      </c>
      <c r="AK709" s="41">
        <f t="shared" si="67"/>
        <v>0.05</v>
      </c>
      <c r="AL709" s="3" t="s">
        <v>46</v>
      </c>
      <c r="AM709" s="18">
        <v>81</v>
      </c>
      <c r="AO709" s="41" t="s">
        <v>125</v>
      </c>
      <c r="AP709" s="41">
        <v>20</v>
      </c>
      <c r="AQ709" s="41">
        <v>1</v>
      </c>
      <c r="AR709" s="41">
        <f>Sheet4!AU709/AP709</f>
        <v>4.05</v>
      </c>
      <c r="AS709" s="41">
        <f t="shared" si="68"/>
        <v>0.05</v>
      </c>
      <c r="AU709" s="18">
        <v>81</v>
      </c>
    </row>
    <row r="710" spans="1:47" x14ac:dyDescent="0.35">
      <c r="A710" s="41" t="s">
        <v>21</v>
      </c>
      <c r="B710" s="41">
        <v>52</v>
      </c>
      <c r="C710" s="41">
        <v>9</v>
      </c>
      <c r="D710" s="41">
        <f t="shared" si="58"/>
        <v>4.134615384615385</v>
      </c>
      <c r="E710" s="41">
        <f t="shared" si="59"/>
        <v>0.17307692307692307</v>
      </c>
      <c r="F710" s="3" t="s">
        <v>45</v>
      </c>
      <c r="G710" s="18">
        <v>215</v>
      </c>
      <c r="I710" s="41" t="s">
        <v>2</v>
      </c>
      <c r="J710" s="41">
        <v>28</v>
      </c>
      <c r="K710" s="41">
        <v>5</v>
      </c>
      <c r="L710" s="41">
        <f t="shared" si="60"/>
        <v>4.1428571428571432</v>
      </c>
      <c r="M710" s="41">
        <f t="shared" si="61"/>
        <v>0.17857142857142858</v>
      </c>
      <c r="N710" s="2" t="s">
        <v>44</v>
      </c>
      <c r="O710" s="18">
        <v>116</v>
      </c>
      <c r="Q710" s="41" t="s">
        <v>2</v>
      </c>
      <c r="R710" s="41">
        <v>28</v>
      </c>
      <c r="S710" s="41">
        <v>5</v>
      </c>
      <c r="T710" s="41">
        <f t="shared" si="62"/>
        <v>4.1428571428571432</v>
      </c>
      <c r="U710" s="41">
        <f t="shared" si="63"/>
        <v>0.17857142857142858</v>
      </c>
      <c r="W710" s="18">
        <v>116</v>
      </c>
      <c r="Y710" s="41" t="s">
        <v>2</v>
      </c>
      <c r="Z710" s="41">
        <v>28</v>
      </c>
      <c r="AA710" s="41">
        <v>5</v>
      </c>
      <c r="AB710" s="41">
        <f t="shared" si="64"/>
        <v>4.1428571428571432</v>
      </c>
      <c r="AC710" s="41">
        <f t="shared" si="65"/>
        <v>0.17857142857142858</v>
      </c>
      <c r="AE710" s="18">
        <v>116</v>
      </c>
      <c r="AG710" s="41" t="s">
        <v>0</v>
      </c>
      <c r="AH710" s="41">
        <v>70</v>
      </c>
      <c r="AI710" s="41">
        <v>12</v>
      </c>
      <c r="AJ710" s="41">
        <f t="shared" si="66"/>
        <v>4.0571428571428569</v>
      </c>
      <c r="AK710" s="41">
        <f t="shared" si="67"/>
        <v>0.17142857142857143</v>
      </c>
      <c r="AL710" s="3" t="s">
        <v>46</v>
      </c>
      <c r="AM710" s="18">
        <v>284</v>
      </c>
      <c r="AO710" s="41" t="s">
        <v>0</v>
      </c>
      <c r="AP710" s="41">
        <v>70</v>
      </c>
      <c r="AQ710" s="41">
        <v>12</v>
      </c>
      <c r="AR710" s="41">
        <f>Sheet4!AU710/AP710</f>
        <v>4.0571428571428569</v>
      </c>
      <c r="AS710" s="41">
        <f t="shared" si="68"/>
        <v>0.17142857142857143</v>
      </c>
      <c r="AU710" s="18">
        <v>284</v>
      </c>
    </row>
    <row r="711" spans="1:47" x14ac:dyDescent="0.35">
      <c r="A711" s="41" t="s">
        <v>2</v>
      </c>
      <c r="B711" s="41">
        <v>28</v>
      </c>
      <c r="C711" s="41">
        <v>5</v>
      </c>
      <c r="D711" s="41">
        <f t="shared" si="58"/>
        <v>4.1428571428571432</v>
      </c>
      <c r="E711" s="41">
        <f t="shared" si="59"/>
        <v>0.17857142857142858</v>
      </c>
      <c r="G711" s="18">
        <v>116</v>
      </c>
      <c r="I711" s="41" t="s">
        <v>22</v>
      </c>
      <c r="J711" s="50">
        <v>162</v>
      </c>
      <c r="K711" s="41">
        <v>24</v>
      </c>
      <c r="L711" s="41">
        <f t="shared" si="60"/>
        <v>4.1790123456790127</v>
      </c>
      <c r="M711" s="41">
        <f t="shared" si="61"/>
        <v>0.14814814814814814</v>
      </c>
      <c r="N711" s="3" t="s">
        <v>54</v>
      </c>
      <c r="O711" s="18">
        <v>677</v>
      </c>
      <c r="Q711" s="41" t="s">
        <v>22</v>
      </c>
      <c r="R711" s="41">
        <v>162</v>
      </c>
      <c r="S711" s="41">
        <v>24</v>
      </c>
      <c r="T711" s="41">
        <f t="shared" si="62"/>
        <v>4.1790123456790127</v>
      </c>
      <c r="U711" s="41">
        <f t="shared" si="63"/>
        <v>0.14814814814814814</v>
      </c>
      <c r="W711" s="18">
        <v>677</v>
      </c>
      <c r="Y711" s="41" t="s">
        <v>104</v>
      </c>
      <c r="Z711" s="41">
        <v>54</v>
      </c>
      <c r="AA711" s="41">
        <v>3</v>
      </c>
      <c r="AB711" s="41">
        <f t="shared" si="64"/>
        <v>4.166666666666667</v>
      </c>
      <c r="AC711" s="41">
        <f t="shared" si="65"/>
        <v>5.5555555555555552E-2</v>
      </c>
      <c r="AD711" s="2" t="s">
        <v>44</v>
      </c>
      <c r="AE711" s="18">
        <v>225</v>
      </c>
      <c r="AG711" s="41" t="s">
        <v>104</v>
      </c>
      <c r="AH711" s="41">
        <v>57</v>
      </c>
      <c r="AI711" s="41">
        <v>4</v>
      </c>
      <c r="AJ711" s="41">
        <f t="shared" si="66"/>
        <v>4.1228070175438596</v>
      </c>
      <c r="AK711" s="41">
        <f t="shared" si="67"/>
        <v>7.0175438596491224E-2</v>
      </c>
      <c r="AM711" s="18">
        <v>235</v>
      </c>
      <c r="AO711" s="41" t="s">
        <v>112</v>
      </c>
      <c r="AP711" s="41">
        <v>22</v>
      </c>
      <c r="AQ711" s="41">
        <v>5</v>
      </c>
      <c r="AR711" s="41">
        <f>Sheet4!AU711/AP711</f>
        <v>4.0909090909090908</v>
      </c>
      <c r="AS711" s="41">
        <f t="shared" si="68"/>
        <v>0.22727272727272727</v>
      </c>
      <c r="AT711" s="11" t="s">
        <v>462</v>
      </c>
      <c r="AU711" s="18">
        <v>90</v>
      </c>
    </row>
    <row r="712" spans="1:47" x14ac:dyDescent="0.35">
      <c r="A712" s="41" t="s">
        <v>104</v>
      </c>
      <c r="B712" s="41">
        <v>52</v>
      </c>
      <c r="C712" s="41">
        <v>3</v>
      </c>
      <c r="D712" s="41">
        <f t="shared" si="58"/>
        <v>4.1923076923076925</v>
      </c>
      <c r="E712" s="41">
        <f t="shared" si="59"/>
        <v>5.7692307692307696E-2</v>
      </c>
      <c r="F712" s="3" t="s">
        <v>45</v>
      </c>
      <c r="G712" s="18">
        <v>218</v>
      </c>
      <c r="I712" s="41" t="s">
        <v>104</v>
      </c>
      <c r="J712" s="41">
        <v>52</v>
      </c>
      <c r="K712" s="41">
        <v>3</v>
      </c>
      <c r="L712" s="41">
        <f t="shared" si="60"/>
        <v>4.1923076923076925</v>
      </c>
      <c r="M712" s="41">
        <f t="shared" si="61"/>
        <v>5.7692307692307696E-2</v>
      </c>
      <c r="O712" s="18">
        <v>218</v>
      </c>
      <c r="Q712" s="41" t="s">
        <v>104</v>
      </c>
      <c r="R712" s="41">
        <v>52</v>
      </c>
      <c r="S712" s="41">
        <v>3</v>
      </c>
      <c r="T712" s="41">
        <f t="shared" si="62"/>
        <v>4.1923076923076925</v>
      </c>
      <c r="U712" s="41">
        <f t="shared" si="63"/>
        <v>5.7692307692307696E-2</v>
      </c>
      <c r="W712" s="18">
        <v>218</v>
      </c>
      <c r="Y712" s="41" t="s">
        <v>22</v>
      </c>
      <c r="Z712" s="41">
        <v>165</v>
      </c>
      <c r="AA712" s="41">
        <v>24</v>
      </c>
      <c r="AB712" s="41">
        <f t="shared" si="64"/>
        <v>4.1696969696969699</v>
      </c>
      <c r="AC712" s="41">
        <f t="shared" si="65"/>
        <v>0.14545454545454545</v>
      </c>
      <c r="AD712" s="3" t="s">
        <v>46</v>
      </c>
      <c r="AE712" s="18">
        <v>688</v>
      </c>
      <c r="AG712" s="41" t="s">
        <v>2</v>
      </c>
      <c r="AH712" s="41">
        <v>28</v>
      </c>
      <c r="AI712" s="41">
        <v>5</v>
      </c>
      <c r="AJ712" s="41">
        <f t="shared" si="66"/>
        <v>4.1428571428571432</v>
      </c>
      <c r="AK712" s="41">
        <f t="shared" si="67"/>
        <v>0.17857142857142858</v>
      </c>
      <c r="AL712" s="3" t="s">
        <v>45</v>
      </c>
      <c r="AM712" s="18">
        <v>116</v>
      </c>
      <c r="AO712" s="41" t="s">
        <v>104</v>
      </c>
      <c r="AP712" s="41">
        <v>57</v>
      </c>
      <c r="AQ712" s="41">
        <v>4</v>
      </c>
      <c r="AR712" s="41">
        <f>Sheet4!AU712/AP712</f>
        <v>4.1228070175438596</v>
      </c>
      <c r="AS712" s="41">
        <f t="shared" si="68"/>
        <v>7.0175438596491224E-2</v>
      </c>
      <c r="AT712" s="3" t="s">
        <v>46</v>
      </c>
      <c r="AU712" s="18">
        <v>235</v>
      </c>
    </row>
    <row r="713" spans="1:47" x14ac:dyDescent="0.35">
      <c r="A713" s="41" t="s">
        <v>15</v>
      </c>
      <c r="B713" s="41">
        <v>132</v>
      </c>
      <c r="C713" s="41">
        <v>25</v>
      </c>
      <c r="D713" s="41">
        <f t="shared" si="58"/>
        <v>4.3939393939393936</v>
      </c>
      <c r="E713" s="41">
        <f t="shared" si="59"/>
        <v>0.18939393939393939</v>
      </c>
      <c r="F713" s="2" t="s">
        <v>44</v>
      </c>
      <c r="G713" s="18">
        <v>580</v>
      </c>
      <c r="I713" s="41" t="s">
        <v>21</v>
      </c>
      <c r="J713" s="41">
        <v>62</v>
      </c>
      <c r="K713" s="41">
        <v>10</v>
      </c>
      <c r="L713" s="41">
        <f t="shared" si="60"/>
        <v>4.306451612903226</v>
      </c>
      <c r="M713" s="41">
        <f t="shared" si="61"/>
        <v>0.16129032258064516</v>
      </c>
      <c r="N713" s="3" t="s">
        <v>54</v>
      </c>
      <c r="O713" s="18">
        <v>267</v>
      </c>
      <c r="Q713" s="41" t="s">
        <v>21</v>
      </c>
      <c r="R713" s="41">
        <v>64</v>
      </c>
      <c r="S713" s="41">
        <v>10</v>
      </c>
      <c r="T713" s="41">
        <f t="shared" si="62"/>
        <v>4.34375</v>
      </c>
      <c r="U713" s="41">
        <f t="shared" si="63"/>
        <v>0.15625</v>
      </c>
      <c r="W713" s="18">
        <v>278</v>
      </c>
      <c r="Y713" s="41" t="s">
        <v>21</v>
      </c>
      <c r="Z713" s="41">
        <v>67</v>
      </c>
      <c r="AA713" s="41">
        <v>10</v>
      </c>
      <c r="AB713" s="41">
        <f t="shared" si="64"/>
        <v>4.3432835820895521</v>
      </c>
      <c r="AC713" s="41">
        <f t="shared" si="65"/>
        <v>0.14925373134328357</v>
      </c>
      <c r="AE713" s="18">
        <v>291</v>
      </c>
      <c r="AG713" s="41" t="s">
        <v>22</v>
      </c>
      <c r="AH713" s="41">
        <v>165</v>
      </c>
      <c r="AI713" s="41">
        <v>24</v>
      </c>
      <c r="AJ713" s="41">
        <f t="shared" si="66"/>
        <v>4.1696969696969699</v>
      </c>
      <c r="AK713" s="41">
        <f t="shared" si="67"/>
        <v>0.14545454545454545</v>
      </c>
      <c r="AL713" s="3" t="s">
        <v>46</v>
      </c>
      <c r="AM713" s="18">
        <v>688</v>
      </c>
      <c r="AO713" s="41" t="s">
        <v>2</v>
      </c>
      <c r="AP713" s="41">
        <v>28</v>
      </c>
      <c r="AQ713" s="41">
        <v>5</v>
      </c>
      <c r="AR713" s="41">
        <f>Sheet4!AU713/AP713</f>
        <v>4.1428571428571432</v>
      </c>
      <c r="AS713" s="41">
        <f t="shared" si="68"/>
        <v>0.17857142857142858</v>
      </c>
      <c r="AT713" s="3" t="s">
        <v>46</v>
      </c>
      <c r="AU713" s="18">
        <v>116</v>
      </c>
    </row>
    <row r="714" spans="1:47" x14ac:dyDescent="0.35">
      <c r="A714" s="32" t="s">
        <v>129</v>
      </c>
      <c r="B714" s="32">
        <v>38</v>
      </c>
      <c r="C714" s="32">
        <v>6</v>
      </c>
      <c r="D714" s="32">
        <f t="shared" si="58"/>
        <v>4.4736842105263159</v>
      </c>
      <c r="E714" s="32">
        <f t="shared" si="59"/>
        <v>0.15789473684210525</v>
      </c>
      <c r="F714" s="3" t="s">
        <v>46</v>
      </c>
      <c r="G714" s="18">
        <v>170</v>
      </c>
      <c r="I714" s="32" t="s">
        <v>15</v>
      </c>
      <c r="J714" s="32">
        <v>137</v>
      </c>
      <c r="K714" s="32">
        <v>25</v>
      </c>
      <c r="L714" s="32">
        <f t="shared" si="60"/>
        <v>4.4306569343065689</v>
      </c>
      <c r="M714" s="32">
        <f t="shared" si="61"/>
        <v>0.18248175182481752</v>
      </c>
      <c r="N714" s="3" t="s">
        <v>46</v>
      </c>
      <c r="O714" s="18">
        <v>607</v>
      </c>
      <c r="Q714" s="32" t="s">
        <v>15</v>
      </c>
      <c r="R714" s="32">
        <v>137</v>
      </c>
      <c r="S714" s="32">
        <v>25</v>
      </c>
      <c r="T714" s="32">
        <f t="shared" si="62"/>
        <v>4.4306569343065689</v>
      </c>
      <c r="U714" s="32">
        <f t="shared" si="63"/>
        <v>0.18248175182481752</v>
      </c>
      <c r="W714" s="18">
        <v>607</v>
      </c>
      <c r="Y714" s="32" t="s">
        <v>15</v>
      </c>
      <c r="Z714" s="32">
        <v>140</v>
      </c>
      <c r="AA714" s="32">
        <v>26</v>
      </c>
      <c r="AB714" s="32">
        <f t="shared" si="64"/>
        <v>4.4285714285714288</v>
      </c>
      <c r="AC714" s="32">
        <f t="shared" si="65"/>
        <v>0.18571428571428572</v>
      </c>
      <c r="AE714" s="18">
        <v>620</v>
      </c>
      <c r="AG714" s="41" t="s">
        <v>21</v>
      </c>
      <c r="AH714" s="41">
        <v>72</v>
      </c>
      <c r="AI714" s="41">
        <v>12</v>
      </c>
      <c r="AJ714" s="41">
        <f t="shared" si="66"/>
        <v>4.2777777777777777</v>
      </c>
      <c r="AK714" s="41">
        <f t="shared" si="67"/>
        <v>0.16666666666666666</v>
      </c>
      <c r="AL714" s="3" t="s">
        <v>46</v>
      </c>
      <c r="AM714" s="18">
        <v>308</v>
      </c>
      <c r="AO714" s="41" t="s">
        <v>22</v>
      </c>
      <c r="AP714" s="41">
        <v>165</v>
      </c>
      <c r="AQ714" s="41">
        <v>24</v>
      </c>
      <c r="AR714" s="41">
        <f>Sheet4!AU714/AP714</f>
        <v>4.1696969696969699</v>
      </c>
      <c r="AS714" s="41">
        <f t="shared" si="68"/>
        <v>0.14545454545454545</v>
      </c>
      <c r="AT714" s="3" t="s">
        <v>46</v>
      </c>
      <c r="AU714" s="18">
        <v>688</v>
      </c>
    </row>
    <row r="715" spans="1:47" x14ac:dyDescent="0.35">
      <c r="A715" s="32" t="s">
        <v>8</v>
      </c>
      <c r="B715" s="32">
        <v>42</v>
      </c>
      <c r="C715" s="32">
        <v>5</v>
      </c>
      <c r="D715" s="32">
        <f t="shared" si="58"/>
        <v>4.5238095238095237</v>
      </c>
      <c r="E715" s="32">
        <f t="shared" si="59"/>
        <v>0.11904761904761904</v>
      </c>
      <c r="G715" s="18">
        <v>190</v>
      </c>
      <c r="I715" s="32" t="s">
        <v>129</v>
      </c>
      <c r="J715" s="32">
        <v>38</v>
      </c>
      <c r="K715" s="32">
        <v>6</v>
      </c>
      <c r="L715" s="32">
        <f t="shared" si="60"/>
        <v>4.4736842105263159</v>
      </c>
      <c r="M715" s="32">
        <f t="shared" si="61"/>
        <v>0.15789473684210525</v>
      </c>
      <c r="N715" s="3" t="s">
        <v>46</v>
      </c>
      <c r="O715" s="18">
        <v>170</v>
      </c>
      <c r="Q715" s="32" t="s">
        <v>129</v>
      </c>
      <c r="R715" s="32">
        <v>40</v>
      </c>
      <c r="S715" s="32">
        <v>7</v>
      </c>
      <c r="T715" s="32">
        <f t="shared" si="62"/>
        <v>4.45</v>
      </c>
      <c r="U715" s="32">
        <f t="shared" si="63"/>
        <v>0.17499999999999999</v>
      </c>
      <c r="W715" s="18">
        <v>178</v>
      </c>
      <c r="Y715" s="32" t="s">
        <v>129</v>
      </c>
      <c r="Z715" s="32">
        <v>40</v>
      </c>
      <c r="AA715" s="32">
        <v>7</v>
      </c>
      <c r="AB715" s="32">
        <f t="shared" si="64"/>
        <v>4.45</v>
      </c>
      <c r="AC715" s="32">
        <f t="shared" si="65"/>
        <v>0.17499999999999999</v>
      </c>
      <c r="AE715" s="18">
        <v>178</v>
      </c>
      <c r="AG715" s="41" t="s">
        <v>15</v>
      </c>
      <c r="AH715" s="41">
        <v>147</v>
      </c>
      <c r="AI715" s="41">
        <v>26</v>
      </c>
      <c r="AJ715" s="41">
        <f t="shared" si="66"/>
        <v>4.3945578231292517</v>
      </c>
      <c r="AK715" s="41">
        <f t="shared" si="67"/>
        <v>0.17687074829931973</v>
      </c>
      <c r="AL715" s="3" t="s">
        <v>46</v>
      </c>
      <c r="AM715" s="18">
        <v>646</v>
      </c>
      <c r="AO715" s="41" t="s">
        <v>21</v>
      </c>
      <c r="AP715" s="41">
        <v>73</v>
      </c>
      <c r="AQ715" s="41">
        <v>12</v>
      </c>
      <c r="AR715" s="41">
        <f>Sheet4!AU715/AP715</f>
        <v>4.2602739726027394</v>
      </c>
      <c r="AS715" s="41">
        <f t="shared" si="68"/>
        <v>0.16438356164383561</v>
      </c>
      <c r="AT715" s="3" t="s">
        <v>46</v>
      </c>
      <c r="AU715" s="18">
        <v>311</v>
      </c>
    </row>
    <row r="716" spans="1:47" x14ac:dyDescent="0.35">
      <c r="A716" s="32" t="s">
        <v>24</v>
      </c>
      <c r="B716" s="32">
        <v>71</v>
      </c>
      <c r="C716" s="32">
        <v>9</v>
      </c>
      <c r="D716" s="32">
        <f t="shared" si="58"/>
        <v>4.535211267605634</v>
      </c>
      <c r="E716" s="32">
        <f t="shared" si="59"/>
        <v>0.12676056338028169</v>
      </c>
      <c r="G716" s="18">
        <v>322</v>
      </c>
      <c r="I716" s="32" t="s">
        <v>24</v>
      </c>
      <c r="J716" s="32">
        <v>74</v>
      </c>
      <c r="K716" s="32">
        <v>9</v>
      </c>
      <c r="L716" s="32">
        <f t="shared" si="60"/>
        <v>4.5</v>
      </c>
      <c r="M716" s="32">
        <f t="shared" si="61"/>
        <v>0.12162162162162163</v>
      </c>
      <c r="O716" s="18">
        <v>333</v>
      </c>
      <c r="Q716" s="32" t="s">
        <v>24</v>
      </c>
      <c r="R716" s="32">
        <v>76</v>
      </c>
      <c r="S716" s="32">
        <v>9</v>
      </c>
      <c r="T716" s="32">
        <f t="shared" si="62"/>
        <v>4.4605263157894735</v>
      </c>
      <c r="U716" s="32">
        <f t="shared" si="63"/>
        <v>0.11842105263157894</v>
      </c>
      <c r="W716" s="18">
        <v>339</v>
      </c>
      <c r="Y716" s="32" t="s">
        <v>24</v>
      </c>
      <c r="Z716" s="32">
        <v>76</v>
      </c>
      <c r="AA716" s="32">
        <v>9</v>
      </c>
      <c r="AB716" s="32">
        <f t="shared" si="64"/>
        <v>4.4605263157894735</v>
      </c>
      <c r="AC716" s="32">
        <f t="shared" si="65"/>
        <v>0.11842105263157894</v>
      </c>
      <c r="AE716" s="18">
        <v>339</v>
      </c>
      <c r="AG716" s="32" t="s">
        <v>129</v>
      </c>
      <c r="AH716" s="32">
        <v>40</v>
      </c>
      <c r="AI716" s="32">
        <v>7</v>
      </c>
      <c r="AJ716" s="32">
        <f t="shared" si="66"/>
        <v>4.45</v>
      </c>
      <c r="AK716" s="32">
        <f t="shared" si="67"/>
        <v>0.17499999999999999</v>
      </c>
      <c r="AL716" s="3" t="s">
        <v>46</v>
      </c>
      <c r="AM716" s="18">
        <v>178</v>
      </c>
      <c r="AO716" s="41" t="s">
        <v>15</v>
      </c>
      <c r="AP716" s="41">
        <v>149</v>
      </c>
      <c r="AQ716" s="41">
        <v>27</v>
      </c>
      <c r="AR716" s="41">
        <f>Sheet4!AU716/AP716</f>
        <v>4.375838926174497</v>
      </c>
      <c r="AS716" s="41">
        <f t="shared" si="68"/>
        <v>0.18120805369127516</v>
      </c>
      <c r="AT716" s="3" t="s">
        <v>46</v>
      </c>
      <c r="AU716" s="18">
        <v>652</v>
      </c>
    </row>
    <row r="717" spans="1:47" x14ac:dyDescent="0.35">
      <c r="A717" s="32" t="s">
        <v>27</v>
      </c>
      <c r="B717" s="32">
        <v>26</v>
      </c>
      <c r="C717" s="32">
        <v>1</v>
      </c>
      <c r="D717" s="32">
        <f t="shared" si="58"/>
        <v>4.5769230769230766</v>
      </c>
      <c r="E717" s="32">
        <f t="shared" si="59"/>
        <v>3.8461538461538464E-2</v>
      </c>
      <c r="G717" s="18">
        <v>119</v>
      </c>
      <c r="I717" s="32" t="s">
        <v>8</v>
      </c>
      <c r="J717" s="32">
        <v>42</v>
      </c>
      <c r="K717" s="32">
        <v>5</v>
      </c>
      <c r="L717" s="32">
        <f t="shared" si="60"/>
        <v>4.5238095238095237</v>
      </c>
      <c r="M717" s="32">
        <f t="shared" si="61"/>
        <v>0.11904761904761904</v>
      </c>
      <c r="N717" s="3" t="s">
        <v>45</v>
      </c>
      <c r="O717" s="18">
        <v>190</v>
      </c>
      <c r="Q717" s="32" t="s">
        <v>8</v>
      </c>
      <c r="R717" s="32">
        <v>42</v>
      </c>
      <c r="S717" s="32">
        <v>5</v>
      </c>
      <c r="T717" s="32">
        <f t="shared" si="62"/>
        <v>4.5238095238095237</v>
      </c>
      <c r="U717" s="32">
        <f t="shared" si="63"/>
        <v>0.11904761904761904</v>
      </c>
      <c r="W717" s="18">
        <v>190</v>
      </c>
      <c r="Y717" s="32" t="s">
        <v>8</v>
      </c>
      <c r="Z717" s="32">
        <v>42</v>
      </c>
      <c r="AA717" s="32">
        <v>5</v>
      </c>
      <c r="AB717" s="32">
        <f t="shared" si="64"/>
        <v>4.5238095238095237</v>
      </c>
      <c r="AC717" s="32">
        <f t="shared" si="65"/>
        <v>0.11904761904761904</v>
      </c>
      <c r="AE717" s="18">
        <v>190</v>
      </c>
      <c r="AG717" s="32" t="s">
        <v>1</v>
      </c>
      <c r="AH717" s="32">
        <v>60</v>
      </c>
      <c r="AI717" s="32">
        <v>4</v>
      </c>
      <c r="AJ717" s="32">
        <f t="shared" si="66"/>
        <v>4.4833333333333334</v>
      </c>
      <c r="AK717" s="32">
        <f t="shared" si="67"/>
        <v>6.6666666666666666E-2</v>
      </c>
      <c r="AL717" s="2" t="s">
        <v>133</v>
      </c>
      <c r="AM717" s="18">
        <v>269</v>
      </c>
      <c r="AO717" s="32" t="s">
        <v>129</v>
      </c>
      <c r="AP717" s="32">
        <v>40</v>
      </c>
      <c r="AQ717" s="32">
        <v>7</v>
      </c>
      <c r="AR717" s="32">
        <f>Sheet4!AU717/AP717</f>
        <v>4.45</v>
      </c>
      <c r="AS717" s="32">
        <f t="shared" si="68"/>
        <v>0.17499999999999999</v>
      </c>
      <c r="AT717" s="3" t="s">
        <v>46</v>
      </c>
      <c r="AU717" s="18">
        <v>178</v>
      </c>
    </row>
    <row r="718" spans="1:47" x14ac:dyDescent="0.35">
      <c r="A718" s="32" t="s">
        <v>1</v>
      </c>
      <c r="B718" s="32">
        <v>51</v>
      </c>
      <c r="C718" s="32">
        <v>4</v>
      </c>
      <c r="D718" s="32">
        <f t="shared" si="58"/>
        <v>4.6274509803921573</v>
      </c>
      <c r="E718" s="32">
        <f t="shared" si="59"/>
        <v>7.8431372549019607E-2</v>
      </c>
      <c r="G718" s="18">
        <v>236</v>
      </c>
      <c r="I718" s="32" t="s">
        <v>3</v>
      </c>
      <c r="J718" s="32">
        <v>26</v>
      </c>
      <c r="K718" s="32">
        <v>4</v>
      </c>
      <c r="L718" s="32">
        <f t="shared" si="60"/>
        <v>4.5384615384615383</v>
      </c>
      <c r="M718" s="32">
        <f t="shared" si="61"/>
        <v>0.15384615384615385</v>
      </c>
      <c r="N718" s="2" t="s">
        <v>59</v>
      </c>
      <c r="O718" s="18">
        <v>118</v>
      </c>
      <c r="Q718" s="32" t="s">
        <v>3</v>
      </c>
      <c r="R718" s="32">
        <v>27</v>
      </c>
      <c r="S718" s="32">
        <v>4</v>
      </c>
      <c r="T718" s="32">
        <f t="shared" si="62"/>
        <v>4.5925925925925926</v>
      </c>
      <c r="U718" s="32">
        <f t="shared" si="63"/>
        <v>0.14814814814814814</v>
      </c>
      <c r="W718" s="18">
        <v>124</v>
      </c>
      <c r="Y718" s="32" t="s">
        <v>3</v>
      </c>
      <c r="Z718" s="32">
        <v>27</v>
      </c>
      <c r="AA718" s="32">
        <v>4</v>
      </c>
      <c r="AB718" s="32">
        <f t="shared" si="64"/>
        <v>4.5925925925925926</v>
      </c>
      <c r="AC718" s="32">
        <f t="shared" si="65"/>
        <v>0.14814814814814814</v>
      </c>
      <c r="AE718" s="18">
        <v>124</v>
      </c>
      <c r="AG718" s="32" t="s">
        <v>24</v>
      </c>
      <c r="AH718" s="32">
        <v>78</v>
      </c>
      <c r="AI718" s="32">
        <v>9</v>
      </c>
      <c r="AJ718" s="32">
        <f t="shared" si="66"/>
        <v>4.5</v>
      </c>
      <c r="AK718" s="32">
        <f t="shared" si="67"/>
        <v>0.11538461538461539</v>
      </c>
      <c r="AL718" s="3" t="s">
        <v>45</v>
      </c>
      <c r="AM718" s="18">
        <v>351</v>
      </c>
      <c r="AO718" s="32" t="s">
        <v>24</v>
      </c>
      <c r="AP718" s="32">
        <v>80</v>
      </c>
      <c r="AQ718" s="32">
        <v>9</v>
      </c>
      <c r="AR718" s="32">
        <f>Sheet4!AU718/AP718</f>
        <v>4.4874999999999998</v>
      </c>
      <c r="AS718" s="32">
        <f t="shared" si="68"/>
        <v>0.1125</v>
      </c>
      <c r="AU718" s="18">
        <v>359</v>
      </c>
    </row>
    <row r="719" spans="1:47" x14ac:dyDescent="0.35">
      <c r="A719" s="32" t="s">
        <v>13</v>
      </c>
      <c r="B719" s="32">
        <v>31</v>
      </c>
      <c r="C719" s="32">
        <v>2</v>
      </c>
      <c r="D719" s="32">
        <f t="shared" si="58"/>
        <v>4.645161290322581</v>
      </c>
      <c r="E719" s="32">
        <f t="shared" si="59"/>
        <v>6.4516129032258063E-2</v>
      </c>
      <c r="G719" s="18">
        <v>144</v>
      </c>
      <c r="I719" s="32" t="s">
        <v>13</v>
      </c>
      <c r="J719" s="32">
        <v>33</v>
      </c>
      <c r="K719" s="32">
        <v>2</v>
      </c>
      <c r="L719" s="32">
        <f t="shared" si="60"/>
        <v>4.6060606060606064</v>
      </c>
      <c r="M719" s="32">
        <f t="shared" si="61"/>
        <v>6.0606060606060608E-2</v>
      </c>
      <c r="O719" s="18">
        <v>152</v>
      </c>
      <c r="Q719" s="32" t="s">
        <v>13</v>
      </c>
      <c r="R719" s="32">
        <v>33</v>
      </c>
      <c r="S719" s="32">
        <v>2</v>
      </c>
      <c r="T719" s="32">
        <f t="shared" si="62"/>
        <v>4.6060606060606064</v>
      </c>
      <c r="U719" s="32">
        <f t="shared" si="63"/>
        <v>6.0606060606060608E-2</v>
      </c>
      <c r="W719" s="18">
        <v>152</v>
      </c>
      <c r="Y719" s="32" t="s">
        <v>13</v>
      </c>
      <c r="Z719" s="32">
        <v>33</v>
      </c>
      <c r="AA719" s="32">
        <v>2</v>
      </c>
      <c r="AB719" s="32">
        <f t="shared" si="64"/>
        <v>4.6060606060606064</v>
      </c>
      <c r="AC719" s="32">
        <f t="shared" si="65"/>
        <v>6.0606060606060608E-2</v>
      </c>
      <c r="AE719" s="18">
        <v>152</v>
      </c>
      <c r="AG719" s="32" t="s">
        <v>8</v>
      </c>
      <c r="AH719" s="32">
        <v>42</v>
      </c>
      <c r="AI719" s="32">
        <v>5</v>
      </c>
      <c r="AJ719" s="32">
        <f t="shared" si="66"/>
        <v>4.5238095238095237</v>
      </c>
      <c r="AK719" s="32">
        <f t="shared" si="67"/>
        <v>0.11904761904761904</v>
      </c>
      <c r="AL719" s="3" t="s">
        <v>45</v>
      </c>
      <c r="AM719" s="18">
        <v>190</v>
      </c>
      <c r="AO719" s="32" t="s">
        <v>1</v>
      </c>
      <c r="AP719" s="32">
        <v>62</v>
      </c>
      <c r="AQ719" s="32">
        <v>4</v>
      </c>
      <c r="AR719" s="32">
        <f>Sheet4!AU719/AP719</f>
        <v>4.5</v>
      </c>
      <c r="AS719" s="32">
        <f t="shared" si="68"/>
        <v>6.4516129032258063E-2</v>
      </c>
      <c r="AT719" s="3" t="s">
        <v>45</v>
      </c>
      <c r="AU719" s="18">
        <v>279</v>
      </c>
    </row>
    <row r="720" spans="1:47" x14ac:dyDescent="0.35">
      <c r="A720" s="32" t="s">
        <v>428</v>
      </c>
      <c r="B720" s="32">
        <v>20</v>
      </c>
      <c r="C720" s="32">
        <v>0</v>
      </c>
      <c r="D720" s="32">
        <f t="shared" si="58"/>
        <v>4.6500000000000004</v>
      </c>
      <c r="E720" s="32">
        <f t="shared" si="59"/>
        <v>0</v>
      </c>
      <c r="G720" s="18">
        <v>93</v>
      </c>
      <c r="I720" s="32" t="s">
        <v>428</v>
      </c>
      <c r="J720" s="32">
        <v>21</v>
      </c>
      <c r="K720" s="32">
        <v>0</v>
      </c>
      <c r="L720" s="32">
        <f t="shared" si="60"/>
        <v>4.6190476190476186</v>
      </c>
      <c r="M720" s="32">
        <f t="shared" si="61"/>
        <v>0</v>
      </c>
      <c r="O720" s="18">
        <v>97</v>
      </c>
      <c r="Q720" s="32" t="s">
        <v>428</v>
      </c>
      <c r="R720" s="32">
        <v>21</v>
      </c>
      <c r="S720" s="32">
        <v>0</v>
      </c>
      <c r="T720" s="32">
        <f t="shared" si="62"/>
        <v>4.6190476190476186</v>
      </c>
      <c r="U720" s="32">
        <f t="shared" si="63"/>
        <v>0</v>
      </c>
      <c r="W720" s="18">
        <v>97</v>
      </c>
      <c r="Y720" s="32" t="s">
        <v>428</v>
      </c>
      <c r="Z720" s="32">
        <v>21</v>
      </c>
      <c r="AA720" s="32">
        <v>0</v>
      </c>
      <c r="AB720" s="32">
        <f t="shared" si="64"/>
        <v>4.6190476190476186</v>
      </c>
      <c r="AC720" s="32">
        <f t="shared" si="65"/>
        <v>0</v>
      </c>
      <c r="AE720" s="18">
        <v>97</v>
      </c>
      <c r="AG720" s="32" t="s">
        <v>3</v>
      </c>
      <c r="AH720" s="32">
        <v>27</v>
      </c>
      <c r="AI720" s="32">
        <v>4</v>
      </c>
      <c r="AJ720" s="32">
        <f t="shared" si="66"/>
        <v>4.5925925925925926</v>
      </c>
      <c r="AK720" s="32">
        <f t="shared" si="67"/>
        <v>0.14814814814814814</v>
      </c>
      <c r="AL720" s="3" t="s">
        <v>45</v>
      </c>
      <c r="AM720" s="18">
        <v>124</v>
      </c>
      <c r="AO720" s="32" t="s">
        <v>8</v>
      </c>
      <c r="AP720" s="32">
        <v>42</v>
      </c>
      <c r="AQ720" s="32">
        <v>5</v>
      </c>
      <c r="AR720" s="32">
        <f>Sheet4!AU720/AP720</f>
        <v>4.5238095238095237</v>
      </c>
      <c r="AS720" s="32">
        <f t="shared" si="68"/>
        <v>0.11904761904761904</v>
      </c>
      <c r="AT720" s="3" t="s">
        <v>46</v>
      </c>
      <c r="AU720" s="18">
        <v>190</v>
      </c>
    </row>
    <row r="721" spans="1:47" x14ac:dyDescent="0.35">
      <c r="A721" s="32" t="s">
        <v>3</v>
      </c>
      <c r="B721" s="32">
        <v>23</v>
      </c>
      <c r="C721" s="32">
        <v>3</v>
      </c>
      <c r="D721" s="32">
        <f t="shared" si="58"/>
        <v>4.6521739130434785</v>
      </c>
      <c r="E721" s="32">
        <f t="shared" si="59"/>
        <v>0.13043478260869565</v>
      </c>
      <c r="G721" s="18">
        <v>107</v>
      </c>
      <c r="I721" s="32" t="s">
        <v>1</v>
      </c>
      <c r="J721" s="32">
        <v>56</v>
      </c>
      <c r="K721" s="32">
        <v>4</v>
      </c>
      <c r="L721" s="32">
        <f t="shared" si="60"/>
        <v>4.625</v>
      </c>
      <c r="M721" s="32">
        <f t="shared" si="61"/>
        <v>7.1428571428571425E-2</v>
      </c>
      <c r="N721" s="3" t="s">
        <v>54</v>
      </c>
      <c r="O721" s="18">
        <v>259</v>
      </c>
      <c r="Q721" s="32" t="s">
        <v>1</v>
      </c>
      <c r="R721" s="32">
        <v>56</v>
      </c>
      <c r="S721" s="32">
        <v>4</v>
      </c>
      <c r="T721" s="32">
        <f t="shared" si="62"/>
        <v>4.625</v>
      </c>
      <c r="U721" s="32">
        <f t="shared" si="63"/>
        <v>7.1428571428571425E-2</v>
      </c>
      <c r="W721" s="18">
        <v>259</v>
      </c>
      <c r="Y721" s="32" t="s">
        <v>1</v>
      </c>
      <c r="Z721" s="32">
        <v>56</v>
      </c>
      <c r="AA721" s="32">
        <v>4</v>
      </c>
      <c r="AB721" s="32">
        <f t="shared" si="64"/>
        <v>4.625</v>
      </c>
      <c r="AC721" s="32">
        <f t="shared" si="65"/>
        <v>7.1428571428571425E-2</v>
      </c>
      <c r="AE721" s="18">
        <v>259</v>
      </c>
      <c r="AG721" s="32" t="s">
        <v>428</v>
      </c>
      <c r="AH721" s="32">
        <v>21</v>
      </c>
      <c r="AI721" s="32">
        <v>0</v>
      </c>
      <c r="AJ721" s="32">
        <f t="shared" si="66"/>
        <v>4.6190476190476186</v>
      </c>
      <c r="AK721" s="32">
        <f t="shared" si="67"/>
        <v>0</v>
      </c>
      <c r="AL721" s="3" t="s">
        <v>46</v>
      </c>
      <c r="AM721" s="18">
        <v>97</v>
      </c>
      <c r="AO721" s="32" t="s">
        <v>3</v>
      </c>
      <c r="AP721" s="32">
        <v>27</v>
      </c>
      <c r="AQ721" s="32">
        <v>4</v>
      </c>
      <c r="AR721" s="32">
        <f>Sheet4!AU721/AP721</f>
        <v>4.5925925925925926</v>
      </c>
      <c r="AS721" s="32">
        <f t="shared" si="68"/>
        <v>0.14814814814814814</v>
      </c>
      <c r="AT721" s="3" t="s">
        <v>46</v>
      </c>
      <c r="AU721" s="18">
        <v>124</v>
      </c>
    </row>
    <row r="722" spans="1:47" x14ac:dyDescent="0.35">
      <c r="A722" s="32" t="s">
        <v>14</v>
      </c>
      <c r="B722" s="32">
        <v>45</v>
      </c>
      <c r="C722" s="32">
        <v>3</v>
      </c>
      <c r="D722" s="32">
        <f t="shared" si="58"/>
        <v>4.7111111111111112</v>
      </c>
      <c r="E722" s="32">
        <f t="shared" si="59"/>
        <v>6.6666666666666666E-2</v>
      </c>
      <c r="G722" s="18">
        <v>212</v>
      </c>
      <c r="I722" s="32" t="s">
        <v>27</v>
      </c>
      <c r="J722" s="32">
        <v>27</v>
      </c>
      <c r="K722" s="32">
        <v>1</v>
      </c>
      <c r="L722" s="32">
        <f t="shared" si="60"/>
        <v>4.666666666666667</v>
      </c>
      <c r="M722" s="32">
        <f t="shared" si="61"/>
        <v>3.7037037037037035E-2</v>
      </c>
      <c r="N722" s="3" t="s">
        <v>381</v>
      </c>
      <c r="O722" s="18">
        <v>126</v>
      </c>
      <c r="Q722" s="32" t="s">
        <v>27</v>
      </c>
      <c r="R722" s="32">
        <v>27</v>
      </c>
      <c r="S722" s="32">
        <v>1</v>
      </c>
      <c r="T722" s="32">
        <f t="shared" si="62"/>
        <v>4.666666666666667</v>
      </c>
      <c r="U722" s="32">
        <f t="shared" si="63"/>
        <v>3.7037037037037035E-2</v>
      </c>
      <c r="W722" s="18">
        <v>126</v>
      </c>
      <c r="Y722" s="32" t="s">
        <v>27</v>
      </c>
      <c r="Z722" s="32">
        <v>27</v>
      </c>
      <c r="AA722" s="32">
        <v>1</v>
      </c>
      <c r="AB722" s="32">
        <f t="shared" si="64"/>
        <v>4.666666666666667</v>
      </c>
      <c r="AC722" s="32">
        <f t="shared" si="65"/>
        <v>3.7037037037037035E-2</v>
      </c>
      <c r="AE722" s="18">
        <v>126</v>
      </c>
      <c r="AG722" s="32" t="s">
        <v>13</v>
      </c>
      <c r="AH722" s="32">
        <v>35</v>
      </c>
      <c r="AI722" s="32">
        <v>2</v>
      </c>
      <c r="AJ722" s="32">
        <f t="shared" si="66"/>
        <v>4.628571428571429</v>
      </c>
      <c r="AK722" s="32">
        <f t="shared" si="67"/>
        <v>5.7142857142857141E-2</v>
      </c>
      <c r="AL722" s="3" t="s">
        <v>54</v>
      </c>
      <c r="AM722" s="18">
        <v>162</v>
      </c>
      <c r="AO722" s="32" t="s">
        <v>428</v>
      </c>
      <c r="AP722" s="32">
        <v>21</v>
      </c>
      <c r="AQ722" s="32">
        <v>0</v>
      </c>
      <c r="AR722" s="32">
        <f>Sheet4!AU722/AP722</f>
        <v>4.6190476190476186</v>
      </c>
      <c r="AS722" s="32">
        <f t="shared" si="68"/>
        <v>0</v>
      </c>
      <c r="AT722" s="3" t="s">
        <v>46</v>
      </c>
      <c r="AU722" s="18">
        <v>97</v>
      </c>
    </row>
    <row r="723" spans="1:47" x14ac:dyDescent="0.35">
      <c r="A723" s="32" t="s">
        <v>37</v>
      </c>
      <c r="B723" s="32">
        <v>20</v>
      </c>
      <c r="C723" s="32">
        <v>2</v>
      </c>
      <c r="D723" s="32">
        <f t="shared" si="58"/>
        <v>4.75</v>
      </c>
      <c r="E723" s="32">
        <f t="shared" si="59"/>
        <v>0.1</v>
      </c>
      <c r="G723" s="18">
        <v>95</v>
      </c>
      <c r="I723" s="32" t="s">
        <v>14</v>
      </c>
      <c r="J723" s="32">
        <v>45</v>
      </c>
      <c r="K723" s="32">
        <v>3</v>
      </c>
      <c r="L723" s="32">
        <f t="shared" si="60"/>
        <v>4.7111111111111112</v>
      </c>
      <c r="M723" s="32">
        <f t="shared" si="61"/>
        <v>6.6666666666666666E-2</v>
      </c>
      <c r="N723" s="3" t="s">
        <v>46</v>
      </c>
      <c r="O723" s="18">
        <v>212</v>
      </c>
      <c r="Q723" s="32" t="s">
        <v>14</v>
      </c>
      <c r="R723" s="32">
        <v>45</v>
      </c>
      <c r="S723" s="32">
        <v>3</v>
      </c>
      <c r="T723" s="32">
        <f t="shared" si="62"/>
        <v>4.7111111111111112</v>
      </c>
      <c r="U723" s="32">
        <f t="shared" si="63"/>
        <v>6.6666666666666666E-2</v>
      </c>
      <c r="W723" s="18">
        <v>212</v>
      </c>
      <c r="Y723" s="32" t="s">
        <v>14</v>
      </c>
      <c r="Z723" s="32">
        <v>45</v>
      </c>
      <c r="AA723" s="32">
        <v>3</v>
      </c>
      <c r="AB723" s="32">
        <f t="shared" si="64"/>
        <v>4.7111111111111112</v>
      </c>
      <c r="AC723" s="32">
        <f t="shared" si="65"/>
        <v>6.6666666666666666E-2</v>
      </c>
      <c r="AE723" s="18">
        <v>212</v>
      </c>
      <c r="AG723" s="32" t="s">
        <v>27</v>
      </c>
      <c r="AH723" s="32">
        <v>27</v>
      </c>
      <c r="AI723" s="32">
        <v>1</v>
      </c>
      <c r="AJ723" s="32">
        <f t="shared" si="66"/>
        <v>4.666666666666667</v>
      </c>
      <c r="AK723" s="32">
        <f t="shared" si="67"/>
        <v>3.7037037037037035E-2</v>
      </c>
      <c r="AL723" s="3" t="s">
        <v>46</v>
      </c>
      <c r="AM723" s="18">
        <v>126</v>
      </c>
      <c r="AO723" s="32" t="s">
        <v>13</v>
      </c>
      <c r="AP723" s="32">
        <v>35</v>
      </c>
      <c r="AQ723" s="32">
        <v>2</v>
      </c>
      <c r="AR723" s="32">
        <f>Sheet4!AU723/AP723</f>
        <v>4.628571428571429</v>
      </c>
      <c r="AS723" s="32">
        <f t="shared" si="68"/>
        <v>5.7142857142857141E-2</v>
      </c>
      <c r="AT723" s="3" t="s">
        <v>46</v>
      </c>
      <c r="AU723" s="18">
        <v>162</v>
      </c>
    </row>
    <row r="724" spans="1:47" x14ac:dyDescent="0.35">
      <c r="A724" s="38" t="s">
        <v>81</v>
      </c>
      <c r="B724" s="38">
        <v>31</v>
      </c>
      <c r="C724" s="38">
        <v>2</v>
      </c>
      <c r="D724" s="38">
        <f t="shared" si="58"/>
        <v>4.870967741935484</v>
      </c>
      <c r="E724" s="38">
        <f t="shared" si="59"/>
        <v>6.4516129032258063E-2</v>
      </c>
      <c r="G724" s="18">
        <v>151</v>
      </c>
      <c r="I724" s="32" t="s">
        <v>37</v>
      </c>
      <c r="J724" s="32">
        <v>20</v>
      </c>
      <c r="K724" s="32">
        <v>2</v>
      </c>
      <c r="L724" s="32">
        <f t="shared" si="60"/>
        <v>4.75</v>
      </c>
      <c r="M724" s="32">
        <f t="shared" si="61"/>
        <v>0.1</v>
      </c>
      <c r="N724" s="3" t="s">
        <v>46</v>
      </c>
      <c r="O724" s="18">
        <v>95</v>
      </c>
      <c r="Q724" s="32" t="s">
        <v>37</v>
      </c>
      <c r="R724" s="32">
        <v>20</v>
      </c>
      <c r="S724" s="32">
        <v>2</v>
      </c>
      <c r="T724" s="32">
        <f t="shared" si="62"/>
        <v>4.75</v>
      </c>
      <c r="U724" s="32">
        <f t="shared" si="63"/>
        <v>0.1</v>
      </c>
      <c r="W724" s="18">
        <v>95</v>
      </c>
      <c r="Y724" s="32" t="s">
        <v>37</v>
      </c>
      <c r="Z724" s="32">
        <v>20</v>
      </c>
      <c r="AA724" s="32">
        <v>2</v>
      </c>
      <c r="AB724" s="32">
        <f t="shared" si="64"/>
        <v>4.75</v>
      </c>
      <c r="AC724" s="32">
        <f t="shared" si="65"/>
        <v>0.1</v>
      </c>
      <c r="AE724" s="18">
        <v>95</v>
      </c>
      <c r="AG724" s="32" t="s">
        <v>14</v>
      </c>
      <c r="AH724" s="32">
        <v>45</v>
      </c>
      <c r="AI724" s="32">
        <v>3</v>
      </c>
      <c r="AJ724" s="32">
        <f t="shared" si="66"/>
        <v>4.7111111111111112</v>
      </c>
      <c r="AK724" s="32">
        <f t="shared" si="67"/>
        <v>6.6666666666666666E-2</v>
      </c>
      <c r="AL724" s="3" t="s">
        <v>46</v>
      </c>
      <c r="AM724" s="18">
        <v>212</v>
      </c>
      <c r="AO724" s="32" t="s">
        <v>27</v>
      </c>
      <c r="AP724" s="32">
        <v>27</v>
      </c>
      <c r="AQ724" s="32">
        <v>1</v>
      </c>
      <c r="AR724" s="32">
        <f>Sheet4!AU724/AP724</f>
        <v>4.666666666666667</v>
      </c>
      <c r="AS724" s="32">
        <f t="shared" si="68"/>
        <v>3.7037037037037035E-2</v>
      </c>
      <c r="AT724" s="3" t="s">
        <v>46</v>
      </c>
      <c r="AU724" s="18">
        <v>126</v>
      </c>
    </row>
    <row r="725" spans="1:47" x14ac:dyDescent="0.35">
      <c r="A725" s="38" t="s">
        <v>51</v>
      </c>
      <c r="B725" s="38">
        <v>22</v>
      </c>
      <c r="C725" s="38">
        <v>1</v>
      </c>
      <c r="D725" s="38">
        <f t="shared" si="58"/>
        <v>5</v>
      </c>
      <c r="E725" s="38">
        <f t="shared" si="59"/>
        <v>4.5454545454545456E-2</v>
      </c>
      <c r="G725" s="18">
        <v>110</v>
      </c>
      <c r="I725" s="38" t="s">
        <v>81</v>
      </c>
      <c r="J725" s="38">
        <v>31</v>
      </c>
      <c r="K725" s="38">
        <v>2</v>
      </c>
      <c r="L725" s="38">
        <f t="shared" si="60"/>
        <v>4.870967741935484</v>
      </c>
      <c r="M725" s="38">
        <f t="shared" si="61"/>
        <v>6.4516129032258063E-2</v>
      </c>
      <c r="N725" s="3" t="s">
        <v>46</v>
      </c>
      <c r="O725" s="18">
        <v>151</v>
      </c>
      <c r="Q725" s="38" t="s">
        <v>81</v>
      </c>
      <c r="R725" s="38">
        <v>31</v>
      </c>
      <c r="S725" s="38">
        <v>2</v>
      </c>
      <c r="T725" s="38">
        <f t="shared" si="62"/>
        <v>4.870967741935484</v>
      </c>
      <c r="U725" s="38">
        <f t="shared" si="63"/>
        <v>6.4516129032258063E-2</v>
      </c>
      <c r="W725" s="18">
        <v>151</v>
      </c>
      <c r="Y725" s="38" t="s">
        <v>81</v>
      </c>
      <c r="Z725" s="38">
        <v>31</v>
      </c>
      <c r="AA725" s="38">
        <v>2</v>
      </c>
      <c r="AB725" s="38">
        <f t="shared" si="64"/>
        <v>4.870967741935484</v>
      </c>
      <c r="AC725" s="38">
        <f t="shared" si="65"/>
        <v>6.4516129032258063E-2</v>
      </c>
      <c r="AE725" s="18">
        <v>151</v>
      </c>
      <c r="AG725" s="38" t="s">
        <v>37</v>
      </c>
      <c r="AH725" s="38">
        <v>21</v>
      </c>
      <c r="AI725" s="38">
        <v>2</v>
      </c>
      <c r="AJ725" s="38">
        <f t="shared" si="66"/>
        <v>4.8571428571428568</v>
      </c>
      <c r="AK725" s="38">
        <f t="shared" si="67"/>
        <v>9.5238095238095233E-2</v>
      </c>
      <c r="AL725" s="3" t="s">
        <v>46</v>
      </c>
      <c r="AM725" s="18">
        <v>102</v>
      </c>
      <c r="AO725" s="32" t="s">
        <v>14</v>
      </c>
      <c r="AP725" s="32">
        <v>45</v>
      </c>
      <c r="AQ725" s="32">
        <v>3</v>
      </c>
      <c r="AR725" s="32">
        <f>Sheet4!AU725/AP725</f>
        <v>4.7111111111111112</v>
      </c>
      <c r="AS725" s="32">
        <f t="shared" si="68"/>
        <v>6.6666666666666666E-2</v>
      </c>
      <c r="AT725" s="3" t="s">
        <v>46</v>
      </c>
      <c r="AU725" s="18">
        <v>212</v>
      </c>
    </row>
    <row r="726" spans="1:47" x14ac:dyDescent="0.35">
      <c r="A726" s="38" t="s">
        <v>105</v>
      </c>
      <c r="B726" s="38">
        <v>20</v>
      </c>
      <c r="C726" s="38">
        <v>0</v>
      </c>
      <c r="D726" s="38">
        <f t="shared" si="58"/>
        <v>5.05</v>
      </c>
      <c r="E726" s="38">
        <f t="shared" si="59"/>
        <v>0</v>
      </c>
      <c r="F726" s="12" t="s">
        <v>456</v>
      </c>
      <c r="G726" s="18">
        <v>101</v>
      </c>
      <c r="I726" s="38" t="s">
        <v>51</v>
      </c>
      <c r="J726" s="38">
        <v>22</v>
      </c>
      <c r="K726" s="38">
        <v>1</v>
      </c>
      <c r="L726" s="38">
        <f t="shared" si="60"/>
        <v>5</v>
      </c>
      <c r="M726" s="38">
        <f t="shared" si="61"/>
        <v>4.5454545454545456E-2</v>
      </c>
      <c r="N726" s="3" t="s">
        <v>46</v>
      </c>
      <c r="O726" s="18">
        <v>110</v>
      </c>
      <c r="Q726" s="38" t="s">
        <v>51</v>
      </c>
      <c r="R726" s="38">
        <v>22</v>
      </c>
      <c r="S726" s="38">
        <v>1</v>
      </c>
      <c r="T726" s="38">
        <f t="shared" si="62"/>
        <v>5</v>
      </c>
      <c r="U726" s="38">
        <f t="shared" si="63"/>
        <v>4.5454545454545456E-2</v>
      </c>
      <c r="W726" s="18">
        <v>110</v>
      </c>
      <c r="Y726" s="38" t="s">
        <v>51</v>
      </c>
      <c r="Z726" s="38">
        <v>22</v>
      </c>
      <c r="AA726" s="38">
        <v>1</v>
      </c>
      <c r="AB726" s="38">
        <f t="shared" si="64"/>
        <v>5</v>
      </c>
      <c r="AC726" s="38">
        <f t="shared" si="65"/>
        <v>4.5454545454545456E-2</v>
      </c>
      <c r="AE726" s="18">
        <v>110</v>
      </c>
      <c r="AG726" s="38" t="s">
        <v>81</v>
      </c>
      <c r="AH726" s="38">
        <v>33</v>
      </c>
      <c r="AI726" s="38">
        <v>2</v>
      </c>
      <c r="AJ726" s="38">
        <f t="shared" si="66"/>
        <v>4.9393939393939394</v>
      </c>
      <c r="AK726" s="38">
        <f t="shared" si="67"/>
        <v>6.0606060606060608E-2</v>
      </c>
      <c r="AL726" s="3" t="s">
        <v>46</v>
      </c>
      <c r="AM726" s="18">
        <v>163</v>
      </c>
      <c r="AO726" s="38" t="s">
        <v>87</v>
      </c>
      <c r="AP726" s="38">
        <v>25</v>
      </c>
      <c r="AQ726" s="38">
        <v>5</v>
      </c>
      <c r="AR726" s="38">
        <f>Sheet4!AU726/AP726</f>
        <v>4.8</v>
      </c>
      <c r="AS726" s="38">
        <f t="shared" si="68"/>
        <v>0.2</v>
      </c>
      <c r="AT726" s="2" t="s">
        <v>44</v>
      </c>
      <c r="AU726" s="18">
        <v>120</v>
      </c>
    </row>
    <row r="727" spans="1:47" x14ac:dyDescent="0.35">
      <c r="A727" s="38" t="s">
        <v>79</v>
      </c>
      <c r="B727" s="38">
        <v>23</v>
      </c>
      <c r="C727" s="38">
        <v>0</v>
      </c>
      <c r="D727" s="38">
        <f t="shared" si="58"/>
        <v>5.0869565217391308</v>
      </c>
      <c r="E727" s="38">
        <f t="shared" si="59"/>
        <v>0</v>
      </c>
      <c r="F727" s="3" t="s">
        <v>46</v>
      </c>
      <c r="G727" s="18">
        <v>117</v>
      </c>
      <c r="I727" s="38" t="s">
        <v>105</v>
      </c>
      <c r="J727" s="38">
        <v>20</v>
      </c>
      <c r="K727" s="38">
        <v>0</v>
      </c>
      <c r="L727" s="38">
        <f t="shared" si="60"/>
        <v>5.05</v>
      </c>
      <c r="M727" s="38">
        <f t="shared" si="61"/>
        <v>0</v>
      </c>
      <c r="N727" s="3" t="s">
        <v>46</v>
      </c>
      <c r="O727" s="18">
        <v>101</v>
      </c>
      <c r="Q727" s="38" t="s">
        <v>105</v>
      </c>
      <c r="R727" s="38">
        <v>20</v>
      </c>
      <c r="S727" s="38">
        <v>0</v>
      </c>
      <c r="T727" s="38">
        <f t="shared" si="62"/>
        <v>5.05</v>
      </c>
      <c r="U727" s="38">
        <f t="shared" si="63"/>
        <v>0</v>
      </c>
      <c r="W727" s="18">
        <v>101</v>
      </c>
      <c r="Y727" s="38" t="s">
        <v>105</v>
      </c>
      <c r="Z727" s="38">
        <v>20</v>
      </c>
      <c r="AA727" s="38">
        <v>0</v>
      </c>
      <c r="AB727" s="38">
        <f t="shared" si="64"/>
        <v>5.05</v>
      </c>
      <c r="AC727" s="38">
        <f t="shared" si="65"/>
        <v>0</v>
      </c>
      <c r="AE727" s="18">
        <v>101</v>
      </c>
      <c r="AG727" s="38" t="s">
        <v>87</v>
      </c>
      <c r="AH727" s="38">
        <v>24</v>
      </c>
      <c r="AI727" s="38">
        <v>4</v>
      </c>
      <c r="AJ727" s="38">
        <f t="shared" si="66"/>
        <v>4.958333333333333</v>
      </c>
      <c r="AK727" s="38">
        <f t="shared" si="67"/>
        <v>0.16666666666666666</v>
      </c>
      <c r="AL727" s="2" t="s">
        <v>133</v>
      </c>
      <c r="AM727" s="18">
        <v>119</v>
      </c>
      <c r="AO727" s="38" t="s">
        <v>37</v>
      </c>
      <c r="AP727" s="38">
        <v>21</v>
      </c>
      <c r="AQ727" s="38">
        <v>2</v>
      </c>
      <c r="AR727" s="38">
        <f>Sheet4!AU727/AP727</f>
        <v>4.8571428571428568</v>
      </c>
      <c r="AS727" s="38">
        <f t="shared" si="68"/>
        <v>9.5238095238095233E-2</v>
      </c>
      <c r="AT727" s="3" t="s">
        <v>45</v>
      </c>
      <c r="AU727" s="18">
        <v>102</v>
      </c>
    </row>
    <row r="728" spans="1:47" x14ac:dyDescent="0.35">
      <c r="A728" s="38" t="s">
        <v>30</v>
      </c>
      <c r="B728" s="38">
        <v>21</v>
      </c>
      <c r="C728" s="38">
        <v>3</v>
      </c>
      <c r="D728" s="38">
        <f t="shared" si="58"/>
        <v>5.0952380952380949</v>
      </c>
      <c r="E728" s="38">
        <f t="shared" si="59"/>
        <v>0.14285714285714285</v>
      </c>
      <c r="F728" s="3" t="s">
        <v>46</v>
      </c>
      <c r="G728" s="18">
        <v>107</v>
      </c>
      <c r="I728" s="38" t="s">
        <v>79</v>
      </c>
      <c r="J728" s="38">
        <v>23</v>
      </c>
      <c r="K728" s="38">
        <v>0</v>
      </c>
      <c r="L728" s="38">
        <f t="shared" si="60"/>
        <v>5.0869565217391308</v>
      </c>
      <c r="M728" s="38">
        <f t="shared" si="61"/>
        <v>0</v>
      </c>
      <c r="N728" s="3" t="s">
        <v>46</v>
      </c>
      <c r="O728" s="18">
        <v>117</v>
      </c>
      <c r="Q728" s="38" t="s">
        <v>79</v>
      </c>
      <c r="R728" s="38">
        <v>23</v>
      </c>
      <c r="S728" s="38">
        <v>0</v>
      </c>
      <c r="T728" s="38">
        <f t="shared" si="62"/>
        <v>5.0869565217391308</v>
      </c>
      <c r="U728" s="38">
        <f t="shared" si="63"/>
        <v>0</v>
      </c>
      <c r="W728" s="18">
        <v>117</v>
      </c>
      <c r="Y728" s="38" t="s">
        <v>79</v>
      </c>
      <c r="Z728" s="38">
        <v>23</v>
      </c>
      <c r="AA728" s="38">
        <v>0</v>
      </c>
      <c r="AB728" s="38">
        <f t="shared" si="64"/>
        <v>5.0869565217391308</v>
      </c>
      <c r="AC728" s="38">
        <f t="shared" si="65"/>
        <v>0</v>
      </c>
      <c r="AE728" s="18">
        <v>117</v>
      </c>
      <c r="AG728" s="38" t="s">
        <v>51</v>
      </c>
      <c r="AH728" s="38">
        <v>22</v>
      </c>
      <c r="AI728" s="38">
        <v>1</v>
      </c>
      <c r="AJ728" s="38">
        <f t="shared" si="66"/>
        <v>5</v>
      </c>
      <c r="AK728" s="38">
        <f t="shared" si="67"/>
        <v>4.5454545454545456E-2</v>
      </c>
      <c r="AL728" s="3" t="s">
        <v>45</v>
      </c>
      <c r="AM728" s="18">
        <v>110</v>
      </c>
      <c r="AO728" s="38" t="s">
        <v>81</v>
      </c>
      <c r="AP728" s="38">
        <v>33</v>
      </c>
      <c r="AQ728" s="38">
        <v>2</v>
      </c>
      <c r="AR728" s="38">
        <f>Sheet4!AU728/AP728</f>
        <v>4.9393939393939394</v>
      </c>
      <c r="AS728" s="38">
        <f t="shared" si="68"/>
        <v>6.0606060606060608E-2</v>
      </c>
      <c r="AT728" s="3" t="s">
        <v>45</v>
      </c>
      <c r="AU728" s="18">
        <v>163</v>
      </c>
    </row>
    <row r="729" spans="1:47" x14ac:dyDescent="0.35">
      <c r="A729" s="38" t="s">
        <v>25</v>
      </c>
      <c r="B729" s="38">
        <v>58</v>
      </c>
      <c r="C729" s="38">
        <v>4</v>
      </c>
      <c r="D729" s="38">
        <f t="shared" si="58"/>
        <v>5.1379310344827589</v>
      </c>
      <c r="E729" s="38">
        <f t="shared" si="59"/>
        <v>6.8965517241379309E-2</v>
      </c>
      <c r="F729" s="3" t="s">
        <v>46</v>
      </c>
      <c r="G729" s="18">
        <v>298</v>
      </c>
      <c r="I729" s="38" t="s">
        <v>30</v>
      </c>
      <c r="J729" s="38">
        <v>21</v>
      </c>
      <c r="K729" s="38">
        <v>3</v>
      </c>
      <c r="L729" s="38">
        <f t="shared" si="60"/>
        <v>5.0952380952380949</v>
      </c>
      <c r="M729" s="38">
        <f t="shared" si="61"/>
        <v>0.14285714285714285</v>
      </c>
      <c r="N729" s="3" t="s">
        <v>46</v>
      </c>
      <c r="O729" s="18">
        <v>107</v>
      </c>
      <c r="Q729" s="38" t="s">
        <v>30</v>
      </c>
      <c r="R729" s="38">
        <v>21</v>
      </c>
      <c r="S729" s="38">
        <v>3</v>
      </c>
      <c r="T729" s="38">
        <f t="shared" si="62"/>
        <v>5.0952380952380949</v>
      </c>
      <c r="U729" s="38">
        <f t="shared" si="63"/>
        <v>0.14285714285714285</v>
      </c>
      <c r="W729" s="18">
        <v>107</v>
      </c>
      <c r="Y729" s="38" t="s">
        <v>30</v>
      </c>
      <c r="Z729" s="38">
        <v>21</v>
      </c>
      <c r="AA729" s="38">
        <v>3</v>
      </c>
      <c r="AB729" s="38">
        <f t="shared" si="64"/>
        <v>5.0952380952380949</v>
      </c>
      <c r="AC729" s="38">
        <f t="shared" si="65"/>
        <v>0.14285714285714285</v>
      </c>
      <c r="AE729" s="18">
        <v>107</v>
      </c>
      <c r="AG729" s="38" t="s">
        <v>105</v>
      </c>
      <c r="AH729" s="38">
        <v>20</v>
      </c>
      <c r="AI729" s="38">
        <v>0</v>
      </c>
      <c r="AJ729" s="38">
        <f t="shared" si="66"/>
        <v>5.05</v>
      </c>
      <c r="AK729" s="38">
        <f t="shared" si="67"/>
        <v>0</v>
      </c>
      <c r="AL729" s="3" t="s">
        <v>45</v>
      </c>
      <c r="AM729" s="18">
        <v>101</v>
      </c>
      <c r="AO729" s="38" t="s">
        <v>51</v>
      </c>
      <c r="AP729" s="38">
        <v>22</v>
      </c>
      <c r="AQ729" s="38">
        <v>1</v>
      </c>
      <c r="AR729" s="38">
        <f>Sheet4!AU729/AP729</f>
        <v>5</v>
      </c>
      <c r="AS729" s="38">
        <f t="shared" si="68"/>
        <v>4.5454545454545456E-2</v>
      </c>
      <c r="AT729" s="3" t="s">
        <v>46</v>
      </c>
      <c r="AU729" s="18">
        <v>110</v>
      </c>
    </row>
    <row r="730" spans="1:47" x14ac:dyDescent="0.35">
      <c r="A730" s="38" t="s">
        <v>6</v>
      </c>
      <c r="B730" s="38">
        <v>42</v>
      </c>
      <c r="C730" s="38">
        <v>3</v>
      </c>
      <c r="D730" s="38">
        <f t="shared" si="58"/>
        <v>5.2619047619047619</v>
      </c>
      <c r="E730" s="38">
        <f t="shared" si="59"/>
        <v>7.1428571428571425E-2</v>
      </c>
      <c r="G730" s="18">
        <v>221</v>
      </c>
      <c r="I730" s="38" t="s">
        <v>25</v>
      </c>
      <c r="J730" s="38">
        <v>58</v>
      </c>
      <c r="K730" s="38">
        <v>4</v>
      </c>
      <c r="L730" s="38">
        <f t="shared" si="60"/>
        <v>5.1379310344827589</v>
      </c>
      <c r="M730" s="38">
        <f t="shared" si="61"/>
        <v>6.8965517241379309E-2</v>
      </c>
      <c r="N730" s="3" t="s">
        <v>46</v>
      </c>
      <c r="O730" s="18">
        <v>298</v>
      </c>
      <c r="Q730" s="38" t="s">
        <v>25</v>
      </c>
      <c r="R730" s="38">
        <v>58</v>
      </c>
      <c r="S730" s="38">
        <v>4</v>
      </c>
      <c r="T730" s="38">
        <f t="shared" si="62"/>
        <v>5.1379310344827589</v>
      </c>
      <c r="U730" s="38">
        <f t="shared" si="63"/>
        <v>6.8965517241379309E-2</v>
      </c>
      <c r="W730" s="18">
        <v>298</v>
      </c>
      <c r="Y730" s="38" t="s">
        <v>25</v>
      </c>
      <c r="Z730" s="38">
        <v>58</v>
      </c>
      <c r="AA730" s="38">
        <v>4</v>
      </c>
      <c r="AB730" s="38">
        <f t="shared" si="64"/>
        <v>5.1379310344827589</v>
      </c>
      <c r="AC730" s="38">
        <f t="shared" si="65"/>
        <v>6.8965517241379309E-2</v>
      </c>
      <c r="AE730" s="18">
        <v>298</v>
      </c>
      <c r="AG730" s="38" t="s">
        <v>79</v>
      </c>
      <c r="AH730" s="38">
        <v>23</v>
      </c>
      <c r="AI730" s="38">
        <v>0</v>
      </c>
      <c r="AJ730" s="38">
        <f t="shared" si="66"/>
        <v>5.0869565217391308</v>
      </c>
      <c r="AK730" s="38">
        <f t="shared" si="67"/>
        <v>0</v>
      </c>
      <c r="AL730" s="3" t="s">
        <v>45</v>
      </c>
      <c r="AM730" s="18">
        <v>117</v>
      </c>
      <c r="AO730" s="38" t="s">
        <v>105</v>
      </c>
      <c r="AP730" s="38">
        <v>20</v>
      </c>
      <c r="AQ730" s="38">
        <v>0</v>
      </c>
      <c r="AR730" s="38">
        <f>Sheet4!AU730/AP730</f>
        <v>5.05</v>
      </c>
      <c r="AS730" s="38">
        <f t="shared" si="68"/>
        <v>0</v>
      </c>
      <c r="AT730" s="3" t="s">
        <v>46</v>
      </c>
      <c r="AU730" s="18">
        <v>101</v>
      </c>
    </row>
    <row r="731" spans="1:47" x14ac:dyDescent="0.35">
      <c r="A731" s="38" t="s">
        <v>31</v>
      </c>
      <c r="B731" s="38">
        <v>63</v>
      </c>
      <c r="C731" s="38">
        <v>4</v>
      </c>
      <c r="D731" s="38">
        <f t="shared" si="58"/>
        <v>5.3015873015873014</v>
      </c>
      <c r="E731" s="38">
        <f t="shared" si="59"/>
        <v>6.3492063492063489E-2</v>
      </c>
      <c r="F731" s="3" t="s">
        <v>45</v>
      </c>
      <c r="G731" s="18">
        <v>334</v>
      </c>
      <c r="I731" s="38" t="s">
        <v>6</v>
      </c>
      <c r="J731" s="38">
        <v>43</v>
      </c>
      <c r="K731" s="38">
        <v>3</v>
      </c>
      <c r="L731" s="38">
        <f t="shared" si="60"/>
        <v>5.3255813953488369</v>
      </c>
      <c r="M731" s="38">
        <f t="shared" si="61"/>
        <v>6.9767441860465115E-2</v>
      </c>
      <c r="N731" s="3" t="s">
        <v>46</v>
      </c>
      <c r="O731" s="18">
        <v>229</v>
      </c>
      <c r="Q731" s="38" t="s">
        <v>87</v>
      </c>
      <c r="R731" s="38">
        <v>20</v>
      </c>
      <c r="S731" s="38">
        <v>3</v>
      </c>
      <c r="T731" s="38">
        <f t="shared" si="62"/>
        <v>5.25</v>
      </c>
      <c r="U731" s="38">
        <f t="shared" si="63"/>
        <v>0.15</v>
      </c>
      <c r="V731" s="12" t="s">
        <v>459</v>
      </c>
      <c r="W731" s="18">
        <v>105</v>
      </c>
      <c r="Y731" s="38" t="s">
        <v>87</v>
      </c>
      <c r="Z731" s="38">
        <v>20</v>
      </c>
      <c r="AA731" s="38">
        <v>3</v>
      </c>
      <c r="AB731" s="38">
        <f t="shared" si="64"/>
        <v>5.25</v>
      </c>
      <c r="AC731" s="38">
        <f t="shared" si="65"/>
        <v>0.15</v>
      </c>
      <c r="AE731" s="18">
        <v>105</v>
      </c>
      <c r="AG731" s="38" t="s">
        <v>30</v>
      </c>
      <c r="AH731" s="38">
        <v>21</v>
      </c>
      <c r="AI731" s="38">
        <v>3</v>
      </c>
      <c r="AJ731" s="38">
        <f t="shared" si="66"/>
        <v>5.0952380952380949</v>
      </c>
      <c r="AK731" s="38">
        <f t="shared" si="67"/>
        <v>0.14285714285714285</v>
      </c>
      <c r="AL731" s="3" t="s">
        <v>45</v>
      </c>
      <c r="AM731" s="18">
        <v>107</v>
      </c>
      <c r="AO731" s="38" t="s">
        <v>79</v>
      </c>
      <c r="AP731" s="38">
        <v>23</v>
      </c>
      <c r="AQ731" s="38">
        <v>0</v>
      </c>
      <c r="AR731" s="38">
        <f>Sheet4!AU731/AP731</f>
        <v>5.0869565217391308</v>
      </c>
      <c r="AS731" s="38">
        <f t="shared" si="68"/>
        <v>0</v>
      </c>
      <c r="AT731" s="3" t="s">
        <v>46</v>
      </c>
      <c r="AU731" s="18">
        <v>117</v>
      </c>
    </row>
    <row r="732" spans="1:47" x14ac:dyDescent="0.35">
      <c r="A732" s="43" t="s">
        <v>90</v>
      </c>
      <c r="B732" s="43">
        <v>27</v>
      </c>
      <c r="C732" s="43">
        <v>3</v>
      </c>
      <c r="D732" s="43">
        <f t="shared" si="58"/>
        <v>5.4074074074074074</v>
      </c>
      <c r="E732" s="43">
        <f t="shared" si="59"/>
        <v>0.1111111111111111</v>
      </c>
      <c r="F732" s="3" t="s">
        <v>46</v>
      </c>
      <c r="G732" s="18">
        <v>146</v>
      </c>
      <c r="I732" s="38" t="s">
        <v>31</v>
      </c>
      <c r="J732" s="38">
        <v>73</v>
      </c>
      <c r="K732" s="38">
        <v>6</v>
      </c>
      <c r="L732" s="38">
        <f t="shared" si="60"/>
        <v>5.3287671232876717</v>
      </c>
      <c r="M732" s="38">
        <f t="shared" si="61"/>
        <v>8.2191780821917804E-2</v>
      </c>
      <c r="N732" s="3" t="s">
        <v>46</v>
      </c>
      <c r="O732" s="18">
        <v>389</v>
      </c>
      <c r="Q732" s="38" t="s">
        <v>31</v>
      </c>
      <c r="R732" s="38">
        <v>75</v>
      </c>
      <c r="S732" s="38">
        <v>6</v>
      </c>
      <c r="T732" s="38">
        <f t="shared" si="62"/>
        <v>5.2666666666666666</v>
      </c>
      <c r="U732" s="38">
        <f t="shared" si="63"/>
        <v>0.08</v>
      </c>
      <c r="W732" s="18">
        <v>395</v>
      </c>
      <c r="Y732" s="38" t="s">
        <v>31</v>
      </c>
      <c r="Z732" s="38">
        <v>75</v>
      </c>
      <c r="AA732" s="38">
        <v>6</v>
      </c>
      <c r="AB732" s="38">
        <f t="shared" si="64"/>
        <v>5.2666666666666666</v>
      </c>
      <c r="AC732" s="38">
        <f t="shared" si="65"/>
        <v>0.08</v>
      </c>
      <c r="AE732" s="18">
        <v>395</v>
      </c>
      <c r="AG732" s="38" t="s">
        <v>25</v>
      </c>
      <c r="AH732" s="38">
        <v>58</v>
      </c>
      <c r="AI732" s="38">
        <v>4</v>
      </c>
      <c r="AJ732" s="38">
        <f t="shared" si="66"/>
        <v>5.1379310344827589</v>
      </c>
      <c r="AK732" s="38">
        <f t="shared" si="67"/>
        <v>6.8965517241379309E-2</v>
      </c>
      <c r="AL732" s="3" t="s">
        <v>45</v>
      </c>
      <c r="AM732" s="18">
        <v>298</v>
      </c>
      <c r="AO732" s="38" t="s">
        <v>30</v>
      </c>
      <c r="AP732" s="38">
        <v>21</v>
      </c>
      <c r="AQ732" s="38">
        <v>3</v>
      </c>
      <c r="AR732" s="38">
        <f>Sheet4!AU732/AP732</f>
        <v>5.0952380952380949</v>
      </c>
      <c r="AS732" s="38">
        <f t="shared" si="68"/>
        <v>0.14285714285714285</v>
      </c>
      <c r="AT732" s="3" t="s">
        <v>46</v>
      </c>
      <c r="AU732" s="18">
        <v>107</v>
      </c>
    </row>
    <row r="733" spans="1:47" x14ac:dyDescent="0.35">
      <c r="A733" s="43" t="s">
        <v>33</v>
      </c>
      <c r="B733" s="43">
        <v>25</v>
      </c>
      <c r="C733" s="43">
        <v>1</v>
      </c>
      <c r="D733" s="43">
        <f t="shared" si="58"/>
        <v>5.48</v>
      </c>
      <c r="E733" s="43">
        <f t="shared" si="59"/>
        <v>0.04</v>
      </c>
      <c r="F733" s="3" t="s">
        <v>46</v>
      </c>
      <c r="G733" s="18">
        <v>137</v>
      </c>
      <c r="I733" s="43" t="s">
        <v>90</v>
      </c>
      <c r="J733" s="43">
        <v>27</v>
      </c>
      <c r="K733" s="43">
        <v>3</v>
      </c>
      <c r="L733" s="43">
        <f t="shared" si="60"/>
        <v>5.4074074074074074</v>
      </c>
      <c r="M733" s="43">
        <f t="shared" si="61"/>
        <v>0.1111111111111111</v>
      </c>
      <c r="N733" s="3" t="s">
        <v>46</v>
      </c>
      <c r="O733" s="18">
        <v>146</v>
      </c>
      <c r="Q733" s="38" t="s">
        <v>6</v>
      </c>
      <c r="R733" s="38">
        <v>43</v>
      </c>
      <c r="S733" s="38">
        <v>3</v>
      </c>
      <c r="T733" s="38">
        <f t="shared" si="62"/>
        <v>5.3255813953488369</v>
      </c>
      <c r="U733" s="38">
        <f t="shared" si="63"/>
        <v>6.9767441860465115E-2</v>
      </c>
      <c r="V733" s="3" t="s">
        <v>45</v>
      </c>
      <c r="W733" s="18">
        <v>229</v>
      </c>
      <c r="Y733" s="38" t="s">
        <v>6</v>
      </c>
      <c r="Z733" s="38">
        <v>43</v>
      </c>
      <c r="AA733" s="38">
        <v>3</v>
      </c>
      <c r="AB733" s="38">
        <f t="shared" si="64"/>
        <v>5.3255813953488369</v>
      </c>
      <c r="AC733" s="38">
        <f t="shared" si="65"/>
        <v>6.9767441860465115E-2</v>
      </c>
      <c r="AE733" s="18">
        <v>229</v>
      </c>
      <c r="AG733" s="38" t="s">
        <v>31</v>
      </c>
      <c r="AH733" s="38">
        <v>83</v>
      </c>
      <c r="AI733" s="38">
        <v>6</v>
      </c>
      <c r="AJ733" s="38">
        <f t="shared" si="66"/>
        <v>5.3855421686746991</v>
      </c>
      <c r="AK733" s="38">
        <f t="shared" si="67"/>
        <v>7.2289156626506021E-2</v>
      </c>
      <c r="AL733" s="3" t="s">
        <v>46</v>
      </c>
      <c r="AM733" s="18">
        <v>447</v>
      </c>
      <c r="AO733" s="38" t="s">
        <v>25</v>
      </c>
      <c r="AP733" s="38">
        <v>58</v>
      </c>
      <c r="AQ733" s="38">
        <v>4</v>
      </c>
      <c r="AR733" s="38">
        <f>Sheet4!AU733/AP733</f>
        <v>5.1379310344827589</v>
      </c>
      <c r="AS733" s="38">
        <f t="shared" si="68"/>
        <v>6.8965517241379309E-2</v>
      </c>
      <c r="AT733" s="3" t="s">
        <v>46</v>
      </c>
      <c r="AU733" s="18">
        <v>298</v>
      </c>
    </row>
    <row r="734" spans="1:47" x14ac:dyDescent="0.35">
      <c r="A734" s="43" t="s">
        <v>49</v>
      </c>
      <c r="B734" s="43">
        <v>27</v>
      </c>
      <c r="C734" s="43">
        <v>2</v>
      </c>
      <c r="D734" s="43">
        <f t="shared" si="58"/>
        <v>5.6296296296296298</v>
      </c>
      <c r="E734" s="43">
        <f t="shared" si="59"/>
        <v>7.407407407407407E-2</v>
      </c>
      <c r="F734" s="3" t="s">
        <v>46</v>
      </c>
      <c r="G734" s="18">
        <v>152</v>
      </c>
      <c r="I734" s="43" t="s">
        <v>49</v>
      </c>
      <c r="J734" s="43">
        <v>31</v>
      </c>
      <c r="K734" s="43">
        <v>2</v>
      </c>
      <c r="L734" s="43">
        <f t="shared" si="60"/>
        <v>5.4516129032258061</v>
      </c>
      <c r="M734" s="43">
        <f t="shared" si="61"/>
        <v>6.4516129032258063E-2</v>
      </c>
      <c r="O734" s="18">
        <v>169</v>
      </c>
      <c r="Q734" s="43" t="s">
        <v>90</v>
      </c>
      <c r="R734" s="43">
        <v>27</v>
      </c>
      <c r="S734" s="43">
        <v>3</v>
      </c>
      <c r="T734" s="43">
        <f t="shared" si="62"/>
        <v>5.4074074074074074</v>
      </c>
      <c r="U734" s="43">
        <f t="shared" si="63"/>
        <v>0.1111111111111111</v>
      </c>
      <c r="V734" s="3" t="s">
        <v>46</v>
      </c>
      <c r="W734" s="18">
        <v>146</v>
      </c>
      <c r="Y734" s="43" t="s">
        <v>90</v>
      </c>
      <c r="Z734" s="43">
        <v>27</v>
      </c>
      <c r="AA734" s="43">
        <v>3</v>
      </c>
      <c r="AB734" s="43">
        <f t="shared" si="64"/>
        <v>5.4074074074074074</v>
      </c>
      <c r="AC734" s="43">
        <f t="shared" si="65"/>
        <v>0.1111111111111111</v>
      </c>
      <c r="AE734" s="18">
        <v>146</v>
      </c>
      <c r="AG734" s="38" t="s">
        <v>6</v>
      </c>
      <c r="AH734" s="38">
        <v>44</v>
      </c>
      <c r="AI734" s="38">
        <v>3</v>
      </c>
      <c r="AJ734" s="38">
        <f t="shared" si="66"/>
        <v>5.3863636363636367</v>
      </c>
      <c r="AK734" s="38">
        <f t="shared" si="67"/>
        <v>6.8181818181818177E-2</v>
      </c>
      <c r="AL734" s="3" t="s">
        <v>46</v>
      </c>
      <c r="AM734" s="18">
        <v>237</v>
      </c>
      <c r="AO734" s="38" t="s">
        <v>20</v>
      </c>
      <c r="AP734" s="38">
        <v>21</v>
      </c>
      <c r="AQ734" s="38">
        <v>2</v>
      </c>
      <c r="AR734" s="38">
        <f>Sheet4!AU734/AP734</f>
        <v>5.1904761904761907</v>
      </c>
      <c r="AS734" s="38">
        <f t="shared" si="68"/>
        <v>9.5238095238095233E-2</v>
      </c>
      <c r="AT734" s="3" t="s">
        <v>463</v>
      </c>
      <c r="AU734" s="18">
        <v>109</v>
      </c>
    </row>
    <row r="735" spans="1:47" x14ac:dyDescent="0.35">
      <c r="A735" s="43" t="s">
        <v>401</v>
      </c>
      <c r="B735" s="43">
        <v>25</v>
      </c>
      <c r="C735" s="43">
        <v>1</v>
      </c>
      <c r="D735" s="43">
        <f t="shared" si="58"/>
        <v>6</v>
      </c>
      <c r="E735" s="43">
        <f t="shared" si="59"/>
        <v>0.04</v>
      </c>
      <c r="F735" s="3" t="s">
        <v>46</v>
      </c>
      <c r="G735" s="18">
        <v>150</v>
      </c>
      <c r="I735" s="43" t="s">
        <v>33</v>
      </c>
      <c r="J735" s="43">
        <v>31</v>
      </c>
      <c r="K735" s="43">
        <v>1</v>
      </c>
      <c r="L735" s="43">
        <f t="shared" si="60"/>
        <v>5.645161290322581</v>
      </c>
      <c r="M735" s="43">
        <f t="shared" si="61"/>
        <v>3.2258064516129031E-2</v>
      </c>
      <c r="N735" s="33" t="s">
        <v>458</v>
      </c>
      <c r="O735" s="18">
        <v>175</v>
      </c>
      <c r="Q735" s="43" t="s">
        <v>49</v>
      </c>
      <c r="R735" s="43">
        <v>31</v>
      </c>
      <c r="S735" s="43">
        <v>2</v>
      </c>
      <c r="T735" s="43">
        <f t="shared" si="62"/>
        <v>5.4516129032258061</v>
      </c>
      <c r="U735" s="43">
        <f t="shared" si="63"/>
        <v>6.4516129032258063E-2</v>
      </c>
      <c r="V735" s="3" t="s">
        <v>46</v>
      </c>
      <c r="W735" s="18">
        <v>169</v>
      </c>
      <c r="Y735" s="43" t="s">
        <v>49</v>
      </c>
      <c r="Z735" s="43">
        <v>34</v>
      </c>
      <c r="AA735" s="43">
        <v>2</v>
      </c>
      <c r="AB735" s="43">
        <f t="shared" si="64"/>
        <v>5.4705882352941178</v>
      </c>
      <c r="AC735" s="43">
        <f t="shared" si="65"/>
        <v>5.8823529411764705E-2</v>
      </c>
      <c r="AE735" s="18">
        <v>186</v>
      </c>
      <c r="AG735" s="43" t="s">
        <v>90</v>
      </c>
      <c r="AH735" s="43">
        <v>27</v>
      </c>
      <c r="AI735" s="43">
        <v>3</v>
      </c>
      <c r="AJ735" s="43">
        <f t="shared" si="66"/>
        <v>5.4074074074074074</v>
      </c>
      <c r="AK735" s="43">
        <f t="shared" si="67"/>
        <v>0.1111111111111111</v>
      </c>
      <c r="AL735" s="3" t="s">
        <v>46</v>
      </c>
      <c r="AM735" s="18">
        <v>146</v>
      </c>
      <c r="AO735" s="38" t="s">
        <v>31</v>
      </c>
      <c r="AP735" s="38">
        <v>83</v>
      </c>
      <c r="AQ735" s="38">
        <v>6</v>
      </c>
      <c r="AR735" s="38">
        <f>Sheet4!AU735/AP735</f>
        <v>5.3855421686746991</v>
      </c>
      <c r="AS735" s="38">
        <f t="shared" si="68"/>
        <v>7.2289156626506021E-2</v>
      </c>
      <c r="AT735" s="3" t="s">
        <v>45</v>
      </c>
      <c r="AU735" s="18">
        <v>447</v>
      </c>
    </row>
    <row r="736" spans="1:47" x14ac:dyDescent="0.35">
      <c r="I736" s="43" t="s">
        <v>401</v>
      </c>
      <c r="J736" s="43">
        <v>25</v>
      </c>
      <c r="K736" s="43">
        <v>1</v>
      </c>
      <c r="L736" s="43">
        <f t="shared" si="60"/>
        <v>6</v>
      </c>
      <c r="M736" s="43">
        <f t="shared" si="61"/>
        <v>0.04</v>
      </c>
      <c r="N736" s="3" t="s">
        <v>46</v>
      </c>
      <c r="O736" s="18">
        <v>150</v>
      </c>
      <c r="Q736" s="43" t="s">
        <v>33</v>
      </c>
      <c r="R736" s="43">
        <v>31</v>
      </c>
      <c r="S736" s="43">
        <v>1</v>
      </c>
      <c r="T736" s="43">
        <f t="shared" si="62"/>
        <v>5.645161290322581</v>
      </c>
      <c r="U736" s="43">
        <f t="shared" si="63"/>
        <v>3.2258064516129031E-2</v>
      </c>
      <c r="V736" s="33" t="s">
        <v>460</v>
      </c>
      <c r="W736" s="18">
        <v>175</v>
      </c>
      <c r="Y736" s="43" t="s">
        <v>33</v>
      </c>
      <c r="Z736" s="43">
        <v>33</v>
      </c>
      <c r="AA736" s="43">
        <v>1</v>
      </c>
      <c r="AB736" s="43">
        <f t="shared" si="64"/>
        <v>5.6969696969696972</v>
      </c>
      <c r="AC736" s="43">
        <f t="shared" si="65"/>
        <v>3.0303030303030304E-2</v>
      </c>
      <c r="AE736" s="18">
        <v>188</v>
      </c>
      <c r="AG736" s="43" t="s">
        <v>49</v>
      </c>
      <c r="AH736" s="43">
        <v>38</v>
      </c>
      <c r="AI736" s="43">
        <v>2</v>
      </c>
      <c r="AJ736" s="43">
        <f t="shared" si="66"/>
        <v>5.4473684210526319</v>
      </c>
      <c r="AK736" s="43">
        <f t="shared" si="67"/>
        <v>5.2631578947368418E-2</v>
      </c>
      <c r="AL736" s="3" t="s">
        <v>46</v>
      </c>
      <c r="AM736" s="18">
        <v>207</v>
      </c>
      <c r="AO736" s="38" t="s">
        <v>6</v>
      </c>
      <c r="AP736" s="38">
        <v>44</v>
      </c>
      <c r="AQ736" s="38">
        <v>3</v>
      </c>
      <c r="AR736" s="38">
        <f>Sheet4!AU736/AP736</f>
        <v>5.3863636363636367</v>
      </c>
      <c r="AS736" s="38">
        <f t="shared" si="68"/>
        <v>6.8181818181818177E-2</v>
      </c>
      <c r="AT736" s="3" t="s">
        <v>45</v>
      </c>
      <c r="AU736" s="18">
        <v>237</v>
      </c>
    </row>
    <row r="737" spans="1:47" x14ac:dyDescent="0.35">
      <c r="Q737" s="43" t="s">
        <v>401</v>
      </c>
      <c r="R737" s="43">
        <v>25</v>
      </c>
      <c r="S737" s="43">
        <v>1</v>
      </c>
      <c r="T737" s="43">
        <f t="shared" si="62"/>
        <v>6</v>
      </c>
      <c r="U737" s="43">
        <f t="shared" si="63"/>
        <v>0.04</v>
      </c>
      <c r="V737" s="3" t="s">
        <v>46</v>
      </c>
      <c r="W737" s="18">
        <v>150</v>
      </c>
      <c r="Y737" s="43" t="s">
        <v>401</v>
      </c>
      <c r="Z737" s="43">
        <v>29</v>
      </c>
      <c r="AA737" s="43">
        <v>1</v>
      </c>
      <c r="AB737" s="43">
        <f t="shared" si="64"/>
        <v>6.2068965517241379</v>
      </c>
      <c r="AC737" s="43">
        <f t="shared" si="65"/>
        <v>3.4482758620689655E-2</v>
      </c>
      <c r="AE737" s="18">
        <v>180</v>
      </c>
      <c r="AG737" s="43" t="s">
        <v>33</v>
      </c>
      <c r="AH737" s="43">
        <v>38</v>
      </c>
      <c r="AI737" s="43">
        <v>2</v>
      </c>
      <c r="AJ737" s="43">
        <f t="shared" si="66"/>
        <v>5.5263157894736841</v>
      </c>
      <c r="AK737" s="43">
        <f t="shared" si="67"/>
        <v>5.2631578947368418E-2</v>
      </c>
      <c r="AL737" s="3" t="s">
        <v>368</v>
      </c>
      <c r="AM737" s="18">
        <v>210</v>
      </c>
      <c r="AO737" s="43" t="s">
        <v>90</v>
      </c>
      <c r="AP737" s="43">
        <v>27</v>
      </c>
      <c r="AQ737" s="43">
        <v>3</v>
      </c>
      <c r="AR737" s="43">
        <f>Sheet4!AU737/AP737</f>
        <v>5.4074074074074074</v>
      </c>
      <c r="AS737" s="43">
        <f t="shared" si="68"/>
        <v>0.1111111111111111</v>
      </c>
      <c r="AT737" s="3" t="s">
        <v>45</v>
      </c>
      <c r="AU737" s="18">
        <v>146</v>
      </c>
    </row>
    <row r="738" spans="1:47" x14ac:dyDescent="0.35">
      <c r="AG738" s="43" t="s">
        <v>401</v>
      </c>
      <c r="AH738" s="43">
        <v>29</v>
      </c>
      <c r="AI738" s="43">
        <v>1</v>
      </c>
      <c r="AJ738" s="43">
        <f t="shared" si="66"/>
        <v>6.2068965517241379</v>
      </c>
      <c r="AK738" s="43">
        <f t="shared" si="67"/>
        <v>3.4482758620689655E-2</v>
      </c>
      <c r="AL738" s="3" t="s">
        <v>46</v>
      </c>
      <c r="AM738" s="18">
        <v>180</v>
      </c>
      <c r="AO738" s="43" t="s">
        <v>33</v>
      </c>
      <c r="AP738" s="43">
        <v>40</v>
      </c>
      <c r="AQ738" s="43">
        <v>2</v>
      </c>
      <c r="AR738" s="43">
        <f>Sheet4!AU738/AP738</f>
        <v>5.4749999999999996</v>
      </c>
      <c r="AS738" s="43">
        <f t="shared" si="68"/>
        <v>0.05</v>
      </c>
      <c r="AT738" s="3" t="s">
        <v>46</v>
      </c>
      <c r="AU738" s="18">
        <v>219</v>
      </c>
    </row>
    <row r="739" spans="1:47" x14ac:dyDescent="0.35">
      <c r="AO739" s="43" t="s">
        <v>49</v>
      </c>
      <c r="AP739" s="43">
        <v>41</v>
      </c>
      <c r="AQ739" s="43">
        <v>2</v>
      </c>
      <c r="AR739" s="43">
        <f>Sheet4!AU739/AP739</f>
        <v>5.6341463414634143</v>
      </c>
      <c r="AS739" s="43">
        <f t="shared" si="68"/>
        <v>4.878048780487805E-2</v>
      </c>
      <c r="AT739" s="3" t="s">
        <v>54</v>
      </c>
      <c r="AU739" s="18">
        <v>231</v>
      </c>
    </row>
    <row r="740" spans="1:47" x14ac:dyDescent="0.35">
      <c r="AO740" s="43" t="s">
        <v>401</v>
      </c>
      <c r="AP740" s="43">
        <v>29</v>
      </c>
      <c r="AQ740" s="43">
        <v>1</v>
      </c>
      <c r="AR740" s="43">
        <f>Sheet4!AU740/AP740</f>
        <v>6.2068965517241379</v>
      </c>
      <c r="AS740" s="43">
        <f t="shared" si="68"/>
        <v>3.4482758620689655E-2</v>
      </c>
      <c r="AT740" s="3" t="s">
        <v>45</v>
      </c>
      <c r="AU740" s="18">
        <v>180</v>
      </c>
    </row>
    <row r="742" spans="1:47" x14ac:dyDescent="0.35">
      <c r="A742" s="4" t="s">
        <v>42</v>
      </c>
      <c r="B742" s="4" t="s">
        <v>38</v>
      </c>
      <c r="C742" s="4" t="s">
        <v>39</v>
      </c>
      <c r="D742" s="4" t="s">
        <v>40</v>
      </c>
      <c r="E742" s="4" t="s">
        <v>111</v>
      </c>
      <c r="I742" s="4" t="s">
        <v>42</v>
      </c>
      <c r="J742" s="4" t="s">
        <v>38</v>
      </c>
      <c r="K742" s="4" t="s">
        <v>39</v>
      </c>
      <c r="L742" s="4" t="s">
        <v>40</v>
      </c>
      <c r="M742" s="4" t="s">
        <v>111</v>
      </c>
      <c r="Q742" s="4" t="s">
        <v>42</v>
      </c>
      <c r="R742" s="4" t="s">
        <v>38</v>
      </c>
      <c r="S742" s="4" t="s">
        <v>39</v>
      </c>
      <c r="T742" s="4" t="s">
        <v>40</v>
      </c>
      <c r="U742" s="4" t="s">
        <v>111</v>
      </c>
      <c r="Y742" s="4" t="s">
        <v>42</v>
      </c>
      <c r="Z742" s="4" t="s">
        <v>38</v>
      </c>
      <c r="AA742" s="4" t="s">
        <v>39</v>
      </c>
      <c r="AB742" s="4" t="s">
        <v>40</v>
      </c>
      <c r="AC742" s="4" t="s">
        <v>111</v>
      </c>
      <c r="AG742" s="4" t="s">
        <v>42</v>
      </c>
      <c r="AH742" s="4" t="s">
        <v>38</v>
      </c>
      <c r="AI742" s="4" t="s">
        <v>39</v>
      </c>
      <c r="AJ742" s="4" t="s">
        <v>40</v>
      </c>
      <c r="AK742" s="4" t="s">
        <v>111</v>
      </c>
    </row>
    <row r="743" spans="1:47" x14ac:dyDescent="0.35">
      <c r="A743" s="18" t="s">
        <v>128</v>
      </c>
      <c r="B743" s="18">
        <v>73</v>
      </c>
      <c r="C743" s="18">
        <v>23</v>
      </c>
      <c r="D743" s="18">
        <f t="shared" ref="D743:D784" si="69">G743/B743</f>
        <v>3.0547945205479454</v>
      </c>
      <c r="E743" s="18">
        <f t="shared" ref="E743:E784" si="70">C743/B743</f>
        <v>0.31506849315068491</v>
      </c>
      <c r="G743" s="18">
        <v>223</v>
      </c>
      <c r="I743" s="18" t="s">
        <v>128</v>
      </c>
      <c r="J743" s="18">
        <v>75</v>
      </c>
      <c r="K743" s="18">
        <v>24</v>
      </c>
      <c r="L743" s="18">
        <f t="shared" ref="L743:L788" si="71">O743/J743</f>
        <v>3.04</v>
      </c>
      <c r="M743" s="18">
        <f t="shared" ref="M743:M788" si="72">K743/J743</f>
        <v>0.32</v>
      </c>
      <c r="O743" s="18">
        <v>228</v>
      </c>
      <c r="Q743" s="60" t="s">
        <v>128</v>
      </c>
      <c r="R743" s="60">
        <v>77</v>
      </c>
      <c r="S743" s="60">
        <v>24</v>
      </c>
      <c r="T743" s="60">
        <f t="shared" ref="T743:T790" si="73">W743/R743</f>
        <v>3.0129870129870131</v>
      </c>
      <c r="U743" s="60">
        <f t="shared" ref="U743:U790" si="74">S743/R743</f>
        <v>0.31168831168831168</v>
      </c>
      <c r="W743" s="18">
        <v>232</v>
      </c>
      <c r="Y743" s="60" t="s">
        <v>128</v>
      </c>
      <c r="Z743" s="60">
        <v>80</v>
      </c>
      <c r="AA743" s="60">
        <v>24</v>
      </c>
      <c r="AB743" s="60">
        <f t="shared" ref="AB743:AB774" si="75">AE743/Z743</f>
        <v>3.1</v>
      </c>
      <c r="AC743" s="60">
        <f t="shared" ref="AC743:AC774" si="76">AA743/Z743</f>
        <v>0.3</v>
      </c>
      <c r="AE743" s="18">
        <v>248</v>
      </c>
      <c r="AG743" s="60" t="s">
        <v>128</v>
      </c>
      <c r="AH743" s="60">
        <v>82</v>
      </c>
      <c r="AI743" s="60">
        <v>25</v>
      </c>
      <c r="AJ743" s="60">
        <f>Sheet4!AM743/AH743</f>
        <v>3.0975609756097562</v>
      </c>
      <c r="AK743" s="60">
        <f t="shared" ref="AK743:AK774" si="77">AI743/AH743</f>
        <v>0.3048780487804878</v>
      </c>
      <c r="AM743" s="18">
        <v>254</v>
      </c>
    </row>
    <row r="744" spans="1:47" x14ac:dyDescent="0.35">
      <c r="A744" s="36" t="s">
        <v>35</v>
      </c>
      <c r="B744" s="36">
        <v>95</v>
      </c>
      <c r="C744" s="36">
        <v>27</v>
      </c>
      <c r="D744" s="36">
        <f t="shared" si="69"/>
        <v>3.5052631578947366</v>
      </c>
      <c r="E744" s="36">
        <f t="shared" si="70"/>
        <v>0.28421052631578947</v>
      </c>
      <c r="G744" s="18">
        <v>333</v>
      </c>
      <c r="I744" s="36" t="s">
        <v>35</v>
      </c>
      <c r="J744" s="36">
        <v>101</v>
      </c>
      <c r="K744" s="36">
        <v>27</v>
      </c>
      <c r="L744" s="36">
        <f t="shared" si="71"/>
        <v>3.613861386138614</v>
      </c>
      <c r="M744" s="36">
        <f t="shared" si="72"/>
        <v>0.26732673267326734</v>
      </c>
      <c r="O744" s="18">
        <v>365</v>
      </c>
      <c r="Q744" s="59" t="s">
        <v>35</v>
      </c>
      <c r="R744" s="59">
        <v>104</v>
      </c>
      <c r="S744" s="59">
        <v>28</v>
      </c>
      <c r="T744" s="59">
        <f t="shared" si="73"/>
        <v>3.625</v>
      </c>
      <c r="U744" s="59">
        <f t="shared" si="74"/>
        <v>0.26923076923076922</v>
      </c>
      <c r="W744" s="18">
        <v>377</v>
      </c>
      <c r="Y744" s="59" t="s">
        <v>175</v>
      </c>
      <c r="Z744" s="59">
        <v>23</v>
      </c>
      <c r="AA744" s="59">
        <v>6</v>
      </c>
      <c r="AB744" s="59">
        <f t="shared" si="75"/>
        <v>3.4782608695652173</v>
      </c>
      <c r="AC744" s="59">
        <f t="shared" si="76"/>
        <v>0.2608695652173913</v>
      </c>
      <c r="AD744" s="20" t="s">
        <v>476</v>
      </c>
      <c r="AE744" s="18">
        <v>80</v>
      </c>
      <c r="AG744" s="60" t="s">
        <v>175</v>
      </c>
      <c r="AH744" s="60">
        <v>27</v>
      </c>
      <c r="AI744" s="60">
        <v>8</v>
      </c>
      <c r="AJ744" s="60">
        <f>Sheet4!AM744/AH744</f>
        <v>3.1851851851851851</v>
      </c>
      <c r="AK744" s="60">
        <f t="shared" si="77"/>
        <v>0.29629629629629628</v>
      </c>
      <c r="AM744" s="18">
        <v>86</v>
      </c>
    </row>
    <row r="745" spans="1:47" x14ac:dyDescent="0.35">
      <c r="A745" s="36" t="s">
        <v>147</v>
      </c>
      <c r="B745" s="36">
        <v>47</v>
      </c>
      <c r="C745" s="36">
        <v>7</v>
      </c>
      <c r="D745" s="36">
        <f t="shared" si="69"/>
        <v>3.7872340425531914</v>
      </c>
      <c r="E745" s="36">
        <f t="shared" si="70"/>
        <v>0.14893617021276595</v>
      </c>
      <c r="G745" s="18">
        <v>178</v>
      </c>
      <c r="I745" s="36" t="s">
        <v>10</v>
      </c>
      <c r="J745" s="36">
        <v>49</v>
      </c>
      <c r="K745" s="36">
        <v>10</v>
      </c>
      <c r="L745" s="36">
        <f t="shared" si="71"/>
        <v>3.8163265306122449</v>
      </c>
      <c r="M745" s="36">
        <f t="shared" si="72"/>
        <v>0.20408163265306123</v>
      </c>
      <c r="N745" s="2" t="s">
        <v>44</v>
      </c>
      <c r="O745" s="18">
        <v>187</v>
      </c>
      <c r="Q745" s="59" t="s">
        <v>232</v>
      </c>
      <c r="R745" s="59">
        <v>33</v>
      </c>
      <c r="S745" s="59">
        <v>8</v>
      </c>
      <c r="T745" s="59">
        <f t="shared" si="73"/>
        <v>3.7878787878787881</v>
      </c>
      <c r="U745" s="59">
        <f t="shared" si="74"/>
        <v>0.24242424242424243</v>
      </c>
      <c r="V745" s="2" t="s">
        <v>161</v>
      </c>
      <c r="W745" s="18">
        <v>125</v>
      </c>
      <c r="Y745" s="59" t="s">
        <v>35</v>
      </c>
      <c r="Z745" s="59">
        <v>111</v>
      </c>
      <c r="AA745" s="59">
        <v>31</v>
      </c>
      <c r="AB745" s="59">
        <f t="shared" si="75"/>
        <v>3.5405405405405403</v>
      </c>
      <c r="AC745" s="59">
        <f t="shared" si="76"/>
        <v>0.27927927927927926</v>
      </c>
      <c r="AD745" s="3" t="s">
        <v>46</v>
      </c>
      <c r="AE745" s="18">
        <v>393</v>
      </c>
      <c r="AG745" s="59" t="s">
        <v>35</v>
      </c>
      <c r="AH745" s="59">
        <v>113</v>
      </c>
      <c r="AI745" s="59">
        <v>31</v>
      </c>
      <c r="AJ745" s="59">
        <f>Sheet4!AM745/AH745</f>
        <v>3.5752212389380529</v>
      </c>
      <c r="AK745" s="59">
        <f t="shared" si="77"/>
        <v>0.27433628318584069</v>
      </c>
      <c r="AM745" s="18">
        <v>404</v>
      </c>
    </row>
    <row r="746" spans="1:47" x14ac:dyDescent="0.35">
      <c r="A746" s="36" t="s">
        <v>10</v>
      </c>
      <c r="B746" s="36">
        <v>48</v>
      </c>
      <c r="C746" s="36">
        <v>10</v>
      </c>
      <c r="D746" s="36">
        <f t="shared" si="69"/>
        <v>3.8125</v>
      </c>
      <c r="E746" s="36">
        <f t="shared" si="70"/>
        <v>0.20833333333333334</v>
      </c>
      <c r="G746" s="18">
        <v>183</v>
      </c>
      <c r="I746" s="36" t="s">
        <v>122</v>
      </c>
      <c r="J746" s="36">
        <v>51</v>
      </c>
      <c r="K746" s="36">
        <v>7</v>
      </c>
      <c r="L746" s="36">
        <f t="shared" si="71"/>
        <v>3.8235294117647061</v>
      </c>
      <c r="M746" s="36">
        <f t="shared" si="72"/>
        <v>0.13725490196078433</v>
      </c>
      <c r="N746" s="2" t="s">
        <v>59</v>
      </c>
      <c r="O746" s="18">
        <v>195</v>
      </c>
      <c r="Q746" s="59" t="s">
        <v>147</v>
      </c>
      <c r="R746" s="59">
        <v>57</v>
      </c>
      <c r="S746" s="59">
        <v>11</v>
      </c>
      <c r="T746" s="59">
        <f t="shared" si="73"/>
        <v>3.8245614035087718</v>
      </c>
      <c r="U746" s="59">
        <f t="shared" si="74"/>
        <v>0.19298245614035087</v>
      </c>
      <c r="V746" s="2" t="s">
        <v>133</v>
      </c>
      <c r="W746" s="18">
        <v>218</v>
      </c>
      <c r="Y746" s="59" t="s">
        <v>52</v>
      </c>
      <c r="Z746" s="59">
        <v>20</v>
      </c>
      <c r="AA746" s="59">
        <v>2</v>
      </c>
      <c r="AB746" s="59">
        <f t="shared" si="75"/>
        <v>3.75</v>
      </c>
      <c r="AC746" s="59">
        <f t="shared" si="76"/>
        <v>0.1</v>
      </c>
      <c r="AD746" s="20" t="s">
        <v>477</v>
      </c>
      <c r="AE746" s="18">
        <v>75</v>
      </c>
      <c r="AG746" s="59" t="s">
        <v>147</v>
      </c>
      <c r="AH746" s="59">
        <v>69</v>
      </c>
      <c r="AI746" s="59">
        <v>15</v>
      </c>
      <c r="AJ746" s="59">
        <f>Sheet4!AM746/AH746</f>
        <v>3.7101449275362319</v>
      </c>
      <c r="AK746" s="59">
        <f t="shared" si="77"/>
        <v>0.21739130434782608</v>
      </c>
      <c r="AL746" s="2" t="s">
        <v>47</v>
      </c>
      <c r="AM746" s="18">
        <v>256</v>
      </c>
    </row>
    <row r="747" spans="1:47" x14ac:dyDescent="0.35">
      <c r="A747" s="36" t="s">
        <v>121</v>
      </c>
      <c r="B747" s="36">
        <v>62</v>
      </c>
      <c r="C747" s="36">
        <v>14</v>
      </c>
      <c r="D747" s="36">
        <f t="shared" si="69"/>
        <v>3.8548387096774195</v>
      </c>
      <c r="E747" s="36">
        <f t="shared" si="70"/>
        <v>0.22580645161290322</v>
      </c>
      <c r="G747">
        <v>239</v>
      </c>
      <c r="I747" s="36" t="s">
        <v>29</v>
      </c>
      <c r="J747" s="36">
        <v>74</v>
      </c>
      <c r="K747" s="36">
        <v>10</v>
      </c>
      <c r="L747" s="36">
        <f t="shared" si="71"/>
        <v>3.8378378378378377</v>
      </c>
      <c r="M747" s="36">
        <f t="shared" si="72"/>
        <v>0.13513513513513514</v>
      </c>
      <c r="N747" s="2" t="s">
        <v>59</v>
      </c>
      <c r="O747" s="18">
        <v>284</v>
      </c>
      <c r="Q747" s="59" t="s">
        <v>10</v>
      </c>
      <c r="R747" s="59">
        <v>53</v>
      </c>
      <c r="S747" s="59">
        <v>10</v>
      </c>
      <c r="T747" s="59">
        <f t="shared" si="73"/>
        <v>3.8679245283018866</v>
      </c>
      <c r="U747" s="59">
        <f t="shared" si="74"/>
        <v>0.18867924528301888</v>
      </c>
      <c r="V747" s="3" t="s">
        <v>45</v>
      </c>
      <c r="W747" s="18">
        <v>205</v>
      </c>
      <c r="Y747" s="59" t="s">
        <v>10</v>
      </c>
      <c r="Z747" s="59">
        <v>54</v>
      </c>
      <c r="AA747" s="59">
        <v>11</v>
      </c>
      <c r="AB747" s="59">
        <f t="shared" si="75"/>
        <v>3.8148148148148149</v>
      </c>
      <c r="AC747" s="59">
        <f t="shared" si="76"/>
        <v>0.20370370370370369</v>
      </c>
      <c r="AE747" s="18">
        <v>206</v>
      </c>
      <c r="AG747" s="59" t="s">
        <v>10</v>
      </c>
      <c r="AH747" s="59">
        <v>58</v>
      </c>
      <c r="AI747" s="59">
        <v>13</v>
      </c>
      <c r="AJ747" s="59">
        <f>Sheet4!AM747/AH747</f>
        <v>3.7241379310344827</v>
      </c>
      <c r="AK747" s="59">
        <f t="shared" si="77"/>
        <v>0.22413793103448276</v>
      </c>
      <c r="AM747" s="18">
        <v>216</v>
      </c>
    </row>
    <row r="748" spans="1:47" x14ac:dyDescent="0.35">
      <c r="A748" s="36" t="s">
        <v>148</v>
      </c>
      <c r="B748" s="36">
        <v>25</v>
      </c>
      <c r="C748" s="36">
        <v>4</v>
      </c>
      <c r="D748" s="36">
        <f t="shared" si="69"/>
        <v>3.88</v>
      </c>
      <c r="E748" s="36">
        <f t="shared" si="70"/>
        <v>0.16</v>
      </c>
      <c r="G748">
        <v>97</v>
      </c>
      <c r="I748" s="36" t="s">
        <v>148</v>
      </c>
      <c r="J748" s="36">
        <v>25</v>
      </c>
      <c r="K748" s="36">
        <v>4</v>
      </c>
      <c r="L748" s="36">
        <f t="shared" si="71"/>
        <v>3.88</v>
      </c>
      <c r="M748" s="36">
        <f t="shared" si="72"/>
        <v>0.16</v>
      </c>
      <c r="O748">
        <v>97</v>
      </c>
      <c r="Q748" s="59" t="s">
        <v>148</v>
      </c>
      <c r="R748" s="59">
        <v>25</v>
      </c>
      <c r="S748" s="59">
        <v>4</v>
      </c>
      <c r="T748" s="59">
        <f t="shared" si="73"/>
        <v>3.88</v>
      </c>
      <c r="U748" s="59">
        <f t="shared" si="74"/>
        <v>0.16</v>
      </c>
      <c r="W748">
        <v>97</v>
      </c>
      <c r="Y748" s="59" t="s">
        <v>147</v>
      </c>
      <c r="Z748" s="59">
        <v>59</v>
      </c>
      <c r="AA748" s="59">
        <v>11</v>
      </c>
      <c r="AB748" s="59">
        <f t="shared" si="75"/>
        <v>3.8644067796610169</v>
      </c>
      <c r="AC748" s="59">
        <f t="shared" si="76"/>
        <v>0.1864406779661017</v>
      </c>
      <c r="AD748" s="3" t="s">
        <v>45</v>
      </c>
      <c r="AE748" s="18">
        <v>228</v>
      </c>
      <c r="AG748" s="59" t="s">
        <v>52</v>
      </c>
      <c r="AH748" s="59">
        <v>20</v>
      </c>
      <c r="AI748" s="59">
        <v>2</v>
      </c>
      <c r="AJ748" s="59">
        <f>Sheet4!AM748/AH748</f>
        <v>3.75</v>
      </c>
      <c r="AK748" s="59">
        <f t="shared" si="77"/>
        <v>0.1</v>
      </c>
      <c r="AL748" s="3" t="s">
        <v>45</v>
      </c>
      <c r="AM748" s="18">
        <v>75</v>
      </c>
    </row>
    <row r="749" spans="1:47" x14ac:dyDescent="0.35">
      <c r="A749" s="36" t="s">
        <v>122</v>
      </c>
      <c r="B749" s="36">
        <v>44</v>
      </c>
      <c r="C749" s="36">
        <v>6</v>
      </c>
      <c r="D749" s="36">
        <f t="shared" si="69"/>
        <v>3.8863636363636362</v>
      </c>
      <c r="E749" s="36">
        <f t="shared" si="70"/>
        <v>0.13636363636363635</v>
      </c>
      <c r="G749" s="18">
        <v>171</v>
      </c>
      <c r="I749" s="36" t="s">
        <v>121</v>
      </c>
      <c r="J749" s="36">
        <v>64</v>
      </c>
      <c r="K749" s="36">
        <v>14</v>
      </c>
      <c r="L749" s="36">
        <f t="shared" si="71"/>
        <v>3.890625</v>
      </c>
      <c r="M749" s="36">
        <f t="shared" si="72"/>
        <v>0.21875</v>
      </c>
      <c r="N749" s="3" t="s">
        <v>45</v>
      </c>
      <c r="O749" s="18">
        <v>249</v>
      </c>
      <c r="Q749" s="59" t="s">
        <v>121</v>
      </c>
      <c r="R749" s="59">
        <v>64</v>
      </c>
      <c r="S749" s="59">
        <v>14</v>
      </c>
      <c r="T749" s="59">
        <f t="shared" si="73"/>
        <v>3.890625</v>
      </c>
      <c r="U749" s="59">
        <f t="shared" si="74"/>
        <v>0.21875</v>
      </c>
      <c r="W749" s="18">
        <v>249</v>
      </c>
      <c r="Y749" s="59" t="s">
        <v>148</v>
      </c>
      <c r="Z749" s="59">
        <v>25</v>
      </c>
      <c r="AA749" s="59">
        <v>4</v>
      </c>
      <c r="AB749" s="59">
        <f t="shared" si="75"/>
        <v>3.88</v>
      </c>
      <c r="AC749" s="59">
        <f t="shared" si="76"/>
        <v>0.16</v>
      </c>
      <c r="AD749" s="3" t="s">
        <v>46</v>
      </c>
      <c r="AE749">
        <v>97</v>
      </c>
      <c r="AG749" s="59" t="s">
        <v>232</v>
      </c>
      <c r="AH749" s="59">
        <v>44</v>
      </c>
      <c r="AI749" s="59">
        <v>10</v>
      </c>
      <c r="AJ749" s="59">
        <f>Sheet4!AM749/AH749</f>
        <v>3.8181818181818183</v>
      </c>
      <c r="AK749" s="59">
        <f t="shared" si="77"/>
        <v>0.22727272727272727</v>
      </c>
      <c r="AL749" s="2" t="s">
        <v>47</v>
      </c>
      <c r="AM749" s="18">
        <v>168</v>
      </c>
    </row>
    <row r="750" spans="1:47" x14ac:dyDescent="0.35">
      <c r="A750" s="36" t="s">
        <v>29</v>
      </c>
      <c r="B750" s="36">
        <v>69</v>
      </c>
      <c r="C750" s="36">
        <v>8</v>
      </c>
      <c r="D750" s="36">
        <f t="shared" si="69"/>
        <v>3.9420289855072466</v>
      </c>
      <c r="E750" s="36">
        <f t="shared" si="70"/>
        <v>0.11594202898550725</v>
      </c>
      <c r="F750" s="2" t="s">
        <v>44</v>
      </c>
      <c r="G750" s="18">
        <v>272</v>
      </c>
      <c r="I750" s="36" t="s">
        <v>147</v>
      </c>
      <c r="J750" s="36">
        <v>51</v>
      </c>
      <c r="K750" s="36">
        <v>8</v>
      </c>
      <c r="L750" s="36">
        <f t="shared" si="71"/>
        <v>3.9019607843137254</v>
      </c>
      <c r="M750" s="36">
        <f t="shared" si="72"/>
        <v>0.15686274509803921</v>
      </c>
      <c r="N750" s="3" t="s">
        <v>94</v>
      </c>
      <c r="O750" s="18">
        <v>199</v>
      </c>
      <c r="Q750" s="59" t="s">
        <v>29</v>
      </c>
      <c r="R750" s="59">
        <v>76</v>
      </c>
      <c r="S750" s="59">
        <v>10</v>
      </c>
      <c r="T750" s="59">
        <f t="shared" si="73"/>
        <v>3.9342105263157894</v>
      </c>
      <c r="U750" s="59">
        <f t="shared" si="74"/>
        <v>0.13157894736842105</v>
      </c>
      <c r="V750" s="3" t="s">
        <v>54</v>
      </c>
      <c r="W750" s="18">
        <v>299</v>
      </c>
      <c r="Y750" s="59" t="s">
        <v>29</v>
      </c>
      <c r="Z750" s="59">
        <v>80</v>
      </c>
      <c r="AA750" s="59">
        <v>11</v>
      </c>
      <c r="AB750" s="59">
        <f t="shared" si="75"/>
        <v>3.8875000000000002</v>
      </c>
      <c r="AC750" s="59">
        <f t="shared" si="76"/>
        <v>0.13750000000000001</v>
      </c>
      <c r="AE750" s="18">
        <v>311</v>
      </c>
      <c r="AG750" s="59" t="s">
        <v>121</v>
      </c>
      <c r="AH750" s="59">
        <v>68</v>
      </c>
      <c r="AI750" s="59">
        <v>16</v>
      </c>
      <c r="AJ750" s="59">
        <f>Sheet4!AM750/AH750</f>
        <v>3.8529411764705883</v>
      </c>
      <c r="AK750" s="59">
        <f t="shared" si="77"/>
        <v>0.23529411764705882</v>
      </c>
      <c r="AL750" s="2" t="s">
        <v>47</v>
      </c>
      <c r="AM750" s="18">
        <v>262</v>
      </c>
    </row>
    <row r="751" spans="1:47" x14ac:dyDescent="0.35">
      <c r="A751" s="41" t="s">
        <v>125</v>
      </c>
      <c r="B751" s="41">
        <v>21</v>
      </c>
      <c r="C751" s="41">
        <v>1</v>
      </c>
      <c r="D751" s="41">
        <f t="shared" si="69"/>
        <v>4</v>
      </c>
      <c r="E751" s="41">
        <f t="shared" si="70"/>
        <v>4.7619047619047616E-2</v>
      </c>
      <c r="F751" s="2" t="s">
        <v>44</v>
      </c>
      <c r="G751" s="18">
        <v>84</v>
      </c>
      <c r="I751" s="36" t="s">
        <v>232</v>
      </c>
      <c r="J751" s="36">
        <v>29</v>
      </c>
      <c r="K751" s="36">
        <v>7</v>
      </c>
      <c r="L751" s="36">
        <f t="shared" si="71"/>
        <v>3.9310344827586206</v>
      </c>
      <c r="M751" s="36">
        <f t="shared" si="72"/>
        <v>0.2413793103448276</v>
      </c>
      <c r="N751" s="2" t="s">
        <v>44</v>
      </c>
      <c r="O751" s="18">
        <v>114</v>
      </c>
      <c r="Q751" s="41" t="s">
        <v>125</v>
      </c>
      <c r="R751" s="41">
        <v>21</v>
      </c>
      <c r="S751" s="41">
        <v>1</v>
      </c>
      <c r="T751" s="41">
        <f t="shared" si="73"/>
        <v>4</v>
      </c>
      <c r="U751" s="41">
        <f t="shared" si="74"/>
        <v>4.7619047619047616E-2</v>
      </c>
      <c r="V751" s="2" t="s">
        <v>44</v>
      </c>
      <c r="W751" s="18">
        <v>84</v>
      </c>
      <c r="Y751" s="59" t="s">
        <v>232</v>
      </c>
      <c r="Z751" s="59">
        <v>37</v>
      </c>
      <c r="AA751" s="59">
        <v>8</v>
      </c>
      <c r="AB751" s="59">
        <f t="shared" si="75"/>
        <v>3.9189189189189189</v>
      </c>
      <c r="AC751" s="59">
        <f t="shared" si="76"/>
        <v>0.21621621621621623</v>
      </c>
      <c r="AD751" s="3" t="s">
        <v>195</v>
      </c>
      <c r="AE751" s="18">
        <v>145</v>
      </c>
      <c r="AG751" s="59" t="s">
        <v>29</v>
      </c>
      <c r="AH751" s="59">
        <v>84</v>
      </c>
      <c r="AI751" s="59">
        <v>11</v>
      </c>
      <c r="AJ751" s="59">
        <f>Sheet4!AM751/AH751</f>
        <v>3.8809523809523809</v>
      </c>
      <c r="AK751" s="59">
        <f t="shared" si="77"/>
        <v>0.13095238095238096</v>
      </c>
      <c r="AL751" s="3" t="s">
        <v>46</v>
      </c>
      <c r="AM751" s="18">
        <v>326</v>
      </c>
    </row>
    <row r="752" spans="1:47" x14ac:dyDescent="0.35">
      <c r="A752" s="41" t="s">
        <v>232</v>
      </c>
      <c r="B752" s="41">
        <v>25</v>
      </c>
      <c r="C752" s="41">
        <v>5</v>
      </c>
      <c r="D752" s="41">
        <f t="shared" si="69"/>
        <v>4</v>
      </c>
      <c r="E752" s="41">
        <f t="shared" si="70"/>
        <v>0.2</v>
      </c>
      <c r="F752" s="3" t="s">
        <v>45</v>
      </c>
      <c r="G752" s="18">
        <v>100</v>
      </c>
      <c r="I752" s="41" t="s">
        <v>125</v>
      </c>
      <c r="J752" s="41">
        <v>21</v>
      </c>
      <c r="K752" s="41">
        <v>1</v>
      </c>
      <c r="L752" s="41">
        <f t="shared" si="71"/>
        <v>4</v>
      </c>
      <c r="M752" s="41">
        <f t="shared" si="72"/>
        <v>4.7619047619047616E-2</v>
      </c>
      <c r="N752" s="3" t="s">
        <v>46</v>
      </c>
      <c r="O752" s="18">
        <v>84</v>
      </c>
      <c r="Q752" s="41" t="s">
        <v>122</v>
      </c>
      <c r="R752" s="41">
        <v>58</v>
      </c>
      <c r="S752" s="41">
        <v>7</v>
      </c>
      <c r="T752" s="41">
        <f t="shared" si="73"/>
        <v>4.0172413793103452</v>
      </c>
      <c r="U752" s="41">
        <f t="shared" si="74"/>
        <v>0.1206896551724138</v>
      </c>
      <c r="V752" s="3" t="s">
        <v>195</v>
      </c>
      <c r="W752" s="18">
        <v>233</v>
      </c>
      <c r="Y752" s="59" t="s">
        <v>121</v>
      </c>
      <c r="Z752" s="59">
        <v>66</v>
      </c>
      <c r="AA752" s="59">
        <v>14</v>
      </c>
      <c r="AB752" s="59">
        <f t="shared" si="75"/>
        <v>3.9393939393939394</v>
      </c>
      <c r="AC752" s="59">
        <f t="shared" si="76"/>
        <v>0.21212121212121213</v>
      </c>
      <c r="AD752" s="3" t="s">
        <v>54</v>
      </c>
      <c r="AE752" s="18">
        <v>260</v>
      </c>
      <c r="AG752" s="59" t="s">
        <v>148</v>
      </c>
      <c r="AH752" s="59">
        <v>27</v>
      </c>
      <c r="AI752" s="59">
        <v>4</v>
      </c>
      <c r="AJ752" s="59">
        <f>Sheet4!AM752/AH752</f>
        <v>3.9629629629629628</v>
      </c>
      <c r="AK752" s="59">
        <f t="shared" si="77"/>
        <v>0.14814814814814814</v>
      </c>
      <c r="AL752" s="3" t="s">
        <v>54</v>
      </c>
      <c r="AM752" s="18">
        <v>107</v>
      </c>
    </row>
    <row r="753" spans="1:39" x14ac:dyDescent="0.35">
      <c r="A753" s="41" t="s">
        <v>0</v>
      </c>
      <c r="B753" s="41">
        <v>70</v>
      </c>
      <c r="C753" s="41">
        <v>12</v>
      </c>
      <c r="D753" s="41">
        <f t="shared" si="69"/>
        <v>4.0571428571428569</v>
      </c>
      <c r="E753" s="41">
        <f t="shared" si="70"/>
        <v>0.17142857142857143</v>
      </c>
      <c r="G753">
        <v>284</v>
      </c>
      <c r="I753" s="41" t="s">
        <v>0</v>
      </c>
      <c r="J753" s="41">
        <v>70</v>
      </c>
      <c r="K753" s="41">
        <v>12</v>
      </c>
      <c r="L753" s="41">
        <f t="shared" si="71"/>
        <v>4.0571428571428569</v>
      </c>
      <c r="M753" s="41">
        <f t="shared" si="72"/>
        <v>0.17142857142857143</v>
      </c>
      <c r="O753">
        <v>284</v>
      </c>
      <c r="Q753" s="41" t="s">
        <v>0</v>
      </c>
      <c r="R753" s="41">
        <v>71</v>
      </c>
      <c r="S753" s="41">
        <v>12</v>
      </c>
      <c r="T753" s="41">
        <f t="shared" si="73"/>
        <v>4.042253521126761</v>
      </c>
      <c r="U753" s="41">
        <f t="shared" si="74"/>
        <v>0.16901408450704225</v>
      </c>
      <c r="W753" s="18">
        <v>287</v>
      </c>
      <c r="Y753" s="41" t="s">
        <v>125</v>
      </c>
      <c r="Z753" s="41">
        <v>21</v>
      </c>
      <c r="AA753" s="41">
        <v>1</v>
      </c>
      <c r="AB753" s="41">
        <f t="shared" si="75"/>
        <v>4</v>
      </c>
      <c r="AC753" s="41">
        <f t="shared" si="76"/>
        <v>4.7619047619047616E-2</v>
      </c>
      <c r="AD753" s="3" t="s">
        <v>45</v>
      </c>
      <c r="AE753" s="18">
        <v>84</v>
      </c>
      <c r="AG753" s="41" t="s">
        <v>125</v>
      </c>
      <c r="AH753" s="41">
        <v>21</v>
      </c>
      <c r="AI753" s="41">
        <v>1</v>
      </c>
      <c r="AJ753" s="41">
        <f>Sheet4!AM753/AH753</f>
        <v>4</v>
      </c>
      <c r="AK753" s="41">
        <f t="shared" si="77"/>
        <v>4.7619047619047616E-2</v>
      </c>
      <c r="AM753" s="18">
        <v>84</v>
      </c>
    </row>
    <row r="754" spans="1:39" x14ac:dyDescent="0.35">
      <c r="A754" s="41" t="s">
        <v>112</v>
      </c>
      <c r="B754" s="41">
        <v>22</v>
      </c>
      <c r="C754" s="41">
        <v>5</v>
      </c>
      <c r="D754" s="41">
        <f t="shared" si="69"/>
        <v>4.0909090909090908</v>
      </c>
      <c r="E754" s="41">
        <f t="shared" si="70"/>
        <v>0.22727272727272727</v>
      </c>
      <c r="G754">
        <v>90</v>
      </c>
      <c r="I754" s="41" t="s">
        <v>112</v>
      </c>
      <c r="J754" s="41">
        <v>22</v>
      </c>
      <c r="K754" s="41">
        <v>5</v>
      </c>
      <c r="L754" s="41">
        <f t="shared" si="71"/>
        <v>4.0909090909090908</v>
      </c>
      <c r="M754" s="41">
        <f t="shared" si="72"/>
        <v>0.22727272727272727</v>
      </c>
      <c r="O754">
        <v>90</v>
      </c>
      <c r="Q754" s="41" t="s">
        <v>3</v>
      </c>
      <c r="R754" s="41">
        <v>33</v>
      </c>
      <c r="S754" s="41">
        <v>5</v>
      </c>
      <c r="T754" s="41">
        <f t="shared" si="73"/>
        <v>4.0909090909090908</v>
      </c>
      <c r="U754" s="41">
        <f t="shared" si="74"/>
        <v>0.15151515151515152</v>
      </c>
      <c r="V754" s="2" t="s">
        <v>370</v>
      </c>
      <c r="W754" s="18">
        <v>135</v>
      </c>
      <c r="Y754" s="41" t="s">
        <v>0</v>
      </c>
      <c r="Z754" s="41">
        <v>71</v>
      </c>
      <c r="AA754" s="41">
        <v>12</v>
      </c>
      <c r="AB754" s="41">
        <f t="shared" si="75"/>
        <v>4.042253521126761</v>
      </c>
      <c r="AC754" s="41">
        <f t="shared" si="76"/>
        <v>0.16901408450704225</v>
      </c>
      <c r="AD754" s="3" t="s">
        <v>46</v>
      </c>
      <c r="AE754" s="18">
        <v>287</v>
      </c>
      <c r="AG754" s="41" t="s">
        <v>116</v>
      </c>
      <c r="AH754" s="41">
        <v>20</v>
      </c>
      <c r="AI754" s="41">
        <v>4</v>
      </c>
      <c r="AJ754" s="41">
        <f>Sheet4!AM754/AH754</f>
        <v>4.05</v>
      </c>
      <c r="AK754" s="41">
        <f t="shared" si="77"/>
        <v>0.2</v>
      </c>
      <c r="AL754" s="2" t="s">
        <v>44</v>
      </c>
      <c r="AM754" s="18">
        <v>81</v>
      </c>
    </row>
    <row r="755" spans="1:39" x14ac:dyDescent="0.35">
      <c r="A755" s="41" t="s">
        <v>104</v>
      </c>
      <c r="B755" s="41">
        <v>58</v>
      </c>
      <c r="C755" s="41">
        <v>4</v>
      </c>
      <c r="D755" s="41">
        <f t="shared" si="69"/>
        <v>4.1034482758620694</v>
      </c>
      <c r="E755" s="41">
        <f t="shared" si="70"/>
        <v>6.8965517241379309E-2</v>
      </c>
      <c r="G755" s="18">
        <v>238</v>
      </c>
      <c r="I755" s="41" t="s">
        <v>104</v>
      </c>
      <c r="J755" s="41">
        <v>58</v>
      </c>
      <c r="K755" s="41">
        <v>4</v>
      </c>
      <c r="L755" s="41">
        <f t="shared" si="71"/>
        <v>4.1034482758620694</v>
      </c>
      <c r="M755" s="41">
        <f t="shared" si="72"/>
        <v>6.8965517241379309E-2</v>
      </c>
      <c r="O755" s="18">
        <v>238</v>
      </c>
      <c r="Q755" s="41" t="s">
        <v>2</v>
      </c>
      <c r="R755" s="41">
        <v>28</v>
      </c>
      <c r="S755" s="41">
        <v>5</v>
      </c>
      <c r="T755" s="41">
        <f t="shared" si="73"/>
        <v>4.1428571428571432</v>
      </c>
      <c r="U755" s="41">
        <f t="shared" si="74"/>
        <v>0.17857142857142858</v>
      </c>
      <c r="W755">
        <v>116</v>
      </c>
      <c r="Y755" s="41" t="s">
        <v>116</v>
      </c>
      <c r="Z755" s="41">
        <v>20</v>
      </c>
      <c r="AA755" s="41">
        <v>4</v>
      </c>
      <c r="AB755" s="41">
        <f t="shared" si="75"/>
        <v>4.05</v>
      </c>
      <c r="AC755" s="41">
        <f t="shared" si="76"/>
        <v>0.2</v>
      </c>
      <c r="AD755" s="62" t="s">
        <v>478</v>
      </c>
      <c r="AE755" s="18">
        <v>81</v>
      </c>
      <c r="AG755" s="41" t="s">
        <v>0</v>
      </c>
      <c r="AH755" s="41">
        <v>74</v>
      </c>
      <c r="AI755" s="41">
        <v>13</v>
      </c>
      <c r="AJ755" s="41">
        <f>Sheet4!AM755/AH755</f>
        <v>4.0675675675675675</v>
      </c>
      <c r="AK755" s="41">
        <f t="shared" si="77"/>
        <v>0.17567567567567569</v>
      </c>
      <c r="AL755" s="3" t="s">
        <v>46</v>
      </c>
      <c r="AM755" s="18">
        <v>301</v>
      </c>
    </row>
    <row r="756" spans="1:39" x14ac:dyDescent="0.35">
      <c r="A756" s="41" t="s">
        <v>2</v>
      </c>
      <c r="B756" s="41">
        <v>28</v>
      </c>
      <c r="C756" s="41">
        <v>5</v>
      </c>
      <c r="D756" s="41">
        <f t="shared" si="69"/>
        <v>4.1428571428571432</v>
      </c>
      <c r="E756" s="41">
        <f t="shared" si="70"/>
        <v>0.17857142857142858</v>
      </c>
      <c r="G756">
        <v>116</v>
      </c>
      <c r="I756" s="41" t="s">
        <v>2</v>
      </c>
      <c r="J756" s="41">
        <v>28</v>
      </c>
      <c r="K756" s="41">
        <v>5</v>
      </c>
      <c r="L756" s="41">
        <f t="shared" si="71"/>
        <v>4.1428571428571432</v>
      </c>
      <c r="M756" s="41">
        <f t="shared" si="72"/>
        <v>0.17857142857142858</v>
      </c>
      <c r="O756">
        <v>116</v>
      </c>
      <c r="Q756" s="41" t="s">
        <v>104</v>
      </c>
      <c r="R756" s="41">
        <v>64</v>
      </c>
      <c r="S756" s="41">
        <v>4</v>
      </c>
      <c r="T756" s="41">
        <f t="shared" si="73"/>
        <v>4.171875</v>
      </c>
      <c r="U756" s="41">
        <f t="shared" si="74"/>
        <v>6.25E-2</v>
      </c>
      <c r="W756" s="18">
        <v>267</v>
      </c>
      <c r="Y756" s="41" t="s">
        <v>3</v>
      </c>
      <c r="Z756" s="41">
        <v>33</v>
      </c>
      <c r="AA756" s="41">
        <v>5</v>
      </c>
      <c r="AB756" s="41">
        <f t="shared" si="75"/>
        <v>4.0909090909090908</v>
      </c>
      <c r="AC756" s="41">
        <f t="shared" si="76"/>
        <v>0.15151515151515152</v>
      </c>
      <c r="AD756" s="3" t="s">
        <v>45</v>
      </c>
      <c r="AE756" s="18">
        <v>135</v>
      </c>
      <c r="AG756" s="41" t="s">
        <v>3</v>
      </c>
      <c r="AH756" s="41">
        <v>35</v>
      </c>
      <c r="AI756" s="41">
        <v>5</v>
      </c>
      <c r="AJ756" s="41">
        <f>Sheet4!AM756/AH756</f>
        <v>4.0857142857142854</v>
      </c>
      <c r="AK756" s="41">
        <f t="shared" si="77"/>
        <v>0.14285714285714285</v>
      </c>
      <c r="AM756" s="18">
        <v>143</v>
      </c>
    </row>
    <row r="757" spans="1:39" x14ac:dyDescent="0.35">
      <c r="A757" s="41" t="s">
        <v>22</v>
      </c>
      <c r="B757" s="41">
        <v>168</v>
      </c>
      <c r="C757" s="41">
        <v>25</v>
      </c>
      <c r="D757" s="41">
        <f t="shared" si="69"/>
        <v>4.1904761904761907</v>
      </c>
      <c r="E757" s="41">
        <f t="shared" si="70"/>
        <v>0.14880952380952381</v>
      </c>
      <c r="G757" s="18">
        <v>704</v>
      </c>
      <c r="I757" s="41" t="s">
        <v>22</v>
      </c>
      <c r="J757" s="41">
        <v>168</v>
      </c>
      <c r="K757" s="41">
        <v>25</v>
      </c>
      <c r="L757" s="41">
        <f t="shared" si="71"/>
        <v>4.1904761904761907</v>
      </c>
      <c r="M757" s="41">
        <f t="shared" si="72"/>
        <v>0.14880952380952381</v>
      </c>
      <c r="O757" s="18">
        <v>704</v>
      </c>
      <c r="Q757" s="41" t="s">
        <v>112</v>
      </c>
      <c r="R757" s="41">
        <v>23</v>
      </c>
      <c r="S757" s="41">
        <v>5</v>
      </c>
      <c r="T757" s="41">
        <f t="shared" si="73"/>
        <v>4.1739130434782608</v>
      </c>
      <c r="U757" s="41">
        <f t="shared" si="74"/>
        <v>0.21739130434782608</v>
      </c>
      <c r="V757" s="3" t="s">
        <v>54</v>
      </c>
      <c r="W757" s="18">
        <v>96</v>
      </c>
      <c r="Y757" s="41" t="s">
        <v>122</v>
      </c>
      <c r="Z757" s="41">
        <v>66</v>
      </c>
      <c r="AA757" s="41">
        <v>7</v>
      </c>
      <c r="AB757" s="41">
        <f t="shared" si="75"/>
        <v>4.1363636363636367</v>
      </c>
      <c r="AC757" s="41">
        <f t="shared" si="76"/>
        <v>0.10606060606060606</v>
      </c>
      <c r="AD757" s="3" t="s">
        <v>381</v>
      </c>
      <c r="AE757" s="18">
        <v>273</v>
      </c>
      <c r="AG757" s="41" t="s">
        <v>2</v>
      </c>
      <c r="AH757" s="41">
        <v>28</v>
      </c>
      <c r="AI757" s="41">
        <v>5</v>
      </c>
      <c r="AJ757" s="41">
        <f>Sheet4!AM757/AH757</f>
        <v>4.1428571428571432</v>
      </c>
      <c r="AK757" s="41">
        <f t="shared" si="77"/>
        <v>0.17857142857142858</v>
      </c>
      <c r="AL757" s="2" t="s">
        <v>44</v>
      </c>
      <c r="AM757">
        <v>116</v>
      </c>
    </row>
    <row r="758" spans="1:39" x14ac:dyDescent="0.35">
      <c r="A758" s="41" t="s">
        <v>21</v>
      </c>
      <c r="B758" s="41">
        <v>77</v>
      </c>
      <c r="C758" s="41">
        <v>12</v>
      </c>
      <c r="D758" s="41">
        <f t="shared" si="69"/>
        <v>4.2727272727272725</v>
      </c>
      <c r="E758" s="41">
        <f t="shared" si="70"/>
        <v>0.15584415584415584</v>
      </c>
      <c r="G758" s="18">
        <v>329</v>
      </c>
      <c r="I758" s="41" t="s">
        <v>21</v>
      </c>
      <c r="J758" s="41">
        <v>81</v>
      </c>
      <c r="K758" s="41">
        <v>13</v>
      </c>
      <c r="L758" s="41">
        <f t="shared" si="71"/>
        <v>4.2345679012345681</v>
      </c>
      <c r="M758" s="41">
        <f t="shared" si="72"/>
        <v>0.16049382716049382</v>
      </c>
      <c r="O758" s="18">
        <v>343</v>
      </c>
      <c r="Q758" s="41" t="s">
        <v>22</v>
      </c>
      <c r="R758" s="41">
        <v>169</v>
      </c>
      <c r="S758" s="41">
        <v>25</v>
      </c>
      <c r="T758" s="41">
        <f t="shared" si="73"/>
        <v>4.2071005917159763</v>
      </c>
      <c r="U758" s="41">
        <f t="shared" si="74"/>
        <v>0.14792899408284024</v>
      </c>
      <c r="V758" s="3" t="s">
        <v>46</v>
      </c>
      <c r="W758" s="18">
        <v>711</v>
      </c>
      <c r="Y758" s="41" t="s">
        <v>2</v>
      </c>
      <c r="Z758" s="41">
        <v>28</v>
      </c>
      <c r="AA758" s="41">
        <v>5</v>
      </c>
      <c r="AB758" s="41">
        <f t="shared" si="75"/>
        <v>4.1428571428571432</v>
      </c>
      <c r="AC758" s="41">
        <f t="shared" si="76"/>
        <v>0.17857142857142858</v>
      </c>
      <c r="AD758" s="3" t="s">
        <v>54</v>
      </c>
      <c r="AE758">
        <v>116</v>
      </c>
      <c r="AG758" s="41" t="s">
        <v>58</v>
      </c>
      <c r="AH758" s="41">
        <v>20</v>
      </c>
      <c r="AI758" s="41">
        <v>3</v>
      </c>
      <c r="AJ758" s="41">
        <f>Sheet4!AM758/AH758</f>
        <v>4.1500000000000004</v>
      </c>
      <c r="AK758" s="41">
        <f t="shared" si="77"/>
        <v>0.15</v>
      </c>
      <c r="AL758" s="11" t="s">
        <v>482</v>
      </c>
      <c r="AM758" s="18">
        <v>83</v>
      </c>
    </row>
    <row r="759" spans="1:39" x14ac:dyDescent="0.35">
      <c r="A759" s="32" t="s">
        <v>3</v>
      </c>
      <c r="B759" s="32">
        <v>29</v>
      </c>
      <c r="C759" s="32">
        <v>4</v>
      </c>
      <c r="D759" s="32">
        <f t="shared" si="69"/>
        <v>4.4137931034482758</v>
      </c>
      <c r="E759" s="32">
        <f t="shared" si="70"/>
        <v>0.13793103448275862</v>
      </c>
      <c r="F759" s="2" t="s">
        <v>370</v>
      </c>
      <c r="G759" s="18">
        <v>128</v>
      </c>
      <c r="I759" s="41" t="s">
        <v>3</v>
      </c>
      <c r="J759" s="41">
        <v>31</v>
      </c>
      <c r="K759" s="41">
        <v>4</v>
      </c>
      <c r="L759" s="41">
        <f t="shared" si="71"/>
        <v>4.258064516129032</v>
      </c>
      <c r="M759" s="41">
        <f t="shared" si="72"/>
        <v>0.12903225806451613</v>
      </c>
      <c r="O759" s="18">
        <v>132</v>
      </c>
      <c r="Q759" s="41" t="s">
        <v>50</v>
      </c>
      <c r="R759" s="41">
        <v>20</v>
      </c>
      <c r="S759" s="41">
        <v>1</v>
      </c>
      <c r="T759" s="41">
        <f t="shared" si="73"/>
        <v>4.25</v>
      </c>
      <c r="U759" s="41">
        <f t="shared" si="74"/>
        <v>0.05</v>
      </c>
      <c r="V759" s="11" t="s">
        <v>474</v>
      </c>
      <c r="W759" s="18">
        <v>85</v>
      </c>
      <c r="Y759" s="41" t="s">
        <v>104</v>
      </c>
      <c r="Z759" s="41">
        <v>64</v>
      </c>
      <c r="AA759" s="41">
        <v>4</v>
      </c>
      <c r="AB759" s="41">
        <f t="shared" si="75"/>
        <v>4.171875</v>
      </c>
      <c r="AC759" s="41">
        <f t="shared" si="76"/>
        <v>6.25E-2</v>
      </c>
      <c r="AD759" s="3" t="s">
        <v>54</v>
      </c>
      <c r="AE759" s="18">
        <v>267</v>
      </c>
      <c r="AG759" s="41" t="s">
        <v>22</v>
      </c>
      <c r="AH759" s="41">
        <v>172</v>
      </c>
      <c r="AI759" s="41">
        <v>25</v>
      </c>
      <c r="AJ759" s="41">
        <f>Sheet4!AM759/AH759</f>
        <v>4.2093023255813957</v>
      </c>
      <c r="AK759" s="41">
        <f t="shared" si="77"/>
        <v>0.14534883720930233</v>
      </c>
      <c r="AL759" s="2" t="s">
        <v>44</v>
      </c>
      <c r="AM759" s="18">
        <v>724</v>
      </c>
    </row>
    <row r="760" spans="1:39" x14ac:dyDescent="0.35">
      <c r="A760" s="32" t="s">
        <v>15</v>
      </c>
      <c r="B760" s="32">
        <v>156</v>
      </c>
      <c r="C760" s="32">
        <v>28</v>
      </c>
      <c r="D760" s="32">
        <f t="shared" si="69"/>
        <v>4.4294871794871797</v>
      </c>
      <c r="E760" s="32">
        <f t="shared" si="70"/>
        <v>0.17948717948717949</v>
      </c>
      <c r="F760" s="3" t="s">
        <v>46</v>
      </c>
      <c r="G760" s="18">
        <v>691</v>
      </c>
      <c r="I760" s="41" t="s">
        <v>123</v>
      </c>
      <c r="J760" s="41">
        <v>21</v>
      </c>
      <c r="K760" s="41">
        <v>3</v>
      </c>
      <c r="L760" s="41">
        <f t="shared" si="71"/>
        <v>4.2857142857142856</v>
      </c>
      <c r="M760" s="41">
        <f t="shared" si="72"/>
        <v>0.14285714285714285</v>
      </c>
      <c r="N760" s="10" t="s">
        <v>466</v>
      </c>
      <c r="O760" s="18">
        <v>90</v>
      </c>
      <c r="Q760" s="41" t="s">
        <v>21</v>
      </c>
      <c r="R760" s="41">
        <v>90</v>
      </c>
      <c r="S760" s="41">
        <v>15</v>
      </c>
      <c r="T760" s="41">
        <f t="shared" si="73"/>
        <v>4.2666666666666666</v>
      </c>
      <c r="U760" s="41">
        <f t="shared" si="74"/>
        <v>0.16666666666666666</v>
      </c>
      <c r="V760" s="3" t="s">
        <v>45</v>
      </c>
      <c r="W760" s="18">
        <v>384</v>
      </c>
      <c r="Y760" s="41" t="s">
        <v>22</v>
      </c>
      <c r="Z760" s="41">
        <v>171</v>
      </c>
      <c r="AA760" s="41">
        <v>25</v>
      </c>
      <c r="AB760" s="41">
        <f t="shared" si="75"/>
        <v>4.2105263157894735</v>
      </c>
      <c r="AC760" s="41">
        <f t="shared" si="76"/>
        <v>0.14619883040935672</v>
      </c>
      <c r="AD760" s="3" t="s">
        <v>45</v>
      </c>
      <c r="AE760" s="18">
        <v>720</v>
      </c>
      <c r="AG760" s="41" t="s">
        <v>115</v>
      </c>
      <c r="AH760" s="41">
        <v>22</v>
      </c>
      <c r="AI760" s="41">
        <v>2</v>
      </c>
      <c r="AJ760" s="41">
        <f>Sheet4!AM760/AH760</f>
        <v>4.2272727272727275</v>
      </c>
      <c r="AK760" s="41">
        <f t="shared" si="77"/>
        <v>9.0909090909090912E-2</v>
      </c>
      <c r="AL760" s="2" t="s">
        <v>44</v>
      </c>
      <c r="AM760" s="18">
        <v>93</v>
      </c>
    </row>
    <row r="761" spans="1:39" x14ac:dyDescent="0.35">
      <c r="A761" s="32" t="s">
        <v>129</v>
      </c>
      <c r="B761" s="32">
        <v>40</v>
      </c>
      <c r="C761" s="32">
        <v>7</v>
      </c>
      <c r="D761" s="32">
        <f t="shared" si="69"/>
        <v>4.45</v>
      </c>
      <c r="E761" s="32">
        <f t="shared" si="70"/>
        <v>0.17499999999999999</v>
      </c>
      <c r="F761" s="3" t="s">
        <v>46</v>
      </c>
      <c r="G761">
        <v>178</v>
      </c>
      <c r="I761" s="32" t="s">
        <v>115</v>
      </c>
      <c r="J761" s="32">
        <v>20</v>
      </c>
      <c r="K761" s="32">
        <v>1</v>
      </c>
      <c r="L761" s="32">
        <f t="shared" si="71"/>
        <v>4.4000000000000004</v>
      </c>
      <c r="M761" s="32">
        <f t="shared" si="72"/>
        <v>0.05</v>
      </c>
      <c r="N761" s="10" t="s">
        <v>468</v>
      </c>
      <c r="O761" s="18">
        <v>88</v>
      </c>
      <c r="Q761" s="41" t="s">
        <v>123</v>
      </c>
      <c r="R761" s="41">
        <v>21</v>
      </c>
      <c r="S761" s="41">
        <v>3</v>
      </c>
      <c r="T761" s="41">
        <f t="shared" si="73"/>
        <v>4.2857142857142856</v>
      </c>
      <c r="U761" s="41">
        <f t="shared" si="74"/>
        <v>0.14285714285714285</v>
      </c>
      <c r="V761" s="3" t="s">
        <v>46</v>
      </c>
      <c r="W761" s="18">
        <v>90</v>
      </c>
      <c r="Y761" s="41" t="s">
        <v>115</v>
      </c>
      <c r="Z761" s="41">
        <v>22</v>
      </c>
      <c r="AA761" s="41">
        <v>2</v>
      </c>
      <c r="AB761" s="41">
        <f t="shared" si="75"/>
        <v>4.2272727272727275</v>
      </c>
      <c r="AC761" s="41">
        <f t="shared" si="76"/>
        <v>9.0909090909090912E-2</v>
      </c>
      <c r="AD761" s="2" t="s">
        <v>44</v>
      </c>
      <c r="AE761" s="18">
        <v>93</v>
      </c>
      <c r="AG761" s="41" t="s">
        <v>122</v>
      </c>
      <c r="AH761" s="41">
        <v>72</v>
      </c>
      <c r="AI761" s="41">
        <v>7</v>
      </c>
      <c r="AJ761" s="41">
        <f>Sheet4!AM761/AH761</f>
        <v>4.2361111111111107</v>
      </c>
      <c r="AK761" s="41">
        <f t="shared" si="77"/>
        <v>9.7222222222222224E-2</v>
      </c>
      <c r="AL761" s="3" t="s">
        <v>55</v>
      </c>
      <c r="AM761" s="18">
        <v>305</v>
      </c>
    </row>
    <row r="762" spans="1:39" x14ac:dyDescent="0.35">
      <c r="A762" s="32" t="s">
        <v>8</v>
      </c>
      <c r="B762" s="32">
        <v>42</v>
      </c>
      <c r="C762" s="32">
        <v>5</v>
      </c>
      <c r="D762" s="32">
        <f t="shared" si="69"/>
        <v>4.5238095238095237</v>
      </c>
      <c r="E762" s="32">
        <f t="shared" si="70"/>
        <v>0.11904761904761904</v>
      </c>
      <c r="F762" s="2" t="s">
        <v>44</v>
      </c>
      <c r="G762">
        <v>190</v>
      </c>
      <c r="I762" s="32" t="s">
        <v>15</v>
      </c>
      <c r="J762" s="32">
        <v>164</v>
      </c>
      <c r="K762" s="32">
        <v>29</v>
      </c>
      <c r="L762" s="32">
        <f t="shared" si="71"/>
        <v>4.4390243902439028</v>
      </c>
      <c r="M762" s="32">
        <f t="shared" si="72"/>
        <v>0.17682926829268292</v>
      </c>
      <c r="N762" s="3" t="s">
        <v>45</v>
      </c>
      <c r="O762" s="18">
        <v>728</v>
      </c>
      <c r="Q762" s="32" t="s">
        <v>115</v>
      </c>
      <c r="R762" s="32">
        <v>20</v>
      </c>
      <c r="S762" s="32">
        <v>1</v>
      </c>
      <c r="T762" s="32">
        <f t="shared" si="73"/>
        <v>4.4000000000000004</v>
      </c>
      <c r="U762" s="32">
        <f t="shared" si="74"/>
        <v>0.05</v>
      </c>
      <c r="V762" s="3" t="s">
        <v>46</v>
      </c>
      <c r="W762" s="18">
        <v>88</v>
      </c>
      <c r="Y762" s="41" t="s">
        <v>50</v>
      </c>
      <c r="Z762" s="41">
        <v>20</v>
      </c>
      <c r="AA762" s="41">
        <v>1</v>
      </c>
      <c r="AB762" s="41">
        <f t="shared" si="75"/>
        <v>4.25</v>
      </c>
      <c r="AC762" s="41">
        <f t="shared" si="76"/>
        <v>0.05</v>
      </c>
      <c r="AD762" s="3" t="s">
        <v>54</v>
      </c>
      <c r="AE762" s="18">
        <v>85</v>
      </c>
      <c r="AG762" s="41" t="s">
        <v>63</v>
      </c>
      <c r="AH762" s="41">
        <v>21</v>
      </c>
      <c r="AI762" s="41">
        <v>3</v>
      </c>
      <c r="AJ762" s="41">
        <f>Sheet4!AM762/AH762</f>
        <v>4.2380952380952381</v>
      </c>
      <c r="AK762" s="41">
        <f t="shared" si="77"/>
        <v>0.14285714285714285</v>
      </c>
      <c r="AL762" s="20" t="s">
        <v>483</v>
      </c>
      <c r="AM762" s="18">
        <v>89</v>
      </c>
    </row>
    <row r="763" spans="1:39" x14ac:dyDescent="0.35">
      <c r="A763" s="32" t="s">
        <v>24</v>
      </c>
      <c r="B763" s="32">
        <v>82</v>
      </c>
      <c r="C763" s="32">
        <v>9</v>
      </c>
      <c r="D763" s="32">
        <f t="shared" si="69"/>
        <v>4.524390243902439</v>
      </c>
      <c r="E763" s="32">
        <f t="shared" si="70"/>
        <v>0.10975609756097561</v>
      </c>
      <c r="F763" s="3" t="s">
        <v>45</v>
      </c>
      <c r="G763" s="18">
        <v>371</v>
      </c>
      <c r="I763" s="32" t="s">
        <v>129</v>
      </c>
      <c r="J763" s="32">
        <v>40</v>
      </c>
      <c r="K763" s="32">
        <v>7</v>
      </c>
      <c r="L763" s="32">
        <f t="shared" si="71"/>
        <v>4.45</v>
      </c>
      <c r="M763" s="32">
        <f t="shared" si="72"/>
        <v>0.17499999999999999</v>
      </c>
      <c r="N763" s="3" t="s">
        <v>45</v>
      </c>
      <c r="O763">
        <v>178</v>
      </c>
      <c r="Q763" s="32" t="s">
        <v>15</v>
      </c>
      <c r="R763" s="32">
        <v>170</v>
      </c>
      <c r="S763" s="32">
        <v>30</v>
      </c>
      <c r="T763" s="32">
        <f t="shared" si="73"/>
        <v>4.447058823529412</v>
      </c>
      <c r="U763" s="32">
        <f t="shared" si="74"/>
        <v>0.17647058823529413</v>
      </c>
      <c r="V763" s="3" t="s">
        <v>46</v>
      </c>
      <c r="W763" s="18">
        <v>756</v>
      </c>
      <c r="Y763" s="41" t="s">
        <v>123</v>
      </c>
      <c r="Z763" s="41">
        <v>21</v>
      </c>
      <c r="AA763" s="41">
        <v>3</v>
      </c>
      <c r="AB763" s="41">
        <f t="shared" si="75"/>
        <v>4.2857142857142856</v>
      </c>
      <c r="AC763" s="41">
        <f t="shared" si="76"/>
        <v>0.14285714285714285</v>
      </c>
      <c r="AD763" s="3" t="s">
        <v>45</v>
      </c>
      <c r="AE763" s="18">
        <v>90</v>
      </c>
      <c r="AG763" s="41" t="s">
        <v>112</v>
      </c>
      <c r="AH763" s="41">
        <v>25</v>
      </c>
      <c r="AI763" s="41">
        <v>5</v>
      </c>
      <c r="AJ763" s="41">
        <f>Sheet4!AM763/AH763</f>
        <v>4.24</v>
      </c>
      <c r="AK763" s="41">
        <f t="shared" si="77"/>
        <v>0.2</v>
      </c>
      <c r="AL763" s="2" t="s">
        <v>44</v>
      </c>
      <c r="AM763" s="18">
        <v>106</v>
      </c>
    </row>
    <row r="764" spans="1:39" x14ac:dyDescent="0.35">
      <c r="A764" s="32" t="s">
        <v>1</v>
      </c>
      <c r="B764" s="32">
        <v>65</v>
      </c>
      <c r="C764" s="32">
        <v>4</v>
      </c>
      <c r="D764" s="32">
        <f t="shared" si="69"/>
        <v>4.5538461538461537</v>
      </c>
      <c r="E764" s="32">
        <f t="shared" si="70"/>
        <v>6.1538461538461542E-2</v>
      </c>
      <c r="F764" s="3" t="s">
        <v>45</v>
      </c>
      <c r="G764" s="18">
        <v>296</v>
      </c>
      <c r="I764" s="32" t="s">
        <v>24</v>
      </c>
      <c r="J764" s="32">
        <v>83</v>
      </c>
      <c r="K764" s="32">
        <v>10</v>
      </c>
      <c r="L764" s="32">
        <f t="shared" si="71"/>
        <v>4.4819277108433733</v>
      </c>
      <c r="M764" s="32">
        <f t="shared" si="72"/>
        <v>0.12048192771084337</v>
      </c>
      <c r="N764" s="3" t="s">
        <v>46</v>
      </c>
      <c r="O764" s="18">
        <v>372</v>
      </c>
      <c r="Q764" s="32" t="s">
        <v>129</v>
      </c>
      <c r="R764" s="32">
        <v>40</v>
      </c>
      <c r="S764" s="32">
        <v>7</v>
      </c>
      <c r="T764" s="32">
        <f t="shared" si="73"/>
        <v>4.45</v>
      </c>
      <c r="U764" s="32">
        <f t="shared" si="74"/>
        <v>0.17499999999999999</v>
      </c>
      <c r="V764" s="3" t="s">
        <v>46</v>
      </c>
      <c r="W764">
        <v>178</v>
      </c>
      <c r="Y764" s="41" t="s">
        <v>112</v>
      </c>
      <c r="Z764" s="41">
        <v>24</v>
      </c>
      <c r="AA764" s="41">
        <v>5</v>
      </c>
      <c r="AB764" s="41">
        <f t="shared" si="75"/>
        <v>4.291666666666667</v>
      </c>
      <c r="AC764" s="41">
        <f t="shared" si="76"/>
        <v>0.20833333333333334</v>
      </c>
      <c r="AD764" s="3" t="s">
        <v>69</v>
      </c>
      <c r="AE764" s="18">
        <v>103</v>
      </c>
      <c r="AG764" s="41" t="s">
        <v>50</v>
      </c>
      <c r="AH764" s="41">
        <v>20</v>
      </c>
      <c r="AI764" s="41">
        <v>1</v>
      </c>
      <c r="AJ764" s="41">
        <f>Sheet4!AM764/AH764</f>
        <v>4.25</v>
      </c>
      <c r="AK764" s="41">
        <f t="shared" si="77"/>
        <v>0.05</v>
      </c>
      <c r="AL764" s="3" t="s">
        <v>45</v>
      </c>
      <c r="AM764" s="18">
        <v>85</v>
      </c>
    </row>
    <row r="765" spans="1:39" x14ac:dyDescent="0.35">
      <c r="A765" s="32" t="s">
        <v>428</v>
      </c>
      <c r="B765" s="32">
        <v>21</v>
      </c>
      <c r="C765" s="32">
        <v>0</v>
      </c>
      <c r="D765" s="32">
        <f t="shared" si="69"/>
        <v>4.6190476190476186</v>
      </c>
      <c r="E765" s="32">
        <f t="shared" si="70"/>
        <v>0</v>
      </c>
      <c r="G765">
        <v>97</v>
      </c>
      <c r="I765" s="32" t="s">
        <v>8</v>
      </c>
      <c r="J765" s="32">
        <v>43</v>
      </c>
      <c r="K765" s="32">
        <v>5</v>
      </c>
      <c r="L765" s="32">
        <f t="shared" si="71"/>
        <v>4.4883720930232558</v>
      </c>
      <c r="M765" s="32">
        <f t="shared" si="72"/>
        <v>0.11627906976744186</v>
      </c>
      <c r="N765" s="3" t="s">
        <v>54</v>
      </c>
      <c r="O765" s="18">
        <v>193</v>
      </c>
      <c r="Q765" s="32" t="s">
        <v>8</v>
      </c>
      <c r="R765" s="32">
        <v>46</v>
      </c>
      <c r="S765" s="32">
        <v>5</v>
      </c>
      <c r="T765" s="32">
        <f t="shared" si="73"/>
        <v>4.4782608695652177</v>
      </c>
      <c r="U765" s="32">
        <f t="shared" si="74"/>
        <v>0.10869565217391304</v>
      </c>
      <c r="W765" s="18">
        <v>206</v>
      </c>
      <c r="Y765" s="41" t="s">
        <v>139</v>
      </c>
      <c r="Z765" s="41">
        <v>20</v>
      </c>
      <c r="AA765" s="41">
        <v>2</v>
      </c>
      <c r="AB765" s="41">
        <f t="shared" si="75"/>
        <v>4.3</v>
      </c>
      <c r="AC765" s="41">
        <f t="shared" si="76"/>
        <v>0.1</v>
      </c>
      <c r="AD765" s="62" t="s">
        <v>480</v>
      </c>
      <c r="AE765" s="18">
        <v>86</v>
      </c>
      <c r="AG765" s="41" t="s">
        <v>139</v>
      </c>
      <c r="AH765" s="41">
        <v>20</v>
      </c>
      <c r="AI765" s="41">
        <v>2</v>
      </c>
      <c r="AJ765" s="41">
        <f>Sheet4!AM765/AH765</f>
        <v>4.3</v>
      </c>
      <c r="AK765" s="41">
        <f t="shared" si="77"/>
        <v>0.1</v>
      </c>
      <c r="AM765" s="18">
        <v>86</v>
      </c>
    </row>
    <row r="766" spans="1:39" x14ac:dyDescent="0.35">
      <c r="A766" s="32" t="s">
        <v>13</v>
      </c>
      <c r="B766" s="32">
        <v>35</v>
      </c>
      <c r="C766" s="32">
        <v>2</v>
      </c>
      <c r="D766" s="32">
        <f t="shared" si="69"/>
        <v>4.628571428571429</v>
      </c>
      <c r="E766" s="32">
        <f t="shared" si="70"/>
        <v>5.7142857142857141E-2</v>
      </c>
      <c r="G766">
        <v>162</v>
      </c>
      <c r="I766" s="32" t="s">
        <v>61</v>
      </c>
      <c r="J766" s="32">
        <v>20</v>
      </c>
      <c r="K766" s="32">
        <v>5</v>
      </c>
      <c r="L766" s="32">
        <f t="shared" si="71"/>
        <v>4.5</v>
      </c>
      <c r="M766" s="32">
        <f t="shared" si="72"/>
        <v>0.25</v>
      </c>
      <c r="N766" s="57" t="s">
        <v>471</v>
      </c>
      <c r="O766" s="18">
        <v>90</v>
      </c>
      <c r="Q766" s="32" t="s">
        <v>24</v>
      </c>
      <c r="R766" s="32">
        <v>83</v>
      </c>
      <c r="S766" s="32">
        <v>10</v>
      </c>
      <c r="T766" s="32">
        <f t="shared" si="73"/>
        <v>4.4819277108433733</v>
      </c>
      <c r="U766" s="32">
        <f t="shared" si="74"/>
        <v>0.12048192771084337</v>
      </c>
      <c r="V766" s="3" t="s">
        <v>45</v>
      </c>
      <c r="W766" s="18">
        <v>372</v>
      </c>
      <c r="Y766" s="41" t="s">
        <v>21</v>
      </c>
      <c r="Z766" s="41">
        <v>96</v>
      </c>
      <c r="AA766" s="41">
        <v>16</v>
      </c>
      <c r="AB766" s="41">
        <f t="shared" si="75"/>
        <v>4.322916666666667</v>
      </c>
      <c r="AC766" s="41">
        <f t="shared" si="76"/>
        <v>0.16666666666666666</v>
      </c>
      <c r="AD766" s="3" t="s">
        <v>195</v>
      </c>
      <c r="AE766" s="18">
        <v>415</v>
      </c>
      <c r="AG766" s="41" t="s">
        <v>104</v>
      </c>
      <c r="AH766" s="41">
        <v>71</v>
      </c>
      <c r="AI766" s="41">
        <v>4</v>
      </c>
      <c r="AJ766" s="41">
        <f>Sheet4!AM766/AH766</f>
        <v>4.3380281690140849</v>
      </c>
      <c r="AK766" s="41">
        <f t="shared" si="77"/>
        <v>5.6338028169014086E-2</v>
      </c>
      <c r="AL766" s="3" t="s">
        <v>69</v>
      </c>
      <c r="AM766" s="18">
        <v>308</v>
      </c>
    </row>
    <row r="767" spans="1:39" x14ac:dyDescent="0.35">
      <c r="A767" s="32" t="s">
        <v>27</v>
      </c>
      <c r="B767" s="32">
        <v>27</v>
      </c>
      <c r="C767" s="32">
        <v>1</v>
      </c>
      <c r="D767" s="32">
        <f t="shared" si="69"/>
        <v>4.666666666666667</v>
      </c>
      <c r="E767" s="32">
        <f t="shared" si="70"/>
        <v>3.7037037037037035E-2</v>
      </c>
      <c r="G767">
        <v>126</v>
      </c>
      <c r="I767" s="32" t="s">
        <v>1</v>
      </c>
      <c r="J767" s="32">
        <v>71</v>
      </c>
      <c r="K767" s="32">
        <v>4</v>
      </c>
      <c r="L767" s="32">
        <f t="shared" si="71"/>
        <v>4.507042253521127</v>
      </c>
      <c r="M767" s="32">
        <f t="shared" si="72"/>
        <v>5.6338028169014086E-2</v>
      </c>
      <c r="N767" s="3" t="s">
        <v>54</v>
      </c>
      <c r="O767" s="18">
        <v>320</v>
      </c>
      <c r="Q767" s="32" t="s">
        <v>61</v>
      </c>
      <c r="R767" s="32">
        <v>20</v>
      </c>
      <c r="S767" s="32">
        <v>5</v>
      </c>
      <c r="T767" s="32">
        <f t="shared" si="73"/>
        <v>4.5</v>
      </c>
      <c r="U767" s="32">
        <f t="shared" si="74"/>
        <v>0.25</v>
      </c>
      <c r="V767" s="3" t="s">
        <v>46</v>
      </c>
      <c r="W767" s="18">
        <v>90</v>
      </c>
      <c r="Y767" s="32" t="s">
        <v>15</v>
      </c>
      <c r="Z767" s="32">
        <v>175</v>
      </c>
      <c r="AA767" s="32">
        <v>30</v>
      </c>
      <c r="AB767" s="32">
        <f t="shared" si="75"/>
        <v>4.4400000000000004</v>
      </c>
      <c r="AC767" s="32">
        <f t="shared" si="76"/>
        <v>0.17142857142857143</v>
      </c>
      <c r="AD767" s="3" t="s">
        <v>55</v>
      </c>
      <c r="AE767" s="18">
        <v>777</v>
      </c>
      <c r="AG767" s="41" t="s">
        <v>21</v>
      </c>
      <c r="AH767" s="41">
        <v>106</v>
      </c>
      <c r="AI767" s="41">
        <v>16</v>
      </c>
      <c r="AJ767" s="41">
        <f>Sheet4!AM767/AH767</f>
        <v>4.3773584905660377</v>
      </c>
      <c r="AK767" s="41">
        <f t="shared" si="77"/>
        <v>0.15094339622641509</v>
      </c>
      <c r="AL767" s="3" t="s">
        <v>46</v>
      </c>
      <c r="AM767" s="18">
        <v>464</v>
      </c>
    </row>
    <row r="768" spans="1:39" x14ac:dyDescent="0.35">
      <c r="A768" s="32" t="s">
        <v>14</v>
      </c>
      <c r="B768" s="32">
        <v>45</v>
      </c>
      <c r="C768" s="32">
        <v>3</v>
      </c>
      <c r="D768" s="32">
        <f t="shared" si="69"/>
        <v>4.7111111111111112</v>
      </c>
      <c r="E768" s="32">
        <f t="shared" si="70"/>
        <v>6.6666666666666666E-2</v>
      </c>
      <c r="G768">
        <v>212</v>
      </c>
      <c r="I768" s="32" t="s">
        <v>428</v>
      </c>
      <c r="J768" s="32">
        <v>21</v>
      </c>
      <c r="K768" s="32">
        <v>0</v>
      </c>
      <c r="L768" s="32">
        <f t="shared" si="71"/>
        <v>4.6190476190476186</v>
      </c>
      <c r="M768" s="32">
        <f t="shared" si="72"/>
        <v>0</v>
      </c>
      <c r="N768" s="3" t="s">
        <v>54</v>
      </c>
      <c r="O768">
        <v>97</v>
      </c>
      <c r="Q768" s="32" t="s">
        <v>1</v>
      </c>
      <c r="R768" s="32">
        <v>73</v>
      </c>
      <c r="S768" s="32">
        <v>4</v>
      </c>
      <c r="T768" s="32">
        <f t="shared" si="73"/>
        <v>4.5205479452054798</v>
      </c>
      <c r="U768" s="32">
        <f t="shared" si="74"/>
        <v>5.4794520547945202E-2</v>
      </c>
      <c r="V768" s="3" t="s">
        <v>46</v>
      </c>
      <c r="W768" s="18">
        <v>330</v>
      </c>
      <c r="Y768" s="32" t="s">
        <v>129</v>
      </c>
      <c r="Z768" s="32">
        <v>40</v>
      </c>
      <c r="AA768" s="32">
        <v>7</v>
      </c>
      <c r="AB768" s="32">
        <f t="shared" si="75"/>
        <v>4.45</v>
      </c>
      <c r="AC768" s="32">
        <f t="shared" si="76"/>
        <v>0.17499999999999999</v>
      </c>
      <c r="AD768" s="3" t="s">
        <v>55</v>
      </c>
      <c r="AE768">
        <v>178</v>
      </c>
      <c r="AG768" s="32" t="s">
        <v>123</v>
      </c>
      <c r="AH768" s="32">
        <v>22</v>
      </c>
      <c r="AI768" s="32">
        <v>3</v>
      </c>
      <c r="AJ768" s="32">
        <f>Sheet4!AM768/AH768</f>
        <v>4.4090909090909092</v>
      </c>
      <c r="AK768" s="32">
        <f t="shared" si="77"/>
        <v>0.13636363636363635</v>
      </c>
      <c r="AL768" s="3" t="s">
        <v>381</v>
      </c>
      <c r="AM768" s="18">
        <v>97</v>
      </c>
    </row>
    <row r="769" spans="1:39" x14ac:dyDescent="0.35">
      <c r="A769" s="32" t="s">
        <v>26</v>
      </c>
      <c r="B769" s="32">
        <v>20</v>
      </c>
      <c r="C769" s="32">
        <v>2</v>
      </c>
      <c r="D769" s="32">
        <f t="shared" si="69"/>
        <v>4.8</v>
      </c>
      <c r="E769" s="32">
        <f t="shared" si="70"/>
        <v>0.1</v>
      </c>
      <c r="F769" s="12" t="s">
        <v>464</v>
      </c>
      <c r="G769" s="18">
        <v>96</v>
      </c>
      <c r="I769" s="32" t="s">
        <v>13</v>
      </c>
      <c r="J769" s="32">
        <v>35</v>
      </c>
      <c r="K769" s="32">
        <v>2</v>
      </c>
      <c r="L769" s="32">
        <f t="shared" si="71"/>
        <v>4.628571428571429</v>
      </c>
      <c r="M769" s="32">
        <f t="shared" si="72"/>
        <v>5.7142857142857141E-2</v>
      </c>
      <c r="N769" s="3" t="s">
        <v>54</v>
      </c>
      <c r="O769">
        <v>162</v>
      </c>
      <c r="Q769" s="32" t="s">
        <v>428</v>
      </c>
      <c r="R769" s="32">
        <v>21</v>
      </c>
      <c r="S769" s="32">
        <v>0</v>
      </c>
      <c r="T769" s="32">
        <f t="shared" si="73"/>
        <v>4.6190476190476186</v>
      </c>
      <c r="U769" s="32">
        <f t="shared" si="74"/>
        <v>0</v>
      </c>
      <c r="V769" s="3" t="s">
        <v>46</v>
      </c>
      <c r="W769">
        <v>97</v>
      </c>
      <c r="Y769" s="32" t="s">
        <v>8</v>
      </c>
      <c r="Z769" s="32">
        <v>46</v>
      </c>
      <c r="AA769" s="32">
        <v>5</v>
      </c>
      <c r="AB769" s="32">
        <f t="shared" si="75"/>
        <v>4.4782608695652177</v>
      </c>
      <c r="AC769" s="32">
        <f t="shared" si="76"/>
        <v>0.10869565217391304</v>
      </c>
      <c r="AD769" s="3" t="s">
        <v>55</v>
      </c>
      <c r="AE769" s="18">
        <v>206</v>
      </c>
      <c r="AG769" s="32" t="s">
        <v>27</v>
      </c>
      <c r="AH769" s="32">
        <v>36</v>
      </c>
      <c r="AI769" s="32">
        <v>3</v>
      </c>
      <c r="AJ769" s="32">
        <f>Sheet4!AM769/AH769</f>
        <v>4.4444444444444446</v>
      </c>
      <c r="AK769" s="32">
        <f t="shared" si="77"/>
        <v>8.3333333333333329E-2</v>
      </c>
      <c r="AL769" s="2" t="s">
        <v>133</v>
      </c>
      <c r="AM769" s="18">
        <v>160</v>
      </c>
    </row>
    <row r="770" spans="1:39" x14ac:dyDescent="0.35">
      <c r="A770" s="38" t="s">
        <v>37</v>
      </c>
      <c r="B770" s="38">
        <v>21</v>
      </c>
      <c r="C770" s="38">
        <v>2</v>
      </c>
      <c r="D770" s="38">
        <f t="shared" si="69"/>
        <v>4.8571428571428568</v>
      </c>
      <c r="E770" s="38">
        <f t="shared" si="70"/>
        <v>9.5238095238095233E-2</v>
      </c>
      <c r="G770">
        <v>102</v>
      </c>
      <c r="I770" s="32" t="s">
        <v>27</v>
      </c>
      <c r="J770" s="32">
        <v>27</v>
      </c>
      <c r="K770" s="32">
        <v>1</v>
      </c>
      <c r="L770" s="32">
        <f t="shared" si="71"/>
        <v>4.666666666666667</v>
      </c>
      <c r="M770" s="32">
        <f t="shared" si="72"/>
        <v>3.7037037037037035E-2</v>
      </c>
      <c r="N770" s="3" t="s">
        <v>54</v>
      </c>
      <c r="O770">
        <v>126</v>
      </c>
      <c r="Q770" s="32" t="s">
        <v>14</v>
      </c>
      <c r="R770" s="32">
        <v>45</v>
      </c>
      <c r="S770" s="32">
        <v>3</v>
      </c>
      <c r="T770" s="32">
        <f t="shared" si="73"/>
        <v>4.7111111111111112</v>
      </c>
      <c r="U770" s="32">
        <f t="shared" si="74"/>
        <v>6.6666666666666666E-2</v>
      </c>
      <c r="V770" s="2" t="s">
        <v>44</v>
      </c>
      <c r="W770">
        <v>212</v>
      </c>
      <c r="Y770" s="32" t="s">
        <v>24</v>
      </c>
      <c r="Z770" s="32">
        <v>83</v>
      </c>
      <c r="AA770" s="32">
        <v>10</v>
      </c>
      <c r="AB770" s="32">
        <f t="shared" si="75"/>
        <v>4.4819277108433733</v>
      </c>
      <c r="AC770" s="32">
        <f t="shared" si="76"/>
        <v>0.12048192771084337</v>
      </c>
      <c r="AD770" s="3" t="s">
        <v>55</v>
      </c>
      <c r="AE770" s="18">
        <v>372</v>
      </c>
      <c r="AG770" s="32" t="s">
        <v>129</v>
      </c>
      <c r="AH770" s="32">
        <v>40</v>
      </c>
      <c r="AI770" s="32">
        <v>7</v>
      </c>
      <c r="AJ770" s="32">
        <f>Sheet4!AM770/AH770</f>
        <v>4.45</v>
      </c>
      <c r="AK770" s="32">
        <f t="shared" si="77"/>
        <v>0.17499999999999999</v>
      </c>
      <c r="AL770" s="3" t="s">
        <v>45</v>
      </c>
      <c r="AM770">
        <v>178</v>
      </c>
    </row>
    <row r="771" spans="1:39" x14ac:dyDescent="0.35">
      <c r="A771" s="38" t="s">
        <v>81</v>
      </c>
      <c r="B771" s="38">
        <v>33</v>
      </c>
      <c r="C771" s="38">
        <v>2</v>
      </c>
      <c r="D771" s="38">
        <f t="shared" si="69"/>
        <v>4.9393939393939394</v>
      </c>
      <c r="E771" s="38">
        <f t="shared" si="70"/>
        <v>6.0606060606060608E-2</v>
      </c>
      <c r="G771">
        <v>163</v>
      </c>
      <c r="I771" s="32" t="s">
        <v>14</v>
      </c>
      <c r="J771" s="32">
        <v>45</v>
      </c>
      <c r="K771" s="32">
        <v>3</v>
      </c>
      <c r="L771" s="32">
        <f t="shared" si="71"/>
        <v>4.7111111111111112</v>
      </c>
      <c r="M771" s="32">
        <f t="shared" si="72"/>
        <v>6.6666666666666666E-2</v>
      </c>
      <c r="N771" s="3" t="s">
        <v>54</v>
      </c>
      <c r="O771">
        <v>212</v>
      </c>
      <c r="Q771" s="32" t="s">
        <v>27</v>
      </c>
      <c r="R771" s="32">
        <v>28</v>
      </c>
      <c r="S771" s="32">
        <v>1</v>
      </c>
      <c r="T771" s="32">
        <f t="shared" si="73"/>
        <v>4.7142857142857144</v>
      </c>
      <c r="U771" s="32">
        <f t="shared" si="74"/>
        <v>3.5714285714285712E-2</v>
      </c>
      <c r="V771" s="3" t="s">
        <v>46</v>
      </c>
      <c r="W771" s="18">
        <v>132</v>
      </c>
      <c r="Y771" s="32" t="s">
        <v>61</v>
      </c>
      <c r="Z771" s="32">
        <v>20</v>
      </c>
      <c r="AA771" s="32">
        <v>5</v>
      </c>
      <c r="AB771" s="32">
        <f t="shared" si="75"/>
        <v>4.5</v>
      </c>
      <c r="AC771" s="32">
        <f t="shared" si="76"/>
        <v>0.25</v>
      </c>
      <c r="AD771" s="3" t="s">
        <v>55</v>
      </c>
      <c r="AE771" s="18">
        <v>90</v>
      </c>
      <c r="AG771" s="32" t="s">
        <v>15</v>
      </c>
      <c r="AH771" s="32">
        <v>182</v>
      </c>
      <c r="AI771" s="32">
        <v>31</v>
      </c>
      <c r="AJ771" s="32">
        <f>Sheet4!AM771/AH771</f>
        <v>4.4615384615384617</v>
      </c>
      <c r="AK771" s="32">
        <f t="shared" si="77"/>
        <v>0.17032967032967034</v>
      </c>
      <c r="AL771" s="3" t="s">
        <v>55</v>
      </c>
      <c r="AM771" s="18">
        <v>812</v>
      </c>
    </row>
    <row r="772" spans="1:39" x14ac:dyDescent="0.35">
      <c r="A772" s="38" t="s">
        <v>87</v>
      </c>
      <c r="B772" s="38">
        <v>27</v>
      </c>
      <c r="C772" s="38">
        <v>5</v>
      </c>
      <c r="D772" s="38">
        <f t="shared" si="69"/>
        <v>5.0370370370370372</v>
      </c>
      <c r="E772" s="38">
        <f t="shared" si="70"/>
        <v>0.18518518518518517</v>
      </c>
      <c r="F772" s="3" t="s">
        <v>54</v>
      </c>
      <c r="G772" s="18">
        <v>136</v>
      </c>
      <c r="I772" s="38" t="s">
        <v>26</v>
      </c>
      <c r="J772" s="38">
        <v>22</v>
      </c>
      <c r="K772" s="38">
        <v>2</v>
      </c>
      <c r="L772" s="38">
        <f t="shared" si="71"/>
        <v>4.8636363636363633</v>
      </c>
      <c r="M772" s="38">
        <f t="shared" si="72"/>
        <v>9.0909090909090912E-2</v>
      </c>
      <c r="N772" s="3" t="s">
        <v>54</v>
      </c>
      <c r="O772" s="18">
        <v>107</v>
      </c>
      <c r="Q772" s="32" t="s">
        <v>13</v>
      </c>
      <c r="R772" s="32">
        <v>36</v>
      </c>
      <c r="S772" s="32">
        <v>2</v>
      </c>
      <c r="T772" s="32">
        <f t="shared" si="73"/>
        <v>4.7222222222222223</v>
      </c>
      <c r="U772" s="32">
        <f t="shared" si="74"/>
        <v>5.5555555555555552E-2</v>
      </c>
      <c r="V772" s="3" t="s">
        <v>54</v>
      </c>
      <c r="W772" s="18">
        <v>170</v>
      </c>
      <c r="Y772" s="32" t="s">
        <v>1</v>
      </c>
      <c r="Z772" s="32">
        <v>78</v>
      </c>
      <c r="AA772" s="32">
        <v>4</v>
      </c>
      <c r="AB772" s="32">
        <f t="shared" si="75"/>
        <v>4.5128205128205128</v>
      </c>
      <c r="AC772" s="32">
        <f t="shared" si="76"/>
        <v>5.128205128205128E-2</v>
      </c>
      <c r="AD772" s="3" t="s">
        <v>55</v>
      </c>
      <c r="AE772" s="18">
        <v>352</v>
      </c>
      <c r="AG772" s="32" t="s">
        <v>8</v>
      </c>
      <c r="AH772" s="32">
        <v>46</v>
      </c>
      <c r="AI772" s="32">
        <v>5</v>
      </c>
      <c r="AJ772" s="32">
        <f>Sheet4!AM772/AH772</f>
        <v>4.4782608695652177</v>
      </c>
      <c r="AK772" s="32">
        <f t="shared" si="77"/>
        <v>0.10869565217391304</v>
      </c>
      <c r="AL772" s="3" t="s">
        <v>54</v>
      </c>
      <c r="AM772" s="18">
        <v>206</v>
      </c>
    </row>
    <row r="773" spans="1:39" x14ac:dyDescent="0.35">
      <c r="A773" s="38" t="s">
        <v>105</v>
      </c>
      <c r="B773" s="38">
        <v>20</v>
      </c>
      <c r="C773" s="38">
        <v>0</v>
      </c>
      <c r="D773" s="38">
        <f t="shared" si="69"/>
        <v>5.05</v>
      </c>
      <c r="E773" s="38">
        <f t="shared" si="70"/>
        <v>0</v>
      </c>
      <c r="G773">
        <v>101</v>
      </c>
      <c r="I773" s="38" t="s">
        <v>37</v>
      </c>
      <c r="J773" s="38">
        <v>22</v>
      </c>
      <c r="K773" s="38">
        <v>2</v>
      </c>
      <c r="L773" s="38">
        <f t="shared" si="71"/>
        <v>4.9090909090909092</v>
      </c>
      <c r="M773" s="38">
        <f t="shared" si="72"/>
        <v>9.0909090909090912E-2</v>
      </c>
      <c r="N773" s="3" t="s">
        <v>54</v>
      </c>
      <c r="O773" s="18">
        <v>108</v>
      </c>
      <c r="Q773" s="38" t="s">
        <v>81</v>
      </c>
      <c r="R773" s="38">
        <v>42</v>
      </c>
      <c r="S773" s="38">
        <v>2</v>
      </c>
      <c r="T773" s="38">
        <f t="shared" si="73"/>
        <v>4.9047619047619051</v>
      </c>
      <c r="U773" s="38">
        <f t="shared" si="74"/>
        <v>4.7619047619047616E-2</v>
      </c>
      <c r="V773" s="2" t="s">
        <v>44</v>
      </c>
      <c r="W773" s="18">
        <v>206</v>
      </c>
      <c r="Y773" s="32" t="s">
        <v>27</v>
      </c>
      <c r="Z773" s="32">
        <v>29</v>
      </c>
      <c r="AA773" s="32">
        <v>2</v>
      </c>
      <c r="AB773" s="32">
        <f t="shared" si="75"/>
        <v>4.5862068965517242</v>
      </c>
      <c r="AC773" s="32">
        <f t="shared" si="76"/>
        <v>6.8965517241379309E-2</v>
      </c>
      <c r="AD773" s="3" t="s">
        <v>45</v>
      </c>
      <c r="AE773" s="18">
        <v>133</v>
      </c>
      <c r="AG773" s="32" t="s">
        <v>24</v>
      </c>
      <c r="AH773" s="32">
        <v>83</v>
      </c>
      <c r="AI773" s="32">
        <v>10</v>
      </c>
      <c r="AJ773" s="32">
        <f>Sheet4!AM773/AH773</f>
        <v>4.4819277108433733</v>
      </c>
      <c r="AK773" s="32">
        <f t="shared" si="77"/>
        <v>0.12048192771084337</v>
      </c>
      <c r="AL773" s="3" t="s">
        <v>54</v>
      </c>
      <c r="AM773" s="18">
        <v>372</v>
      </c>
    </row>
    <row r="774" spans="1:39" x14ac:dyDescent="0.35">
      <c r="A774" s="38" t="s">
        <v>51</v>
      </c>
      <c r="B774" s="38">
        <v>23</v>
      </c>
      <c r="C774" s="38">
        <v>1</v>
      </c>
      <c r="D774" s="38">
        <f t="shared" si="69"/>
        <v>5.0869565217391308</v>
      </c>
      <c r="E774" s="38">
        <f t="shared" si="70"/>
        <v>4.3478260869565216E-2</v>
      </c>
      <c r="F774" s="3" t="s">
        <v>45</v>
      </c>
      <c r="G774" s="18">
        <v>117</v>
      </c>
      <c r="I774" s="38" t="s">
        <v>81</v>
      </c>
      <c r="J774" s="38">
        <v>36</v>
      </c>
      <c r="K774" s="38">
        <v>2</v>
      </c>
      <c r="L774" s="38">
        <f t="shared" si="71"/>
        <v>5</v>
      </c>
      <c r="M774" s="38">
        <f t="shared" si="72"/>
        <v>5.5555555555555552E-2</v>
      </c>
      <c r="N774" s="3" t="s">
        <v>54</v>
      </c>
      <c r="O774" s="18">
        <v>180</v>
      </c>
      <c r="Q774" s="38" t="s">
        <v>37</v>
      </c>
      <c r="R774" s="38">
        <v>22</v>
      </c>
      <c r="S774" s="38">
        <v>2</v>
      </c>
      <c r="T774" s="38">
        <f t="shared" si="73"/>
        <v>4.9090909090909092</v>
      </c>
      <c r="U774" s="38">
        <f t="shared" si="74"/>
        <v>9.0909090909090912E-2</v>
      </c>
      <c r="V774" s="3" t="s">
        <v>46</v>
      </c>
      <c r="W774" s="18">
        <v>108</v>
      </c>
      <c r="Y774" s="32" t="s">
        <v>428</v>
      </c>
      <c r="Z774" s="32">
        <v>21</v>
      </c>
      <c r="AA774" s="32">
        <v>0</v>
      </c>
      <c r="AB774" s="32">
        <f t="shared" si="75"/>
        <v>4.6190476190476186</v>
      </c>
      <c r="AC774" s="32">
        <f t="shared" si="76"/>
        <v>0</v>
      </c>
      <c r="AD774" s="3" t="s">
        <v>381</v>
      </c>
      <c r="AE774">
        <v>97</v>
      </c>
      <c r="AG774" s="32" t="s">
        <v>1</v>
      </c>
      <c r="AH774" s="32">
        <v>81</v>
      </c>
      <c r="AI774" s="32">
        <v>4</v>
      </c>
      <c r="AJ774" s="32">
        <f>Sheet4!AM774/AH774</f>
        <v>4.4938271604938276</v>
      </c>
      <c r="AK774" s="32">
        <f t="shared" si="77"/>
        <v>4.9382716049382713E-2</v>
      </c>
      <c r="AL774" s="3" t="s">
        <v>45</v>
      </c>
      <c r="AM774" s="18">
        <v>364</v>
      </c>
    </row>
    <row r="775" spans="1:39" x14ac:dyDescent="0.35">
      <c r="A775" s="38" t="s">
        <v>79</v>
      </c>
      <c r="B775" s="38">
        <v>23</v>
      </c>
      <c r="C775" s="38">
        <v>0</v>
      </c>
      <c r="D775" s="38">
        <f t="shared" si="69"/>
        <v>5.0869565217391308</v>
      </c>
      <c r="E775" s="38">
        <f t="shared" si="70"/>
        <v>0</v>
      </c>
      <c r="F775" s="3" t="s">
        <v>46</v>
      </c>
      <c r="G775">
        <v>117</v>
      </c>
      <c r="I775" s="38" t="s">
        <v>105</v>
      </c>
      <c r="J775" s="38">
        <v>20</v>
      </c>
      <c r="K775" s="38">
        <v>0</v>
      </c>
      <c r="L775" s="38">
        <f t="shared" si="71"/>
        <v>5.05</v>
      </c>
      <c r="M775" s="38">
        <f t="shared" si="72"/>
        <v>0</v>
      </c>
      <c r="N775" s="3" t="s">
        <v>45</v>
      </c>
      <c r="O775">
        <v>101</v>
      </c>
      <c r="Q775" s="38" t="s">
        <v>105</v>
      </c>
      <c r="R775" s="38">
        <v>20</v>
      </c>
      <c r="S775" s="38">
        <v>0</v>
      </c>
      <c r="T775" s="38">
        <f t="shared" si="73"/>
        <v>5.05</v>
      </c>
      <c r="U775" s="38">
        <f t="shared" si="74"/>
        <v>0</v>
      </c>
      <c r="W775">
        <v>101</v>
      </c>
      <c r="Y775" s="32" t="s">
        <v>14</v>
      </c>
      <c r="Z775" s="32">
        <v>45</v>
      </c>
      <c r="AA775" s="32">
        <v>3</v>
      </c>
      <c r="AB775" s="32">
        <f t="shared" ref="AB775:AB795" si="78">AE775/Z775</f>
        <v>4.7111111111111112</v>
      </c>
      <c r="AC775" s="32">
        <f t="shared" ref="AC775:AC795" si="79">AA775/Z775</f>
        <v>6.6666666666666666E-2</v>
      </c>
      <c r="AD775" s="3" t="s">
        <v>381</v>
      </c>
      <c r="AE775">
        <v>212</v>
      </c>
      <c r="AG775" s="32" t="s">
        <v>61</v>
      </c>
      <c r="AH775" s="32">
        <v>23</v>
      </c>
      <c r="AI775" s="32">
        <v>6</v>
      </c>
      <c r="AJ775" s="32">
        <f>Sheet4!AM775/AH775</f>
        <v>4.5217391304347823</v>
      </c>
      <c r="AK775" s="32">
        <f t="shared" ref="AK775:AK797" si="80">AI775/AH775</f>
        <v>0.2608695652173913</v>
      </c>
      <c r="AL775" s="3" t="s">
        <v>55</v>
      </c>
      <c r="AM775" s="18">
        <v>104</v>
      </c>
    </row>
    <row r="776" spans="1:39" x14ac:dyDescent="0.35">
      <c r="A776" s="38" t="s">
        <v>25</v>
      </c>
      <c r="B776" s="38">
        <v>60</v>
      </c>
      <c r="C776" s="38">
        <v>4</v>
      </c>
      <c r="D776" s="38">
        <f t="shared" si="69"/>
        <v>5.1333333333333337</v>
      </c>
      <c r="E776" s="38">
        <f t="shared" si="70"/>
        <v>6.6666666666666666E-2</v>
      </c>
      <c r="G776" s="18">
        <v>308</v>
      </c>
      <c r="I776" s="38" t="s">
        <v>51</v>
      </c>
      <c r="J776" s="38">
        <v>26</v>
      </c>
      <c r="K776" s="38">
        <v>1</v>
      </c>
      <c r="L776" s="38">
        <f t="shared" si="71"/>
        <v>5.0769230769230766</v>
      </c>
      <c r="M776" s="38">
        <f t="shared" si="72"/>
        <v>3.8461538461538464E-2</v>
      </c>
      <c r="N776" s="3" t="s">
        <v>45</v>
      </c>
      <c r="O776" s="18">
        <v>132</v>
      </c>
      <c r="Q776" s="38" t="s">
        <v>51</v>
      </c>
      <c r="R776" s="38">
        <v>26</v>
      </c>
      <c r="S776" s="38">
        <v>1</v>
      </c>
      <c r="T776" s="38">
        <f t="shared" si="73"/>
        <v>5.0769230769230766</v>
      </c>
      <c r="U776" s="38">
        <f t="shared" si="74"/>
        <v>3.8461538461538464E-2</v>
      </c>
      <c r="W776" s="18">
        <v>132</v>
      </c>
      <c r="Y776" s="32" t="s">
        <v>13</v>
      </c>
      <c r="Z776" s="32">
        <v>36</v>
      </c>
      <c r="AA776" s="32">
        <v>2</v>
      </c>
      <c r="AB776" s="32">
        <f t="shared" si="78"/>
        <v>4.7222222222222223</v>
      </c>
      <c r="AC776" s="32">
        <f t="shared" si="79"/>
        <v>5.5555555555555552E-2</v>
      </c>
      <c r="AD776" s="3" t="s">
        <v>55</v>
      </c>
      <c r="AE776" s="18">
        <v>170</v>
      </c>
      <c r="AG776" s="32" t="s">
        <v>428</v>
      </c>
      <c r="AH776" s="32">
        <v>21</v>
      </c>
      <c r="AI776" s="32">
        <v>0</v>
      </c>
      <c r="AJ776" s="32">
        <f>Sheet4!AM776/AH776</f>
        <v>4.6190476190476186</v>
      </c>
      <c r="AK776" s="32">
        <f t="shared" si="80"/>
        <v>0</v>
      </c>
      <c r="AL776" s="3" t="s">
        <v>45</v>
      </c>
      <c r="AM776">
        <v>97</v>
      </c>
    </row>
    <row r="777" spans="1:39" x14ac:dyDescent="0.35">
      <c r="A777" s="38" t="s">
        <v>30</v>
      </c>
      <c r="B777" s="38">
        <v>23</v>
      </c>
      <c r="C777" s="38">
        <v>3</v>
      </c>
      <c r="D777" s="38">
        <f t="shared" si="69"/>
        <v>5.1739130434782608</v>
      </c>
      <c r="E777" s="38">
        <f t="shared" si="70"/>
        <v>0.13043478260869565</v>
      </c>
      <c r="F777" s="3" t="s">
        <v>45</v>
      </c>
      <c r="G777" s="18">
        <v>119</v>
      </c>
      <c r="I777" s="38" t="s">
        <v>79</v>
      </c>
      <c r="J777" s="38">
        <v>23</v>
      </c>
      <c r="K777" s="38">
        <v>0</v>
      </c>
      <c r="L777" s="38">
        <f t="shared" si="71"/>
        <v>5.0869565217391308</v>
      </c>
      <c r="M777" s="38">
        <f t="shared" si="72"/>
        <v>0</v>
      </c>
      <c r="N777" s="3" t="s">
        <v>45</v>
      </c>
      <c r="O777">
        <v>117</v>
      </c>
      <c r="Q777" s="38" t="s">
        <v>79</v>
      </c>
      <c r="R777" s="38">
        <v>23</v>
      </c>
      <c r="S777" s="38">
        <v>0</v>
      </c>
      <c r="T777" s="38">
        <f t="shared" si="73"/>
        <v>5.0869565217391308</v>
      </c>
      <c r="U777" s="38">
        <f t="shared" si="74"/>
        <v>0</v>
      </c>
      <c r="W777">
        <v>117</v>
      </c>
      <c r="Y777" s="38" t="s">
        <v>81</v>
      </c>
      <c r="Z777" s="38">
        <v>42</v>
      </c>
      <c r="AA777" s="38">
        <v>2</v>
      </c>
      <c r="AB777" s="38">
        <f t="shared" si="78"/>
        <v>4.9047619047619051</v>
      </c>
      <c r="AC777" s="38">
        <f t="shared" si="79"/>
        <v>4.7619047619047616E-2</v>
      </c>
      <c r="AD777" s="3" t="s">
        <v>55</v>
      </c>
      <c r="AE777" s="18">
        <v>206</v>
      </c>
      <c r="AG777" s="32" t="s">
        <v>14</v>
      </c>
      <c r="AH777" s="32">
        <v>45</v>
      </c>
      <c r="AI777" s="32">
        <v>3</v>
      </c>
      <c r="AJ777" s="32">
        <f>Sheet4!AM777/AH777</f>
        <v>4.7111111111111112</v>
      </c>
      <c r="AK777" s="32">
        <f t="shared" si="80"/>
        <v>6.6666666666666666E-2</v>
      </c>
      <c r="AL777" s="3" t="s">
        <v>45</v>
      </c>
      <c r="AM777">
        <v>212</v>
      </c>
    </row>
    <row r="778" spans="1:39" x14ac:dyDescent="0.35">
      <c r="A778" s="38" t="s">
        <v>20</v>
      </c>
      <c r="B778" s="38">
        <v>21</v>
      </c>
      <c r="C778" s="38">
        <v>2</v>
      </c>
      <c r="D778" s="38">
        <f t="shared" si="69"/>
        <v>5.1904761904761907</v>
      </c>
      <c r="E778" s="38">
        <f t="shared" si="70"/>
        <v>9.5238095238095233E-2</v>
      </c>
      <c r="F778" s="3" t="s">
        <v>46</v>
      </c>
      <c r="G778">
        <v>109</v>
      </c>
      <c r="I778" s="38" t="s">
        <v>25</v>
      </c>
      <c r="J778" s="38">
        <v>64</v>
      </c>
      <c r="K778" s="38">
        <v>4</v>
      </c>
      <c r="L778" s="38">
        <f t="shared" si="71"/>
        <v>5.09375</v>
      </c>
      <c r="M778" s="38">
        <f t="shared" si="72"/>
        <v>6.25E-2</v>
      </c>
      <c r="N778" s="3" t="s">
        <v>45</v>
      </c>
      <c r="O778" s="18">
        <v>326</v>
      </c>
      <c r="Q778" s="38" t="s">
        <v>25</v>
      </c>
      <c r="R778" s="38">
        <v>64</v>
      </c>
      <c r="S778" s="38">
        <v>4</v>
      </c>
      <c r="T778" s="38">
        <f t="shared" si="73"/>
        <v>5.09375</v>
      </c>
      <c r="U778" s="38">
        <f t="shared" si="74"/>
        <v>6.25E-2</v>
      </c>
      <c r="W778" s="18">
        <v>326</v>
      </c>
      <c r="Y778" s="38" t="s">
        <v>37</v>
      </c>
      <c r="Z778" s="38">
        <v>22</v>
      </c>
      <c r="AA778" s="38">
        <v>2</v>
      </c>
      <c r="AB778" s="38">
        <f t="shared" si="78"/>
        <v>4.9090909090909092</v>
      </c>
      <c r="AC778" s="38">
        <f t="shared" si="79"/>
        <v>9.0909090909090912E-2</v>
      </c>
      <c r="AD778" s="3" t="s">
        <v>55</v>
      </c>
      <c r="AE778" s="18">
        <v>108</v>
      </c>
      <c r="AG778" s="32" t="s">
        <v>13</v>
      </c>
      <c r="AH778" s="32">
        <v>36</v>
      </c>
      <c r="AI778" s="32">
        <v>2</v>
      </c>
      <c r="AJ778" s="32">
        <f>Sheet4!AM778/AH778</f>
        <v>4.7222222222222223</v>
      </c>
      <c r="AK778" s="32">
        <f t="shared" si="80"/>
        <v>5.5555555555555552E-2</v>
      </c>
      <c r="AL778" s="3" t="s">
        <v>45</v>
      </c>
      <c r="AM778" s="18">
        <v>170</v>
      </c>
    </row>
    <row r="779" spans="1:39" x14ac:dyDescent="0.35">
      <c r="A779" s="38" t="s">
        <v>31</v>
      </c>
      <c r="B779" s="38">
        <v>87</v>
      </c>
      <c r="C779" s="38">
        <v>6</v>
      </c>
      <c r="D779" s="38">
        <f t="shared" si="69"/>
        <v>5.3563218390804597</v>
      </c>
      <c r="E779" s="38">
        <f t="shared" si="70"/>
        <v>6.8965517241379309E-2</v>
      </c>
      <c r="F779" s="3" t="s">
        <v>46</v>
      </c>
      <c r="G779" s="18">
        <v>466</v>
      </c>
      <c r="I779" s="38" t="s">
        <v>30</v>
      </c>
      <c r="J779" s="38">
        <v>23</v>
      </c>
      <c r="K779" s="38">
        <v>3</v>
      </c>
      <c r="L779" s="38">
        <f t="shared" si="71"/>
        <v>5.1739130434782608</v>
      </c>
      <c r="M779" s="38">
        <f t="shared" si="72"/>
        <v>0.13043478260869565</v>
      </c>
      <c r="N779" s="3" t="s">
        <v>45</v>
      </c>
      <c r="O779" s="18">
        <v>119</v>
      </c>
      <c r="Q779" s="38" t="s">
        <v>26</v>
      </c>
      <c r="R779" s="38">
        <v>24</v>
      </c>
      <c r="S779" s="38">
        <v>2</v>
      </c>
      <c r="T779" s="38">
        <f t="shared" si="73"/>
        <v>5.125</v>
      </c>
      <c r="U779" s="38">
        <f t="shared" si="74"/>
        <v>8.3333333333333329E-2</v>
      </c>
      <c r="V779" s="3" t="s">
        <v>69</v>
      </c>
      <c r="W779" s="18">
        <v>123</v>
      </c>
      <c r="Y779" s="38" t="s">
        <v>51</v>
      </c>
      <c r="Z779" s="38">
        <v>29</v>
      </c>
      <c r="AA779" s="38">
        <v>2</v>
      </c>
      <c r="AB779" s="38">
        <f t="shared" si="78"/>
        <v>4.9655172413793105</v>
      </c>
      <c r="AC779" s="38">
        <f t="shared" si="79"/>
        <v>6.8965517241379309E-2</v>
      </c>
      <c r="AD779" s="3" t="s">
        <v>54</v>
      </c>
      <c r="AE779" s="18">
        <v>144</v>
      </c>
      <c r="AG779" s="38" t="s">
        <v>37</v>
      </c>
      <c r="AH779" s="38">
        <v>22</v>
      </c>
      <c r="AI779" s="38">
        <v>2</v>
      </c>
      <c r="AJ779" s="38">
        <f>Sheet4!AM779/AH779</f>
        <v>4.9090909090909092</v>
      </c>
      <c r="AK779" s="38">
        <f t="shared" si="80"/>
        <v>9.0909090909090912E-2</v>
      </c>
      <c r="AL779" s="3" t="s">
        <v>46</v>
      </c>
      <c r="AM779" s="18">
        <v>108</v>
      </c>
    </row>
    <row r="780" spans="1:39" x14ac:dyDescent="0.35">
      <c r="A780" s="38" t="s">
        <v>6</v>
      </c>
      <c r="B780" s="38">
        <v>44</v>
      </c>
      <c r="C780" s="38">
        <v>3</v>
      </c>
      <c r="D780" s="38">
        <f t="shared" si="69"/>
        <v>5.3863636363636367</v>
      </c>
      <c r="E780" s="38">
        <f t="shared" si="70"/>
        <v>6.8181818181818177E-2</v>
      </c>
      <c r="F780" s="3" t="s">
        <v>46</v>
      </c>
      <c r="G780">
        <v>237</v>
      </c>
      <c r="I780" s="38" t="s">
        <v>20</v>
      </c>
      <c r="J780" s="38">
        <v>22</v>
      </c>
      <c r="K780" s="38">
        <v>2</v>
      </c>
      <c r="L780" s="38">
        <f t="shared" si="71"/>
        <v>5.1818181818181817</v>
      </c>
      <c r="M780" s="38">
        <f t="shared" si="72"/>
        <v>9.0909090909090912E-2</v>
      </c>
      <c r="N780" s="3" t="s">
        <v>45</v>
      </c>
      <c r="O780" s="18">
        <v>114</v>
      </c>
      <c r="Q780" s="38" t="s">
        <v>30</v>
      </c>
      <c r="R780" s="38">
        <v>23</v>
      </c>
      <c r="S780" s="38">
        <v>3</v>
      </c>
      <c r="T780" s="38">
        <f t="shared" si="73"/>
        <v>5.1739130434782608</v>
      </c>
      <c r="U780" s="38">
        <f t="shared" si="74"/>
        <v>0.13043478260869565</v>
      </c>
      <c r="V780" s="3" t="s">
        <v>46</v>
      </c>
      <c r="W780" s="18">
        <v>119</v>
      </c>
      <c r="Y780" s="38" t="s">
        <v>105</v>
      </c>
      <c r="Z780" s="38">
        <v>20</v>
      </c>
      <c r="AA780" s="38">
        <v>0</v>
      </c>
      <c r="AB780" s="38">
        <f t="shared" si="78"/>
        <v>5.05</v>
      </c>
      <c r="AC780" s="38">
        <f t="shared" si="79"/>
        <v>0</v>
      </c>
      <c r="AD780" s="3" t="s">
        <v>381</v>
      </c>
      <c r="AE780">
        <v>101</v>
      </c>
      <c r="AG780" s="38" t="s">
        <v>87</v>
      </c>
      <c r="AH780" s="38">
        <v>48</v>
      </c>
      <c r="AI780" s="38">
        <v>7</v>
      </c>
      <c r="AJ780" s="38">
        <f>Sheet4!AM780/AH780</f>
        <v>4.916666666666667</v>
      </c>
      <c r="AK780" s="38">
        <f t="shared" si="80"/>
        <v>0.14583333333333334</v>
      </c>
      <c r="AL780" s="2" t="s">
        <v>47</v>
      </c>
      <c r="AM780" s="18">
        <v>236</v>
      </c>
    </row>
    <row r="781" spans="1:39" x14ac:dyDescent="0.35">
      <c r="A781" s="43" t="s">
        <v>90</v>
      </c>
      <c r="B781" s="43">
        <v>27</v>
      </c>
      <c r="C781" s="43">
        <v>3</v>
      </c>
      <c r="D781" s="43">
        <f t="shared" si="69"/>
        <v>5.4074074074074074</v>
      </c>
      <c r="E781" s="43">
        <f t="shared" si="70"/>
        <v>0.1111111111111111</v>
      </c>
      <c r="F781" s="3" t="s">
        <v>46</v>
      </c>
      <c r="G781">
        <v>146</v>
      </c>
      <c r="I781" s="38" t="s">
        <v>87</v>
      </c>
      <c r="J781" s="38">
        <v>33</v>
      </c>
      <c r="K781" s="38">
        <v>5</v>
      </c>
      <c r="L781" s="38">
        <f t="shared" si="71"/>
        <v>5.2424242424242422</v>
      </c>
      <c r="M781" s="38">
        <f t="shared" si="72"/>
        <v>0.15151515151515152</v>
      </c>
      <c r="N781" s="3" t="s">
        <v>469</v>
      </c>
      <c r="O781" s="18">
        <v>173</v>
      </c>
      <c r="Q781" s="38" t="s">
        <v>20</v>
      </c>
      <c r="R781" s="38">
        <v>22</v>
      </c>
      <c r="S781" s="38">
        <v>2</v>
      </c>
      <c r="T781" s="38">
        <f t="shared" si="73"/>
        <v>5.1818181818181817</v>
      </c>
      <c r="U781" s="38">
        <f t="shared" si="74"/>
        <v>9.0909090909090912E-2</v>
      </c>
      <c r="V781" s="3" t="s">
        <v>46</v>
      </c>
      <c r="W781" s="18">
        <v>114</v>
      </c>
      <c r="Y781" s="38" t="s">
        <v>79</v>
      </c>
      <c r="Z781" s="38">
        <v>23</v>
      </c>
      <c r="AA781" s="38">
        <v>0</v>
      </c>
      <c r="AB781" s="38">
        <f t="shared" si="78"/>
        <v>5.0869565217391308</v>
      </c>
      <c r="AC781" s="38">
        <f t="shared" si="79"/>
        <v>0</v>
      </c>
      <c r="AD781" s="3" t="s">
        <v>55</v>
      </c>
      <c r="AE781">
        <v>117</v>
      </c>
      <c r="AG781" s="38" t="s">
        <v>30</v>
      </c>
      <c r="AH781" s="38">
        <v>31</v>
      </c>
      <c r="AI781" s="38">
        <v>3</v>
      </c>
      <c r="AJ781" s="38">
        <f>Sheet4!AM781/AH781</f>
        <v>4.967741935483871</v>
      </c>
      <c r="AK781" s="38">
        <f t="shared" si="80"/>
        <v>9.6774193548387094E-2</v>
      </c>
      <c r="AL781" s="2" t="s">
        <v>88</v>
      </c>
      <c r="AM781" s="18">
        <v>154</v>
      </c>
    </row>
    <row r="782" spans="1:39" x14ac:dyDescent="0.35">
      <c r="A782" s="43" t="s">
        <v>33</v>
      </c>
      <c r="B782" s="43">
        <v>41</v>
      </c>
      <c r="C782" s="43">
        <v>2</v>
      </c>
      <c r="D782" s="43">
        <f t="shared" si="69"/>
        <v>5.5365853658536581</v>
      </c>
      <c r="E782" s="43">
        <f t="shared" si="70"/>
        <v>4.878048780487805E-2</v>
      </c>
      <c r="F782" s="3" t="s">
        <v>46</v>
      </c>
      <c r="G782" s="18">
        <v>227</v>
      </c>
      <c r="I782" s="43" t="s">
        <v>33</v>
      </c>
      <c r="J782" s="43">
        <v>51</v>
      </c>
      <c r="K782" s="43">
        <v>4</v>
      </c>
      <c r="L782" s="43">
        <f t="shared" si="71"/>
        <v>5.3529411764705879</v>
      </c>
      <c r="M782" s="43">
        <f t="shared" si="72"/>
        <v>7.8431372549019607E-2</v>
      </c>
      <c r="O782" s="18">
        <v>273</v>
      </c>
      <c r="Q782" s="38" t="s">
        <v>87</v>
      </c>
      <c r="R782" s="38">
        <v>34</v>
      </c>
      <c r="S782" s="38">
        <v>5</v>
      </c>
      <c r="T782" s="38">
        <f t="shared" si="73"/>
        <v>5.2352941176470589</v>
      </c>
      <c r="U782" s="38">
        <f t="shared" si="74"/>
        <v>0.14705882352941177</v>
      </c>
      <c r="V782" s="3" t="s">
        <v>46</v>
      </c>
      <c r="W782" s="18">
        <v>178</v>
      </c>
      <c r="Y782" s="38" t="s">
        <v>87</v>
      </c>
      <c r="Z782" s="38">
        <v>39</v>
      </c>
      <c r="AA782" s="38">
        <v>6</v>
      </c>
      <c r="AB782" s="38">
        <f t="shared" si="78"/>
        <v>5.1025641025641022</v>
      </c>
      <c r="AC782" s="38">
        <f t="shared" si="79"/>
        <v>0.15384615384615385</v>
      </c>
      <c r="AE782" s="18">
        <v>199</v>
      </c>
      <c r="AG782" s="38" t="s">
        <v>25</v>
      </c>
      <c r="AH782" s="38">
        <v>81</v>
      </c>
      <c r="AI782" s="38">
        <v>8</v>
      </c>
      <c r="AJ782" s="38">
        <f>Sheet4!AM782/AH782</f>
        <v>4.9876543209876543</v>
      </c>
      <c r="AK782" s="38">
        <f t="shared" si="80"/>
        <v>9.8765432098765427E-2</v>
      </c>
      <c r="AL782" s="2" t="s">
        <v>44</v>
      </c>
      <c r="AM782" s="18">
        <v>404</v>
      </c>
    </row>
    <row r="783" spans="1:39" x14ac:dyDescent="0.35">
      <c r="A783" s="43" t="s">
        <v>49</v>
      </c>
      <c r="B783" s="43">
        <v>45</v>
      </c>
      <c r="C783" s="43">
        <v>2</v>
      </c>
      <c r="D783" s="43">
        <f t="shared" si="69"/>
        <v>5.7111111111111112</v>
      </c>
      <c r="E783" s="43">
        <f t="shared" si="70"/>
        <v>4.4444444444444446E-2</v>
      </c>
      <c r="F783" s="3" t="s">
        <v>46</v>
      </c>
      <c r="G783" s="18">
        <v>257</v>
      </c>
      <c r="I783" s="43" t="s">
        <v>6</v>
      </c>
      <c r="J783" s="43">
        <v>45</v>
      </c>
      <c r="K783" s="43">
        <v>3</v>
      </c>
      <c r="L783" s="43">
        <f t="shared" si="71"/>
        <v>5.3555555555555552</v>
      </c>
      <c r="M783" s="43">
        <f t="shared" si="72"/>
        <v>6.6666666666666666E-2</v>
      </c>
      <c r="N783" s="3" t="s">
        <v>54</v>
      </c>
      <c r="O783" s="18">
        <v>241</v>
      </c>
      <c r="Q783" s="38" t="s">
        <v>56</v>
      </c>
      <c r="R783" s="38">
        <v>20</v>
      </c>
      <c r="S783" s="38">
        <v>0</v>
      </c>
      <c r="T783" s="38">
        <f t="shared" si="73"/>
        <v>5.25</v>
      </c>
      <c r="U783" s="38">
        <f t="shared" si="74"/>
        <v>0</v>
      </c>
      <c r="V783" s="3" t="s">
        <v>473</v>
      </c>
      <c r="W783" s="18">
        <v>105</v>
      </c>
      <c r="Y783" s="38" t="s">
        <v>25</v>
      </c>
      <c r="Z783" s="38">
        <v>70</v>
      </c>
      <c r="AA783" s="38">
        <v>5</v>
      </c>
      <c r="AB783" s="38">
        <f t="shared" si="78"/>
        <v>5.1142857142857139</v>
      </c>
      <c r="AC783" s="38">
        <f t="shared" si="79"/>
        <v>7.1428571428571425E-2</v>
      </c>
      <c r="AD783" s="3" t="s">
        <v>381</v>
      </c>
      <c r="AE783" s="18">
        <v>358</v>
      </c>
      <c r="AG783" s="38" t="s">
        <v>79</v>
      </c>
      <c r="AH783" s="38">
        <v>25</v>
      </c>
      <c r="AI783" s="38">
        <v>1</v>
      </c>
      <c r="AJ783" s="38">
        <f>Sheet4!AM783/AH783</f>
        <v>5</v>
      </c>
      <c r="AK783" s="38">
        <f t="shared" si="80"/>
        <v>0.04</v>
      </c>
      <c r="AL783" s="3" t="s">
        <v>45</v>
      </c>
      <c r="AM783" s="18">
        <v>125</v>
      </c>
    </row>
    <row r="784" spans="1:39" x14ac:dyDescent="0.35">
      <c r="A784" s="43" t="s">
        <v>401</v>
      </c>
      <c r="B784" s="43">
        <v>29</v>
      </c>
      <c r="C784" s="43">
        <v>1</v>
      </c>
      <c r="D784" s="43">
        <f t="shared" si="69"/>
        <v>6.2068965517241379</v>
      </c>
      <c r="E784" s="43">
        <f t="shared" si="70"/>
        <v>3.4482758620689655E-2</v>
      </c>
      <c r="F784" s="3" t="s">
        <v>46</v>
      </c>
      <c r="G784">
        <v>180</v>
      </c>
      <c r="I784" s="43" t="s">
        <v>90</v>
      </c>
      <c r="J784" s="43">
        <v>27</v>
      </c>
      <c r="K784" s="43">
        <v>3</v>
      </c>
      <c r="L784" s="43">
        <f t="shared" si="71"/>
        <v>5.4074074074074074</v>
      </c>
      <c r="M784" s="43">
        <f t="shared" si="72"/>
        <v>0.1111111111111111</v>
      </c>
      <c r="N784" s="3" t="s">
        <v>54</v>
      </c>
      <c r="O784">
        <v>146</v>
      </c>
      <c r="Q784" s="43" t="s">
        <v>6</v>
      </c>
      <c r="R784" s="43">
        <v>45</v>
      </c>
      <c r="S784" s="43">
        <v>3</v>
      </c>
      <c r="T784" s="43">
        <f t="shared" si="73"/>
        <v>5.3555555555555552</v>
      </c>
      <c r="U784" s="43">
        <f t="shared" si="74"/>
        <v>6.6666666666666666E-2</v>
      </c>
      <c r="V784" s="3" t="s">
        <v>46</v>
      </c>
      <c r="W784" s="18">
        <v>241</v>
      </c>
      <c r="Y784" s="38" t="s">
        <v>26</v>
      </c>
      <c r="Z784" s="38">
        <v>24</v>
      </c>
      <c r="AA784" s="38">
        <v>2</v>
      </c>
      <c r="AB784" s="38">
        <f t="shared" si="78"/>
        <v>5.125</v>
      </c>
      <c r="AC784" s="38">
        <f t="shared" si="79"/>
        <v>8.3333333333333329E-2</v>
      </c>
      <c r="AD784" s="3" t="s">
        <v>381</v>
      </c>
      <c r="AE784" s="18">
        <v>123</v>
      </c>
      <c r="AG784" s="38" t="s">
        <v>81</v>
      </c>
      <c r="AH784" s="38">
        <v>44</v>
      </c>
      <c r="AI784" s="38">
        <v>2</v>
      </c>
      <c r="AJ784" s="38">
        <f>Sheet4!AM784/AH784</f>
        <v>5.0227272727272725</v>
      </c>
      <c r="AK784" s="38">
        <f t="shared" si="80"/>
        <v>4.5454545454545456E-2</v>
      </c>
      <c r="AL784" s="3" t="s">
        <v>69</v>
      </c>
      <c r="AM784" s="18">
        <v>221</v>
      </c>
    </row>
    <row r="785" spans="1:39" x14ac:dyDescent="0.35">
      <c r="I785" s="43" t="s">
        <v>31</v>
      </c>
      <c r="J785" s="43">
        <v>95</v>
      </c>
      <c r="K785" s="43">
        <v>6</v>
      </c>
      <c r="L785" s="43">
        <f t="shared" si="71"/>
        <v>5.4842105263157892</v>
      </c>
      <c r="M785" s="43">
        <f t="shared" si="72"/>
        <v>6.3157894736842107E-2</v>
      </c>
      <c r="N785" s="3" t="s">
        <v>470</v>
      </c>
      <c r="O785" s="18">
        <v>521</v>
      </c>
      <c r="Q785" s="43" t="s">
        <v>90</v>
      </c>
      <c r="R785" s="43">
        <v>27</v>
      </c>
      <c r="S785" s="43">
        <v>3</v>
      </c>
      <c r="T785" s="43">
        <f t="shared" si="73"/>
        <v>5.4074074074074074</v>
      </c>
      <c r="U785" s="43">
        <f t="shared" si="74"/>
        <v>0.1111111111111111</v>
      </c>
      <c r="V785" s="3" t="s">
        <v>46</v>
      </c>
      <c r="W785">
        <v>146</v>
      </c>
      <c r="Y785" s="38" t="s">
        <v>20</v>
      </c>
      <c r="Z785" s="38">
        <v>22</v>
      </c>
      <c r="AA785" s="38">
        <v>2</v>
      </c>
      <c r="AB785" s="38">
        <f t="shared" si="78"/>
        <v>5.1818181818181817</v>
      </c>
      <c r="AC785" s="38">
        <f t="shared" si="79"/>
        <v>9.0909090909090912E-2</v>
      </c>
      <c r="AD785" s="3" t="s">
        <v>55</v>
      </c>
      <c r="AE785" s="18">
        <v>114</v>
      </c>
      <c r="AG785" s="38" t="s">
        <v>105</v>
      </c>
      <c r="AH785" s="38">
        <v>20</v>
      </c>
      <c r="AI785" s="38">
        <v>0</v>
      </c>
      <c r="AJ785" s="38">
        <f>Sheet4!AM785/AH785</f>
        <v>5.05</v>
      </c>
      <c r="AK785" s="38">
        <f t="shared" si="80"/>
        <v>0</v>
      </c>
      <c r="AL785" s="3" t="s">
        <v>381</v>
      </c>
      <c r="AM785">
        <v>101</v>
      </c>
    </row>
    <row r="786" spans="1:39" x14ac:dyDescent="0.35">
      <c r="I786" s="43" t="s">
        <v>19</v>
      </c>
      <c r="J786" s="43">
        <v>20</v>
      </c>
      <c r="K786" s="43">
        <v>1</v>
      </c>
      <c r="L786" s="43">
        <f t="shared" si="71"/>
        <v>5.6</v>
      </c>
      <c r="M786" s="43">
        <f t="shared" si="72"/>
        <v>0.05</v>
      </c>
      <c r="N786" s="58" t="s">
        <v>467</v>
      </c>
      <c r="O786" s="18">
        <v>112</v>
      </c>
      <c r="Q786" s="43" t="s">
        <v>31</v>
      </c>
      <c r="R786" s="43">
        <v>101</v>
      </c>
      <c r="S786" s="43">
        <v>6</v>
      </c>
      <c r="T786" s="43">
        <f t="shared" si="73"/>
        <v>5.435643564356436</v>
      </c>
      <c r="U786" s="43">
        <f t="shared" si="74"/>
        <v>5.9405940594059403E-2</v>
      </c>
      <c r="V786" s="3" t="s">
        <v>46</v>
      </c>
      <c r="W786" s="18">
        <v>549</v>
      </c>
      <c r="Y786" s="38" t="s">
        <v>30</v>
      </c>
      <c r="Z786" s="38">
        <v>26</v>
      </c>
      <c r="AA786" s="38">
        <v>3</v>
      </c>
      <c r="AB786" s="38">
        <f t="shared" si="78"/>
        <v>5.2307692307692308</v>
      </c>
      <c r="AC786" s="38">
        <f t="shared" si="79"/>
        <v>0.11538461538461539</v>
      </c>
      <c r="AD786" s="3" t="s">
        <v>195</v>
      </c>
      <c r="AE786" s="18">
        <v>136</v>
      </c>
      <c r="AG786" s="38" t="s">
        <v>51</v>
      </c>
      <c r="AH786" s="38">
        <v>33</v>
      </c>
      <c r="AI786" s="38">
        <v>2</v>
      </c>
      <c r="AJ786" s="38">
        <f>Sheet4!AM786/AH786</f>
        <v>5.0606060606060606</v>
      </c>
      <c r="AK786" s="38">
        <f t="shared" si="80"/>
        <v>6.0606060606060608E-2</v>
      </c>
      <c r="AL786" s="3" t="s">
        <v>69</v>
      </c>
      <c r="AM786" s="18">
        <v>167</v>
      </c>
    </row>
    <row r="787" spans="1:39" x14ac:dyDescent="0.35">
      <c r="I787" s="43" t="s">
        <v>49</v>
      </c>
      <c r="J787" s="43">
        <v>48</v>
      </c>
      <c r="K787" s="43">
        <v>2</v>
      </c>
      <c r="L787" s="43">
        <f t="shared" si="71"/>
        <v>5.708333333333333</v>
      </c>
      <c r="M787" s="43">
        <f t="shared" si="72"/>
        <v>4.1666666666666664E-2</v>
      </c>
      <c r="N787" s="3" t="s">
        <v>55</v>
      </c>
      <c r="O787" s="18">
        <v>274</v>
      </c>
      <c r="Q787" s="43" t="s">
        <v>33</v>
      </c>
      <c r="R787" s="43">
        <v>59</v>
      </c>
      <c r="S787" s="43">
        <v>4</v>
      </c>
      <c r="T787" s="43">
        <f t="shared" si="73"/>
        <v>5.5254237288135597</v>
      </c>
      <c r="U787" s="43">
        <f t="shared" si="74"/>
        <v>6.7796610169491525E-2</v>
      </c>
      <c r="V787" s="3" t="s">
        <v>475</v>
      </c>
      <c r="W787" s="18">
        <v>326</v>
      </c>
      <c r="Y787" s="61" t="s">
        <v>6</v>
      </c>
      <c r="Z787" s="61">
        <v>45</v>
      </c>
      <c r="AA787" s="61">
        <v>3</v>
      </c>
      <c r="AB787" s="61">
        <f t="shared" si="78"/>
        <v>5.3555555555555552</v>
      </c>
      <c r="AC787" s="61">
        <f t="shared" si="79"/>
        <v>6.6666666666666666E-2</v>
      </c>
      <c r="AD787" s="3" t="s">
        <v>54</v>
      </c>
      <c r="AE787" s="18">
        <v>241</v>
      </c>
      <c r="AG787" s="38" t="s">
        <v>20</v>
      </c>
      <c r="AH787" s="38">
        <v>22</v>
      </c>
      <c r="AI787" s="38">
        <v>2</v>
      </c>
      <c r="AJ787" s="38">
        <f>Sheet4!AM787/AH787</f>
        <v>5.1818181818181817</v>
      </c>
      <c r="AK787" s="38">
        <f t="shared" si="80"/>
        <v>9.0909090909090912E-2</v>
      </c>
      <c r="AL787" s="3" t="s">
        <v>45</v>
      </c>
      <c r="AM787" s="18">
        <v>114</v>
      </c>
    </row>
    <row r="788" spans="1:39" x14ac:dyDescent="0.35">
      <c r="I788" s="43" t="s">
        <v>401</v>
      </c>
      <c r="J788" s="43">
        <v>32</v>
      </c>
      <c r="K788" s="43">
        <v>1</v>
      </c>
      <c r="L788" s="43">
        <f t="shared" si="71"/>
        <v>6.21875</v>
      </c>
      <c r="M788" s="43">
        <f t="shared" si="72"/>
        <v>3.125E-2</v>
      </c>
      <c r="N788" s="3" t="s">
        <v>55</v>
      </c>
      <c r="O788" s="18">
        <v>199</v>
      </c>
      <c r="Q788" s="43" t="s">
        <v>19</v>
      </c>
      <c r="R788" s="43">
        <v>20</v>
      </c>
      <c r="S788" s="43">
        <v>1</v>
      </c>
      <c r="T788" s="43">
        <f t="shared" si="73"/>
        <v>5.6</v>
      </c>
      <c r="U788" s="43">
        <f t="shared" si="74"/>
        <v>0.05</v>
      </c>
      <c r="V788" s="3" t="s">
        <v>45</v>
      </c>
      <c r="W788" s="18">
        <v>112</v>
      </c>
      <c r="Y788" s="61" t="s">
        <v>56</v>
      </c>
      <c r="Z788" s="61">
        <v>21</v>
      </c>
      <c r="AA788" s="61">
        <v>0</v>
      </c>
      <c r="AB788" s="61">
        <f t="shared" si="78"/>
        <v>5.3809523809523814</v>
      </c>
      <c r="AC788" s="61">
        <f t="shared" si="79"/>
        <v>0</v>
      </c>
      <c r="AD788" s="3" t="s">
        <v>381</v>
      </c>
      <c r="AE788" s="18">
        <v>113</v>
      </c>
      <c r="AG788" s="45" t="s">
        <v>19</v>
      </c>
      <c r="AH788" s="45">
        <v>23</v>
      </c>
      <c r="AI788" s="45">
        <v>1</v>
      </c>
      <c r="AJ788" s="45">
        <f>Sheet4!AM788/AH788</f>
        <v>5.3478260869565215</v>
      </c>
      <c r="AK788" s="45">
        <f t="shared" si="80"/>
        <v>4.3478260869565216E-2</v>
      </c>
      <c r="AL788" s="2" t="s">
        <v>370</v>
      </c>
      <c r="AM788" s="18">
        <v>123</v>
      </c>
    </row>
    <row r="789" spans="1:39" x14ac:dyDescent="0.35">
      <c r="Q789" s="43" t="s">
        <v>49</v>
      </c>
      <c r="R789" s="43">
        <v>49</v>
      </c>
      <c r="S789" s="43">
        <v>2</v>
      </c>
      <c r="T789" s="43">
        <f t="shared" si="73"/>
        <v>5.7346938775510203</v>
      </c>
      <c r="U789" s="43">
        <f t="shared" si="74"/>
        <v>4.0816326530612242E-2</v>
      </c>
      <c r="V789" s="3" t="s">
        <v>45</v>
      </c>
      <c r="W789" s="18">
        <v>281</v>
      </c>
      <c r="Y789" s="61" t="s">
        <v>31</v>
      </c>
      <c r="Z789" s="61">
        <v>106</v>
      </c>
      <c r="AA789" s="61">
        <v>7</v>
      </c>
      <c r="AB789" s="61">
        <f t="shared" si="78"/>
        <v>5.3867924528301883</v>
      </c>
      <c r="AC789" s="61">
        <f t="shared" si="79"/>
        <v>6.6037735849056603E-2</v>
      </c>
      <c r="AD789" s="3" t="s">
        <v>54</v>
      </c>
      <c r="AE789" s="18">
        <v>571</v>
      </c>
      <c r="AG789" s="45" t="s">
        <v>6</v>
      </c>
      <c r="AH789" s="45">
        <v>45</v>
      </c>
      <c r="AI789" s="45">
        <v>3</v>
      </c>
      <c r="AJ789" s="45">
        <f>Sheet4!AM789/AH789</f>
        <v>5.3555555555555552</v>
      </c>
      <c r="AK789" s="45">
        <f t="shared" si="80"/>
        <v>6.6666666666666666E-2</v>
      </c>
      <c r="AL789" s="3" t="s">
        <v>45</v>
      </c>
      <c r="AM789" s="18">
        <v>241</v>
      </c>
    </row>
    <row r="790" spans="1:39" x14ac:dyDescent="0.35">
      <c r="Q790" s="43" t="s">
        <v>401</v>
      </c>
      <c r="R790" s="43">
        <v>35</v>
      </c>
      <c r="S790" s="43">
        <v>1</v>
      </c>
      <c r="T790" s="43">
        <f t="shared" si="73"/>
        <v>5.9714285714285715</v>
      </c>
      <c r="U790" s="43">
        <f t="shared" si="74"/>
        <v>2.8571428571428571E-2</v>
      </c>
      <c r="V790" s="3" t="s">
        <v>45</v>
      </c>
      <c r="W790" s="18">
        <v>209</v>
      </c>
      <c r="Y790" s="61" t="s">
        <v>90</v>
      </c>
      <c r="Z790" s="61">
        <v>27</v>
      </c>
      <c r="AA790" s="61">
        <v>3</v>
      </c>
      <c r="AB790" s="61">
        <f t="shared" si="78"/>
        <v>5.4074074074074074</v>
      </c>
      <c r="AC790" s="61">
        <f t="shared" si="79"/>
        <v>0.1111111111111111</v>
      </c>
      <c r="AD790" s="3" t="s">
        <v>381</v>
      </c>
      <c r="AE790">
        <v>146</v>
      </c>
      <c r="AG790" s="45" t="s">
        <v>253</v>
      </c>
      <c r="AH790" s="45">
        <v>27</v>
      </c>
      <c r="AI790" s="45">
        <v>1</v>
      </c>
      <c r="AJ790" s="45">
        <f>Sheet4!AM790/AH790</f>
        <v>5.3703703703703702</v>
      </c>
      <c r="AK790" s="45">
        <f t="shared" si="80"/>
        <v>3.7037037037037035E-2</v>
      </c>
      <c r="AL790" s="2" t="s">
        <v>44</v>
      </c>
      <c r="AM790" s="18">
        <v>145</v>
      </c>
    </row>
    <row r="791" spans="1:39" x14ac:dyDescent="0.35">
      <c r="Y791" s="61" t="s">
        <v>253</v>
      </c>
      <c r="Z791" s="61">
        <v>20</v>
      </c>
      <c r="AA791" s="61">
        <v>1</v>
      </c>
      <c r="AB791" s="61">
        <f t="shared" si="78"/>
        <v>5.45</v>
      </c>
      <c r="AC791" s="61">
        <f t="shared" si="79"/>
        <v>0.05</v>
      </c>
      <c r="AD791" s="33" t="s">
        <v>479</v>
      </c>
      <c r="AE791" s="18">
        <v>109</v>
      </c>
      <c r="AG791" s="45" t="s">
        <v>56</v>
      </c>
      <c r="AH791" s="45">
        <v>21</v>
      </c>
      <c r="AI791" s="45">
        <v>0</v>
      </c>
      <c r="AJ791" s="45">
        <f>Sheet4!AM791/AH791</f>
        <v>5.3809523809523814</v>
      </c>
      <c r="AK791" s="45">
        <f t="shared" si="80"/>
        <v>0</v>
      </c>
      <c r="AL791" s="3" t="s">
        <v>54</v>
      </c>
      <c r="AM791" s="18">
        <v>113</v>
      </c>
    </row>
    <row r="792" spans="1:39" x14ac:dyDescent="0.35">
      <c r="Y792" s="61" t="s">
        <v>33</v>
      </c>
      <c r="Z792" s="61">
        <v>59</v>
      </c>
      <c r="AA792" s="61">
        <v>4</v>
      </c>
      <c r="AB792" s="61">
        <f t="shared" si="78"/>
        <v>5.5254237288135597</v>
      </c>
      <c r="AC792" s="61">
        <f t="shared" si="79"/>
        <v>6.7796610169491525E-2</v>
      </c>
      <c r="AD792" s="3" t="s">
        <v>381</v>
      </c>
      <c r="AE792" s="18">
        <v>326</v>
      </c>
      <c r="AG792" s="45" t="s">
        <v>31</v>
      </c>
      <c r="AH792" s="45">
        <v>117</v>
      </c>
      <c r="AI792" s="45">
        <v>7</v>
      </c>
      <c r="AJ792" s="45">
        <f>Sheet4!AM792/AH792</f>
        <v>5.3931623931623935</v>
      </c>
      <c r="AK792" s="45">
        <f t="shared" si="80"/>
        <v>5.9829059829059832E-2</v>
      </c>
      <c r="AL792" s="3" t="s">
        <v>54</v>
      </c>
      <c r="AM792" s="18">
        <v>631</v>
      </c>
    </row>
    <row r="793" spans="1:39" x14ac:dyDescent="0.35">
      <c r="Y793" s="61" t="s">
        <v>19</v>
      </c>
      <c r="Z793" s="61">
        <v>20</v>
      </c>
      <c r="AA793" s="61">
        <v>1</v>
      </c>
      <c r="AB793" s="61">
        <f t="shared" si="78"/>
        <v>5.6</v>
      </c>
      <c r="AC793" s="61">
        <f t="shared" si="79"/>
        <v>0.05</v>
      </c>
      <c r="AD793" s="3" t="s">
        <v>381</v>
      </c>
      <c r="AE793" s="18">
        <v>112</v>
      </c>
      <c r="AG793" s="45" t="s">
        <v>90</v>
      </c>
      <c r="AH793" s="45">
        <v>27</v>
      </c>
      <c r="AI793" s="45">
        <v>3</v>
      </c>
      <c r="AJ793" s="45">
        <f>Sheet4!AM793/AH793</f>
        <v>5.4074074074074074</v>
      </c>
      <c r="AK793" s="45">
        <f t="shared" si="80"/>
        <v>0.1111111111111111</v>
      </c>
      <c r="AL793" s="3" t="s">
        <v>54</v>
      </c>
      <c r="AM793">
        <v>146</v>
      </c>
    </row>
    <row r="794" spans="1:39" x14ac:dyDescent="0.35">
      <c r="Y794" s="61" t="s">
        <v>49</v>
      </c>
      <c r="Z794" s="61">
        <v>54</v>
      </c>
      <c r="AA794" s="61">
        <v>2</v>
      </c>
      <c r="AB794" s="61">
        <f t="shared" si="78"/>
        <v>5.6481481481481479</v>
      </c>
      <c r="AC794" s="61">
        <f t="shared" si="79"/>
        <v>3.7037037037037035E-2</v>
      </c>
      <c r="AD794" s="3" t="s">
        <v>381</v>
      </c>
      <c r="AE794" s="18">
        <v>305</v>
      </c>
      <c r="AG794" s="45" t="s">
        <v>26</v>
      </c>
      <c r="AH794" s="45">
        <v>28</v>
      </c>
      <c r="AI794" s="45">
        <v>2</v>
      </c>
      <c r="AJ794" s="45">
        <f>Sheet4!AM794/AH794</f>
        <v>5.4285714285714288</v>
      </c>
      <c r="AK794" s="45">
        <f t="shared" si="80"/>
        <v>7.1428571428571425E-2</v>
      </c>
      <c r="AL794" s="3" t="s">
        <v>182</v>
      </c>
      <c r="AM794" s="18">
        <v>152</v>
      </c>
    </row>
    <row r="795" spans="1:39" x14ac:dyDescent="0.35">
      <c r="Y795" s="61" t="s">
        <v>401</v>
      </c>
      <c r="Z795" s="61">
        <v>38</v>
      </c>
      <c r="AA795" s="61">
        <v>1</v>
      </c>
      <c r="AB795" s="61">
        <f t="shared" si="78"/>
        <v>5.9736842105263159</v>
      </c>
      <c r="AC795" s="61">
        <f t="shared" si="79"/>
        <v>2.6315789473684209E-2</v>
      </c>
      <c r="AD795" s="3" t="s">
        <v>381</v>
      </c>
      <c r="AE795" s="18">
        <v>227</v>
      </c>
      <c r="AG795" s="45" t="s">
        <v>33</v>
      </c>
      <c r="AH795" s="45">
        <v>64</v>
      </c>
      <c r="AI795" s="45">
        <v>4</v>
      </c>
      <c r="AJ795" s="45">
        <f>Sheet4!AM795/AH795</f>
        <v>5.515625</v>
      </c>
      <c r="AK795" s="45">
        <f t="shared" si="80"/>
        <v>6.25E-2</v>
      </c>
      <c r="AL795" s="3" t="s">
        <v>54</v>
      </c>
      <c r="AM795" s="18">
        <v>353</v>
      </c>
    </row>
    <row r="796" spans="1:39" x14ac:dyDescent="0.35">
      <c r="AG796" s="45" t="s">
        <v>49</v>
      </c>
      <c r="AH796" s="45">
        <v>62</v>
      </c>
      <c r="AI796" s="45">
        <v>2</v>
      </c>
      <c r="AJ796" s="45">
        <f>Sheet4!AM796/AH796</f>
        <v>5.580645161290323</v>
      </c>
      <c r="AK796" s="45">
        <f t="shared" si="80"/>
        <v>3.2258064516129031E-2</v>
      </c>
      <c r="AL796" s="3" t="s">
        <v>45</v>
      </c>
      <c r="AM796" s="18">
        <v>346</v>
      </c>
    </row>
    <row r="797" spans="1:39" x14ac:dyDescent="0.35">
      <c r="A797" s="4" t="s">
        <v>42</v>
      </c>
      <c r="B797" s="4" t="s">
        <v>38</v>
      </c>
      <c r="C797" s="4" t="s">
        <v>39</v>
      </c>
      <c r="D797" s="4" t="s">
        <v>40</v>
      </c>
      <c r="E797" s="4" t="s">
        <v>111</v>
      </c>
      <c r="J797" s="4" t="s">
        <v>42</v>
      </c>
      <c r="K797" s="4" t="s">
        <v>38</v>
      </c>
      <c r="L797" s="4" t="s">
        <v>39</v>
      </c>
      <c r="M797" s="4" t="s">
        <v>40</v>
      </c>
      <c r="O797" s="4" t="s">
        <v>111</v>
      </c>
      <c r="Q797" s="4" t="s">
        <v>42</v>
      </c>
      <c r="R797" s="4" t="s">
        <v>38</v>
      </c>
      <c r="S797" s="4" t="s">
        <v>39</v>
      </c>
      <c r="T797" s="4" t="s">
        <v>40</v>
      </c>
      <c r="U797" s="4" t="s">
        <v>111</v>
      </c>
      <c r="AG797" s="45" t="s">
        <v>401</v>
      </c>
      <c r="AH797" s="45">
        <v>44</v>
      </c>
      <c r="AI797" s="45">
        <v>1</v>
      </c>
      <c r="AJ797" s="45">
        <f>Sheet4!AM797/AH797</f>
        <v>5.9545454545454541</v>
      </c>
      <c r="AK797" s="45">
        <f t="shared" si="80"/>
        <v>2.2727272727272728E-2</v>
      </c>
      <c r="AL797" s="3" t="s">
        <v>45</v>
      </c>
      <c r="AM797" s="18">
        <v>262</v>
      </c>
    </row>
    <row r="798" spans="1:39" x14ac:dyDescent="0.35">
      <c r="A798" s="18" t="s">
        <v>128</v>
      </c>
      <c r="B798" s="18">
        <v>90</v>
      </c>
      <c r="C798" s="18">
        <v>28</v>
      </c>
      <c r="D798" s="18">
        <f t="shared" ref="D798:D829" si="81">G798/B798</f>
        <v>3.0555555555555554</v>
      </c>
      <c r="E798" s="18">
        <f t="shared" ref="E798:E829" si="82">C798/B798</f>
        <v>0.31111111111111112</v>
      </c>
      <c r="G798" s="18">
        <v>275</v>
      </c>
      <c r="I798">
        <f t="shared" ref="I798:I829" si="83">ROW(I798)-1</f>
        <v>797</v>
      </c>
      <c r="J798" s="18" t="s">
        <v>128</v>
      </c>
      <c r="K798" s="18">
        <v>92</v>
      </c>
      <c r="L798" s="18">
        <v>28</v>
      </c>
      <c r="M798" s="18">
        <f t="shared" ref="M798:M829" si="84">N798/K798</f>
        <v>3.1413043478260869</v>
      </c>
      <c r="N798" s="18">
        <v>289</v>
      </c>
      <c r="O798" s="18">
        <f t="shared" ref="O798:O829" si="85">L798/K798</f>
        <v>0.30434782608695654</v>
      </c>
      <c r="Q798" s="60" t="s">
        <v>128</v>
      </c>
      <c r="R798" s="60">
        <v>84</v>
      </c>
      <c r="S798" s="60">
        <v>26</v>
      </c>
      <c r="T798" s="60">
        <f t="shared" ref="T798:T829" si="86">W798/R798</f>
        <v>3.0714285714285716</v>
      </c>
      <c r="U798" s="63">
        <f t="shared" ref="U798:U829" si="87">S798/R798</f>
        <v>0.30952380952380953</v>
      </c>
      <c r="W798" s="18">
        <v>258</v>
      </c>
    </row>
    <row r="799" spans="1:39" x14ac:dyDescent="0.35">
      <c r="A799" s="59" t="s">
        <v>175</v>
      </c>
      <c r="B799" s="59">
        <v>33</v>
      </c>
      <c r="C799" s="59">
        <v>8</v>
      </c>
      <c r="D799" s="59">
        <f t="shared" si="81"/>
        <v>3.2424242424242422</v>
      </c>
      <c r="E799" s="59">
        <f t="shared" si="82"/>
        <v>0.24242424242424243</v>
      </c>
      <c r="G799" s="18">
        <v>107</v>
      </c>
      <c r="I799">
        <f t="shared" si="83"/>
        <v>798</v>
      </c>
      <c r="J799" s="18" t="s">
        <v>175</v>
      </c>
      <c r="K799" s="18">
        <v>34</v>
      </c>
      <c r="L799" s="18">
        <v>8</v>
      </c>
      <c r="M799" s="18">
        <f t="shared" si="84"/>
        <v>3.2058823529411766</v>
      </c>
      <c r="N799" s="18">
        <v>109</v>
      </c>
      <c r="O799" s="18">
        <f t="shared" si="85"/>
        <v>0.23529411764705882</v>
      </c>
      <c r="Q799" s="59" t="s">
        <v>175</v>
      </c>
      <c r="R799" s="59">
        <v>30</v>
      </c>
      <c r="S799" s="59">
        <v>8</v>
      </c>
      <c r="T799" s="59">
        <f t="shared" si="86"/>
        <v>3.2333333333333334</v>
      </c>
      <c r="U799" s="59">
        <f t="shared" si="87"/>
        <v>0.26666666666666666</v>
      </c>
      <c r="W799" s="18">
        <v>97</v>
      </c>
      <c r="Y799" s="4" t="s">
        <v>42</v>
      </c>
      <c r="Z799" s="4" t="s">
        <v>38</v>
      </c>
      <c r="AA799" s="4" t="s">
        <v>39</v>
      </c>
      <c r="AB799" s="4" t="s">
        <v>40</v>
      </c>
      <c r="AC799" s="4" t="s">
        <v>111</v>
      </c>
    </row>
    <row r="800" spans="1:39" x14ac:dyDescent="0.35">
      <c r="A800" s="59" t="s">
        <v>35</v>
      </c>
      <c r="B800" s="59">
        <v>137</v>
      </c>
      <c r="C800" s="59">
        <v>37</v>
      </c>
      <c r="D800" s="59">
        <f t="shared" si="81"/>
        <v>3.5839416058394162</v>
      </c>
      <c r="E800" s="59">
        <f t="shared" si="82"/>
        <v>0.27007299270072993</v>
      </c>
      <c r="G800" s="18">
        <v>491</v>
      </c>
      <c r="I800">
        <f t="shared" si="83"/>
        <v>799</v>
      </c>
      <c r="J800" s="18" t="s">
        <v>35</v>
      </c>
      <c r="K800" s="18">
        <v>141</v>
      </c>
      <c r="L800" s="18">
        <v>38</v>
      </c>
      <c r="M800" s="18">
        <f t="shared" si="84"/>
        <v>3.5531914893617023</v>
      </c>
      <c r="N800" s="18">
        <v>501</v>
      </c>
      <c r="O800" s="18">
        <f t="shared" si="85"/>
        <v>0.26950354609929078</v>
      </c>
      <c r="Q800" s="59" t="s">
        <v>35</v>
      </c>
      <c r="R800" s="59">
        <v>120</v>
      </c>
      <c r="S800" s="64">
        <v>34</v>
      </c>
      <c r="T800" s="59">
        <f t="shared" si="86"/>
        <v>3.5750000000000002</v>
      </c>
      <c r="U800" s="59">
        <f t="shared" si="87"/>
        <v>0.28333333333333333</v>
      </c>
      <c r="W800" s="18">
        <v>429</v>
      </c>
      <c r="Y800" s="60" t="s">
        <v>175</v>
      </c>
      <c r="Z800" s="60">
        <v>38</v>
      </c>
      <c r="AA800" s="60">
        <v>9</v>
      </c>
      <c r="AB800" s="60">
        <f t="shared" ref="AB800:AB838" si="88">AE800/Z800</f>
        <v>3.236842105263158</v>
      </c>
      <c r="AC800" s="60">
        <f t="shared" ref="AC800:AC838" si="89">AA800/Z800</f>
        <v>0.23684210526315788</v>
      </c>
      <c r="AD800" s="2" t="s">
        <v>44</v>
      </c>
      <c r="AE800" s="18">
        <v>123</v>
      </c>
    </row>
    <row r="801" spans="1:31" x14ac:dyDescent="0.35">
      <c r="A801" s="59" t="s">
        <v>52</v>
      </c>
      <c r="B801" s="59">
        <v>22</v>
      </c>
      <c r="C801" s="59">
        <v>2</v>
      </c>
      <c r="D801" s="59">
        <f t="shared" si="81"/>
        <v>3.6363636363636362</v>
      </c>
      <c r="E801" s="59">
        <f t="shared" si="82"/>
        <v>9.0909090909090912E-2</v>
      </c>
      <c r="F801" s="2" t="s">
        <v>44</v>
      </c>
      <c r="G801" s="18">
        <v>80</v>
      </c>
      <c r="I801">
        <f t="shared" si="83"/>
        <v>800</v>
      </c>
      <c r="J801" s="18" t="s">
        <v>52</v>
      </c>
      <c r="K801" s="18">
        <v>22</v>
      </c>
      <c r="L801" s="18">
        <v>2</v>
      </c>
      <c r="M801" s="18">
        <f t="shared" si="84"/>
        <v>3.6363636363636362</v>
      </c>
      <c r="N801" s="18">
        <v>80</v>
      </c>
      <c r="O801" s="18">
        <f t="shared" si="85"/>
        <v>9.0909090909090912E-2</v>
      </c>
      <c r="Q801" s="59" t="s">
        <v>52</v>
      </c>
      <c r="R801" s="59">
        <v>22</v>
      </c>
      <c r="S801" s="59">
        <v>2</v>
      </c>
      <c r="T801" s="59">
        <f t="shared" si="86"/>
        <v>3.6363636363636362</v>
      </c>
      <c r="U801" s="59">
        <f t="shared" si="87"/>
        <v>9.0909090909090912E-2</v>
      </c>
      <c r="V801" s="2" t="s">
        <v>47</v>
      </c>
      <c r="W801" s="18">
        <v>80</v>
      </c>
      <c r="Y801" s="60" t="s">
        <v>128</v>
      </c>
      <c r="Z801" s="60">
        <v>101</v>
      </c>
      <c r="AA801" s="60">
        <v>31</v>
      </c>
      <c r="AB801" s="60">
        <f t="shared" si="88"/>
        <v>3.2574257425742572</v>
      </c>
      <c r="AC801" s="60">
        <f t="shared" si="89"/>
        <v>0.30693069306930693</v>
      </c>
      <c r="AD801" s="3" t="s">
        <v>46</v>
      </c>
      <c r="AE801" s="18">
        <v>329</v>
      </c>
    </row>
    <row r="802" spans="1:31" x14ac:dyDescent="0.35">
      <c r="A802" s="59" t="s">
        <v>148</v>
      </c>
      <c r="B802" s="59">
        <v>37</v>
      </c>
      <c r="C802" s="59">
        <v>8</v>
      </c>
      <c r="D802" s="59">
        <f t="shared" si="81"/>
        <v>3.7297297297297298</v>
      </c>
      <c r="E802" s="59">
        <f t="shared" si="82"/>
        <v>0.21621621621621623</v>
      </c>
      <c r="F802" s="2" t="s">
        <v>44</v>
      </c>
      <c r="G802" s="18">
        <v>138</v>
      </c>
      <c r="I802">
        <f t="shared" si="83"/>
        <v>801</v>
      </c>
      <c r="J802" s="18" t="s">
        <v>147</v>
      </c>
      <c r="K802" s="18">
        <v>102</v>
      </c>
      <c r="L802" s="18">
        <v>19</v>
      </c>
      <c r="M802" s="18">
        <f t="shared" si="84"/>
        <v>3.6960784313725492</v>
      </c>
      <c r="N802" s="18">
        <v>377</v>
      </c>
      <c r="O802" s="18">
        <f t="shared" si="85"/>
        <v>0.18627450980392157</v>
      </c>
      <c r="Q802" s="59" t="s">
        <v>147</v>
      </c>
      <c r="R802" s="59">
        <v>75</v>
      </c>
      <c r="S802" s="59">
        <v>15</v>
      </c>
      <c r="T802" s="59">
        <f t="shared" si="86"/>
        <v>3.7066666666666666</v>
      </c>
      <c r="U802" s="59">
        <f t="shared" si="87"/>
        <v>0.2</v>
      </c>
      <c r="V802" s="3" t="s">
        <v>46</v>
      </c>
      <c r="W802" s="18">
        <v>278</v>
      </c>
      <c r="Y802" s="59" t="s">
        <v>35</v>
      </c>
      <c r="Z802" s="59">
        <v>148</v>
      </c>
      <c r="AA802" s="59">
        <v>38</v>
      </c>
      <c r="AB802" s="59">
        <f t="shared" si="88"/>
        <v>3.5405405405405403</v>
      </c>
      <c r="AC802" s="59">
        <f t="shared" si="89"/>
        <v>0.25675675675675674</v>
      </c>
      <c r="AE802" s="18">
        <v>524</v>
      </c>
    </row>
    <row r="803" spans="1:31" x14ac:dyDescent="0.35">
      <c r="A803" s="59" t="s">
        <v>147</v>
      </c>
      <c r="B803" s="59">
        <v>98</v>
      </c>
      <c r="C803" s="59">
        <v>18</v>
      </c>
      <c r="D803" s="59">
        <f t="shared" si="81"/>
        <v>3.7346938775510203</v>
      </c>
      <c r="E803" s="59">
        <f t="shared" si="82"/>
        <v>0.18367346938775511</v>
      </c>
      <c r="F803" s="3" t="s">
        <v>45</v>
      </c>
      <c r="G803" s="18">
        <v>366</v>
      </c>
      <c r="I803">
        <f t="shared" si="83"/>
        <v>802</v>
      </c>
      <c r="J803" s="18" t="s">
        <v>148</v>
      </c>
      <c r="K803" s="18">
        <v>39</v>
      </c>
      <c r="L803" s="18">
        <v>8</v>
      </c>
      <c r="M803" s="18">
        <f t="shared" si="84"/>
        <v>3.7435897435897436</v>
      </c>
      <c r="N803" s="18">
        <v>146</v>
      </c>
      <c r="O803" s="18">
        <f t="shared" si="85"/>
        <v>0.20512820512820512</v>
      </c>
      <c r="Q803" s="59" t="s">
        <v>121</v>
      </c>
      <c r="R803" s="59">
        <v>69</v>
      </c>
      <c r="S803" s="59">
        <v>16</v>
      </c>
      <c r="T803" s="59">
        <f t="shared" si="86"/>
        <v>3.8260869565217392</v>
      </c>
      <c r="U803" s="59">
        <f t="shared" si="87"/>
        <v>0.2318840579710145</v>
      </c>
      <c r="V803" s="2" t="s">
        <v>47</v>
      </c>
      <c r="W803" s="18">
        <v>264</v>
      </c>
      <c r="Y803" s="59" t="s">
        <v>147</v>
      </c>
      <c r="Z803" s="59">
        <v>110</v>
      </c>
      <c r="AA803" s="59">
        <v>21</v>
      </c>
      <c r="AB803" s="59">
        <f t="shared" si="88"/>
        <v>3.6909090909090909</v>
      </c>
      <c r="AC803" s="59">
        <f t="shared" si="89"/>
        <v>0.19090909090909092</v>
      </c>
      <c r="AD803" s="3" t="s">
        <v>46</v>
      </c>
      <c r="AE803" s="18">
        <v>406</v>
      </c>
    </row>
    <row r="804" spans="1:31" x14ac:dyDescent="0.35">
      <c r="A804" s="59" t="s">
        <v>10</v>
      </c>
      <c r="B804" s="59">
        <v>66</v>
      </c>
      <c r="C804" s="59">
        <v>13</v>
      </c>
      <c r="D804" s="59">
        <f t="shared" si="81"/>
        <v>3.8787878787878789</v>
      </c>
      <c r="E804" s="59">
        <f t="shared" si="82"/>
        <v>0.19696969696969696</v>
      </c>
      <c r="F804" s="2" t="s">
        <v>44</v>
      </c>
      <c r="G804" s="18">
        <v>256</v>
      </c>
      <c r="I804">
        <f t="shared" si="83"/>
        <v>803</v>
      </c>
      <c r="J804" s="18" t="s">
        <v>10</v>
      </c>
      <c r="K804" s="18">
        <v>66</v>
      </c>
      <c r="L804" s="18">
        <v>13</v>
      </c>
      <c r="M804" s="18">
        <f t="shared" si="84"/>
        <v>3.8787878787878789</v>
      </c>
      <c r="N804" s="18">
        <v>256</v>
      </c>
      <c r="O804" s="18">
        <f t="shared" si="85"/>
        <v>0.19696969696969696</v>
      </c>
      <c r="Q804" s="59" t="s">
        <v>232</v>
      </c>
      <c r="R804" s="59">
        <v>49</v>
      </c>
      <c r="S804" s="59">
        <v>11</v>
      </c>
      <c r="T804" s="59">
        <f t="shared" si="86"/>
        <v>3.8571428571428572</v>
      </c>
      <c r="U804" s="59">
        <f t="shared" si="87"/>
        <v>0.22448979591836735</v>
      </c>
      <c r="W804" s="18">
        <v>189</v>
      </c>
      <c r="Y804" s="59" t="s">
        <v>148</v>
      </c>
      <c r="Z804" s="59">
        <v>41</v>
      </c>
      <c r="AA804" s="59">
        <v>8</v>
      </c>
      <c r="AB804" s="59">
        <f t="shared" si="88"/>
        <v>3.7560975609756095</v>
      </c>
      <c r="AC804" s="59">
        <f t="shared" si="89"/>
        <v>0.1951219512195122</v>
      </c>
      <c r="AE804" s="18">
        <v>154</v>
      </c>
    </row>
    <row r="805" spans="1:31" x14ac:dyDescent="0.35">
      <c r="A805" s="59" t="s">
        <v>29</v>
      </c>
      <c r="B805" s="59">
        <v>102</v>
      </c>
      <c r="C805" s="59">
        <v>15</v>
      </c>
      <c r="D805" s="59">
        <f t="shared" si="81"/>
        <v>3.892156862745098</v>
      </c>
      <c r="E805" s="59">
        <f t="shared" si="82"/>
        <v>0.14705882352941177</v>
      </c>
      <c r="F805" s="3" t="s">
        <v>46</v>
      </c>
      <c r="G805" s="18">
        <v>397</v>
      </c>
      <c r="I805">
        <f t="shared" si="83"/>
        <v>804</v>
      </c>
      <c r="J805" s="18" t="s">
        <v>29</v>
      </c>
      <c r="K805" s="18">
        <v>103</v>
      </c>
      <c r="L805" s="18">
        <v>15</v>
      </c>
      <c r="M805" s="18">
        <f t="shared" si="84"/>
        <v>3.883495145631068</v>
      </c>
      <c r="N805" s="18">
        <v>400</v>
      </c>
      <c r="O805" s="18">
        <f t="shared" si="85"/>
        <v>0.14563106796116504</v>
      </c>
      <c r="Q805" s="59" t="s">
        <v>29</v>
      </c>
      <c r="R805" s="59">
        <v>88</v>
      </c>
      <c r="S805" s="59">
        <v>12</v>
      </c>
      <c r="T805" s="59">
        <f t="shared" si="86"/>
        <v>3.875</v>
      </c>
      <c r="U805" s="59">
        <f t="shared" si="87"/>
        <v>0.13636363636363635</v>
      </c>
      <c r="V805" s="2" t="s">
        <v>44</v>
      </c>
      <c r="W805" s="18">
        <v>341</v>
      </c>
      <c r="Y805" s="59" t="s">
        <v>10</v>
      </c>
      <c r="Z805" s="59">
        <v>66</v>
      </c>
      <c r="AA805" s="59">
        <v>13</v>
      </c>
      <c r="AB805" s="59">
        <f t="shared" si="88"/>
        <v>3.8787878787878789</v>
      </c>
      <c r="AC805" s="59">
        <f t="shared" si="89"/>
        <v>0.19696969696969696</v>
      </c>
      <c r="AE805" s="18">
        <v>256</v>
      </c>
    </row>
    <row r="806" spans="1:31" x14ac:dyDescent="0.35">
      <c r="A806" s="59" t="s">
        <v>121</v>
      </c>
      <c r="B806" s="59">
        <v>78</v>
      </c>
      <c r="C806" s="59">
        <v>18</v>
      </c>
      <c r="D806" s="59">
        <f t="shared" si="81"/>
        <v>3.9230769230769229</v>
      </c>
      <c r="E806" s="59">
        <f t="shared" si="82"/>
        <v>0.23076923076923078</v>
      </c>
      <c r="F806" s="2" t="s">
        <v>44</v>
      </c>
      <c r="G806" s="18">
        <v>306</v>
      </c>
      <c r="I806">
        <f t="shared" si="83"/>
        <v>805</v>
      </c>
      <c r="J806" s="18" t="s">
        <v>121</v>
      </c>
      <c r="K806" s="18">
        <v>79</v>
      </c>
      <c r="L806" s="18">
        <v>18</v>
      </c>
      <c r="M806" s="18">
        <f t="shared" si="84"/>
        <v>3.8987341772151898</v>
      </c>
      <c r="N806" s="18">
        <v>308</v>
      </c>
      <c r="O806" s="18">
        <f t="shared" si="85"/>
        <v>0.22784810126582278</v>
      </c>
      <c r="Q806" s="59" t="s">
        <v>10</v>
      </c>
      <c r="R806" s="59">
        <v>66</v>
      </c>
      <c r="S806" s="59">
        <v>13</v>
      </c>
      <c r="T806" s="59">
        <f t="shared" si="86"/>
        <v>3.8787878787878789</v>
      </c>
      <c r="U806" s="59">
        <f t="shared" si="87"/>
        <v>0.19696969696969696</v>
      </c>
      <c r="V806" s="3" t="s">
        <v>55</v>
      </c>
      <c r="W806" s="18">
        <v>256</v>
      </c>
      <c r="Y806" s="59" t="s">
        <v>29</v>
      </c>
      <c r="Z806" s="59">
        <v>110</v>
      </c>
      <c r="AA806" s="59">
        <v>16</v>
      </c>
      <c r="AB806" s="59">
        <f t="shared" si="88"/>
        <v>3.9090909090909092</v>
      </c>
      <c r="AC806" s="59">
        <f t="shared" si="89"/>
        <v>0.14545454545454545</v>
      </c>
      <c r="AD806" s="3" t="s">
        <v>45</v>
      </c>
      <c r="AE806" s="18">
        <v>430</v>
      </c>
    </row>
    <row r="807" spans="1:31" x14ac:dyDescent="0.35">
      <c r="A807" s="59" t="s">
        <v>232</v>
      </c>
      <c r="B807" s="59">
        <v>72</v>
      </c>
      <c r="C807" s="59">
        <v>14</v>
      </c>
      <c r="D807" s="59">
        <f t="shared" si="81"/>
        <v>3.9305555555555554</v>
      </c>
      <c r="E807" s="59">
        <f t="shared" si="82"/>
        <v>0.19444444444444445</v>
      </c>
      <c r="F807" s="3" t="s">
        <v>46</v>
      </c>
      <c r="G807" s="18">
        <v>283</v>
      </c>
      <c r="I807">
        <f t="shared" si="83"/>
        <v>806</v>
      </c>
      <c r="J807" s="18" t="s">
        <v>232</v>
      </c>
      <c r="K807" s="18">
        <v>78</v>
      </c>
      <c r="L807" s="18">
        <v>15</v>
      </c>
      <c r="M807" s="18">
        <f t="shared" si="84"/>
        <v>3.9871794871794872</v>
      </c>
      <c r="N807" s="18">
        <v>311</v>
      </c>
      <c r="O807" s="18">
        <f t="shared" si="85"/>
        <v>0.19230769230769232</v>
      </c>
      <c r="Q807" s="41" t="s">
        <v>125</v>
      </c>
      <c r="R807" s="41">
        <v>21</v>
      </c>
      <c r="S807" s="41">
        <v>1</v>
      </c>
      <c r="T807" s="41">
        <f t="shared" si="86"/>
        <v>4</v>
      </c>
      <c r="U807" s="41">
        <f t="shared" si="87"/>
        <v>4.7619047619047616E-2</v>
      </c>
      <c r="V807" s="2" t="s">
        <v>44</v>
      </c>
      <c r="W807" s="18">
        <v>84</v>
      </c>
      <c r="Y807" s="59" t="s">
        <v>121</v>
      </c>
      <c r="Z807" s="59">
        <v>84</v>
      </c>
      <c r="AA807" s="59">
        <v>19</v>
      </c>
      <c r="AB807" s="59">
        <f t="shared" si="88"/>
        <v>3.9166666666666665</v>
      </c>
      <c r="AC807" s="59">
        <f t="shared" si="89"/>
        <v>0.22619047619047619</v>
      </c>
      <c r="AE807" s="18">
        <v>329</v>
      </c>
    </row>
    <row r="808" spans="1:31" x14ac:dyDescent="0.35">
      <c r="A808" s="41" t="s">
        <v>125</v>
      </c>
      <c r="B808" s="41">
        <v>21</v>
      </c>
      <c r="C808" s="41">
        <v>1</v>
      </c>
      <c r="D808" s="41">
        <f t="shared" si="81"/>
        <v>4</v>
      </c>
      <c r="E808" s="41">
        <f t="shared" si="82"/>
        <v>4.7619047619047616E-2</v>
      </c>
      <c r="F808" s="3"/>
      <c r="G808" s="18">
        <v>84</v>
      </c>
      <c r="I808">
        <f t="shared" si="83"/>
        <v>807</v>
      </c>
      <c r="J808" s="18" t="s">
        <v>125</v>
      </c>
      <c r="K808" s="18">
        <v>21</v>
      </c>
      <c r="L808" s="18">
        <v>1</v>
      </c>
      <c r="M808" s="18">
        <f t="shared" si="84"/>
        <v>4</v>
      </c>
      <c r="N808" s="18">
        <v>84</v>
      </c>
      <c r="O808" s="18">
        <f t="shared" si="85"/>
        <v>4.7619047619047616E-2</v>
      </c>
      <c r="Q808" s="41" t="s">
        <v>3</v>
      </c>
      <c r="R808" s="41">
        <v>37</v>
      </c>
      <c r="S808" s="41">
        <v>6</v>
      </c>
      <c r="T808" s="41">
        <f t="shared" si="86"/>
        <v>4.0270270270270272</v>
      </c>
      <c r="U808" s="41">
        <f t="shared" si="87"/>
        <v>0.16216216216216217</v>
      </c>
      <c r="V808" s="2" t="s">
        <v>59</v>
      </c>
      <c r="W808" s="18">
        <v>149</v>
      </c>
      <c r="Y808" s="59" t="s">
        <v>232</v>
      </c>
      <c r="Z808" s="59">
        <v>94</v>
      </c>
      <c r="AA808" s="59">
        <v>18</v>
      </c>
      <c r="AB808" s="59">
        <f t="shared" si="88"/>
        <v>3.9361702127659575</v>
      </c>
      <c r="AC808" s="59">
        <f t="shared" si="89"/>
        <v>0.19148936170212766</v>
      </c>
      <c r="AD808" s="3" t="s">
        <v>45</v>
      </c>
      <c r="AE808" s="18">
        <v>370</v>
      </c>
    </row>
    <row r="809" spans="1:31" x14ac:dyDescent="0.35">
      <c r="A809" s="41" t="s">
        <v>3</v>
      </c>
      <c r="B809" s="41">
        <v>41</v>
      </c>
      <c r="C809" s="41">
        <v>6</v>
      </c>
      <c r="D809" s="41">
        <f t="shared" si="81"/>
        <v>4.0487804878048781</v>
      </c>
      <c r="E809" s="41">
        <f t="shared" si="82"/>
        <v>0.14634146341463414</v>
      </c>
      <c r="F809" s="2" t="s">
        <v>47</v>
      </c>
      <c r="G809" s="18">
        <v>166</v>
      </c>
      <c r="I809">
        <f t="shared" si="83"/>
        <v>808</v>
      </c>
      <c r="J809" s="18" t="s">
        <v>3</v>
      </c>
      <c r="K809" s="18">
        <v>41</v>
      </c>
      <c r="L809" s="18">
        <v>6</v>
      </c>
      <c r="M809" s="18">
        <f t="shared" si="84"/>
        <v>4.0487804878048781</v>
      </c>
      <c r="N809" s="18">
        <v>166</v>
      </c>
      <c r="O809" s="18">
        <f t="shared" si="85"/>
        <v>0.14634146341463414</v>
      </c>
      <c r="Q809" s="41" t="s">
        <v>116</v>
      </c>
      <c r="R809" s="41">
        <v>20</v>
      </c>
      <c r="S809" s="41">
        <v>4</v>
      </c>
      <c r="T809" s="41">
        <f t="shared" si="86"/>
        <v>4.05</v>
      </c>
      <c r="U809" s="41">
        <f t="shared" si="87"/>
        <v>0.2</v>
      </c>
      <c r="W809" s="18">
        <v>81</v>
      </c>
      <c r="Y809" s="41" t="s">
        <v>22</v>
      </c>
      <c r="Z809" s="41">
        <v>182</v>
      </c>
      <c r="AA809" s="41">
        <v>30</v>
      </c>
      <c r="AB809" s="41">
        <f t="shared" si="88"/>
        <v>4.104395604395604</v>
      </c>
      <c r="AC809" s="41">
        <f t="shared" si="89"/>
        <v>0.16483516483516483</v>
      </c>
      <c r="AD809" s="2" t="s">
        <v>59</v>
      </c>
      <c r="AE809" s="18">
        <v>747</v>
      </c>
    </row>
    <row r="810" spans="1:31" x14ac:dyDescent="0.35">
      <c r="A810" s="41" t="s">
        <v>116</v>
      </c>
      <c r="B810" s="41">
        <v>20</v>
      </c>
      <c r="C810" s="41">
        <v>4</v>
      </c>
      <c r="D810" s="41">
        <f t="shared" si="81"/>
        <v>4.05</v>
      </c>
      <c r="E810" s="41">
        <f t="shared" si="82"/>
        <v>0.2</v>
      </c>
      <c r="F810" s="3" t="s">
        <v>46</v>
      </c>
      <c r="G810" s="18">
        <v>81</v>
      </c>
      <c r="I810">
        <f t="shared" si="83"/>
        <v>809</v>
      </c>
      <c r="J810" s="18" t="s">
        <v>116</v>
      </c>
      <c r="K810" s="18">
        <v>20</v>
      </c>
      <c r="L810" s="18">
        <v>4</v>
      </c>
      <c r="M810" s="18">
        <f t="shared" si="84"/>
        <v>4.05</v>
      </c>
      <c r="N810" s="18">
        <v>81</v>
      </c>
      <c r="O810" s="18">
        <f t="shared" si="85"/>
        <v>0.2</v>
      </c>
      <c r="Q810" s="41" t="s">
        <v>0</v>
      </c>
      <c r="R810" s="41">
        <v>77</v>
      </c>
      <c r="S810" s="41">
        <v>13</v>
      </c>
      <c r="T810" s="41">
        <f t="shared" si="86"/>
        <v>4.0779220779220777</v>
      </c>
      <c r="U810" s="41">
        <f t="shared" si="87"/>
        <v>0.16883116883116883</v>
      </c>
      <c r="W810" s="18">
        <v>314</v>
      </c>
      <c r="Y810" s="41" t="s">
        <v>0</v>
      </c>
      <c r="Z810" s="41">
        <v>84</v>
      </c>
      <c r="AA810" s="41">
        <v>14</v>
      </c>
      <c r="AB810" s="41">
        <f t="shared" si="88"/>
        <v>4.1547619047619051</v>
      </c>
      <c r="AC810" s="41">
        <f t="shared" si="89"/>
        <v>0.16666666666666666</v>
      </c>
      <c r="AD810" s="3" t="s">
        <v>46</v>
      </c>
      <c r="AE810" s="18">
        <v>349</v>
      </c>
    </row>
    <row r="811" spans="1:31" x14ac:dyDescent="0.35">
      <c r="A811" s="41" t="s">
        <v>7</v>
      </c>
      <c r="B811" s="41">
        <v>20</v>
      </c>
      <c r="C811" s="41">
        <v>4</v>
      </c>
      <c r="D811" s="41">
        <f t="shared" si="81"/>
        <v>4.0999999999999996</v>
      </c>
      <c r="E811" s="41">
        <f t="shared" si="82"/>
        <v>0.2</v>
      </c>
      <c r="F811" s="3" t="s">
        <v>46</v>
      </c>
      <c r="G811" s="18">
        <v>82</v>
      </c>
      <c r="I811">
        <f t="shared" si="83"/>
        <v>810</v>
      </c>
      <c r="J811" s="18" t="s">
        <v>7</v>
      </c>
      <c r="K811" s="18">
        <v>20</v>
      </c>
      <c r="L811" s="18">
        <v>4</v>
      </c>
      <c r="M811" s="18">
        <f t="shared" si="84"/>
        <v>4.0999999999999996</v>
      </c>
      <c r="N811" s="18">
        <v>82</v>
      </c>
      <c r="O811" s="18">
        <f t="shared" si="85"/>
        <v>0.2</v>
      </c>
      <c r="Q811" s="41" t="s">
        <v>7</v>
      </c>
      <c r="R811" s="41">
        <v>20</v>
      </c>
      <c r="S811" s="41">
        <v>4</v>
      </c>
      <c r="T811" s="41">
        <f t="shared" si="86"/>
        <v>4.0999999999999996</v>
      </c>
      <c r="U811" s="41">
        <f t="shared" si="87"/>
        <v>0.2</v>
      </c>
      <c r="V811" s="35" t="s">
        <v>485</v>
      </c>
      <c r="W811" s="18">
        <v>82</v>
      </c>
      <c r="Y811" s="41" t="s">
        <v>3</v>
      </c>
      <c r="Z811" s="41">
        <v>43</v>
      </c>
      <c r="AA811" s="41">
        <v>6</v>
      </c>
      <c r="AB811" s="41">
        <f t="shared" si="88"/>
        <v>4.1627906976744189</v>
      </c>
      <c r="AC811" s="41">
        <f t="shared" si="89"/>
        <v>0.13953488372093023</v>
      </c>
      <c r="AD811" s="3" t="s">
        <v>555</v>
      </c>
      <c r="AE811" s="18">
        <v>179</v>
      </c>
    </row>
    <row r="812" spans="1:31" x14ac:dyDescent="0.35">
      <c r="A812" s="41" t="s">
        <v>2</v>
      </c>
      <c r="B812" s="41">
        <v>28</v>
      </c>
      <c r="C812" s="41">
        <v>5</v>
      </c>
      <c r="D812" s="41">
        <f t="shared" si="81"/>
        <v>4.1428571428571432</v>
      </c>
      <c r="E812" s="41">
        <f t="shared" si="82"/>
        <v>0.17857142857142858</v>
      </c>
      <c r="G812">
        <v>116</v>
      </c>
      <c r="I812">
        <f t="shared" si="83"/>
        <v>811</v>
      </c>
      <c r="J812" s="18" t="s">
        <v>22</v>
      </c>
      <c r="K812" s="18">
        <v>176</v>
      </c>
      <c r="L812" s="18">
        <v>28</v>
      </c>
      <c r="M812" s="18">
        <f t="shared" si="84"/>
        <v>4.1420454545454541</v>
      </c>
      <c r="N812" s="18">
        <v>729</v>
      </c>
      <c r="O812" s="18">
        <f t="shared" si="85"/>
        <v>0.15909090909090909</v>
      </c>
      <c r="Q812" s="41" t="s">
        <v>148</v>
      </c>
      <c r="R812" s="41">
        <v>30</v>
      </c>
      <c r="S812" s="41">
        <v>4</v>
      </c>
      <c r="T812" s="41">
        <f t="shared" si="86"/>
        <v>4.1333333333333337</v>
      </c>
      <c r="U812" s="41">
        <f t="shared" si="87"/>
        <v>0.13333333333333333</v>
      </c>
      <c r="V812" s="3" t="s">
        <v>381</v>
      </c>
      <c r="W812" s="18">
        <v>124</v>
      </c>
      <c r="Y812" s="41" t="s">
        <v>122</v>
      </c>
      <c r="Z812" s="41">
        <v>96</v>
      </c>
      <c r="AA812" s="41">
        <v>9</v>
      </c>
      <c r="AB812" s="41">
        <f t="shared" si="88"/>
        <v>4.270833333333333</v>
      </c>
      <c r="AC812" s="41">
        <f t="shared" si="89"/>
        <v>9.375E-2</v>
      </c>
      <c r="AD812" s="3" t="s">
        <v>54</v>
      </c>
      <c r="AE812" s="18">
        <v>410</v>
      </c>
    </row>
    <row r="813" spans="1:31" x14ac:dyDescent="0.35">
      <c r="A813" s="41" t="s">
        <v>58</v>
      </c>
      <c r="B813" s="41">
        <v>20</v>
      </c>
      <c r="C813" s="41">
        <v>3</v>
      </c>
      <c r="D813" s="41">
        <f t="shared" si="81"/>
        <v>4.1500000000000004</v>
      </c>
      <c r="E813" s="41">
        <f t="shared" si="82"/>
        <v>0.15</v>
      </c>
      <c r="G813" s="18">
        <v>83</v>
      </c>
      <c r="I813">
        <f t="shared" si="83"/>
        <v>812</v>
      </c>
      <c r="J813" t="s">
        <v>2</v>
      </c>
      <c r="K813">
        <v>28</v>
      </c>
      <c r="L813">
        <v>5</v>
      </c>
      <c r="M813">
        <f t="shared" si="84"/>
        <v>4.1428571428571432</v>
      </c>
      <c r="N813">
        <v>116</v>
      </c>
      <c r="O813">
        <f t="shared" si="85"/>
        <v>0.17857142857142858</v>
      </c>
      <c r="Q813" s="41" t="s">
        <v>2</v>
      </c>
      <c r="R813" s="41">
        <v>28</v>
      </c>
      <c r="S813" s="41">
        <v>5</v>
      </c>
      <c r="T813" s="41">
        <f t="shared" si="86"/>
        <v>4.1428571428571432</v>
      </c>
      <c r="U813" s="41">
        <f t="shared" si="87"/>
        <v>0.17857142857142858</v>
      </c>
      <c r="V813" s="3" t="s">
        <v>46</v>
      </c>
      <c r="W813">
        <v>116</v>
      </c>
      <c r="Y813" s="41" t="s">
        <v>104</v>
      </c>
      <c r="Z813" s="41">
        <v>95</v>
      </c>
      <c r="AA813" s="41">
        <v>6</v>
      </c>
      <c r="AB813" s="41">
        <f t="shared" si="88"/>
        <v>4.2842105263157899</v>
      </c>
      <c r="AC813" s="41">
        <f t="shared" si="89"/>
        <v>6.3157894736842107E-2</v>
      </c>
      <c r="AD813" s="3" t="s">
        <v>45</v>
      </c>
      <c r="AE813" s="18">
        <v>407</v>
      </c>
    </row>
    <row r="814" spans="1:31" x14ac:dyDescent="0.35">
      <c r="A814" s="41" t="s">
        <v>9</v>
      </c>
      <c r="B814" s="41">
        <v>20</v>
      </c>
      <c r="C814" s="41">
        <v>2</v>
      </c>
      <c r="D814" s="41">
        <f t="shared" si="81"/>
        <v>4.1500000000000004</v>
      </c>
      <c r="E814" s="41">
        <f t="shared" si="82"/>
        <v>0.1</v>
      </c>
      <c r="G814" s="18">
        <v>83</v>
      </c>
      <c r="I814">
        <f t="shared" si="83"/>
        <v>813</v>
      </c>
      <c r="J814" s="18" t="s">
        <v>58</v>
      </c>
      <c r="K814" s="18">
        <v>20</v>
      </c>
      <c r="L814" s="18">
        <v>3</v>
      </c>
      <c r="M814" s="18">
        <f t="shared" si="84"/>
        <v>4.1500000000000004</v>
      </c>
      <c r="N814" s="18">
        <v>83</v>
      </c>
      <c r="O814" s="18">
        <f t="shared" si="85"/>
        <v>0.15</v>
      </c>
      <c r="Q814" s="41" t="s">
        <v>58</v>
      </c>
      <c r="R814" s="41">
        <v>20</v>
      </c>
      <c r="S814" s="41">
        <v>3</v>
      </c>
      <c r="T814" s="41">
        <f t="shared" si="86"/>
        <v>4.1500000000000004</v>
      </c>
      <c r="U814" s="41">
        <f t="shared" si="87"/>
        <v>0.15</v>
      </c>
      <c r="V814" s="3" t="s">
        <v>46</v>
      </c>
      <c r="W814" s="18">
        <v>83</v>
      </c>
      <c r="Y814" s="41" t="s">
        <v>21</v>
      </c>
      <c r="Z814" s="41">
        <v>145</v>
      </c>
      <c r="AA814" s="41">
        <v>22</v>
      </c>
      <c r="AB814" s="41">
        <f t="shared" si="88"/>
        <v>4.3724137931034486</v>
      </c>
      <c r="AC814" s="41">
        <f t="shared" si="89"/>
        <v>0.15172413793103448</v>
      </c>
      <c r="AD814" s="3" t="s">
        <v>558</v>
      </c>
      <c r="AE814" s="18">
        <v>634</v>
      </c>
    </row>
    <row r="815" spans="1:31" x14ac:dyDescent="0.35">
      <c r="A815" s="41" t="s">
        <v>0</v>
      </c>
      <c r="B815" s="41">
        <v>84</v>
      </c>
      <c r="C815" s="41">
        <v>14</v>
      </c>
      <c r="D815" s="41">
        <f t="shared" si="81"/>
        <v>4.1547619047619051</v>
      </c>
      <c r="E815" s="41">
        <f t="shared" si="82"/>
        <v>0.16666666666666666</v>
      </c>
      <c r="G815" s="18">
        <v>349</v>
      </c>
      <c r="I815">
        <f t="shared" si="83"/>
        <v>814</v>
      </c>
      <c r="J815" s="18" t="s">
        <v>9</v>
      </c>
      <c r="K815" s="18">
        <v>20</v>
      </c>
      <c r="L815" s="18">
        <v>2</v>
      </c>
      <c r="M815" s="18">
        <f t="shared" si="84"/>
        <v>4.1500000000000004</v>
      </c>
      <c r="N815" s="18">
        <v>83</v>
      </c>
      <c r="O815" s="18">
        <f t="shared" si="85"/>
        <v>0.1</v>
      </c>
      <c r="Q815" s="41" t="s">
        <v>115</v>
      </c>
      <c r="R815" s="41">
        <v>25</v>
      </c>
      <c r="S815" s="41">
        <v>2</v>
      </c>
      <c r="T815" s="41">
        <f t="shared" si="86"/>
        <v>4.2</v>
      </c>
      <c r="U815" s="41">
        <f t="shared" si="87"/>
        <v>0.08</v>
      </c>
      <c r="W815" s="18">
        <v>105</v>
      </c>
      <c r="Y815" s="41" t="s">
        <v>115</v>
      </c>
      <c r="Z815" s="41">
        <v>39</v>
      </c>
      <c r="AA815" s="41">
        <v>3</v>
      </c>
      <c r="AB815" s="41">
        <f t="shared" si="88"/>
        <v>4.384615384615385</v>
      </c>
      <c r="AC815" s="41">
        <f t="shared" si="89"/>
        <v>7.6923076923076927E-2</v>
      </c>
      <c r="AD815" s="3" t="s">
        <v>54</v>
      </c>
      <c r="AE815" s="18">
        <v>171</v>
      </c>
    </row>
    <row r="816" spans="1:31" x14ac:dyDescent="0.35">
      <c r="A816" s="41" t="s">
        <v>22</v>
      </c>
      <c r="B816" s="41">
        <v>175</v>
      </c>
      <c r="C816" s="41">
        <v>27</v>
      </c>
      <c r="D816" s="41">
        <f t="shared" si="81"/>
        <v>4.16</v>
      </c>
      <c r="E816" s="41">
        <f t="shared" si="82"/>
        <v>0.15428571428571428</v>
      </c>
      <c r="G816" s="18">
        <v>728</v>
      </c>
      <c r="I816">
        <f t="shared" si="83"/>
        <v>815</v>
      </c>
      <c r="J816" s="18" t="s">
        <v>0</v>
      </c>
      <c r="K816" s="18">
        <v>84</v>
      </c>
      <c r="L816" s="18">
        <v>14</v>
      </c>
      <c r="M816" s="18">
        <f t="shared" si="84"/>
        <v>4.1547619047619051</v>
      </c>
      <c r="N816" s="18">
        <v>349</v>
      </c>
      <c r="O816" s="18">
        <f t="shared" si="85"/>
        <v>0.16666666666666666</v>
      </c>
      <c r="Q816" s="41" t="s">
        <v>22</v>
      </c>
      <c r="R816" s="41">
        <v>172</v>
      </c>
      <c r="S816" s="41">
        <v>25</v>
      </c>
      <c r="T816" s="41">
        <f t="shared" si="86"/>
        <v>4.2093023255813957</v>
      </c>
      <c r="U816" s="41">
        <f t="shared" si="87"/>
        <v>0.14534883720930233</v>
      </c>
      <c r="V816" s="3" t="s">
        <v>45</v>
      </c>
      <c r="W816" s="18">
        <v>724</v>
      </c>
      <c r="Y816" s="32" t="s">
        <v>27</v>
      </c>
      <c r="Z816" s="32">
        <v>36</v>
      </c>
      <c r="AA816" s="32">
        <v>3</v>
      </c>
      <c r="AB816" s="32">
        <f t="shared" si="88"/>
        <v>4.4444444444444446</v>
      </c>
      <c r="AC816" s="32">
        <f t="shared" si="89"/>
        <v>8.3333333333333329E-2</v>
      </c>
      <c r="AD816" s="3" t="s">
        <v>45</v>
      </c>
      <c r="AE816" s="18">
        <v>160</v>
      </c>
    </row>
    <row r="817" spans="1:31" x14ac:dyDescent="0.35">
      <c r="A817" s="41" t="s">
        <v>112</v>
      </c>
      <c r="B817" s="41">
        <v>26</v>
      </c>
      <c r="C817" s="41">
        <v>5</v>
      </c>
      <c r="D817" s="41">
        <f t="shared" si="81"/>
        <v>4.2307692307692308</v>
      </c>
      <c r="E817" s="41">
        <f t="shared" si="82"/>
        <v>0.19230769230769232</v>
      </c>
      <c r="F817" s="2"/>
      <c r="G817" s="18">
        <v>110</v>
      </c>
      <c r="I817">
        <f t="shared" si="83"/>
        <v>816</v>
      </c>
      <c r="J817" s="18" t="s">
        <v>112</v>
      </c>
      <c r="K817" s="18">
        <v>26</v>
      </c>
      <c r="L817" s="18">
        <v>5</v>
      </c>
      <c r="M817" s="18">
        <f t="shared" si="84"/>
        <v>4.2307692307692308</v>
      </c>
      <c r="N817" s="18">
        <v>110</v>
      </c>
      <c r="O817" s="18">
        <f t="shared" si="85"/>
        <v>0.19230769230769232</v>
      </c>
      <c r="Q817" s="41" t="s">
        <v>112</v>
      </c>
      <c r="R817" s="41">
        <v>26</v>
      </c>
      <c r="S817" s="41">
        <v>5</v>
      </c>
      <c r="T817" s="41">
        <f t="shared" si="86"/>
        <v>4.2307692307692308</v>
      </c>
      <c r="U817" s="41">
        <f t="shared" si="87"/>
        <v>0.19230769230769232</v>
      </c>
      <c r="V817" s="2" t="s">
        <v>44</v>
      </c>
      <c r="W817" s="18">
        <v>110</v>
      </c>
      <c r="Y817" s="32" t="s">
        <v>129</v>
      </c>
      <c r="Z817" s="32">
        <v>40</v>
      </c>
      <c r="AA817" s="32">
        <v>7</v>
      </c>
      <c r="AB817" s="32">
        <f t="shared" si="88"/>
        <v>4.45</v>
      </c>
      <c r="AC817" s="32">
        <f t="shared" si="89"/>
        <v>0.17499999999999999</v>
      </c>
      <c r="AD817" s="3" t="s">
        <v>45</v>
      </c>
      <c r="AE817">
        <v>178</v>
      </c>
    </row>
    <row r="818" spans="1:31" x14ac:dyDescent="0.35">
      <c r="A818" s="41" t="s">
        <v>63</v>
      </c>
      <c r="B818" s="41">
        <v>21</v>
      </c>
      <c r="C818" s="41">
        <v>3</v>
      </c>
      <c r="D818" s="41">
        <f t="shared" si="81"/>
        <v>4.2380952380952381</v>
      </c>
      <c r="E818" s="41">
        <f t="shared" si="82"/>
        <v>0.14285714285714285</v>
      </c>
      <c r="F818" s="2" t="s">
        <v>44</v>
      </c>
      <c r="G818" s="18">
        <v>89</v>
      </c>
      <c r="I818">
        <f t="shared" si="83"/>
        <v>817</v>
      </c>
      <c r="J818" s="18" t="s">
        <v>63</v>
      </c>
      <c r="K818" s="18">
        <v>21</v>
      </c>
      <c r="L818" s="18">
        <v>3</v>
      </c>
      <c r="M818" s="18">
        <f t="shared" si="84"/>
        <v>4.2380952380952381</v>
      </c>
      <c r="N818" s="18">
        <v>89</v>
      </c>
      <c r="O818" s="18">
        <f t="shared" si="85"/>
        <v>0.14285714285714285</v>
      </c>
      <c r="Q818" s="41" t="s">
        <v>122</v>
      </c>
      <c r="R818" s="41">
        <v>72</v>
      </c>
      <c r="S818" s="41">
        <v>7</v>
      </c>
      <c r="T818" s="41">
        <f t="shared" si="86"/>
        <v>4.2361111111111107</v>
      </c>
      <c r="U818" s="41">
        <f t="shared" si="87"/>
        <v>9.7222222222222224E-2</v>
      </c>
      <c r="V818" s="3" t="s">
        <v>45</v>
      </c>
      <c r="W818" s="18">
        <v>305</v>
      </c>
      <c r="Y818" s="32" t="s">
        <v>8</v>
      </c>
      <c r="Z818" s="32">
        <v>46</v>
      </c>
      <c r="AA818" s="32">
        <v>5</v>
      </c>
      <c r="AB818" s="32">
        <f t="shared" si="88"/>
        <v>4.4782608695652177</v>
      </c>
      <c r="AC818" s="32">
        <f t="shared" si="89"/>
        <v>0.10869565217391304</v>
      </c>
      <c r="AD818" s="3" t="s">
        <v>45</v>
      </c>
      <c r="AE818" s="18">
        <v>206</v>
      </c>
    </row>
    <row r="819" spans="1:31" x14ac:dyDescent="0.35">
      <c r="A819" s="41" t="s">
        <v>104</v>
      </c>
      <c r="B819" s="41">
        <v>84</v>
      </c>
      <c r="C819" s="41">
        <v>5</v>
      </c>
      <c r="D819" s="41">
        <f t="shared" si="81"/>
        <v>4.25</v>
      </c>
      <c r="E819" s="41">
        <f t="shared" si="82"/>
        <v>5.9523809523809521E-2</v>
      </c>
      <c r="F819" s="2" t="s">
        <v>44</v>
      </c>
      <c r="G819" s="18">
        <v>357</v>
      </c>
      <c r="I819">
        <f t="shared" si="83"/>
        <v>818</v>
      </c>
      <c r="J819" s="18" t="s">
        <v>104</v>
      </c>
      <c r="K819" s="18">
        <v>84</v>
      </c>
      <c r="L819" s="18">
        <v>5</v>
      </c>
      <c r="M819" s="18">
        <f t="shared" si="84"/>
        <v>4.25</v>
      </c>
      <c r="N819" s="18">
        <v>357</v>
      </c>
      <c r="O819" s="18">
        <f t="shared" si="85"/>
        <v>5.9523809523809521E-2</v>
      </c>
      <c r="Q819" s="41" t="s">
        <v>63</v>
      </c>
      <c r="R819" s="41">
        <v>21</v>
      </c>
      <c r="S819" s="41">
        <v>3</v>
      </c>
      <c r="T819" s="41">
        <f t="shared" si="86"/>
        <v>4.2380952380952381</v>
      </c>
      <c r="U819" s="41">
        <f t="shared" si="87"/>
        <v>0.14285714285714285</v>
      </c>
      <c r="V819" s="3" t="s">
        <v>45</v>
      </c>
      <c r="W819" s="18">
        <v>89</v>
      </c>
      <c r="Y819" s="32" t="s">
        <v>15</v>
      </c>
      <c r="Z819" s="32">
        <v>226</v>
      </c>
      <c r="AA819" s="32">
        <v>35</v>
      </c>
      <c r="AB819" s="32">
        <f t="shared" si="88"/>
        <v>4.5309734513274336</v>
      </c>
      <c r="AC819" s="32">
        <f t="shared" si="89"/>
        <v>0.15486725663716813</v>
      </c>
      <c r="AD819" s="3" t="s">
        <v>54</v>
      </c>
      <c r="AE819" s="18">
        <v>1024</v>
      </c>
    </row>
    <row r="820" spans="1:31" x14ac:dyDescent="0.35">
      <c r="A820" s="41" t="s">
        <v>50</v>
      </c>
      <c r="B820" s="41">
        <v>20</v>
      </c>
      <c r="C820" s="41">
        <v>1</v>
      </c>
      <c r="D820" s="41">
        <f t="shared" si="81"/>
        <v>4.25</v>
      </c>
      <c r="E820" s="41">
        <f t="shared" si="82"/>
        <v>0.05</v>
      </c>
      <c r="F820" s="2" t="s">
        <v>44</v>
      </c>
      <c r="G820" s="18">
        <v>85</v>
      </c>
      <c r="I820">
        <f t="shared" si="83"/>
        <v>819</v>
      </c>
      <c r="J820" s="18" t="s">
        <v>50</v>
      </c>
      <c r="K820" s="18">
        <v>20</v>
      </c>
      <c r="L820" s="18">
        <v>1</v>
      </c>
      <c r="M820" s="18">
        <f t="shared" si="84"/>
        <v>4.25</v>
      </c>
      <c r="N820" s="18">
        <v>85</v>
      </c>
      <c r="O820" s="18">
        <f t="shared" si="85"/>
        <v>0.05</v>
      </c>
      <c r="Q820" s="41" t="s">
        <v>50</v>
      </c>
      <c r="R820" s="41">
        <v>20</v>
      </c>
      <c r="S820" s="41">
        <v>1</v>
      </c>
      <c r="T820" s="41">
        <f t="shared" si="86"/>
        <v>4.25</v>
      </c>
      <c r="U820" s="41">
        <f t="shared" si="87"/>
        <v>0.05</v>
      </c>
      <c r="V820" s="3" t="s">
        <v>46</v>
      </c>
      <c r="W820" s="18">
        <v>85</v>
      </c>
      <c r="Y820" s="32" t="s">
        <v>24</v>
      </c>
      <c r="Z820" s="32">
        <v>98</v>
      </c>
      <c r="AA820" s="32">
        <v>11</v>
      </c>
      <c r="AB820" s="32">
        <f t="shared" si="88"/>
        <v>4.5510204081632653</v>
      </c>
      <c r="AC820" s="32">
        <f t="shared" si="89"/>
        <v>0.11224489795918367</v>
      </c>
      <c r="AD820" s="3" t="s">
        <v>54</v>
      </c>
      <c r="AE820" s="18">
        <v>446</v>
      </c>
    </row>
    <row r="821" spans="1:31" x14ac:dyDescent="0.35">
      <c r="A821" s="41" t="s">
        <v>122</v>
      </c>
      <c r="B821" s="41">
        <v>75</v>
      </c>
      <c r="C821" s="41">
        <v>7</v>
      </c>
      <c r="D821" s="41">
        <f t="shared" si="81"/>
        <v>4.253333333333333</v>
      </c>
      <c r="E821" s="41">
        <f t="shared" si="82"/>
        <v>9.3333333333333338E-2</v>
      </c>
      <c r="F821" s="3" t="s">
        <v>54</v>
      </c>
      <c r="G821" s="18">
        <v>319</v>
      </c>
      <c r="I821">
        <f t="shared" si="83"/>
        <v>820</v>
      </c>
      <c r="J821" s="18" t="s">
        <v>139</v>
      </c>
      <c r="K821" s="18">
        <v>20</v>
      </c>
      <c r="L821" s="18">
        <v>2</v>
      </c>
      <c r="M821" s="18">
        <f t="shared" si="84"/>
        <v>4.3</v>
      </c>
      <c r="N821" s="18">
        <v>86</v>
      </c>
      <c r="O821" s="18">
        <f t="shared" si="85"/>
        <v>0.1</v>
      </c>
      <c r="Q821" s="41" t="s">
        <v>104</v>
      </c>
      <c r="R821" s="41">
        <v>75</v>
      </c>
      <c r="S821" s="41">
        <v>5</v>
      </c>
      <c r="T821" s="41">
        <f t="shared" si="86"/>
        <v>4.293333333333333</v>
      </c>
      <c r="U821" s="41">
        <f t="shared" si="87"/>
        <v>6.6666666666666666E-2</v>
      </c>
      <c r="W821" s="18">
        <v>322</v>
      </c>
      <c r="Y821" s="32" t="s">
        <v>1</v>
      </c>
      <c r="Z821" s="32">
        <v>97</v>
      </c>
      <c r="AA821" s="32">
        <v>5</v>
      </c>
      <c r="AB821" s="32">
        <f t="shared" si="88"/>
        <v>4.5773195876288657</v>
      </c>
      <c r="AC821" s="32">
        <f t="shared" si="89"/>
        <v>5.1546391752577317E-2</v>
      </c>
      <c r="AD821" s="3" t="s">
        <v>54</v>
      </c>
      <c r="AE821" s="18">
        <v>444</v>
      </c>
    </row>
    <row r="822" spans="1:31" x14ac:dyDescent="0.35">
      <c r="A822" s="41" t="s">
        <v>139</v>
      </c>
      <c r="B822" s="41">
        <v>20</v>
      </c>
      <c r="C822" s="41">
        <v>2</v>
      </c>
      <c r="D822" s="41">
        <f t="shared" si="81"/>
        <v>4.3</v>
      </c>
      <c r="E822" s="41">
        <f t="shared" si="82"/>
        <v>0.1</v>
      </c>
      <c r="G822" s="18">
        <v>86</v>
      </c>
      <c r="I822">
        <f t="shared" si="83"/>
        <v>821</v>
      </c>
      <c r="J822" s="18" t="s">
        <v>122</v>
      </c>
      <c r="K822" s="18">
        <v>80</v>
      </c>
      <c r="L822" s="18">
        <v>7</v>
      </c>
      <c r="M822" s="18">
        <f t="shared" si="84"/>
        <v>4.3375000000000004</v>
      </c>
      <c r="N822" s="18">
        <v>347</v>
      </c>
      <c r="O822" s="18">
        <f t="shared" si="85"/>
        <v>8.7499999999999994E-2</v>
      </c>
      <c r="Q822" s="41" t="s">
        <v>139</v>
      </c>
      <c r="R822" s="41">
        <v>20</v>
      </c>
      <c r="S822" s="41">
        <v>2</v>
      </c>
      <c r="T822" s="41">
        <f t="shared" si="86"/>
        <v>4.3</v>
      </c>
      <c r="U822" s="41">
        <f t="shared" si="87"/>
        <v>0.1</v>
      </c>
      <c r="V822" s="3" t="s">
        <v>45</v>
      </c>
      <c r="W822" s="18">
        <v>86</v>
      </c>
      <c r="Y822" s="32" t="s">
        <v>123</v>
      </c>
      <c r="Z822" s="32">
        <v>32</v>
      </c>
      <c r="AA822" s="32">
        <v>4</v>
      </c>
      <c r="AB822" s="32">
        <f t="shared" si="88"/>
        <v>4.59375</v>
      </c>
      <c r="AC822" s="32">
        <f t="shared" si="89"/>
        <v>0.125</v>
      </c>
      <c r="AD822" s="3" t="s">
        <v>45</v>
      </c>
      <c r="AE822" s="18">
        <v>147</v>
      </c>
    </row>
    <row r="823" spans="1:31" x14ac:dyDescent="0.35">
      <c r="A823" s="41" t="s">
        <v>115</v>
      </c>
      <c r="B823" s="41">
        <v>39</v>
      </c>
      <c r="C823" s="41">
        <v>3</v>
      </c>
      <c r="D823" s="41">
        <f t="shared" si="81"/>
        <v>4.384615384615385</v>
      </c>
      <c r="E823" s="41">
        <f t="shared" si="82"/>
        <v>7.6923076923076927E-2</v>
      </c>
      <c r="G823" s="18">
        <v>171</v>
      </c>
      <c r="I823">
        <f t="shared" si="83"/>
        <v>822</v>
      </c>
      <c r="J823" s="18" t="s">
        <v>115</v>
      </c>
      <c r="K823" s="18">
        <v>39</v>
      </c>
      <c r="L823" s="18">
        <v>3</v>
      </c>
      <c r="M823" s="18">
        <f t="shared" si="84"/>
        <v>4.384615384615385</v>
      </c>
      <c r="N823" s="18">
        <v>171</v>
      </c>
      <c r="O823" s="18">
        <f t="shared" si="85"/>
        <v>7.6923076923076927E-2</v>
      </c>
      <c r="Q823" s="32" t="s">
        <v>15</v>
      </c>
      <c r="R823" s="65">
        <v>190</v>
      </c>
      <c r="S823" s="32">
        <v>33</v>
      </c>
      <c r="T823" s="32">
        <f t="shared" si="86"/>
        <v>4.4157894736842103</v>
      </c>
      <c r="U823" s="32">
        <f t="shared" si="87"/>
        <v>0.1736842105263158</v>
      </c>
      <c r="V823" s="2" t="s">
        <v>59</v>
      </c>
      <c r="W823" s="18">
        <v>839</v>
      </c>
      <c r="Y823" s="32" t="s">
        <v>79</v>
      </c>
      <c r="Z823" s="32">
        <v>54</v>
      </c>
      <c r="AA823" s="32">
        <v>6</v>
      </c>
      <c r="AB823" s="32">
        <f t="shared" si="88"/>
        <v>4.6296296296296298</v>
      </c>
      <c r="AC823" s="32">
        <f t="shared" si="89"/>
        <v>0.1111111111111111</v>
      </c>
      <c r="AD823" s="3" t="s">
        <v>555</v>
      </c>
      <c r="AE823" s="18">
        <v>250</v>
      </c>
    </row>
    <row r="824" spans="1:31" x14ac:dyDescent="0.35">
      <c r="A824" s="32" t="s">
        <v>21</v>
      </c>
      <c r="B824" s="32">
        <v>131</v>
      </c>
      <c r="C824" s="32">
        <v>18</v>
      </c>
      <c r="D824" s="32">
        <f t="shared" si="81"/>
        <v>4.4274809160305342</v>
      </c>
      <c r="E824" s="32">
        <f t="shared" si="82"/>
        <v>0.13740458015267176</v>
      </c>
      <c r="G824" s="18">
        <v>580</v>
      </c>
      <c r="I824">
        <f t="shared" si="83"/>
        <v>823</v>
      </c>
      <c r="J824" s="18" t="s">
        <v>21</v>
      </c>
      <c r="K824" s="18">
        <v>135</v>
      </c>
      <c r="L824" s="18">
        <v>20</v>
      </c>
      <c r="M824" s="18">
        <f t="shared" si="84"/>
        <v>4.3925925925925924</v>
      </c>
      <c r="N824" s="18">
        <v>593</v>
      </c>
      <c r="O824" s="18">
        <f t="shared" si="85"/>
        <v>0.14814814814814814</v>
      </c>
      <c r="Q824" s="32" t="s">
        <v>27</v>
      </c>
      <c r="R824" s="32">
        <v>36</v>
      </c>
      <c r="S824" s="32">
        <v>3</v>
      </c>
      <c r="T824" s="32">
        <f t="shared" si="86"/>
        <v>4.4444444444444446</v>
      </c>
      <c r="U824" s="32">
        <f t="shared" si="87"/>
        <v>8.3333333333333329E-2</v>
      </c>
      <c r="W824" s="18">
        <v>160</v>
      </c>
      <c r="Y824" s="32" t="s">
        <v>61</v>
      </c>
      <c r="Z824" s="32">
        <v>34</v>
      </c>
      <c r="AA824" s="32">
        <v>7</v>
      </c>
      <c r="AB824" s="32">
        <f t="shared" si="88"/>
        <v>4.6764705882352944</v>
      </c>
      <c r="AC824" s="32">
        <f t="shared" si="89"/>
        <v>0.20588235294117646</v>
      </c>
      <c r="AD824" s="3" t="s">
        <v>55</v>
      </c>
      <c r="AE824" s="18">
        <v>159</v>
      </c>
    </row>
    <row r="825" spans="1:31" x14ac:dyDescent="0.35">
      <c r="A825" s="32" t="s">
        <v>123</v>
      </c>
      <c r="B825" s="32">
        <v>30</v>
      </c>
      <c r="C825" s="32">
        <v>4</v>
      </c>
      <c r="D825" s="32">
        <f t="shared" si="81"/>
        <v>4.4333333333333336</v>
      </c>
      <c r="E825" s="32">
        <f t="shared" si="82"/>
        <v>0.13333333333333333</v>
      </c>
      <c r="G825" s="18">
        <v>133</v>
      </c>
      <c r="I825">
        <f t="shared" si="83"/>
        <v>824</v>
      </c>
      <c r="J825" s="18" t="s">
        <v>123</v>
      </c>
      <c r="K825" s="18">
        <v>30</v>
      </c>
      <c r="L825" s="18">
        <v>4</v>
      </c>
      <c r="M825" s="18">
        <f t="shared" si="84"/>
        <v>4.4333333333333336</v>
      </c>
      <c r="N825" s="18">
        <v>133</v>
      </c>
      <c r="O825" s="18">
        <f t="shared" si="85"/>
        <v>0.13333333333333333</v>
      </c>
      <c r="Q825" s="32" t="s">
        <v>129</v>
      </c>
      <c r="R825" s="32">
        <v>40</v>
      </c>
      <c r="S825" s="32">
        <v>7</v>
      </c>
      <c r="T825" s="32">
        <f t="shared" si="86"/>
        <v>4.45</v>
      </c>
      <c r="U825" s="32">
        <f t="shared" si="87"/>
        <v>0.17499999999999999</v>
      </c>
      <c r="W825">
        <v>178</v>
      </c>
      <c r="Y825" s="32" t="s">
        <v>14</v>
      </c>
      <c r="Z825" s="32">
        <v>45</v>
      </c>
      <c r="AA825" s="32">
        <v>3</v>
      </c>
      <c r="AB825" s="32">
        <f t="shared" si="88"/>
        <v>4.7111111111111112</v>
      </c>
      <c r="AC825" s="32">
        <f t="shared" si="89"/>
        <v>6.6666666666666666E-2</v>
      </c>
      <c r="AD825" s="3" t="s">
        <v>555</v>
      </c>
      <c r="AE825">
        <v>212</v>
      </c>
    </row>
    <row r="826" spans="1:31" x14ac:dyDescent="0.35">
      <c r="A826" s="32" t="s">
        <v>27</v>
      </c>
      <c r="B826" s="32">
        <v>36</v>
      </c>
      <c r="C826" s="32">
        <v>3</v>
      </c>
      <c r="D826" s="32">
        <f t="shared" si="81"/>
        <v>4.4444444444444446</v>
      </c>
      <c r="E826" s="32">
        <f t="shared" si="82"/>
        <v>8.3333333333333329E-2</v>
      </c>
      <c r="G826" s="18">
        <v>160</v>
      </c>
      <c r="I826">
        <f t="shared" si="83"/>
        <v>825</v>
      </c>
      <c r="J826" s="18" t="s">
        <v>27</v>
      </c>
      <c r="K826" s="18">
        <v>36</v>
      </c>
      <c r="L826" s="18">
        <v>3</v>
      </c>
      <c r="M826" s="18">
        <f t="shared" si="84"/>
        <v>4.4444444444444446</v>
      </c>
      <c r="N826" s="18">
        <v>160</v>
      </c>
      <c r="O826" s="18">
        <f t="shared" si="85"/>
        <v>8.3333333333333329E-2</v>
      </c>
      <c r="Q826" s="32" t="s">
        <v>8</v>
      </c>
      <c r="R826" s="32">
        <v>46</v>
      </c>
      <c r="S826" s="32">
        <v>5</v>
      </c>
      <c r="T826" s="32">
        <f t="shared" si="86"/>
        <v>4.4782608695652177</v>
      </c>
      <c r="U826" s="32">
        <f t="shared" si="87"/>
        <v>0.10869565217391304</v>
      </c>
      <c r="V826" s="2" t="s">
        <v>44</v>
      </c>
      <c r="W826" s="18">
        <v>206</v>
      </c>
      <c r="Y826" s="32" t="s">
        <v>13</v>
      </c>
      <c r="Z826" s="32">
        <v>36</v>
      </c>
      <c r="AA826" s="32">
        <v>2</v>
      </c>
      <c r="AB826" s="32">
        <f t="shared" si="88"/>
        <v>4.7222222222222223</v>
      </c>
      <c r="AC826" s="32">
        <f t="shared" si="89"/>
        <v>5.5555555555555552E-2</v>
      </c>
      <c r="AD826" s="3" t="s">
        <v>494</v>
      </c>
      <c r="AE826" s="18">
        <v>170</v>
      </c>
    </row>
    <row r="827" spans="1:31" x14ac:dyDescent="0.35">
      <c r="A827" s="32" t="s">
        <v>129</v>
      </c>
      <c r="B827" s="32">
        <v>40</v>
      </c>
      <c r="C827" s="32">
        <v>7</v>
      </c>
      <c r="D827" s="32">
        <f t="shared" si="81"/>
        <v>4.45</v>
      </c>
      <c r="E827" s="32">
        <f t="shared" si="82"/>
        <v>0.17499999999999999</v>
      </c>
      <c r="G827">
        <v>178</v>
      </c>
      <c r="I827">
        <f t="shared" si="83"/>
        <v>826</v>
      </c>
      <c r="J827" t="s">
        <v>129</v>
      </c>
      <c r="K827">
        <v>40</v>
      </c>
      <c r="L827">
        <v>7</v>
      </c>
      <c r="M827">
        <f t="shared" si="84"/>
        <v>4.45</v>
      </c>
      <c r="N827">
        <v>178</v>
      </c>
      <c r="O827">
        <f t="shared" si="85"/>
        <v>0.17499999999999999</v>
      </c>
      <c r="Q827" s="32" t="s">
        <v>24</v>
      </c>
      <c r="R827" s="32">
        <v>83</v>
      </c>
      <c r="S827" s="32">
        <v>10</v>
      </c>
      <c r="T827" s="32">
        <f t="shared" si="86"/>
        <v>4.4819277108433733</v>
      </c>
      <c r="U827" s="32">
        <f t="shared" si="87"/>
        <v>0.12048192771084337</v>
      </c>
      <c r="V827" s="2" t="s">
        <v>44</v>
      </c>
      <c r="W827" s="18">
        <v>372</v>
      </c>
      <c r="Y827" s="38" t="s">
        <v>87</v>
      </c>
      <c r="Z827" s="38">
        <v>102</v>
      </c>
      <c r="AA827" s="38">
        <v>14</v>
      </c>
      <c r="AB827" s="38">
        <f t="shared" si="88"/>
        <v>4.8529411764705879</v>
      </c>
      <c r="AC827" s="38">
        <f t="shared" si="89"/>
        <v>0.13725490196078433</v>
      </c>
      <c r="AD827" s="3" t="s">
        <v>555</v>
      </c>
      <c r="AE827" s="18">
        <v>495</v>
      </c>
    </row>
    <row r="828" spans="1:31" x14ac:dyDescent="0.35">
      <c r="A828" s="32" t="s">
        <v>8</v>
      </c>
      <c r="B828" s="32">
        <v>46</v>
      </c>
      <c r="C828" s="32">
        <v>5</v>
      </c>
      <c r="D828" s="32">
        <f t="shared" si="81"/>
        <v>4.4782608695652177</v>
      </c>
      <c r="E828" s="32">
        <f t="shared" si="82"/>
        <v>0.10869565217391304</v>
      </c>
      <c r="G828" s="18">
        <v>206</v>
      </c>
      <c r="I828">
        <f t="shared" si="83"/>
        <v>827</v>
      </c>
      <c r="J828" s="18" t="s">
        <v>8</v>
      </c>
      <c r="K828" s="18">
        <v>46</v>
      </c>
      <c r="L828" s="18">
        <v>5</v>
      </c>
      <c r="M828" s="18">
        <f t="shared" si="84"/>
        <v>4.4782608695652177</v>
      </c>
      <c r="N828" s="18">
        <v>206</v>
      </c>
      <c r="O828" s="18">
        <f t="shared" si="85"/>
        <v>0.10869565217391304</v>
      </c>
      <c r="Q828" s="32" t="s">
        <v>21</v>
      </c>
      <c r="R828" s="32">
        <v>113</v>
      </c>
      <c r="S828" s="32">
        <v>16</v>
      </c>
      <c r="T828" s="32">
        <f t="shared" si="86"/>
        <v>4.4955752212389379</v>
      </c>
      <c r="U828" s="32">
        <f t="shared" si="87"/>
        <v>0.1415929203539823</v>
      </c>
      <c r="V828" s="3" t="s">
        <v>195</v>
      </c>
      <c r="W828" s="18">
        <v>508</v>
      </c>
      <c r="Y828" s="38" t="s">
        <v>51</v>
      </c>
      <c r="Z828" s="38">
        <v>37</v>
      </c>
      <c r="AA828" s="38">
        <v>3</v>
      </c>
      <c r="AB828" s="38">
        <f t="shared" si="88"/>
        <v>4.9189189189189193</v>
      </c>
      <c r="AC828" s="38">
        <f t="shared" si="89"/>
        <v>8.1081081081081086E-2</v>
      </c>
      <c r="AD828" s="3" t="s">
        <v>45</v>
      </c>
      <c r="AE828" s="18">
        <v>182</v>
      </c>
    </row>
    <row r="829" spans="1:31" x14ac:dyDescent="0.35">
      <c r="A829" s="32" t="s">
        <v>15</v>
      </c>
      <c r="B829" s="32">
        <v>214</v>
      </c>
      <c r="C829" s="32">
        <v>35</v>
      </c>
      <c r="D829" s="32">
        <f t="shared" si="81"/>
        <v>4.5</v>
      </c>
      <c r="E829" s="32">
        <f t="shared" si="82"/>
        <v>0.16355140186915887</v>
      </c>
      <c r="G829" s="18">
        <v>963</v>
      </c>
      <c r="I829">
        <f t="shared" si="83"/>
        <v>828</v>
      </c>
      <c r="J829" s="18" t="s">
        <v>15</v>
      </c>
      <c r="K829" s="18">
        <v>217</v>
      </c>
      <c r="L829" s="18">
        <v>35</v>
      </c>
      <c r="M829" s="18">
        <f t="shared" si="84"/>
        <v>4.5115207373271886</v>
      </c>
      <c r="N829" s="18">
        <v>979</v>
      </c>
      <c r="O829" s="18">
        <f t="shared" si="85"/>
        <v>0.16129032258064516</v>
      </c>
      <c r="Q829" s="32" t="s">
        <v>123</v>
      </c>
      <c r="R829" s="32">
        <v>25</v>
      </c>
      <c r="S829" s="32">
        <v>4</v>
      </c>
      <c r="T829" s="32">
        <f t="shared" si="86"/>
        <v>4.5199999999999996</v>
      </c>
      <c r="U829" s="32">
        <f t="shared" si="87"/>
        <v>0.16</v>
      </c>
      <c r="V829" s="3" t="s">
        <v>195</v>
      </c>
      <c r="W829" s="18">
        <v>113</v>
      </c>
      <c r="Y829" s="38" t="s">
        <v>25</v>
      </c>
      <c r="Z829" s="38">
        <v>142</v>
      </c>
      <c r="AA829" s="38">
        <v>12</v>
      </c>
      <c r="AB829" s="38">
        <f t="shared" si="88"/>
        <v>5.0140845070422539</v>
      </c>
      <c r="AC829" s="38">
        <f t="shared" si="89"/>
        <v>8.4507042253521125E-2</v>
      </c>
      <c r="AD829" s="3" t="s">
        <v>282</v>
      </c>
      <c r="AE829" s="18">
        <v>712</v>
      </c>
    </row>
    <row r="830" spans="1:31" x14ac:dyDescent="0.35">
      <c r="A830" s="32" t="s">
        <v>24</v>
      </c>
      <c r="B830" s="32">
        <v>89</v>
      </c>
      <c r="C830" s="32">
        <v>10</v>
      </c>
      <c r="D830" s="32">
        <f t="shared" ref="D830:D862" si="90">G830/B830</f>
        <v>4.5505617977528088</v>
      </c>
      <c r="E830" s="32">
        <f t="shared" ref="E830:E862" si="91">C830/B830</f>
        <v>0.11235955056179775</v>
      </c>
      <c r="G830" s="18">
        <v>405</v>
      </c>
      <c r="I830">
        <f t="shared" ref="I830:I862" si="92">ROW(I830)-1</f>
        <v>829</v>
      </c>
      <c r="J830" s="18" t="s">
        <v>24</v>
      </c>
      <c r="K830" s="18">
        <v>89</v>
      </c>
      <c r="L830" s="18">
        <v>10</v>
      </c>
      <c r="M830" s="18">
        <f t="shared" ref="M830:M861" si="93">N830/K830</f>
        <v>4.5505617977528088</v>
      </c>
      <c r="N830" s="18">
        <v>405</v>
      </c>
      <c r="O830" s="18">
        <f t="shared" ref="O830:O862" si="94">L830/K830</f>
        <v>0.11235955056179775</v>
      </c>
      <c r="Q830" s="32" t="s">
        <v>1</v>
      </c>
      <c r="R830" s="32">
        <v>83</v>
      </c>
      <c r="S830" s="32">
        <v>4</v>
      </c>
      <c r="T830" s="32">
        <f t="shared" ref="T830:T857" si="95">W830/R830</f>
        <v>4.5421686746987948</v>
      </c>
      <c r="U830" s="32">
        <f t="shared" ref="U830:U857" si="96">S830/R830</f>
        <v>4.8192771084337352E-2</v>
      </c>
      <c r="V830" s="3" t="s">
        <v>46</v>
      </c>
      <c r="W830" s="18">
        <v>377</v>
      </c>
      <c r="Y830" s="38" t="s">
        <v>81</v>
      </c>
      <c r="Z830" s="38">
        <v>63</v>
      </c>
      <c r="AA830" s="38">
        <v>4</v>
      </c>
      <c r="AB830" s="38">
        <f t="shared" si="88"/>
        <v>5.0634920634920633</v>
      </c>
      <c r="AC830" s="38">
        <f t="shared" si="89"/>
        <v>6.3492063492063489E-2</v>
      </c>
      <c r="AD830" s="3" t="s">
        <v>564</v>
      </c>
      <c r="AE830" s="18">
        <v>319</v>
      </c>
    </row>
    <row r="831" spans="1:31" x14ac:dyDescent="0.35">
      <c r="A831" s="32" t="s">
        <v>5</v>
      </c>
      <c r="B831" s="32">
        <v>23</v>
      </c>
      <c r="C831" s="32">
        <v>1</v>
      </c>
      <c r="D831" s="32">
        <f t="shared" si="90"/>
        <v>4.6086956521739131</v>
      </c>
      <c r="E831" s="32">
        <f t="shared" si="91"/>
        <v>4.3478260869565216E-2</v>
      </c>
      <c r="G831" s="18">
        <v>106</v>
      </c>
      <c r="I831">
        <f t="shared" si="92"/>
        <v>830</v>
      </c>
      <c r="J831" s="18" t="s">
        <v>5</v>
      </c>
      <c r="K831" s="18">
        <v>23</v>
      </c>
      <c r="L831" s="18">
        <v>1</v>
      </c>
      <c r="M831" s="18">
        <f t="shared" si="93"/>
        <v>4.6086956521739131</v>
      </c>
      <c r="N831" s="18">
        <v>106</v>
      </c>
      <c r="O831" s="18">
        <f t="shared" si="94"/>
        <v>4.3478260869565216E-2</v>
      </c>
      <c r="Q831" s="32" t="s">
        <v>428</v>
      </c>
      <c r="R831" s="32">
        <v>21</v>
      </c>
      <c r="S831" s="32">
        <v>0</v>
      </c>
      <c r="T831" s="32">
        <f t="shared" si="95"/>
        <v>4.6190476190476186</v>
      </c>
      <c r="U831" s="32">
        <f t="shared" si="96"/>
        <v>0</v>
      </c>
      <c r="W831">
        <v>97</v>
      </c>
      <c r="Y831" s="38" t="s">
        <v>26</v>
      </c>
      <c r="Z831" s="38">
        <v>60</v>
      </c>
      <c r="AA831" s="38">
        <v>5</v>
      </c>
      <c r="AB831" s="38">
        <f t="shared" si="88"/>
        <v>5.083333333333333</v>
      </c>
      <c r="AC831" s="38">
        <f t="shared" si="89"/>
        <v>8.3333333333333329E-2</v>
      </c>
      <c r="AD831" s="2" t="s">
        <v>370</v>
      </c>
      <c r="AE831" s="18">
        <v>305</v>
      </c>
    </row>
    <row r="832" spans="1:31" x14ac:dyDescent="0.35">
      <c r="A832" s="32" t="s">
        <v>428</v>
      </c>
      <c r="B832" s="32">
        <v>21</v>
      </c>
      <c r="C832" s="32">
        <v>0</v>
      </c>
      <c r="D832" s="32">
        <f t="shared" si="90"/>
        <v>4.6190476190476186</v>
      </c>
      <c r="E832" s="32">
        <f t="shared" si="91"/>
        <v>0</v>
      </c>
      <c r="G832">
        <v>97</v>
      </c>
      <c r="I832">
        <f t="shared" si="92"/>
        <v>831</v>
      </c>
      <c r="J832" t="s">
        <v>428</v>
      </c>
      <c r="K832">
        <v>21</v>
      </c>
      <c r="L832">
        <v>0</v>
      </c>
      <c r="M832">
        <f t="shared" si="93"/>
        <v>4.6190476190476186</v>
      </c>
      <c r="N832">
        <v>97</v>
      </c>
      <c r="O832">
        <f t="shared" si="94"/>
        <v>0</v>
      </c>
      <c r="Q832" s="32" t="s">
        <v>14</v>
      </c>
      <c r="R832" s="32">
        <v>45</v>
      </c>
      <c r="S832" s="32">
        <v>3</v>
      </c>
      <c r="T832" s="32">
        <f t="shared" si="95"/>
        <v>4.7111111111111112</v>
      </c>
      <c r="U832" s="32">
        <f t="shared" si="96"/>
        <v>6.6666666666666666E-2</v>
      </c>
      <c r="W832">
        <v>212</v>
      </c>
      <c r="Y832" s="38" t="s">
        <v>30</v>
      </c>
      <c r="Z832" s="38">
        <v>50</v>
      </c>
      <c r="AA832" s="38">
        <v>3</v>
      </c>
      <c r="AB832" s="38">
        <f t="shared" si="88"/>
        <v>5.0999999999999996</v>
      </c>
      <c r="AC832" s="38">
        <f t="shared" si="89"/>
        <v>0.06</v>
      </c>
      <c r="AD832" s="3" t="s">
        <v>494</v>
      </c>
      <c r="AE832" s="18">
        <v>255</v>
      </c>
    </row>
    <row r="833" spans="1:31" x14ac:dyDescent="0.35">
      <c r="A833" s="32" t="s">
        <v>1</v>
      </c>
      <c r="B833" s="32">
        <v>90</v>
      </c>
      <c r="C833" s="32">
        <v>4</v>
      </c>
      <c r="D833" s="32">
        <f t="shared" si="90"/>
        <v>4.6222222222222218</v>
      </c>
      <c r="E833" s="32">
        <f t="shared" si="91"/>
        <v>4.4444444444444446E-2</v>
      </c>
      <c r="G833" s="18">
        <v>416</v>
      </c>
      <c r="I833">
        <f t="shared" si="92"/>
        <v>832</v>
      </c>
      <c r="J833" s="18" t="s">
        <v>79</v>
      </c>
      <c r="K833" s="18">
        <v>54</v>
      </c>
      <c r="L833" s="18">
        <v>6</v>
      </c>
      <c r="M833" s="18">
        <f t="shared" si="93"/>
        <v>4.6296296296296298</v>
      </c>
      <c r="N833" s="18">
        <v>250</v>
      </c>
      <c r="O833" s="18">
        <f t="shared" si="94"/>
        <v>0.1111111111111111</v>
      </c>
      <c r="Q833" s="32" t="s">
        <v>61</v>
      </c>
      <c r="R833" s="32">
        <v>25</v>
      </c>
      <c r="S833" s="32">
        <v>6</v>
      </c>
      <c r="T833" s="32">
        <f t="shared" si="95"/>
        <v>4.72</v>
      </c>
      <c r="U833" s="32">
        <f t="shared" si="96"/>
        <v>0.24</v>
      </c>
      <c r="V833" s="3" t="s">
        <v>54</v>
      </c>
      <c r="W833" s="18">
        <v>118</v>
      </c>
      <c r="Y833" s="38" t="s">
        <v>49</v>
      </c>
      <c r="Z833" s="38">
        <v>106</v>
      </c>
      <c r="AA833" s="38">
        <v>7</v>
      </c>
      <c r="AB833" s="38">
        <f t="shared" si="88"/>
        <v>5.1415094339622645</v>
      </c>
      <c r="AC833" s="38">
        <f t="shared" si="89"/>
        <v>6.6037735849056603E-2</v>
      </c>
      <c r="AE833" s="18">
        <v>545</v>
      </c>
    </row>
    <row r="834" spans="1:31" x14ac:dyDescent="0.35">
      <c r="A834" s="32" t="s">
        <v>79</v>
      </c>
      <c r="B834" s="32">
        <v>54</v>
      </c>
      <c r="C834" s="32">
        <v>6</v>
      </c>
      <c r="D834" s="32">
        <f t="shared" si="90"/>
        <v>4.6296296296296298</v>
      </c>
      <c r="E834" s="32">
        <f t="shared" si="91"/>
        <v>0.1111111111111111</v>
      </c>
      <c r="G834" s="18">
        <v>250</v>
      </c>
      <c r="I834">
        <f t="shared" si="92"/>
        <v>833</v>
      </c>
      <c r="J834" s="18" t="s">
        <v>1</v>
      </c>
      <c r="K834" s="18">
        <v>92</v>
      </c>
      <c r="L834" s="18">
        <v>4</v>
      </c>
      <c r="M834" s="18">
        <f t="shared" si="93"/>
        <v>4.6739130434782608</v>
      </c>
      <c r="N834" s="18">
        <v>430</v>
      </c>
      <c r="O834" s="18">
        <f t="shared" si="94"/>
        <v>4.3478260869565216E-2</v>
      </c>
      <c r="Q834" s="32" t="s">
        <v>13</v>
      </c>
      <c r="R834" s="32">
        <v>36</v>
      </c>
      <c r="S834" s="32">
        <v>2</v>
      </c>
      <c r="T834" s="32">
        <f t="shared" si="95"/>
        <v>4.7222222222222223</v>
      </c>
      <c r="U834" s="32">
        <f t="shared" si="96"/>
        <v>5.5555555555555552E-2</v>
      </c>
      <c r="V834" s="3" t="s">
        <v>46</v>
      </c>
      <c r="W834" s="18">
        <v>170</v>
      </c>
      <c r="Y834" s="67" t="s">
        <v>31</v>
      </c>
      <c r="Z834" s="67">
        <v>175</v>
      </c>
      <c r="AA834" s="67">
        <v>12</v>
      </c>
      <c r="AB834" s="67">
        <f t="shared" si="88"/>
        <v>5.32</v>
      </c>
      <c r="AC834" s="67">
        <f t="shared" si="89"/>
        <v>6.8571428571428575E-2</v>
      </c>
      <c r="AD834" s="3" t="s">
        <v>566</v>
      </c>
      <c r="AE834" s="18">
        <v>931</v>
      </c>
    </row>
    <row r="835" spans="1:31" x14ac:dyDescent="0.35">
      <c r="A835" s="32" t="s">
        <v>14</v>
      </c>
      <c r="B835" s="32">
        <v>45</v>
      </c>
      <c r="C835" s="32">
        <v>3</v>
      </c>
      <c r="D835" s="32">
        <f t="shared" si="90"/>
        <v>4.7111111111111112</v>
      </c>
      <c r="E835" s="32">
        <f t="shared" si="91"/>
        <v>6.6666666666666666E-2</v>
      </c>
      <c r="G835">
        <v>212</v>
      </c>
      <c r="I835">
        <f t="shared" si="92"/>
        <v>834</v>
      </c>
      <c r="J835" t="s">
        <v>14</v>
      </c>
      <c r="K835">
        <v>45</v>
      </c>
      <c r="L835">
        <v>3</v>
      </c>
      <c r="M835">
        <f t="shared" si="93"/>
        <v>4.7111111111111112</v>
      </c>
      <c r="N835">
        <v>212</v>
      </c>
      <c r="O835">
        <f t="shared" si="94"/>
        <v>6.6666666666666666E-2</v>
      </c>
      <c r="Q835" s="32" t="s">
        <v>12</v>
      </c>
      <c r="R835" s="32">
        <v>20</v>
      </c>
      <c r="S835" s="32">
        <v>0</v>
      </c>
      <c r="T835" s="32">
        <f t="shared" si="95"/>
        <v>4.75</v>
      </c>
      <c r="U835" s="32">
        <f t="shared" si="96"/>
        <v>0</v>
      </c>
      <c r="V835" s="13" t="s">
        <v>489</v>
      </c>
      <c r="W835" s="18">
        <v>95</v>
      </c>
      <c r="Y835" s="67" t="s">
        <v>6</v>
      </c>
      <c r="Z835" s="67">
        <v>45</v>
      </c>
      <c r="AA835" s="67">
        <v>3</v>
      </c>
      <c r="AB835" s="67">
        <f t="shared" si="88"/>
        <v>5.3555555555555552</v>
      </c>
      <c r="AC835" s="67">
        <f t="shared" si="89"/>
        <v>6.6666666666666666E-2</v>
      </c>
      <c r="AD835" s="3" t="s">
        <v>495</v>
      </c>
      <c r="AE835" s="18">
        <v>241</v>
      </c>
    </row>
    <row r="836" spans="1:31" x14ac:dyDescent="0.35">
      <c r="A836" s="32" t="s">
        <v>13</v>
      </c>
      <c r="B836" s="32">
        <v>36</v>
      </c>
      <c r="C836" s="32">
        <v>2</v>
      </c>
      <c r="D836" s="32">
        <f t="shared" si="90"/>
        <v>4.7222222222222223</v>
      </c>
      <c r="E836" s="32">
        <f t="shared" si="91"/>
        <v>5.5555555555555552E-2</v>
      </c>
      <c r="G836" s="18">
        <v>170</v>
      </c>
      <c r="I836">
        <f t="shared" si="92"/>
        <v>835</v>
      </c>
      <c r="J836" s="18" t="s">
        <v>13</v>
      </c>
      <c r="K836" s="18">
        <v>36</v>
      </c>
      <c r="L836" s="18">
        <v>2</v>
      </c>
      <c r="M836" s="18">
        <f t="shared" si="93"/>
        <v>4.7222222222222223</v>
      </c>
      <c r="N836" s="18">
        <v>170</v>
      </c>
      <c r="O836" s="18">
        <f t="shared" si="94"/>
        <v>5.5555555555555552E-2</v>
      </c>
      <c r="Q836" s="38" t="s">
        <v>87</v>
      </c>
      <c r="R836" s="38">
        <v>54</v>
      </c>
      <c r="S836" s="38">
        <v>8</v>
      </c>
      <c r="T836" s="38">
        <f t="shared" si="95"/>
        <v>4.8518518518518521</v>
      </c>
      <c r="U836" s="38">
        <f t="shared" si="96"/>
        <v>0.14814814814814814</v>
      </c>
      <c r="V836" s="3" t="s">
        <v>46</v>
      </c>
      <c r="W836" s="18">
        <v>262</v>
      </c>
      <c r="Y836" s="67" t="s">
        <v>253</v>
      </c>
      <c r="Z836" s="67">
        <v>32</v>
      </c>
      <c r="AA836" s="67">
        <v>1</v>
      </c>
      <c r="AB836" s="67">
        <f t="shared" si="88"/>
        <v>5.4375</v>
      </c>
      <c r="AC836" s="67">
        <f t="shared" si="89"/>
        <v>3.125E-2</v>
      </c>
      <c r="AD836" s="3" t="s">
        <v>567</v>
      </c>
      <c r="AE836" s="18">
        <v>174</v>
      </c>
    </row>
    <row r="837" spans="1:31" x14ac:dyDescent="0.35">
      <c r="A837" s="32" t="s">
        <v>12</v>
      </c>
      <c r="B837" s="32">
        <v>20</v>
      </c>
      <c r="C837" s="32">
        <v>0</v>
      </c>
      <c r="D837" s="32">
        <f t="shared" si="90"/>
        <v>4.75</v>
      </c>
      <c r="E837" s="32">
        <f t="shared" si="91"/>
        <v>0</v>
      </c>
      <c r="G837" s="18">
        <v>95</v>
      </c>
      <c r="I837">
        <f t="shared" si="92"/>
        <v>836</v>
      </c>
      <c r="J837" s="18" t="s">
        <v>12</v>
      </c>
      <c r="K837" s="18">
        <v>20</v>
      </c>
      <c r="L837" s="18">
        <v>0</v>
      </c>
      <c r="M837" s="18">
        <f t="shared" si="93"/>
        <v>4.75</v>
      </c>
      <c r="N837" s="18">
        <v>95</v>
      </c>
      <c r="O837" s="18">
        <f t="shared" si="94"/>
        <v>0</v>
      </c>
      <c r="Q837" s="38" t="s">
        <v>37</v>
      </c>
      <c r="R837" s="38">
        <v>22</v>
      </c>
      <c r="S837" s="38">
        <v>2</v>
      </c>
      <c r="T837" s="38">
        <f t="shared" si="95"/>
        <v>4.9090909090909092</v>
      </c>
      <c r="U837" s="38">
        <f t="shared" si="96"/>
        <v>9.0909090909090912E-2</v>
      </c>
      <c r="V837" s="3" t="s">
        <v>54</v>
      </c>
      <c r="W837" s="18">
        <v>108</v>
      </c>
      <c r="Y837" s="67" t="s">
        <v>33</v>
      </c>
      <c r="Z837" s="67">
        <v>64</v>
      </c>
      <c r="AA837" s="67">
        <v>4</v>
      </c>
      <c r="AB837" s="67">
        <f t="shared" si="88"/>
        <v>5.515625</v>
      </c>
      <c r="AC837" s="67">
        <f t="shared" si="89"/>
        <v>6.25E-2</v>
      </c>
      <c r="AD837" s="3" t="s">
        <v>296</v>
      </c>
      <c r="AE837" s="18">
        <v>353</v>
      </c>
    </row>
    <row r="838" spans="1:31" x14ac:dyDescent="0.35">
      <c r="A838" s="32" t="s">
        <v>87</v>
      </c>
      <c r="B838" s="32">
        <v>80</v>
      </c>
      <c r="C838" s="32">
        <v>12</v>
      </c>
      <c r="D838" s="32">
        <f t="shared" si="90"/>
        <v>4.7750000000000004</v>
      </c>
      <c r="E838" s="32">
        <f t="shared" si="91"/>
        <v>0.15</v>
      </c>
      <c r="G838" s="18">
        <v>382</v>
      </c>
      <c r="I838">
        <f t="shared" si="92"/>
        <v>837</v>
      </c>
      <c r="J838" s="18" t="s">
        <v>87</v>
      </c>
      <c r="K838" s="18">
        <v>84</v>
      </c>
      <c r="L838" s="18">
        <v>12</v>
      </c>
      <c r="M838" s="18">
        <f t="shared" si="93"/>
        <v>4.7619047619047619</v>
      </c>
      <c r="N838" s="18">
        <v>400</v>
      </c>
      <c r="O838" s="18">
        <f t="shared" si="94"/>
        <v>0.14285714285714285</v>
      </c>
      <c r="Q838" s="38" t="s">
        <v>4</v>
      </c>
      <c r="R838" s="38">
        <v>20</v>
      </c>
      <c r="S838" s="38">
        <v>3</v>
      </c>
      <c r="T838" s="38">
        <f t="shared" si="95"/>
        <v>4.95</v>
      </c>
      <c r="U838" s="38">
        <f t="shared" si="96"/>
        <v>0.15</v>
      </c>
      <c r="V838" s="3" t="s">
        <v>487</v>
      </c>
      <c r="W838" s="18">
        <v>99</v>
      </c>
      <c r="Y838" s="67" t="s">
        <v>401</v>
      </c>
      <c r="Z838" s="67">
        <v>59</v>
      </c>
      <c r="AA838" s="67">
        <v>3</v>
      </c>
      <c r="AB838" s="67">
        <f t="shared" si="88"/>
        <v>5.6271186440677967</v>
      </c>
      <c r="AC838" s="67">
        <f t="shared" si="89"/>
        <v>5.0847457627118647E-2</v>
      </c>
      <c r="AD838" s="3" t="s">
        <v>282</v>
      </c>
      <c r="AE838" s="18">
        <v>332</v>
      </c>
    </row>
    <row r="839" spans="1:31" x14ac:dyDescent="0.35">
      <c r="A839" s="18" t="s">
        <v>61</v>
      </c>
      <c r="B839" s="18">
        <v>27</v>
      </c>
      <c r="C839" s="18">
        <v>6</v>
      </c>
      <c r="D839" s="18">
        <f t="shared" si="90"/>
        <v>4.8518518518518521</v>
      </c>
      <c r="E839" s="18">
        <f t="shared" si="91"/>
        <v>0.22222222222222221</v>
      </c>
      <c r="G839" s="18">
        <v>131</v>
      </c>
      <c r="I839">
        <f t="shared" si="92"/>
        <v>838</v>
      </c>
      <c r="J839" s="18" t="s">
        <v>61</v>
      </c>
      <c r="K839" s="18">
        <v>28</v>
      </c>
      <c r="L839" s="18">
        <v>6</v>
      </c>
      <c r="M839" s="18">
        <f t="shared" si="93"/>
        <v>4.8571428571428568</v>
      </c>
      <c r="N839" s="18">
        <v>136</v>
      </c>
      <c r="O839" s="18">
        <f t="shared" si="94"/>
        <v>0.21428571428571427</v>
      </c>
      <c r="Q839" s="38" t="s">
        <v>25</v>
      </c>
      <c r="R839" s="38">
        <v>88</v>
      </c>
      <c r="S839" s="38">
        <v>8</v>
      </c>
      <c r="T839" s="38">
        <f t="shared" si="95"/>
        <v>5.0227272727272725</v>
      </c>
      <c r="U839" s="38">
        <f t="shared" si="96"/>
        <v>9.0909090909090912E-2</v>
      </c>
      <c r="V839" s="3" t="s">
        <v>45</v>
      </c>
      <c r="W839" s="18">
        <v>442</v>
      </c>
    </row>
    <row r="840" spans="1:31" x14ac:dyDescent="0.35">
      <c r="A840" s="18" t="s">
        <v>37</v>
      </c>
      <c r="B840" s="18">
        <v>22</v>
      </c>
      <c r="C840" s="18">
        <v>2</v>
      </c>
      <c r="D840" s="18">
        <f t="shared" si="90"/>
        <v>4.9090909090909092</v>
      </c>
      <c r="E840" s="18">
        <f t="shared" si="91"/>
        <v>9.0909090909090912E-2</v>
      </c>
      <c r="G840" s="18">
        <v>108</v>
      </c>
      <c r="I840">
        <f t="shared" si="92"/>
        <v>839</v>
      </c>
      <c r="J840" s="18" t="s">
        <v>37</v>
      </c>
      <c r="K840" s="18">
        <v>22</v>
      </c>
      <c r="L840" s="18">
        <v>2</v>
      </c>
      <c r="M840" s="18">
        <f t="shared" si="93"/>
        <v>4.9090909090909092</v>
      </c>
      <c r="N840" s="18">
        <v>108</v>
      </c>
      <c r="O840" s="18">
        <f t="shared" si="94"/>
        <v>9.0909090909090912E-2</v>
      </c>
      <c r="Q840" s="38" t="s">
        <v>30</v>
      </c>
      <c r="R840" s="38">
        <v>33</v>
      </c>
      <c r="S840" s="38">
        <v>3</v>
      </c>
      <c r="T840" s="38">
        <f t="shared" si="95"/>
        <v>5.0303030303030303</v>
      </c>
      <c r="U840" s="38">
        <f t="shared" si="96"/>
        <v>9.0909090909090912E-2</v>
      </c>
      <c r="V840" s="3" t="s">
        <v>55</v>
      </c>
      <c r="W840" s="18">
        <v>166</v>
      </c>
    </row>
    <row r="841" spans="1:31" x14ac:dyDescent="0.35">
      <c r="A841" s="18" t="s">
        <v>51</v>
      </c>
      <c r="B841" s="18">
        <v>37</v>
      </c>
      <c r="C841" s="18">
        <v>3</v>
      </c>
      <c r="D841" s="18">
        <f t="shared" si="90"/>
        <v>4.9189189189189193</v>
      </c>
      <c r="E841" s="18">
        <f t="shared" si="91"/>
        <v>8.1081081081081086E-2</v>
      </c>
      <c r="G841" s="18">
        <v>182</v>
      </c>
      <c r="I841">
        <f t="shared" si="92"/>
        <v>840</v>
      </c>
      <c r="J841" s="18" t="s">
        <v>51</v>
      </c>
      <c r="K841" s="18">
        <v>37</v>
      </c>
      <c r="L841" s="18">
        <v>3</v>
      </c>
      <c r="M841" s="18">
        <f t="shared" si="93"/>
        <v>4.9189189189189193</v>
      </c>
      <c r="N841" s="18">
        <v>182</v>
      </c>
      <c r="O841" s="18">
        <f t="shared" si="94"/>
        <v>8.1081081081081086E-2</v>
      </c>
      <c r="Q841" s="38" t="s">
        <v>81</v>
      </c>
      <c r="R841" s="38">
        <v>48</v>
      </c>
      <c r="S841" s="38">
        <v>2</v>
      </c>
      <c r="T841" s="38">
        <f t="shared" si="95"/>
        <v>5.041666666666667</v>
      </c>
      <c r="U841" s="38">
        <f t="shared" si="96"/>
        <v>4.1666666666666664E-2</v>
      </c>
      <c r="V841" s="3" t="s">
        <v>45</v>
      </c>
      <c r="W841" s="18">
        <v>242</v>
      </c>
    </row>
    <row r="842" spans="1:31" x14ac:dyDescent="0.35">
      <c r="A842" s="18" t="s">
        <v>25</v>
      </c>
      <c r="B842" s="18">
        <v>117</v>
      </c>
      <c r="C842" s="18">
        <v>11</v>
      </c>
      <c r="D842" s="18">
        <f t="shared" si="90"/>
        <v>4.9230769230769234</v>
      </c>
      <c r="E842" s="18">
        <f t="shared" si="91"/>
        <v>9.4017094017094016E-2</v>
      </c>
      <c r="G842" s="18">
        <v>576</v>
      </c>
      <c r="I842">
        <f t="shared" si="92"/>
        <v>841</v>
      </c>
      <c r="J842" s="18" t="s">
        <v>4</v>
      </c>
      <c r="K842" s="18">
        <v>20</v>
      </c>
      <c r="L842" s="18">
        <v>3</v>
      </c>
      <c r="M842" s="18">
        <f t="shared" si="93"/>
        <v>4.95</v>
      </c>
      <c r="N842" s="18">
        <v>99</v>
      </c>
      <c r="O842" s="18">
        <f t="shared" si="94"/>
        <v>0.15</v>
      </c>
      <c r="Q842" s="38" t="s">
        <v>105</v>
      </c>
      <c r="R842" s="38">
        <v>20</v>
      </c>
      <c r="S842" s="38">
        <v>0</v>
      </c>
      <c r="T842" s="38">
        <f t="shared" si="95"/>
        <v>5.05</v>
      </c>
      <c r="U842" s="38">
        <f t="shared" si="96"/>
        <v>0</v>
      </c>
      <c r="V842" s="3" t="s">
        <v>45</v>
      </c>
      <c r="W842">
        <v>101</v>
      </c>
    </row>
    <row r="843" spans="1:31" x14ac:dyDescent="0.35">
      <c r="A843" s="18" t="s">
        <v>4</v>
      </c>
      <c r="B843" s="18">
        <v>20</v>
      </c>
      <c r="C843" s="18">
        <v>3</v>
      </c>
      <c r="D843" s="18">
        <f t="shared" si="90"/>
        <v>4.95</v>
      </c>
      <c r="E843" s="18">
        <f t="shared" si="91"/>
        <v>0.15</v>
      </c>
      <c r="G843" s="18">
        <v>99</v>
      </c>
      <c r="I843">
        <f t="shared" si="92"/>
        <v>842</v>
      </c>
      <c r="J843" s="18" t="s">
        <v>25</v>
      </c>
      <c r="K843" s="18">
        <v>123</v>
      </c>
      <c r="L843" s="18">
        <v>11</v>
      </c>
      <c r="M843" s="18">
        <f t="shared" si="93"/>
        <v>4.9674796747967482</v>
      </c>
      <c r="N843" s="18">
        <v>611</v>
      </c>
      <c r="O843" s="18">
        <f t="shared" si="94"/>
        <v>8.943089430894309E-2</v>
      </c>
      <c r="Q843" s="38" t="s">
        <v>99</v>
      </c>
      <c r="R843" s="38">
        <v>20</v>
      </c>
      <c r="S843" s="38">
        <v>2</v>
      </c>
      <c r="T843" s="38">
        <f t="shared" si="95"/>
        <v>5.05</v>
      </c>
      <c r="U843" s="38">
        <f t="shared" si="96"/>
        <v>0.1</v>
      </c>
      <c r="V843" s="3" t="s">
        <v>488</v>
      </c>
      <c r="W843" s="18">
        <v>101</v>
      </c>
    </row>
    <row r="844" spans="1:31" x14ac:dyDescent="0.35">
      <c r="A844" s="18" t="s">
        <v>81</v>
      </c>
      <c r="B844" s="18">
        <v>53</v>
      </c>
      <c r="C844" s="18">
        <v>2</v>
      </c>
      <c r="D844" s="18">
        <f t="shared" si="90"/>
        <v>5</v>
      </c>
      <c r="E844" s="18">
        <f t="shared" si="91"/>
        <v>3.7735849056603772E-2</v>
      </c>
      <c r="G844" s="18">
        <v>265</v>
      </c>
      <c r="I844">
        <f t="shared" si="92"/>
        <v>843</v>
      </c>
      <c r="J844" s="18" t="s">
        <v>81</v>
      </c>
      <c r="K844" s="18">
        <v>53</v>
      </c>
      <c r="L844" s="18">
        <v>2</v>
      </c>
      <c r="M844" s="18">
        <f t="shared" si="93"/>
        <v>5</v>
      </c>
      <c r="N844" s="18">
        <v>265</v>
      </c>
      <c r="O844" s="18">
        <f t="shared" si="94"/>
        <v>3.7735849056603772E-2</v>
      </c>
      <c r="Q844" s="38" t="s">
        <v>51</v>
      </c>
      <c r="R844" s="38">
        <v>33</v>
      </c>
      <c r="S844" s="38">
        <v>2</v>
      </c>
      <c r="T844" s="38">
        <f t="shared" si="95"/>
        <v>5.0606060606060606</v>
      </c>
      <c r="U844" s="38">
        <f t="shared" si="96"/>
        <v>6.0606060606060608E-2</v>
      </c>
      <c r="V844" s="3" t="s">
        <v>54</v>
      </c>
      <c r="W844" s="18">
        <v>167</v>
      </c>
    </row>
    <row r="845" spans="1:31" x14ac:dyDescent="0.35">
      <c r="A845" t="s">
        <v>105</v>
      </c>
      <c r="B845">
        <v>20</v>
      </c>
      <c r="C845">
        <v>0</v>
      </c>
      <c r="D845">
        <f t="shared" si="90"/>
        <v>5.05</v>
      </c>
      <c r="E845">
        <f t="shared" si="91"/>
        <v>0</v>
      </c>
      <c r="G845">
        <v>101</v>
      </c>
      <c r="I845">
        <f t="shared" si="92"/>
        <v>844</v>
      </c>
      <c r="J845" t="s">
        <v>105</v>
      </c>
      <c r="K845">
        <v>20</v>
      </c>
      <c r="L845">
        <v>0</v>
      </c>
      <c r="M845">
        <f t="shared" si="93"/>
        <v>5.05</v>
      </c>
      <c r="N845">
        <v>101</v>
      </c>
      <c r="O845">
        <f t="shared" si="94"/>
        <v>0</v>
      </c>
      <c r="Q845" s="38" t="s">
        <v>79</v>
      </c>
      <c r="R845" s="38">
        <v>30</v>
      </c>
      <c r="S845" s="38">
        <v>1</v>
      </c>
      <c r="T845" s="38">
        <f t="shared" si="95"/>
        <v>5.0666666666666664</v>
      </c>
      <c r="U845" s="38">
        <f t="shared" si="96"/>
        <v>3.3333333333333333E-2</v>
      </c>
      <c r="V845" s="3" t="s">
        <v>69</v>
      </c>
      <c r="W845" s="18">
        <v>152</v>
      </c>
    </row>
    <row r="846" spans="1:31" x14ac:dyDescent="0.35">
      <c r="A846" s="18" t="s">
        <v>99</v>
      </c>
      <c r="B846" s="18">
        <v>20</v>
      </c>
      <c r="C846" s="18">
        <v>2</v>
      </c>
      <c r="D846" s="18">
        <f t="shared" si="90"/>
        <v>5.05</v>
      </c>
      <c r="E846" s="18">
        <f t="shared" si="91"/>
        <v>0.1</v>
      </c>
      <c r="G846" s="18">
        <v>101</v>
      </c>
      <c r="I846">
        <f t="shared" si="92"/>
        <v>845</v>
      </c>
      <c r="J846" s="18" t="s">
        <v>99</v>
      </c>
      <c r="K846" s="18">
        <v>20</v>
      </c>
      <c r="L846" s="18">
        <v>2</v>
      </c>
      <c r="M846" s="18">
        <f t="shared" si="93"/>
        <v>5.05</v>
      </c>
      <c r="N846" s="18">
        <v>101</v>
      </c>
      <c r="O846" s="18">
        <f t="shared" si="94"/>
        <v>0.1</v>
      </c>
      <c r="Q846" s="38" t="s">
        <v>20</v>
      </c>
      <c r="R846" s="38">
        <v>22</v>
      </c>
      <c r="S846" s="38">
        <v>2</v>
      </c>
      <c r="T846" s="38">
        <f t="shared" si="95"/>
        <v>5.1818181818181817</v>
      </c>
      <c r="U846" s="38">
        <f t="shared" si="96"/>
        <v>9.0909090909090912E-2</v>
      </c>
      <c r="V846" s="3" t="s">
        <v>55</v>
      </c>
      <c r="W846" s="18">
        <v>114</v>
      </c>
    </row>
    <row r="847" spans="1:31" x14ac:dyDescent="0.35">
      <c r="A847" s="18" t="s">
        <v>82</v>
      </c>
      <c r="B847" s="18">
        <v>20</v>
      </c>
      <c r="C847" s="18">
        <v>0</v>
      </c>
      <c r="D847" s="18">
        <f t="shared" si="90"/>
        <v>5.15</v>
      </c>
      <c r="E847" s="18">
        <f t="shared" si="91"/>
        <v>0</v>
      </c>
      <c r="G847" s="18">
        <v>103</v>
      </c>
      <c r="I847">
        <f t="shared" si="92"/>
        <v>846</v>
      </c>
      <c r="J847" s="18" t="s">
        <v>82</v>
      </c>
      <c r="K847" s="18">
        <v>20</v>
      </c>
      <c r="L847" s="18">
        <v>0</v>
      </c>
      <c r="M847" s="18">
        <f t="shared" si="93"/>
        <v>5.15</v>
      </c>
      <c r="N847" s="18">
        <v>103</v>
      </c>
      <c r="O847" s="18">
        <f t="shared" si="94"/>
        <v>0</v>
      </c>
      <c r="Q847" s="66" t="s">
        <v>31</v>
      </c>
      <c r="R847" s="66">
        <v>126</v>
      </c>
      <c r="S847" s="66">
        <v>8</v>
      </c>
      <c r="T847" s="66">
        <f t="shared" si="95"/>
        <v>5.3253968253968251</v>
      </c>
      <c r="U847" s="66">
        <f t="shared" si="96"/>
        <v>6.3492063492063489E-2</v>
      </c>
      <c r="W847" s="18">
        <v>671</v>
      </c>
    </row>
    <row r="848" spans="1:31" x14ac:dyDescent="0.35">
      <c r="A848" s="18" t="s">
        <v>20</v>
      </c>
      <c r="B848" s="18">
        <v>22</v>
      </c>
      <c r="C848" s="18">
        <v>2</v>
      </c>
      <c r="D848" s="18">
        <f t="shared" si="90"/>
        <v>5.1818181818181817</v>
      </c>
      <c r="E848" s="18">
        <f t="shared" si="91"/>
        <v>9.0909090909090912E-2</v>
      </c>
      <c r="G848" s="18">
        <v>114</v>
      </c>
      <c r="I848">
        <f t="shared" si="92"/>
        <v>847</v>
      </c>
      <c r="J848" s="18" t="s">
        <v>20</v>
      </c>
      <c r="K848" s="18">
        <v>22</v>
      </c>
      <c r="L848" s="18">
        <v>2</v>
      </c>
      <c r="M848" s="18">
        <f t="shared" si="93"/>
        <v>5.1818181818181817</v>
      </c>
      <c r="N848" s="18">
        <v>114</v>
      </c>
      <c r="O848" s="18">
        <f t="shared" si="94"/>
        <v>9.0909090909090912E-2</v>
      </c>
      <c r="Q848" s="66" t="s">
        <v>19</v>
      </c>
      <c r="R848" s="66">
        <v>23</v>
      </c>
      <c r="S848" s="66">
        <v>1</v>
      </c>
      <c r="T848" s="66">
        <f t="shared" si="95"/>
        <v>5.3478260869565215</v>
      </c>
      <c r="U848" s="66">
        <f t="shared" si="96"/>
        <v>4.3478260869565216E-2</v>
      </c>
      <c r="V848" s="3" t="s">
        <v>381</v>
      </c>
      <c r="W848" s="18">
        <v>123</v>
      </c>
    </row>
    <row r="849" spans="1:23" x14ac:dyDescent="0.35">
      <c r="A849" s="18" t="s">
        <v>19</v>
      </c>
      <c r="B849" s="18">
        <v>26</v>
      </c>
      <c r="C849" s="18">
        <v>2</v>
      </c>
      <c r="D849" s="18">
        <f t="shared" si="90"/>
        <v>5.1923076923076925</v>
      </c>
      <c r="E849" s="18">
        <f t="shared" si="91"/>
        <v>7.6923076923076927E-2</v>
      </c>
      <c r="G849" s="18">
        <v>135</v>
      </c>
      <c r="I849">
        <f t="shared" si="92"/>
        <v>848</v>
      </c>
      <c r="J849" s="18" t="s">
        <v>19</v>
      </c>
      <c r="K849" s="18">
        <v>26</v>
      </c>
      <c r="L849" s="18">
        <v>2</v>
      </c>
      <c r="M849" s="18">
        <f t="shared" si="93"/>
        <v>5.1923076923076925</v>
      </c>
      <c r="N849" s="18">
        <v>135</v>
      </c>
      <c r="O849" s="18">
        <f t="shared" si="94"/>
        <v>7.6923076923076927E-2</v>
      </c>
      <c r="Q849" s="66" t="s">
        <v>6</v>
      </c>
      <c r="R849" s="66">
        <v>45</v>
      </c>
      <c r="S849" s="66">
        <v>3</v>
      </c>
      <c r="T849" s="66">
        <f t="shared" si="95"/>
        <v>5.3555555555555552</v>
      </c>
      <c r="U849" s="66">
        <f t="shared" si="96"/>
        <v>6.6666666666666666E-2</v>
      </c>
      <c r="V849" s="3" t="s">
        <v>381</v>
      </c>
      <c r="W849" s="18">
        <v>241</v>
      </c>
    </row>
    <row r="850" spans="1:23" x14ac:dyDescent="0.35">
      <c r="A850" s="18" t="s">
        <v>30</v>
      </c>
      <c r="B850" s="18">
        <v>40</v>
      </c>
      <c r="C850" s="18">
        <v>3</v>
      </c>
      <c r="D850" s="18">
        <f t="shared" si="90"/>
        <v>5.2</v>
      </c>
      <c r="E850" s="18">
        <f t="shared" si="91"/>
        <v>7.4999999999999997E-2</v>
      </c>
      <c r="G850" s="18">
        <v>208</v>
      </c>
      <c r="I850">
        <f t="shared" si="92"/>
        <v>849</v>
      </c>
      <c r="J850" s="18" t="s">
        <v>26</v>
      </c>
      <c r="K850" s="18">
        <v>50</v>
      </c>
      <c r="L850" s="18">
        <v>4</v>
      </c>
      <c r="M850" s="18">
        <f t="shared" si="93"/>
        <v>5.2</v>
      </c>
      <c r="N850" s="18">
        <v>260</v>
      </c>
      <c r="O850" s="18">
        <f t="shared" si="94"/>
        <v>0.08</v>
      </c>
      <c r="Q850" s="66" t="s">
        <v>253</v>
      </c>
      <c r="R850" s="66">
        <v>28</v>
      </c>
      <c r="S850" s="66">
        <v>1</v>
      </c>
      <c r="T850" s="66">
        <f t="shared" si="95"/>
        <v>5.3571428571428568</v>
      </c>
      <c r="U850" s="66">
        <f t="shared" si="96"/>
        <v>3.5714285714285712E-2</v>
      </c>
      <c r="V850" s="3" t="s">
        <v>381</v>
      </c>
      <c r="W850" s="18">
        <v>150</v>
      </c>
    </row>
    <row r="851" spans="1:23" x14ac:dyDescent="0.35">
      <c r="A851" s="18" t="s">
        <v>26</v>
      </c>
      <c r="B851" s="18">
        <v>50</v>
      </c>
      <c r="C851" s="18">
        <v>4</v>
      </c>
      <c r="D851" s="18">
        <f t="shared" si="90"/>
        <v>5.2</v>
      </c>
      <c r="E851" s="18">
        <f t="shared" si="91"/>
        <v>0.08</v>
      </c>
      <c r="G851" s="18">
        <v>260</v>
      </c>
      <c r="I851">
        <f t="shared" si="92"/>
        <v>850</v>
      </c>
      <c r="J851" s="18" t="s">
        <v>30</v>
      </c>
      <c r="K851" s="18">
        <v>41</v>
      </c>
      <c r="L851" s="18">
        <v>3</v>
      </c>
      <c r="M851" s="18">
        <f t="shared" si="93"/>
        <v>5.2439024390243905</v>
      </c>
      <c r="N851" s="18">
        <v>215</v>
      </c>
      <c r="O851" s="18">
        <f t="shared" si="94"/>
        <v>7.3170731707317069E-2</v>
      </c>
      <c r="Q851" s="66" t="s">
        <v>26</v>
      </c>
      <c r="R851" s="66">
        <v>32</v>
      </c>
      <c r="S851" s="66">
        <v>2</v>
      </c>
      <c r="T851" s="66">
        <f t="shared" si="95"/>
        <v>5.375</v>
      </c>
      <c r="U851" s="66">
        <f t="shared" si="96"/>
        <v>6.25E-2</v>
      </c>
      <c r="V851" s="3" t="s">
        <v>45</v>
      </c>
      <c r="W851" s="18">
        <v>172</v>
      </c>
    </row>
    <row r="852" spans="1:23" x14ac:dyDescent="0.35">
      <c r="A852" s="18" t="s">
        <v>31</v>
      </c>
      <c r="B852" s="18">
        <v>157</v>
      </c>
      <c r="C852" s="18">
        <v>12</v>
      </c>
      <c r="D852" s="18">
        <f t="shared" si="90"/>
        <v>5.2356687898089174</v>
      </c>
      <c r="E852" s="18">
        <f t="shared" si="91"/>
        <v>7.6433121019108277E-2</v>
      </c>
      <c r="G852" s="18">
        <v>822</v>
      </c>
      <c r="I852">
        <f t="shared" si="92"/>
        <v>851</v>
      </c>
      <c r="J852" s="18" t="s">
        <v>17</v>
      </c>
      <c r="K852" s="18">
        <v>20</v>
      </c>
      <c r="L852" s="18">
        <v>2</v>
      </c>
      <c r="M852" s="18">
        <f t="shared" si="93"/>
        <v>5.25</v>
      </c>
      <c r="N852" s="18">
        <v>105</v>
      </c>
      <c r="O852" s="18">
        <f t="shared" si="94"/>
        <v>0.1</v>
      </c>
      <c r="Q852" s="66" t="s">
        <v>56</v>
      </c>
      <c r="R852" s="66">
        <v>21</v>
      </c>
      <c r="S852" s="66">
        <v>0</v>
      </c>
      <c r="T852" s="66">
        <f t="shared" si="95"/>
        <v>5.3809523809523814</v>
      </c>
      <c r="U852" s="66">
        <f t="shared" si="96"/>
        <v>0</v>
      </c>
      <c r="V852" s="3" t="s">
        <v>195</v>
      </c>
      <c r="W852" s="18">
        <v>113</v>
      </c>
    </row>
    <row r="853" spans="1:23" x14ac:dyDescent="0.35">
      <c r="A853" s="18" t="s">
        <v>17</v>
      </c>
      <c r="B853" s="18">
        <v>20</v>
      </c>
      <c r="C853" s="18">
        <v>2</v>
      </c>
      <c r="D853" s="18">
        <f t="shared" si="90"/>
        <v>5.25</v>
      </c>
      <c r="E853" s="18">
        <f t="shared" si="91"/>
        <v>0.1</v>
      </c>
      <c r="G853" s="18">
        <v>105</v>
      </c>
      <c r="I853">
        <f t="shared" si="92"/>
        <v>852</v>
      </c>
      <c r="J853" s="18" t="s">
        <v>404</v>
      </c>
      <c r="K853" s="18">
        <v>20</v>
      </c>
      <c r="L853" s="18">
        <v>2</v>
      </c>
      <c r="M853" s="18">
        <f t="shared" si="93"/>
        <v>5.25</v>
      </c>
      <c r="N853" s="18">
        <v>105</v>
      </c>
      <c r="O853" s="18">
        <f t="shared" si="94"/>
        <v>0.1</v>
      </c>
      <c r="Q853" s="66" t="s">
        <v>90</v>
      </c>
      <c r="R853" s="66">
        <v>27</v>
      </c>
      <c r="S853" s="66">
        <v>3</v>
      </c>
      <c r="T853" s="66">
        <f t="shared" si="95"/>
        <v>5.4074074074074074</v>
      </c>
      <c r="U853" s="66">
        <f t="shared" si="96"/>
        <v>0.1111111111111111</v>
      </c>
      <c r="V853" s="3" t="s">
        <v>381</v>
      </c>
      <c r="W853">
        <v>146</v>
      </c>
    </row>
    <row r="854" spans="1:23" x14ac:dyDescent="0.35">
      <c r="A854" s="18" t="s">
        <v>404</v>
      </c>
      <c r="B854" s="18">
        <v>20</v>
      </c>
      <c r="C854" s="18">
        <v>2</v>
      </c>
      <c r="D854" s="18">
        <f t="shared" si="90"/>
        <v>5.25</v>
      </c>
      <c r="E854" s="18">
        <f t="shared" si="91"/>
        <v>0.1</v>
      </c>
      <c r="G854" s="18">
        <v>105</v>
      </c>
      <c r="I854">
        <f t="shared" si="92"/>
        <v>853</v>
      </c>
      <c r="J854" s="18" t="s">
        <v>31</v>
      </c>
      <c r="K854" s="18">
        <v>161</v>
      </c>
      <c r="L854" s="18">
        <v>12</v>
      </c>
      <c r="M854" s="18">
        <f t="shared" si="93"/>
        <v>5.2546583850931681</v>
      </c>
      <c r="N854" s="18">
        <v>846</v>
      </c>
      <c r="O854" s="18">
        <f t="shared" si="94"/>
        <v>7.4534161490683232E-2</v>
      </c>
      <c r="Q854" s="66" t="s">
        <v>49</v>
      </c>
      <c r="R854" s="66">
        <v>68</v>
      </c>
      <c r="S854" s="66">
        <v>3</v>
      </c>
      <c r="T854" s="66">
        <f t="shared" si="95"/>
        <v>5.5147058823529411</v>
      </c>
      <c r="U854" s="66">
        <f t="shared" si="96"/>
        <v>4.4117647058823532E-2</v>
      </c>
      <c r="V854" s="3" t="s">
        <v>54</v>
      </c>
      <c r="W854" s="18">
        <v>375</v>
      </c>
    </row>
    <row r="855" spans="1:23" x14ac:dyDescent="0.35">
      <c r="A855" s="18" t="s">
        <v>253</v>
      </c>
      <c r="B855" s="18">
        <v>29</v>
      </c>
      <c r="C855" s="18">
        <v>1</v>
      </c>
      <c r="D855" s="18">
        <f t="shared" si="90"/>
        <v>5.3103448275862073</v>
      </c>
      <c r="E855" s="18">
        <f t="shared" si="91"/>
        <v>3.4482758620689655E-2</v>
      </c>
      <c r="G855" s="18">
        <v>154</v>
      </c>
      <c r="I855">
        <f t="shared" si="92"/>
        <v>854</v>
      </c>
      <c r="J855" s="18" t="s">
        <v>49</v>
      </c>
      <c r="K855" s="18">
        <v>95</v>
      </c>
      <c r="L855" s="18">
        <v>7</v>
      </c>
      <c r="M855" s="18">
        <f t="shared" si="93"/>
        <v>5.2631578947368425</v>
      </c>
      <c r="N855" s="18">
        <v>500</v>
      </c>
      <c r="O855" s="18">
        <f t="shared" si="94"/>
        <v>7.3684210526315783E-2</v>
      </c>
      <c r="Q855" s="66" t="s">
        <v>33</v>
      </c>
      <c r="R855" s="66">
        <v>64</v>
      </c>
      <c r="S855" s="66">
        <v>4</v>
      </c>
      <c r="T855" s="66">
        <f t="shared" si="95"/>
        <v>5.515625</v>
      </c>
      <c r="U855" s="66">
        <f t="shared" si="96"/>
        <v>6.25E-2</v>
      </c>
      <c r="V855" s="3" t="s">
        <v>381</v>
      </c>
      <c r="W855" s="18">
        <v>353</v>
      </c>
    </row>
    <row r="856" spans="1:23" x14ac:dyDescent="0.35">
      <c r="A856" s="18" t="s">
        <v>49</v>
      </c>
      <c r="B856" s="18">
        <v>93</v>
      </c>
      <c r="C856" s="18">
        <v>6</v>
      </c>
      <c r="D856" s="18">
        <f t="shared" si="90"/>
        <v>5.32258064516129</v>
      </c>
      <c r="E856" s="18">
        <f t="shared" si="91"/>
        <v>6.4516129032258063E-2</v>
      </c>
      <c r="G856" s="18">
        <v>495</v>
      </c>
      <c r="I856">
        <f t="shared" si="92"/>
        <v>855</v>
      </c>
      <c r="J856" s="18" t="s">
        <v>253</v>
      </c>
      <c r="K856" s="18">
        <v>29</v>
      </c>
      <c r="L856" s="18">
        <v>1</v>
      </c>
      <c r="M856" s="18">
        <f t="shared" si="93"/>
        <v>5.3103448275862073</v>
      </c>
      <c r="N856" s="18">
        <v>154</v>
      </c>
      <c r="O856" s="18">
        <f t="shared" si="94"/>
        <v>3.4482758620689655E-2</v>
      </c>
      <c r="Q856" s="66" t="s">
        <v>28</v>
      </c>
      <c r="R856" s="66">
        <v>20</v>
      </c>
      <c r="S856" s="66">
        <v>0</v>
      </c>
      <c r="T856" s="66">
        <f t="shared" si="95"/>
        <v>5.65</v>
      </c>
      <c r="U856" s="66">
        <f t="shared" si="96"/>
        <v>0</v>
      </c>
      <c r="V856" s="3" t="s">
        <v>486</v>
      </c>
      <c r="W856" s="18">
        <v>113</v>
      </c>
    </row>
    <row r="857" spans="1:23" x14ac:dyDescent="0.35">
      <c r="A857" s="18" t="s">
        <v>6</v>
      </c>
      <c r="B857" s="18">
        <v>45</v>
      </c>
      <c r="C857" s="18">
        <v>3</v>
      </c>
      <c r="D857" s="18">
        <f t="shared" si="90"/>
        <v>5.3555555555555552</v>
      </c>
      <c r="E857" s="18">
        <f t="shared" si="91"/>
        <v>6.6666666666666666E-2</v>
      </c>
      <c r="G857" s="18">
        <v>241</v>
      </c>
      <c r="I857">
        <f t="shared" si="92"/>
        <v>856</v>
      </c>
      <c r="J857" s="18" t="s">
        <v>6</v>
      </c>
      <c r="K857" s="18">
        <v>45</v>
      </c>
      <c r="L857" s="18">
        <v>3</v>
      </c>
      <c r="M857" s="18">
        <f t="shared" si="93"/>
        <v>5.3555555555555552</v>
      </c>
      <c r="N857" s="18">
        <v>241</v>
      </c>
      <c r="O857" s="18">
        <f t="shared" si="94"/>
        <v>6.6666666666666666E-2</v>
      </c>
      <c r="Q857" s="66" t="s">
        <v>401</v>
      </c>
      <c r="R857" s="66">
        <v>45</v>
      </c>
      <c r="S857" s="66">
        <v>1</v>
      </c>
      <c r="T857" s="66">
        <f t="shared" si="95"/>
        <v>5.9777777777777779</v>
      </c>
      <c r="U857" s="66">
        <f t="shared" si="96"/>
        <v>2.2222222222222223E-2</v>
      </c>
      <c r="V857" s="3" t="s">
        <v>381</v>
      </c>
      <c r="W857" s="18">
        <v>269</v>
      </c>
    </row>
    <row r="858" spans="1:23" x14ac:dyDescent="0.35">
      <c r="A858" s="18" t="s">
        <v>56</v>
      </c>
      <c r="B858" s="18">
        <v>21</v>
      </c>
      <c r="C858" s="18">
        <v>0</v>
      </c>
      <c r="D858" s="18">
        <f t="shared" si="90"/>
        <v>5.3809523809523814</v>
      </c>
      <c r="E858" s="18">
        <f t="shared" si="91"/>
        <v>0</v>
      </c>
      <c r="G858" s="18">
        <v>113</v>
      </c>
      <c r="I858">
        <f t="shared" si="92"/>
        <v>857</v>
      </c>
      <c r="J858" s="18" t="s">
        <v>56</v>
      </c>
      <c r="K858" s="18">
        <v>21</v>
      </c>
      <c r="L858" s="18">
        <v>0</v>
      </c>
      <c r="M858" s="18">
        <f t="shared" si="93"/>
        <v>5.3809523809523814</v>
      </c>
      <c r="N858" s="18">
        <v>113</v>
      </c>
      <c r="O858" s="18">
        <f t="shared" si="94"/>
        <v>0</v>
      </c>
    </row>
    <row r="859" spans="1:23" x14ac:dyDescent="0.35">
      <c r="A859" t="s">
        <v>90</v>
      </c>
      <c r="B859">
        <v>27</v>
      </c>
      <c r="C859">
        <v>3</v>
      </c>
      <c r="D859">
        <f t="shared" si="90"/>
        <v>5.4074074074074074</v>
      </c>
      <c r="E859">
        <f t="shared" si="91"/>
        <v>0.1111111111111111</v>
      </c>
      <c r="G859">
        <v>146</v>
      </c>
      <c r="I859">
        <f t="shared" si="92"/>
        <v>858</v>
      </c>
      <c r="J859" t="s">
        <v>90</v>
      </c>
      <c r="K859">
        <v>27</v>
      </c>
      <c r="L859">
        <v>3</v>
      </c>
      <c r="M859">
        <f t="shared" si="93"/>
        <v>5.4074074074074074</v>
      </c>
      <c r="N859">
        <v>146</v>
      </c>
      <c r="O859">
        <f t="shared" si="94"/>
        <v>0.1111111111111111</v>
      </c>
    </row>
    <row r="860" spans="1:23" x14ac:dyDescent="0.35">
      <c r="A860" s="18" t="s">
        <v>33</v>
      </c>
      <c r="B860" s="18">
        <v>64</v>
      </c>
      <c r="C860" s="18">
        <v>4</v>
      </c>
      <c r="D860" s="18">
        <f t="shared" si="90"/>
        <v>5.515625</v>
      </c>
      <c r="E860" s="18">
        <f t="shared" si="91"/>
        <v>6.25E-2</v>
      </c>
      <c r="G860" s="18">
        <v>353</v>
      </c>
      <c r="I860">
        <f t="shared" si="92"/>
        <v>859</v>
      </c>
      <c r="J860" s="18" t="s">
        <v>33</v>
      </c>
      <c r="K860" s="18">
        <v>64</v>
      </c>
      <c r="L860" s="18">
        <v>4</v>
      </c>
      <c r="M860" s="18">
        <f t="shared" si="93"/>
        <v>5.515625</v>
      </c>
      <c r="N860" s="18">
        <v>353</v>
      </c>
      <c r="O860" s="18">
        <f t="shared" si="94"/>
        <v>6.25E-2</v>
      </c>
    </row>
    <row r="861" spans="1:23" x14ac:dyDescent="0.35">
      <c r="A861" s="18" t="s">
        <v>28</v>
      </c>
      <c r="B861" s="18">
        <v>20</v>
      </c>
      <c r="C861" s="18">
        <v>0</v>
      </c>
      <c r="D861" s="18">
        <f t="shared" si="90"/>
        <v>5.65</v>
      </c>
      <c r="E861" s="18">
        <f t="shared" si="91"/>
        <v>0</v>
      </c>
      <c r="G861" s="18">
        <v>113</v>
      </c>
      <c r="I861">
        <f t="shared" si="92"/>
        <v>860</v>
      </c>
      <c r="J861" s="18" t="s">
        <v>28</v>
      </c>
      <c r="K861" s="18">
        <v>20</v>
      </c>
      <c r="L861" s="18">
        <v>0</v>
      </c>
      <c r="M861" s="18">
        <f t="shared" si="93"/>
        <v>5.65</v>
      </c>
      <c r="N861" s="18">
        <v>113</v>
      </c>
      <c r="O861" s="18">
        <f t="shared" si="94"/>
        <v>0</v>
      </c>
    </row>
    <row r="862" spans="1:23" x14ac:dyDescent="0.35">
      <c r="A862" s="18" t="s">
        <v>401</v>
      </c>
      <c r="B862" s="18">
        <v>56</v>
      </c>
      <c r="C862" s="18">
        <v>3</v>
      </c>
      <c r="D862" s="18">
        <f t="shared" si="90"/>
        <v>5.6785714285714288</v>
      </c>
      <c r="E862" s="18">
        <f t="shared" si="91"/>
        <v>5.3571428571428568E-2</v>
      </c>
      <c r="G862" s="18">
        <v>318</v>
      </c>
      <c r="I862">
        <f t="shared" si="92"/>
        <v>861</v>
      </c>
      <c r="J862" s="18" t="s">
        <v>401</v>
      </c>
      <c r="K862" s="18">
        <v>57</v>
      </c>
      <c r="L862" s="18">
        <v>3</v>
      </c>
      <c r="M862" s="18">
        <f t="shared" ref="M862" si="97">N862/K862</f>
        <v>5.6842105263157894</v>
      </c>
      <c r="N862" s="18">
        <v>324</v>
      </c>
      <c r="O862" s="18">
        <f t="shared" si="94"/>
        <v>5.2631578947368418E-2</v>
      </c>
    </row>
    <row r="872" spans="8:8" x14ac:dyDescent="0.35">
      <c r="H872" s="74" t="s">
        <v>59</v>
      </c>
    </row>
    <row r="873" spans="8:8" x14ac:dyDescent="0.35">
      <c r="H873" s="74" t="s">
        <v>44</v>
      </c>
    </row>
    <row r="874" spans="8:8" x14ac:dyDescent="0.35">
      <c r="H874" s="3" t="s">
        <v>45</v>
      </c>
    </row>
    <row r="875" spans="8:8" x14ac:dyDescent="0.35">
      <c r="H875" s="3" t="s">
        <v>45</v>
      </c>
    </row>
    <row r="876" spans="8:8" x14ac:dyDescent="0.35">
      <c r="H876" s="11" t="s">
        <v>578</v>
      </c>
    </row>
    <row r="877" spans="8:8" x14ac:dyDescent="0.35">
      <c r="H877" s="3" t="s">
        <v>46</v>
      </c>
    </row>
    <row r="878" spans="8:8" x14ac:dyDescent="0.35">
      <c r="H878" s="74" t="s">
        <v>44</v>
      </c>
    </row>
    <row r="879" spans="8:8" x14ac:dyDescent="0.35">
      <c r="H879" s="3" t="s">
        <v>46</v>
      </c>
    </row>
    <row r="880" spans="8:8" x14ac:dyDescent="0.35">
      <c r="H880" s="3" t="s">
        <v>54</v>
      </c>
    </row>
    <row r="881" spans="8:8" x14ac:dyDescent="0.35">
      <c r="H881" s="57" t="s">
        <v>583</v>
      </c>
    </row>
    <row r="882" spans="8:8" x14ac:dyDescent="0.35">
      <c r="H882" s="3" t="s">
        <v>45</v>
      </c>
    </row>
    <row r="883" spans="8:8" x14ac:dyDescent="0.35">
      <c r="H883" s="3" t="s">
        <v>45</v>
      </c>
    </row>
    <row r="884" spans="8:8" x14ac:dyDescent="0.35">
      <c r="H884" s="57" t="s">
        <v>575</v>
      </c>
    </row>
    <row r="885" spans="8:8" x14ac:dyDescent="0.35">
      <c r="H885" s="3" t="s">
        <v>54</v>
      </c>
    </row>
    <row r="886" spans="8:8" x14ac:dyDescent="0.35">
      <c r="H886" s="3" t="s">
        <v>54</v>
      </c>
    </row>
    <row r="887" spans="8:8" x14ac:dyDescent="0.35">
      <c r="H887" s="74" t="s">
        <v>47</v>
      </c>
    </row>
    <row r="888" spans="8:8" x14ac:dyDescent="0.35">
      <c r="H888" s="3" t="s">
        <v>54</v>
      </c>
    </row>
    <row r="889" spans="8:8" x14ac:dyDescent="0.35">
      <c r="H889" s="3" t="s">
        <v>45</v>
      </c>
    </row>
    <row r="890" spans="8:8" x14ac:dyDescent="0.35">
      <c r="H890" s="57" t="s">
        <v>582</v>
      </c>
    </row>
    <row r="891" spans="8:8" x14ac:dyDescent="0.35">
      <c r="H891" s="3" t="s">
        <v>69</v>
      </c>
    </row>
    <row r="892" spans="8:8" x14ac:dyDescent="0.35">
      <c r="H892" s="3" t="s">
        <v>195</v>
      </c>
    </row>
    <row r="893" spans="8:8" x14ac:dyDescent="0.35">
      <c r="H893" s="3" t="s">
        <v>494</v>
      </c>
    </row>
    <row r="894" spans="8:8" x14ac:dyDescent="0.35">
      <c r="H894" s="3" t="s">
        <v>55</v>
      </c>
    </row>
    <row r="895" spans="8:8" x14ac:dyDescent="0.35">
      <c r="H895" s="57" t="s">
        <v>584</v>
      </c>
    </row>
    <row r="896" spans="8:8" x14ac:dyDescent="0.35">
      <c r="H896" s="3" t="s">
        <v>55</v>
      </c>
    </row>
    <row r="897" spans="8:8" x14ac:dyDescent="0.35">
      <c r="H897" s="3" t="s">
        <v>55</v>
      </c>
    </row>
    <row r="898" spans="8:8" x14ac:dyDescent="0.35">
      <c r="H898" s="57" t="s">
        <v>581</v>
      </c>
    </row>
    <row r="899" spans="8:8" x14ac:dyDescent="0.35">
      <c r="H899" s="3" t="s">
        <v>494</v>
      </c>
    </row>
    <row r="900" spans="8:8" x14ac:dyDescent="0.35">
      <c r="H900" s="3" t="s">
        <v>495</v>
      </c>
    </row>
    <row r="901" spans="8:8" x14ac:dyDescent="0.35">
      <c r="H901" s="3" t="s">
        <v>195</v>
      </c>
    </row>
    <row r="902" spans="8:8" x14ac:dyDescent="0.35">
      <c r="H902" s="3" t="s">
        <v>195</v>
      </c>
    </row>
    <row r="903" spans="8:8" x14ac:dyDescent="0.35">
      <c r="H903" s="3" t="s">
        <v>55</v>
      </c>
    </row>
    <row r="904" spans="8:8" x14ac:dyDescent="0.35">
      <c r="H904" s="3" t="s">
        <v>55</v>
      </c>
    </row>
    <row r="905" spans="8:8" x14ac:dyDescent="0.35">
      <c r="H905" s="57" t="s">
        <v>580</v>
      </c>
    </row>
    <row r="906" spans="8:8" x14ac:dyDescent="0.35">
      <c r="H906" s="3" t="s">
        <v>495</v>
      </c>
    </row>
    <row r="907" spans="8:8" x14ac:dyDescent="0.35">
      <c r="H907" s="3" t="s">
        <v>495</v>
      </c>
    </row>
    <row r="908" spans="8:8" x14ac:dyDescent="0.35">
      <c r="H908" s="3" t="s">
        <v>69</v>
      </c>
    </row>
    <row r="909" spans="8:8" x14ac:dyDescent="0.35">
      <c r="H909" s="3" t="s">
        <v>69</v>
      </c>
    </row>
    <row r="910" spans="8:8" x14ac:dyDescent="0.35">
      <c r="H910" s="3" t="s">
        <v>69</v>
      </c>
    </row>
    <row r="911" spans="8:8" x14ac:dyDescent="0.35">
      <c r="H911" s="3" t="s">
        <v>195</v>
      </c>
    </row>
    <row r="912" spans="8:8" x14ac:dyDescent="0.35">
      <c r="H912" s="3" t="s">
        <v>296</v>
      </c>
    </row>
    <row r="913" spans="8:8" x14ac:dyDescent="0.35">
      <c r="H913" s="57" t="s">
        <v>577</v>
      </c>
    </row>
    <row r="914" spans="8:8" x14ac:dyDescent="0.35">
      <c r="H914" s="75" t="s">
        <v>576</v>
      </c>
    </row>
    <row r="915" spans="8:8" x14ac:dyDescent="0.35">
      <c r="H915" s="57" t="s">
        <v>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opLeftCell="A34" workbookViewId="0">
      <selection activeCell="I12" sqref="I12:M89"/>
    </sheetView>
  </sheetViews>
  <sheetFormatPr defaultRowHeight="14.5" x14ac:dyDescent="0.35"/>
  <cols>
    <col min="1" max="1" width="17.7265625" bestFit="1" customWidth="1"/>
    <col min="2" max="2" width="16.7265625" bestFit="1" customWidth="1"/>
    <col min="3" max="4" width="16.26953125" bestFit="1" customWidth="1"/>
    <col min="5" max="5" width="14.1796875" bestFit="1" customWidth="1"/>
    <col min="6" max="8" width="16.26953125" bestFit="1" customWidth="1"/>
    <col min="9" max="9" width="17.7265625" bestFit="1" customWidth="1"/>
    <col min="10" max="11" width="16.7265625" bestFit="1" customWidth="1"/>
    <col min="12" max="12" width="12" bestFit="1" customWidth="1"/>
    <col min="13" max="13" width="11.54296875" bestFit="1" customWidth="1"/>
  </cols>
  <sheetData>
    <row r="1" spans="1:14" x14ac:dyDescent="0.35">
      <c r="A1" s="1">
        <v>45512</v>
      </c>
      <c r="B1" s="1">
        <v>45512</v>
      </c>
      <c r="C1" s="1">
        <v>45512</v>
      </c>
      <c r="D1" s="1">
        <v>45519</v>
      </c>
      <c r="E1" s="1">
        <v>45519</v>
      </c>
      <c r="F1" s="1">
        <v>45526</v>
      </c>
      <c r="G1" s="1">
        <v>45526</v>
      </c>
      <c r="H1" s="1">
        <v>45528</v>
      </c>
      <c r="I1" s="1">
        <v>45531</v>
      </c>
      <c r="J1" s="1">
        <v>45531</v>
      </c>
      <c r="K1" s="1">
        <v>45533</v>
      </c>
      <c r="L1" s="1">
        <v>45533</v>
      </c>
    </row>
    <row r="2" spans="1:14" x14ac:dyDescent="0.35">
      <c r="A2" t="s">
        <v>121</v>
      </c>
      <c r="B2" t="s">
        <v>139</v>
      </c>
      <c r="C2" t="s">
        <v>15</v>
      </c>
      <c r="D2" t="s">
        <v>121</v>
      </c>
      <c r="E2" t="s">
        <v>15</v>
      </c>
      <c r="F2" t="s">
        <v>22</v>
      </c>
      <c r="G2" t="s">
        <v>24</v>
      </c>
      <c r="H2" t="s">
        <v>35</v>
      </c>
      <c r="I2" t="s">
        <v>121</v>
      </c>
      <c r="J2" t="s">
        <v>27</v>
      </c>
      <c r="K2" t="s">
        <v>99</v>
      </c>
      <c r="L2" t="s">
        <v>2</v>
      </c>
    </row>
    <row r="3" spans="1:14" x14ac:dyDescent="0.35">
      <c r="A3" t="s">
        <v>11</v>
      </c>
      <c r="B3" t="s">
        <v>49</v>
      </c>
      <c r="C3" t="s">
        <v>2</v>
      </c>
      <c r="D3" t="s">
        <v>2</v>
      </c>
      <c r="E3" t="s">
        <v>121</v>
      </c>
      <c r="F3" t="s">
        <v>50</v>
      </c>
      <c r="G3" t="s">
        <v>22</v>
      </c>
      <c r="H3" t="s">
        <v>7</v>
      </c>
      <c r="I3" t="s">
        <v>25</v>
      </c>
      <c r="J3" t="s">
        <v>5</v>
      </c>
      <c r="K3" t="s">
        <v>22</v>
      </c>
      <c r="L3" t="s">
        <v>52</v>
      </c>
    </row>
    <row r="4" spans="1:14" x14ac:dyDescent="0.35">
      <c r="A4" t="s">
        <v>0</v>
      </c>
      <c r="B4" t="s">
        <v>121</v>
      </c>
      <c r="C4" t="s">
        <v>139</v>
      </c>
      <c r="D4" t="s">
        <v>24</v>
      </c>
      <c r="E4" t="s">
        <v>24</v>
      </c>
      <c r="F4" t="s">
        <v>25</v>
      </c>
      <c r="G4" t="s">
        <v>104</v>
      </c>
      <c r="H4" t="s">
        <v>121</v>
      </c>
      <c r="I4" t="s">
        <v>110</v>
      </c>
      <c r="J4" t="s">
        <v>116</v>
      </c>
      <c r="K4" t="s">
        <v>26</v>
      </c>
      <c r="L4" t="s">
        <v>29</v>
      </c>
    </row>
    <row r="5" spans="1:14" x14ac:dyDescent="0.35">
      <c r="A5" t="s">
        <v>139</v>
      </c>
      <c r="B5" t="s">
        <v>25</v>
      </c>
      <c r="C5" t="s">
        <v>50</v>
      </c>
      <c r="D5" t="s">
        <v>22</v>
      </c>
      <c r="E5" t="s">
        <v>50</v>
      </c>
      <c r="F5" t="s">
        <v>104</v>
      </c>
      <c r="G5" t="s">
        <v>25</v>
      </c>
      <c r="H5" t="s">
        <v>2</v>
      </c>
      <c r="I5" t="s">
        <v>50</v>
      </c>
      <c r="J5" t="s">
        <v>52</v>
      </c>
      <c r="K5" t="s">
        <v>31</v>
      </c>
      <c r="L5" t="s">
        <v>90</v>
      </c>
    </row>
    <row r="6" spans="1:14" x14ac:dyDescent="0.35">
      <c r="A6" t="s">
        <v>2</v>
      </c>
      <c r="B6" t="s">
        <v>11</v>
      </c>
      <c r="C6" t="s">
        <v>22</v>
      </c>
      <c r="D6" t="s">
        <v>15</v>
      </c>
      <c r="E6" t="s">
        <v>25</v>
      </c>
      <c r="F6" t="s">
        <v>1</v>
      </c>
      <c r="G6" t="s">
        <v>1</v>
      </c>
      <c r="H6" t="s">
        <v>25</v>
      </c>
      <c r="I6" t="s">
        <v>35</v>
      </c>
      <c r="J6" t="s">
        <v>104</v>
      </c>
      <c r="K6" t="s">
        <v>25</v>
      </c>
      <c r="L6" t="s">
        <v>25</v>
      </c>
    </row>
    <row r="7" spans="1:14" x14ac:dyDescent="0.35">
      <c r="A7" t="s">
        <v>25</v>
      </c>
      <c r="B7" t="s">
        <v>22</v>
      </c>
      <c r="C7" t="s">
        <v>121</v>
      </c>
      <c r="D7" t="s">
        <v>14</v>
      </c>
      <c r="E7" t="s">
        <v>22</v>
      </c>
      <c r="F7" t="s">
        <v>121</v>
      </c>
      <c r="G7" t="s">
        <v>50</v>
      </c>
      <c r="H7" t="s">
        <v>81</v>
      </c>
      <c r="I7" t="s">
        <v>29</v>
      </c>
      <c r="J7" t="s">
        <v>110</v>
      </c>
      <c r="K7" t="s">
        <v>56</v>
      </c>
      <c r="L7" t="s">
        <v>22</v>
      </c>
    </row>
    <row r="8" spans="1:14" x14ac:dyDescent="0.35">
      <c r="A8" t="s">
        <v>49</v>
      </c>
      <c r="B8" t="s">
        <v>0</v>
      </c>
      <c r="C8" t="s">
        <v>25</v>
      </c>
      <c r="D8" t="s">
        <v>35</v>
      </c>
      <c r="E8" t="s">
        <v>2</v>
      </c>
      <c r="F8" t="s">
        <v>90</v>
      </c>
      <c r="G8" t="s">
        <v>121</v>
      </c>
      <c r="H8" t="s">
        <v>15</v>
      </c>
      <c r="I8" t="s">
        <v>22</v>
      </c>
      <c r="J8" t="s">
        <v>82</v>
      </c>
      <c r="K8" t="s">
        <v>2</v>
      </c>
      <c r="L8" t="s">
        <v>79</v>
      </c>
    </row>
    <row r="9" spans="1:14" x14ac:dyDescent="0.35">
      <c r="A9" t="s">
        <v>22</v>
      </c>
      <c r="B9" t="s">
        <v>2</v>
      </c>
      <c r="C9" t="s">
        <v>56</v>
      </c>
      <c r="D9" t="s">
        <v>25</v>
      </c>
      <c r="E9" t="s">
        <v>35</v>
      </c>
      <c r="F9" t="s">
        <v>24</v>
      </c>
      <c r="G9" t="s">
        <v>90</v>
      </c>
      <c r="H9" t="s">
        <v>24</v>
      </c>
      <c r="I9" t="s">
        <v>2</v>
      </c>
      <c r="J9" t="s">
        <v>4</v>
      </c>
      <c r="K9" t="s">
        <v>90</v>
      </c>
      <c r="L9" t="s">
        <v>139</v>
      </c>
    </row>
    <row r="12" spans="1:14" x14ac:dyDescent="0.35">
      <c r="A12" t="s">
        <v>42</v>
      </c>
      <c r="B12" t="s">
        <v>38</v>
      </c>
      <c r="C12" t="s">
        <v>39</v>
      </c>
      <c r="D12" t="s">
        <v>40</v>
      </c>
      <c r="E12" t="s">
        <v>43</v>
      </c>
      <c r="F12" t="s">
        <v>275</v>
      </c>
      <c r="I12" s="4" t="s">
        <v>42</v>
      </c>
      <c r="J12" s="4" t="s">
        <v>38</v>
      </c>
      <c r="K12" s="4" t="s">
        <v>39</v>
      </c>
      <c r="L12" s="4" t="s">
        <v>40</v>
      </c>
      <c r="M12" s="4" t="s">
        <v>111</v>
      </c>
      <c r="N12" s="4" t="s">
        <v>275</v>
      </c>
    </row>
    <row r="13" spans="1:14" x14ac:dyDescent="0.35">
      <c r="A13" s="18" t="s">
        <v>125</v>
      </c>
      <c r="B13" s="18">
        <v>7</v>
      </c>
      <c r="C13" s="18">
        <v>0</v>
      </c>
      <c r="D13" s="18">
        <f t="shared" ref="D13:D76" si="0">E13/B13</f>
        <v>5</v>
      </c>
      <c r="E13" s="18">
        <v>35</v>
      </c>
      <c r="F13">
        <v>2.3664319132398401</v>
      </c>
      <c r="I13" t="s">
        <v>125</v>
      </c>
      <c r="J13">
        <v>7</v>
      </c>
      <c r="K13">
        <v>0</v>
      </c>
      <c r="L13">
        <v>5</v>
      </c>
      <c r="M13">
        <f t="shared" ref="M13:M16" si="1">K13/J13</f>
        <v>0</v>
      </c>
      <c r="N13">
        <v>2.3664319132398401</v>
      </c>
    </row>
    <row r="14" spans="1:14" x14ac:dyDescent="0.35">
      <c r="A14" s="18" t="s">
        <v>104</v>
      </c>
      <c r="B14" s="18">
        <v>25</v>
      </c>
      <c r="C14" s="18">
        <v>2</v>
      </c>
      <c r="D14" s="18">
        <f t="shared" si="0"/>
        <v>4.4000000000000004</v>
      </c>
      <c r="E14" s="18">
        <v>110</v>
      </c>
      <c r="F14">
        <v>2.3273733406281498</v>
      </c>
      <c r="I14" t="s">
        <v>104</v>
      </c>
      <c r="J14">
        <v>25</v>
      </c>
      <c r="K14">
        <v>2</v>
      </c>
      <c r="L14">
        <v>4.4000000000000004</v>
      </c>
      <c r="M14">
        <f t="shared" si="1"/>
        <v>0.08</v>
      </c>
      <c r="N14">
        <v>2.3273733406281498</v>
      </c>
    </row>
    <row r="15" spans="1:14" x14ac:dyDescent="0.35">
      <c r="A15" s="18" t="s">
        <v>31</v>
      </c>
      <c r="B15" s="18">
        <v>9</v>
      </c>
      <c r="C15" s="18">
        <v>0</v>
      </c>
      <c r="D15" s="18">
        <f t="shared" si="0"/>
        <v>5.333333333333333</v>
      </c>
      <c r="E15" s="18">
        <v>48</v>
      </c>
      <c r="F15">
        <v>1.87082869338697</v>
      </c>
      <c r="I15" t="s">
        <v>31</v>
      </c>
      <c r="J15">
        <v>9</v>
      </c>
      <c r="K15">
        <v>0</v>
      </c>
      <c r="L15">
        <v>5.33</v>
      </c>
      <c r="M15">
        <f t="shared" si="1"/>
        <v>0</v>
      </c>
      <c r="N15">
        <v>1.87082869338697</v>
      </c>
    </row>
    <row r="16" spans="1:14" x14ac:dyDescent="0.35">
      <c r="A16" s="18" t="s">
        <v>105</v>
      </c>
      <c r="B16" s="18">
        <v>5</v>
      </c>
      <c r="C16" s="18">
        <v>0</v>
      </c>
      <c r="D16" s="18">
        <f t="shared" si="0"/>
        <v>5.6</v>
      </c>
      <c r="E16" s="18">
        <v>28</v>
      </c>
      <c r="F16">
        <v>1.8165902124584901</v>
      </c>
      <c r="I16" t="s">
        <v>105</v>
      </c>
      <c r="J16">
        <v>5</v>
      </c>
      <c r="K16">
        <v>0</v>
      </c>
      <c r="L16">
        <v>5.6</v>
      </c>
      <c r="M16">
        <f t="shared" si="1"/>
        <v>0</v>
      </c>
      <c r="N16">
        <v>1.8165902124584901</v>
      </c>
    </row>
    <row r="17" spans="1:14" x14ac:dyDescent="0.35">
      <c r="A17" s="18" t="s">
        <v>128</v>
      </c>
      <c r="B17" s="18">
        <v>43</v>
      </c>
      <c r="C17" s="18">
        <v>15</v>
      </c>
      <c r="D17" s="18">
        <f t="shared" si="0"/>
        <v>2.86046511627907</v>
      </c>
      <c r="E17" s="18">
        <v>123</v>
      </c>
      <c r="F17">
        <v>2.03049835952651</v>
      </c>
      <c r="I17" t="s">
        <v>128</v>
      </c>
      <c r="J17">
        <v>43</v>
      </c>
      <c r="K17">
        <v>15</v>
      </c>
      <c r="L17">
        <v>2.86</v>
      </c>
      <c r="M17">
        <f t="shared" ref="M17:M23" si="2">K17/J17</f>
        <v>0.34883720930232559</v>
      </c>
      <c r="N17">
        <v>2.03049835952651</v>
      </c>
    </row>
    <row r="18" spans="1:14" x14ac:dyDescent="0.35">
      <c r="A18" s="18" t="s">
        <v>8</v>
      </c>
      <c r="B18" s="18">
        <v>31</v>
      </c>
      <c r="C18" s="18">
        <v>5</v>
      </c>
      <c r="D18" s="18">
        <f t="shared" si="0"/>
        <v>4.225806451612903</v>
      </c>
      <c r="E18" s="18">
        <v>131</v>
      </c>
      <c r="F18">
        <v>2.4994623077688098</v>
      </c>
      <c r="I18" t="s">
        <v>8</v>
      </c>
      <c r="J18">
        <v>31</v>
      </c>
      <c r="K18">
        <v>5</v>
      </c>
      <c r="L18">
        <v>4.2300000000000004</v>
      </c>
      <c r="M18">
        <f t="shared" si="2"/>
        <v>0.16129032258064516</v>
      </c>
      <c r="N18">
        <v>2.4994623077688098</v>
      </c>
    </row>
    <row r="19" spans="1:14" x14ac:dyDescent="0.35">
      <c r="A19" s="18" t="s">
        <v>37</v>
      </c>
      <c r="B19" s="18">
        <v>14</v>
      </c>
      <c r="C19" s="18">
        <v>2</v>
      </c>
      <c r="D19" s="18">
        <f t="shared" si="0"/>
        <v>4.7857142857142856</v>
      </c>
      <c r="E19" s="18">
        <v>67</v>
      </c>
      <c r="F19">
        <v>2.4235565546581199</v>
      </c>
      <c r="I19" t="s">
        <v>37</v>
      </c>
      <c r="J19">
        <v>14</v>
      </c>
      <c r="K19">
        <v>2</v>
      </c>
      <c r="L19">
        <v>4.79</v>
      </c>
      <c r="M19">
        <f t="shared" si="2"/>
        <v>0.14285714285714285</v>
      </c>
      <c r="N19">
        <v>2.4235565546581199</v>
      </c>
    </row>
    <row r="20" spans="1:14" x14ac:dyDescent="0.35">
      <c r="A20" s="18" t="s">
        <v>14</v>
      </c>
      <c r="B20" s="18">
        <v>41</v>
      </c>
      <c r="C20" s="18">
        <v>3</v>
      </c>
      <c r="D20" s="18">
        <f t="shared" si="0"/>
        <v>4.4634146341463419</v>
      </c>
      <c r="E20" s="18">
        <v>183</v>
      </c>
      <c r="F20">
        <v>2.1805682857412299</v>
      </c>
      <c r="I20" t="s">
        <v>14</v>
      </c>
      <c r="J20">
        <v>41</v>
      </c>
      <c r="K20">
        <v>3</v>
      </c>
      <c r="L20">
        <v>4.46</v>
      </c>
      <c r="M20">
        <f t="shared" si="2"/>
        <v>7.3170731707317069E-2</v>
      </c>
      <c r="N20">
        <v>2.1805682857412299</v>
      </c>
    </row>
    <row r="21" spans="1:14" x14ac:dyDescent="0.35">
      <c r="A21" s="18" t="s">
        <v>90</v>
      </c>
      <c r="B21" s="18">
        <v>11</v>
      </c>
      <c r="C21" s="18">
        <v>1</v>
      </c>
      <c r="D21" s="18">
        <f t="shared" si="0"/>
        <v>6.4545454545454541</v>
      </c>
      <c r="E21" s="18">
        <v>71</v>
      </c>
      <c r="F21">
        <v>2.2962419891481902</v>
      </c>
      <c r="I21" t="s">
        <v>90</v>
      </c>
      <c r="J21">
        <v>11</v>
      </c>
      <c r="K21">
        <v>1</v>
      </c>
      <c r="L21">
        <v>6.45</v>
      </c>
      <c r="M21">
        <f t="shared" si="2"/>
        <v>9.0909090909090912E-2</v>
      </c>
      <c r="N21">
        <v>2.2962419891481902</v>
      </c>
    </row>
    <row r="22" spans="1:14" x14ac:dyDescent="0.35">
      <c r="A22" s="18" t="s">
        <v>6</v>
      </c>
      <c r="B22" s="18">
        <v>38</v>
      </c>
      <c r="C22" s="18">
        <v>3</v>
      </c>
      <c r="D22" s="18">
        <f t="shared" si="0"/>
        <v>5.4210526315789478</v>
      </c>
      <c r="E22" s="18">
        <v>206</v>
      </c>
      <c r="F22">
        <v>2.1514492783133501</v>
      </c>
      <c r="I22" t="s">
        <v>6</v>
      </c>
      <c r="J22">
        <v>38</v>
      </c>
      <c r="K22">
        <v>3</v>
      </c>
      <c r="L22">
        <v>5.42</v>
      </c>
      <c r="M22">
        <f t="shared" si="2"/>
        <v>7.8947368421052627E-2</v>
      </c>
      <c r="N22">
        <v>2.1514492783133501</v>
      </c>
    </row>
    <row r="23" spans="1:14" x14ac:dyDescent="0.35">
      <c r="A23" s="18" t="s">
        <v>19</v>
      </c>
      <c r="B23" s="18">
        <v>8</v>
      </c>
      <c r="C23" s="18">
        <v>1</v>
      </c>
      <c r="D23" s="18">
        <f t="shared" si="0"/>
        <v>5.5</v>
      </c>
      <c r="E23" s="18">
        <v>44</v>
      </c>
      <c r="F23">
        <v>2.3299294900428702</v>
      </c>
      <c r="I23" t="s">
        <v>56</v>
      </c>
      <c r="J23">
        <v>6</v>
      </c>
      <c r="K23">
        <v>0</v>
      </c>
      <c r="L23">
        <v>5.67</v>
      </c>
      <c r="M23">
        <f t="shared" si="2"/>
        <v>0</v>
      </c>
      <c r="N23">
        <v>2.3299294900428702</v>
      </c>
    </row>
    <row r="24" spans="1:14" x14ac:dyDescent="0.35">
      <c r="A24" s="18" t="s">
        <v>56</v>
      </c>
      <c r="B24" s="18">
        <v>6</v>
      </c>
      <c r="C24" s="18">
        <v>0</v>
      </c>
      <c r="D24" s="18">
        <f t="shared" si="0"/>
        <v>5.666666666666667</v>
      </c>
      <c r="E24" s="18">
        <v>34</v>
      </c>
      <c r="F24">
        <v>2.0655911179772799</v>
      </c>
      <c r="I24" t="s">
        <v>19</v>
      </c>
      <c r="J24">
        <v>8</v>
      </c>
      <c r="K24">
        <v>1</v>
      </c>
      <c r="L24">
        <v>5.5</v>
      </c>
      <c r="M24">
        <f t="shared" ref="M24:M71" si="3">K24/J24</f>
        <v>0.125</v>
      </c>
      <c r="N24">
        <v>2.0655911179772799</v>
      </c>
    </row>
    <row r="25" spans="1:14" x14ac:dyDescent="0.35">
      <c r="A25" s="18" t="s">
        <v>52</v>
      </c>
      <c r="B25" s="18">
        <v>9</v>
      </c>
      <c r="C25" s="18">
        <v>0</v>
      </c>
      <c r="D25" s="18">
        <f t="shared" si="0"/>
        <v>4</v>
      </c>
      <c r="E25" s="18">
        <v>36</v>
      </c>
      <c r="F25">
        <v>2.1794494717703299</v>
      </c>
      <c r="I25" t="s">
        <v>52</v>
      </c>
      <c r="J25">
        <v>9</v>
      </c>
      <c r="K25">
        <v>0</v>
      </c>
      <c r="L25">
        <v>4</v>
      </c>
      <c r="M25">
        <f t="shared" si="3"/>
        <v>0</v>
      </c>
      <c r="N25">
        <v>2.1794494717703299</v>
      </c>
    </row>
    <row r="26" spans="1:14" x14ac:dyDescent="0.35">
      <c r="A26" s="18" t="s">
        <v>20</v>
      </c>
      <c r="B26" s="18">
        <v>11</v>
      </c>
      <c r="C26" s="18">
        <v>1</v>
      </c>
      <c r="D26" s="18">
        <f t="shared" si="0"/>
        <v>5.8181818181818183</v>
      </c>
      <c r="E26" s="18">
        <v>64</v>
      </c>
      <c r="F26">
        <v>2.3159525823376299</v>
      </c>
      <c r="I26" t="s">
        <v>20</v>
      </c>
      <c r="J26">
        <v>11</v>
      </c>
      <c r="K26">
        <v>1</v>
      </c>
      <c r="L26">
        <v>5.82</v>
      </c>
      <c r="M26">
        <f t="shared" si="3"/>
        <v>9.0909090909090912E-2</v>
      </c>
      <c r="N26">
        <v>2.3159525823376299</v>
      </c>
    </row>
    <row r="27" spans="1:14" x14ac:dyDescent="0.35">
      <c r="A27" s="18" t="s">
        <v>25</v>
      </c>
      <c r="B27" s="18">
        <v>42</v>
      </c>
      <c r="C27" s="18">
        <v>3</v>
      </c>
      <c r="D27" s="18">
        <f t="shared" si="0"/>
        <v>5</v>
      </c>
      <c r="E27" s="18">
        <v>210</v>
      </c>
      <c r="F27">
        <v>2.1609054109613202</v>
      </c>
      <c r="I27" t="s">
        <v>25</v>
      </c>
      <c r="J27">
        <v>42</v>
      </c>
      <c r="K27">
        <v>3</v>
      </c>
      <c r="L27">
        <v>5</v>
      </c>
      <c r="M27">
        <f t="shared" si="3"/>
        <v>7.1428571428571425E-2</v>
      </c>
      <c r="N27">
        <v>2.1609054109613202</v>
      </c>
    </row>
    <row r="28" spans="1:14" x14ac:dyDescent="0.35">
      <c r="A28" s="18" t="s">
        <v>34</v>
      </c>
      <c r="B28" s="18">
        <v>5</v>
      </c>
      <c r="C28" s="18">
        <v>1</v>
      </c>
      <c r="D28" s="18">
        <f t="shared" si="0"/>
        <v>5</v>
      </c>
      <c r="E28" s="18">
        <v>25</v>
      </c>
      <c r="F28">
        <v>2.2360679774997898</v>
      </c>
      <c r="I28" t="s">
        <v>34</v>
      </c>
      <c r="J28">
        <v>5</v>
      </c>
      <c r="K28">
        <v>1</v>
      </c>
      <c r="L28">
        <v>5</v>
      </c>
      <c r="M28">
        <f t="shared" si="3"/>
        <v>0.2</v>
      </c>
      <c r="N28">
        <v>2.2360679774997898</v>
      </c>
    </row>
    <row r="29" spans="1:14" x14ac:dyDescent="0.35">
      <c r="A29" s="18" t="s">
        <v>147</v>
      </c>
      <c r="B29" s="18">
        <v>5</v>
      </c>
      <c r="C29" s="18">
        <v>0</v>
      </c>
      <c r="D29" s="18">
        <f t="shared" si="0"/>
        <v>4.4000000000000004</v>
      </c>
      <c r="E29" s="18">
        <v>22</v>
      </c>
      <c r="F29">
        <v>1.94935886896179</v>
      </c>
      <c r="I29" t="s">
        <v>147</v>
      </c>
      <c r="J29">
        <v>5</v>
      </c>
      <c r="K29">
        <v>0</v>
      </c>
      <c r="L29">
        <v>4.4000000000000004</v>
      </c>
      <c r="M29">
        <f t="shared" si="3"/>
        <v>0</v>
      </c>
      <c r="N29">
        <v>1.94935886896179</v>
      </c>
    </row>
    <row r="30" spans="1:14" x14ac:dyDescent="0.35">
      <c r="A30" s="18" t="s">
        <v>87</v>
      </c>
      <c r="B30" s="18">
        <v>5</v>
      </c>
      <c r="C30" s="18">
        <v>0</v>
      </c>
      <c r="D30" s="18">
        <f t="shared" si="0"/>
        <v>5.2</v>
      </c>
      <c r="E30" s="18">
        <v>26</v>
      </c>
      <c r="F30">
        <v>1.7888543819998299</v>
      </c>
      <c r="I30" t="s">
        <v>87</v>
      </c>
      <c r="J30">
        <v>5</v>
      </c>
      <c r="K30">
        <v>0</v>
      </c>
      <c r="L30">
        <v>5.2</v>
      </c>
      <c r="M30">
        <f t="shared" si="3"/>
        <v>0</v>
      </c>
      <c r="N30">
        <v>1.7888543819998299</v>
      </c>
    </row>
    <row r="31" spans="1:14" x14ac:dyDescent="0.35">
      <c r="A31" s="18" t="s">
        <v>50</v>
      </c>
      <c r="B31" s="18">
        <v>10</v>
      </c>
      <c r="C31" s="18">
        <v>0</v>
      </c>
      <c r="D31" s="18">
        <f t="shared" si="0"/>
        <v>4.5999999999999996</v>
      </c>
      <c r="E31" s="18">
        <v>46</v>
      </c>
      <c r="F31">
        <v>2.2360679774997898</v>
      </c>
      <c r="I31" t="s">
        <v>50</v>
      </c>
      <c r="J31">
        <v>10</v>
      </c>
      <c r="K31">
        <v>0</v>
      </c>
      <c r="L31">
        <v>4.5999999999999996</v>
      </c>
      <c r="M31">
        <f t="shared" si="3"/>
        <v>0</v>
      </c>
      <c r="N31">
        <v>2.2360679774997898</v>
      </c>
    </row>
    <row r="32" spans="1:14" x14ac:dyDescent="0.35">
      <c r="A32" s="18" t="s">
        <v>81</v>
      </c>
      <c r="B32" s="18">
        <v>8</v>
      </c>
      <c r="C32" s="18">
        <v>1</v>
      </c>
      <c r="D32" s="18">
        <f t="shared" si="0"/>
        <v>4.625</v>
      </c>
      <c r="E32" s="18">
        <v>37</v>
      </c>
      <c r="F32">
        <v>1.76776695296636</v>
      </c>
      <c r="I32" t="s">
        <v>81</v>
      </c>
      <c r="J32">
        <v>8</v>
      </c>
      <c r="K32">
        <v>1</v>
      </c>
      <c r="L32">
        <v>4.63</v>
      </c>
      <c r="M32">
        <f t="shared" si="3"/>
        <v>0.125</v>
      </c>
      <c r="N32">
        <v>1.76776695296636</v>
      </c>
    </row>
    <row r="33" spans="1:14" x14ac:dyDescent="0.35">
      <c r="A33" s="18" t="s">
        <v>36</v>
      </c>
      <c r="B33" s="18">
        <v>5</v>
      </c>
      <c r="C33" s="18">
        <v>0</v>
      </c>
      <c r="D33" s="18">
        <f t="shared" si="0"/>
        <v>4.4000000000000004</v>
      </c>
      <c r="E33" s="18">
        <v>22</v>
      </c>
      <c r="F33">
        <v>2.6076809620810502</v>
      </c>
      <c r="I33" t="s">
        <v>36</v>
      </c>
      <c r="J33">
        <v>5</v>
      </c>
      <c r="K33">
        <v>0</v>
      </c>
      <c r="L33">
        <v>4.4000000000000004</v>
      </c>
      <c r="M33">
        <f t="shared" si="3"/>
        <v>0</v>
      </c>
      <c r="N33">
        <v>2.6076809620810502</v>
      </c>
    </row>
    <row r="34" spans="1:14" x14ac:dyDescent="0.35">
      <c r="A34" s="18" t="s">
        <v>112</v>
      </c>
      <c r="B34" s="18">
        <v>10</v>
      </c>
      <c r="C34" s="18">
        <v>3</v>
      </c>
      <c r="D34" s="18">
        <f t="shared" si="0"/>
        <v>4.3</v>
      </c>
      <c r="E34" s="18">
        <v>43</v>
      </c>
      <c r="F34">
        <v>2.71006354989037</v>
      </c>
      <c r="I34" t="s">
        <v>112</v>
      </c>
      <c r="J34">
        <v>10</v>
      </c>
      <c r="K34">
        <v>3</v>
      </c>
      <c r="L34">
        <v>4.3</v>
      </c>
      <c r="M34">
        <f t="shared" si="3"/>
        <v>0.3</v>
      </c>
      <c r="N34">
        <v>2.71006354989037</v>
      </c>
    </row>
    <row r="35" spans="1:14" x14ac:dyDescent="0.35">
      <c r="A35" s="18" t="s">
        <v>27</v>
      </c>
      <c r="B35" s="18">
        <v>17</v>
      </c>
      <c r="C35" s="18">
        <v>1</v>
      </c>
      <c r="D35" s="18">
        <f t="shared" si="0"/>
        <v>4</v>
      </c>
      <c r="E35" s="18">
        <v>68</v>
      </c>
      <c r="F35">
        <v>2.54950975679639</v>
      </c>
      <c r="I35" t="s">
        <v>27</v>
      </c>
      <c r="J35">
        <v>17</v>
      </c>
      <c r="K35">
        <v>1</v>
      </c>
      <c r="L35">
        <v>4</v>
      </c>
      <c r="M35">
        <f t="shared" si="3"/>
        <v>5.8823529411764705E-2</v>
      </c>
      <c r="N35">
        <v>2.54950975679639</v>
      </c>
    </row>
    <row r="36" spans="1:14" x14ac:dyDescent="0.35">
      <c r="A36" s="18" t="s">
        <v>117</v>
      </c>
      <c r="B36" s="18">
        <v>9</v>
      </c>
      <c r="C36" s="18">
        <v>2</v>
      </c>
      <c r="D36" s="18">
        <f t="shared" si="0"/>
        <v>4.2222222222222223</v>
      </c>
      <c r="E36" s="18">
        <v>38</v>
      </c>
      <c r="F36">
        <v>2.7284509239574799</v>
      </c>
      <c r="I36" t="s">
        <v>117</v>
      </c>
      <c r="J36">
        <v>9</v>
      </c>
      <c r="K36">
        <v>2</v>
      </c>
      <c r="L36">
        <v>4.2</v>
      </c>
      <c r="M36">
        <f t="shared" si="3"/>
        <v>0.22222222222222221</v>
      </c>
      <c r="N36">
        <v>2.7284509239574799</v>
      </c>
    </row>
    <row r="37" spans="1:14" x14ac:dyDescent="0.35">
      <c r="A37" s="18" t="s">
        <v>141</v>
      </c>
      <c r="B37" s="18">
        <v>6</v>
      </c>
      <c r="C37" s="18">
        <v>1</v>
      </c>
      <c r="D37" s="18">
        <f t="shared" si="0"/>
        <v>3.5</v>
      </c>
      <c r="E37" s="18">
        <v>21</v>
      </c>
      <c r="F37">
        <v>2.0736441353327701</v>
      </c>
      <c r="I37" t="s">
        <v>141</v>
      </c>
      <c r="J37">
        <v>6</v>
      </c>
      <c r="K37">
        <v>1</v>
      </c>
      <c r="L37">
        <v>3.5</v>
      </c>
      <c r="M37">
        <f t="shared" si="3"/>
        <v>0.16666666666666666</v>
      </c>
      <c r="N37">
        <v>2.0736441353327701</v>
      </c>
    </row>
    <row r="38" spans="1:14" x14ac:dyDescent="0.35">
      <c r="A38" s="18" t="s">
        <v>32</v>
      </c>
      <c r="B38" s="18">
        <v>12</v>
      </c>
      <c r="C38" s="18">
        <v>1</v>
      </c>
      <c r="D38" s="18">
        <f t="shared" si="0"/>
        <v>5.833333333333333</v>
      </c>
      <c r="E38" s="18">
        <v>70</v>
      </c>
      <c r="F38">
        <v>2.1248885888797799</v>
      </c>
      <c r="I38" t="s">
        <v>32</v>
      </c>
      <c r="J38">
        <v>12</v>
      </c>
      <c r="K38">
        <v>1</v>
      </c>
      <c r="L38">
        <v>5.83</v>
      </c>
      <c r="M38">
        <f t="shared" si="3"/>
        <v>8.3333333333333329E-2</v>
      </c>
      <c r="N38">
        <v>2.1248885888797799</v>
      </c>
    </row>
    <row r="39" spans="1:14" x14ac:dyDescent="0.35">
      <c r="A39" s="18" t="s">
        <v>15</v>
      </c>
      <c r="B39" s="18">
        <v>72</v>
      </c>
      <c r="C39" s="18">
        <v>16</v>
      </c>
      <c r="D39" s="18">
        <f t="shared" si="0"/>
        <v>4.0972222222222223</v>
      </c>
      <c r="E39" s="18">
        <v>295</v>
      </c>
      <c r="F39">
        <v>2.3694389634605302</v>
      </c>
      <c r="I39" t="s">
        <v>15</v>
      </c>
      <c r="J39">
        <v>72</v>
      </c>
      <c r="K39">
        <v>16</v>
      </c>
      <c r="L39">
        <v>4.0999999999999996</v>
      </c>
      <c r="M39">
        <f t="shared" si="3"/>
        <v>0.22222222222222221</v>
      </c>
      <c r="N39">
        <v>2.3694389634605302</v>
      </c>
    </row>
    <row r="40" spans="1:14" x14ac:dyDescent="0.35">
      <c r="A40" s="18" t="s">
        <v>13</v>
      </c>
      <c r="B40" s="18">
        <v>20</v>
      </c>
      <c r="C40" s="18">
        <v>1</v>
      </c>
      <c r="D40" s="18">
        <f t="shared" si="0"/>
        <v>4.95</v>
      </c>
      <c r="E40" s="18">
        <v>99</v>
      </c>
      <c r="F40">
        <v>2.1392325234704299</v>
      </c>
      <c r="I40" t="s">
        <v>13</v>
      </c>
      <c r="J40">
        <v>20</v>
      </c>
      <c r="K40">
        <v>1</v>
      </c>
      <c r="L40">
        <v>4.95</v>
      </c>
      <c r="M40">
        <f t="shared" si="3"/>
        <v>0.05</v>
      </c>
      <c r="N40">
        <v>2.1392325234704299</v>
      </c>
    </row>
    <row r="41" spans="1:14" x14ac:dyDescent="0.35">
      <c r="A41" s="18" t="s">
        <v>10</v>
      </c>
      <c r="B41" s="18">
        <v>28</v>
      </c>
      <c r="C41" s="18">
        <v>4</v>
      </c>
      <c r="D41" s="18">
        <f t="shared" si="0"/>
        <v>4.2857142857142856</v>
      </c>
      <c r="E41" s="18">
        <v>120</v>
      </c>
      <c r="F41">
        <v>2.2086889501029501</v>
      </c>
      <c r="I41" t="s">
        <v>10</v>
      </c>
      <c r="J41">
        <v>28</v>
      </c>
      <c r="K41">
        <v>4</v>
      </c>
      <c r="L41">
        <v>4.29</v>
      </c>
      <c r="M41">
        <f t="shared" si="3"/>
        <v>0.14285714285714285</v>
      </c>
      <c r="N41">
        <v>2.2086889501029501</v>
      </c>
    </row>
    <row r="42" spans="1:14" x14ac:dyDescent="0.35">
      <c r="A42" s="18" t="s">
        <v>63</v>
      </c>
      <c r="B42" s="18">
        <v>6</v>
      </c>
      <c r="C42" s="18">
        <v>1</v>
      </c>
      <c r="D42" s="18">
        <f t="shared" si="0"/>
        <v>4.166666666666667</v>
      </c>
      <c r="E42" s="18">
        <v>25</v>
      </c>
      <c r="F42">
        <v>2.6394443859772201</v>
      </c>
      <c r="I42" t="s">
        <v>63</v>
      </c>
      <c r="J42">
        <v>6</v>
      </c>
      <c r="K42">
        <v>1</v>
      </c>
      <c r="L42">
        <v>4.17</v>
      </c>
      <c r="M42">
        <f t="shared" si="3"/>
        <v>0.16666666666666666</v>
      </c>
      <c r="N42">
        <v>2.6394443859772201</v>
      </c>
    </row>
    <row r="43" spans="1:14" x14ac:dyDescent="0.35">
      <c r="A43" s="18" t="s">
        <v>4</v>
      </c>
      <c r="B43" s="18">
        <v>9</v>
      </c>
      <c r="C43" s="18">
        <v>0</v>
      </c>
      <c r="D43" s="18">
        <f t="shared" si="0"/>
        <v>6.1111111111111107</v>
      </c>
      <c r="E43" s="18">
        <v>55</v>
      </c>
      <c r="F43">
        <v>2.08832734769027</v>
      </c>
      <c r="I43" t="s">
        <v>4</v>
      </c>
      <c r="J43">
        <v>9</v>
      </c>
      <c r="K43">
        <v>0</v>
      </c>
      <c r="L43">
        <v>6.11</v>
      </c>
      <c r="M43">
        <f t="shared" si="3"/>
        <v>0</v>
      </c>
      <c r="N43">
        <v>2.08832734769027</v>
      </c>
    </row>
    <row r="44" spans="1:14" x14ac:dyDescent="0.35">
      <c r="A44" s="18" t="s">
        <v>121</v>
      </c>
      <c r="B44" s="18">
        <v>33</v>
      </c>
      <c r="C44" s="18">
        <v>8</v>
      </c>
      <c r="D44" s="18">
        <f t="shared" si="0"/>
        <v>3.5454545454545454</v>
      </c>
      <c r="E44" s="18">
        <v>117</v>
      </c>
      <c r="F44">
        <v>2.2233267457082899</v>
      </c>
      <c r="I44" t="s">
        <v>121</v>
      </c>
      <c r="J44">
        <v>33</v>
      </c>
      <c r="K44">
        <v>8</v>
      </c>
      <c r="L44">
        <v>3.55</v>
      </c>
      <c r="M44">
        <f t="shared" si="3"/>
        <v>0.24242424242424243</v>
      </c>
      <c r="N44">
        <v>2.2233267457082899</v>
      </c>
    </row>
    <row r="45" spans="1:14" x14ac:dyDescent="0.35">
      <c r="A45" s="18" t="s">
        <v>232</v>
      </c>
      <c r="B45" s="18">
        <v>6</v>
      </c>
      <c r="C45" s="18">
        <v>0</v>
      </c>
      <c r="D45" s="18">
        <f t="shared" si="0"/>
        <v>4.333333333333333</v>
      </c>
      <c r="E45" s="18">
        <v>26</v>
      </c>
      <c r="F45">
        <v>2.2509257354845502</v>
      </c>
      <c r="I45" t="s">
        <v>232</v>
      </c>
      <c r="J45">
        <v>6</v>
      </c>
      <c r="K45">
        <v>0</v>
      </c>
      <c r="L45">
        <v>4.33</v>
      </c>
      <c r="M45">
        <f t="shared" si="3"/>
        <v>0</v>
      </c>
      <c r="N45">
        <v>2.2509257354845502</v>
      </c>
    </row>
    <row r="46" spans="1:14" x14ac:dyDescent="0.35">
      <c r="A46" s="18" t="s">
        <v>21</v>
      </c>
      <c r="B46" s="18">
        <v>10</v>
      </c>
      <c r="C46" s="18">
        <v>0</v>
      </c>
      <c r="D46" s="18">
        <f t="shared" si="0"/>
        <v>4.5999999999999996</v>
      </c>
      <c r="E46" s="18">
        <v>46</v>
      </c>
      <c r="F46">
        <v>2.0655911179772799</v>
      </c>
      <c r="I46" t="s">
        <v>21</v>
      </c>
      <c r="J46">
        <v>10</v>
      </c>
      <c r="K46">
        <v>0</v>
      </c>
      <c r="L46">
        <v>4.5999999999999996</v>
      </c>
      <c r="M46">
        <f t="shared" si="3"/>
        <v>0</v>
      </c>
      <c r="N46">
        <v>2.0655911179772799</v>
      </c>
    </row>
    <row r="47" spans="1:14" x14ac:dyDescent="0.35">
      <c r="A47" s="18" t="s">
        <v>51</v>
      </c>
      <c r="B47" s="18">
        <v>19</v>
      </c>
      <c r="C47" s="18">
        <v>1</v>
      </c>
      <c r="D47" s="18">
        <f t="shared" si="0"/>
        <v>5.0526315789473681</v>
      </c>
      <c r="E47" s="18">
        <v>96</v>
      </c>
      <c r="F47">
        <v>2.2967049878400898</v>
      </c>
      <c r="I47" t="s">
        <v>51</v>
      </c>
      <c r="J47">
        <v>19</v>
      </c>
      <c r="K47">
        <v>1</v>
      </c>
      <c r="L47">
        <v>5.05</v>
      </c>
      <c r="M47">
        <f t="shared" si="3"/>
        <v>5.2631578947368418E-2</v>
      </c>
      <c r="N47">
        <v>2.2967049878400898</v>
      </c>
    </row>
    <row r="48" spans="1:14" x14ac:dyDescent="0.35">
      <c r="A48" s="18" t="s">
        <v>78</v>
      </c>
      <c r="B48" s="18">
        <v>7</v>
      </c>
      <c r="C48" s="18">
        <v>1</v>
      </c>
      <c r="D48" s="18">
        <f t="shared" si="0"/>
        <v>4.7142857142857144</v>
      </c>
      <c r="E48" s="18">
        <v>33</v>
      </c>
      <c r="F48">
        <v>2.8702082220799299</v>
      </c>
      <c r="I48" t="s">
        <v>78</v>
      </c>
      <c r="J48">
        <v>7</v>
      </c>
      <c r="K48">
        <v>1</v>
      </c>
      <c r="L48">
        <v>4.71</v>
      </c>
      <c r="M48">
        <f t="shared" si="3"/>
        <v>0.14285714285714285</v>
      </c>
      <c r="N48">
        <v>2.8702082220799299</v>
      </c>
    </row>
    <row r="49" spans="1:14" x14ac:dyDescent="0.35">
      <c r="A49" s="18" t="s">
        <v>0</v>
      </c>
      <c r="B49" s="18">
        <v>36</v>
      </c>
      <c r="C49" s="18">
        <v>6</v>
      </c>
      <c r="D49" s="18">
        <f t="shared" si="0"/>
        <v>3.6666666666666665</v>
      </c>
      <c r="E49" s="18">
        <v>132</v>
      </c>
      <c r="F49">
        <v>2.16465107712866</v>
      </c>
      <c r="I49" t="s">
        <v>0</v>
      </c>
      <c r="J49">
        <v>36</v>
      </c>
      <c r="K49">
        <v>6</v>
      </c>
      <c r="L49">
        <v>3.67</v>
      </c>
      <c r="M49">
        <f t="shared" si="3"/>
        <v>0.16666666666666666</v>
      </c>
      <c r="N49">
        <v>2.16465107712866</v>
      </c>
    </row>
    <row r="50" spans="1:14" x14ac:dyDescent="0.35">
      <c r="A50" s="18" t="s">
        <v>1</v>
      </c>
      <c r="B50" s="18">
        <v>25</v>
      </c>
      <c r="C50" s="18">
        <v>1</v>
      </c>
      <c r="D50" s="18">
        <f t="shared" si="0"/>
        <v>5.2</v>
      </c>
      <c r="E50" s="18">
        <v>130</v>
      </c>
      <c r="F50">
        <v>2.0412414523193099</v>
      </c>
      <c r="I50" t="s">
        <v>1</v>
      </c>
      <c r="J50">
        <v>25</v>
      </c>
      <c r="K50">
        <v>1</v>
      </c>
      <c r="L50">
        <v>5.2</v>
      </c>
      <c r="M50">
        <f t="shared" si="3"/>
        <v>0.04</v>
      </c>
      <c r="N50">
        <v>2.0412414523193099</v>
      </c>
    </row>
    <row r="51" spans="1:14" x14ac:dyDescent="0.35">
      <c r="A51" s="18" t="s">
        <v>28</v>
      </c>
      <c r="B51" s="18">
        <v>5</v>
      </c>
      <c r="C51" s="18">
        <v>0</v>
      </c>
      <c r="D51" s="18">
        <f t="shared" si="0"/>
        <v>4.2</v>
      </c>
      <c r="E51" s="18">
        <v>21</v>
      </c>
      <c r="F51">
        <v>1.30384048104052</v>
      </c>
      <c r="I51" t="s">
        <v>28</v>
      </c>
      <c r="J51">
        <v>5</v>
      </c>
      <c r="K51">
        <v>0</v>
      </c>
      <c r="L51">
        <v>4.2</v>
      </c>
      <c r="M51">
        <f t="shared" si="3"/>
        <v>0</v>
      </c>
      <c r="N51">
        <v>1.30384048104052</v>
      </c>
    </row>
    <row r="52" spans="1:14" x14ac:dyDescent="0.35">
      <c r="A52" t="s">
        <v>253</v>
      </c>
      <c r="B52">
        <v>1</v>
      </c>
      <c r="C52">
        <v>0</v>
      </c>
      <c r="D52" s="18">
        <f t="shared" si="0"/>
        <v>2</v>
      </c>
      <c r="E52">
        <v>2</v>
      </c>
      <c r="I52" t="s">
        <v>175</v>
      </c>
      <c r="J52">
        <v>5</v>
      </c>
      <c r="K52">
        <v>0</v>
      </c>
      <c r="L52">
        <v>5</v>
      </c>
      <c r="M52">
        <f t="shared" si="3"/>
        <v>0</v>
      </c>
      <c r="N52">
        <v>2</v>
      </c>
    </row>
    <row r="53" spans="1:14" x14ac:dyDescent="0.35">
      <c r="A53" s="18" t="s">
        <v>175</v>
      </c>
      <c r="B53" s="18">
        <v>5</v>
      </c>
      <c r="C53" s="18">
        <v>0</v>
      </c>
      <c r="D53" s="18">
        <f t="shared" si="0"/>
        <v>5</v>
      </c>
      <c r="E53" s="18">
        <v>25</v>
      </c>
      <c r="F53">
        <v>2</v>
      </c>
      <c r="I53" t="s">
        <v>361</v>
      </c>
      <c r="J53">
        <v>5</v>
      </c>
      <c r="K53">
        <v>1</v>
      </c>
      <c r="L53">
        <v>4</v>
      </c>
      <c r="M53">
        <f t="shared" si="3"/>
        <v>0.2</v>
      </c>
      <c r="N53">
        <v>3.2403703492039302</v>
      </c>
    </row>
    <row r="54" spans="1:14" x14ac:dyDescent="0.35">
      <c r="A54" s="18" t="s">
        <v>61</v>
      </c>
      <c r="B54" s="18">
        <v>5</v>
      </c>
      <c r="C54" s="18">
        <v>1</v>
      </c>
      <c r="D54" s="18">
        <f t="shared" si="0"/>
        <v>4</v>
      </c>
      <c r="E54" s="18">
        <v>20</v>
      </c>
      <c r="F54">
        <v>3.2403703492039302</v>
      </c>
      <c r="I54" t="s">
        <v>115</v>
      </c>
      <c r="J54">
        <v>7</v>
      </c>
      <c r="K54">
        <v>0</v>
      </c>
      <c r="L54">
        <v>4.57</v>
      </c>
      <c r="M54">
        <f t="shared" si="3"/>
        <v>0</v>
      </c>
      <c r="N54">
        <v>1.71824938596844</v>
      </c>
    </row>
    <row r="55" spans="1:14" x14ac:dyDescent="0.35">
      <c r="A55" t="s">
        <v>142</v>
      </c>
      <c r="B55">
        <v>4</v>
      </c>
      <c r="C55">
        <v>0</v>
      </c>
      <c r="D55" s="18">
        <f t="shared" si="0"/>
        <v>7</v>
      </c>
      <c r="E55">
        <v>28</v>
      </c>
      <c r="F55">
        <v>0.81649658092772603</v>
      </c>
      <c r="I55" t="s">
        <v>24</v>
      </c>
      <c r="J55">
        <v>41</v>
      </c>
      <c r="K55">
        <v>5</v>
      </c>
      <c r="L55">
        <v>4.41</v>
      </c>
      <c r="M55">
        <f t="shared" si="3"/>
        <v>0.12195121951219512</v>
      </c>
      <c r="N55">
        <v>2.26909243703399</v>
      </c>
    </row>
    <row r="56" spans="1:14" x14ac:dyDescent="0.35">
      <c r="A56" s="18" t="s">
        <v>115</v>
      </c>
      <c r="B56" s="18">
        <v>7</v>
      </c>
      <c r="C56" s="18">
        <v>0</v>
      </c>
      <c r="D56" s="18">
        <f t="shared" si="0"/>
        <v>4.5714285714285712</v>
      </c>
      <c r="E56" s="18">
        <v>32</v>
      </c>
      <c r="F56">
        <v>1.71824938596844</v>
      </c>
      <c r="I56" t="s">
        <v>116</v>
      </c>
      <c r="J56">
        <v>7</v>
      </c>
      <c r="K56">
        <v>0</v>
      </c>
      <c r="L56">
        <v>4.71</v>
      </c>
      <c r="M56">
        <f t="shared" si="3"/>
        <v>0</v>
      </c>
      <c r="N56">
        <v>1.7043362064926899</v>
      </c>
    </row>
    <row r="57" spans="1:14" x14ac:dyDescent="0.35">
      <c r="A57" s="18" t="s">
        <v>24</v>
      </c>
      <c r="B57" s="18">
        <v>41</v>
      </c>
      <c r="C57" s="18">
        <v>5</v>
      </c>
      <c r="D57" s="18">
        <f t="shared" si="0"/>
        <v>4.4146341463414638</v>
      </c>
      <c r="E57" s="18">
        <v>181</v>
      </c>
      <c r="F57">
        <v>2.26909243703399</v>
      </c>
      <c r="I57" t="s">
        <v>5</v>
      </c>
      <c r="J57">
        <v>7</v>
      </c>
      <c r="K57">
        <v>0</v>
      </c>
      <c r="L57">
        <v>4.71</v>
      </c>
      <c r="M57">
        <f t="shared" si="3"/>
        <v>0</v>
      </c>
      <c r="N57">
        <v>1.8898223650461301</v>
      </c>
    </row>
    <row r="58" spans="1:14" x14ac:dyDescent="0.35">
      <c r="A58" s="18" t="s">
        <v>116</v>
      </c>
      <c r="B58" s="18">
        <v>7</v>
      </c>
      <c r="C58" s="18">
        <v>0</v>
      </c>
      <c r="D58" s="18">
        <f t="shared" si="0"/>
        <v>4.7142857142857144</v>
      </c>
      <c r="E58" s="18">
        <v>33</v>
      </c>
      <c r="F58">
        <v>1.7043362064926899</v>
      </c>
      <c r="I58" t="s">
        <v>58</v>
      </c>
      <c r="J58">
        <v>6</v>
      </c>
      <c r="K58">
        <v>0</v>
      </c>
      <c r="L58">
        <v>4.33</v>
      </c>
      <c r="M58">
        <f t="shared" si="3"/>
        <v>0</v>
      </c>
      <c r="N58">
        <v>2.33809038890002</v>
      </c>
    </row>
    <row r="59" spans="1:14" x14ac:dyDescent="0.35">
      <c r="A59" s="18" t="s">
        <v>5</v>
      </c>
      <c r="B59" s="18">
        <v>7</v>
      </c>
      <c r="C59" s="18">
        <v>0</v>
      </c>
      <c r="D59" s="18">
        <f t="shared" si="0"/>
        <v>4.7142857142857144</v>
      </c>
      <c r="E59" s="18">
        <v>33</v>
      </c>
      <c r="F59">
        <v>1.8898223650461301</v>
      </c>
      <c r="I59" t="s">
        <v>30</v>
      </c>
      <c r="J59">
        <v>11</v>
      </c>
      <c r="K59">
        <v>2</v>
      </c>
      <c r="L59">
        <v>4.82</v>
      </c>
      <c r="M59">
        <f t="shared" si="3"/>
        <v>0.18181818181818182</v>
      </c>
      <c r="N59">
        <v>2.5226248955475601</v>
      </c>
    </row>
    <row r="60" spans="1:14" x14ac:dyDescent="0.35">
      <c r="A60" s="18" t="s">
        <v>58</v>
      </c>
      <c r="B60" s="18">
        <v>6</v>
      </c>
      <c r="C60" s="18">
        <v>0</v>
      </c>
      <c r="D60" s="18">
        <f t="shared" si="0"/>
        <v>4.333333333333333</v>
      </c>
      <c r="E60" s="18">
        <v>26</v>
      </c>
      <c r="F60">
        <v>2.33809038890002</v>
      </c>
      <c r="I60" t="s">
        <v>29</v>
      </c>
      <c r="J60">
        <v>20</v>
      </c>
      <c r="K60">
        <v>1</v>
      </c>
      <c r="L60">
        <v>4.4000000000000004</v>
      </c>
      <c r="M60">
        <f t="shared" si="3"/>
        <v>0.05</v>
      </c>
      <c r="N60">
        <v>2.0875571218153701</v>
      </c>
    </row>
    <row r="61" spans="1:14" x14ac:dyDescent="0.35">
      <c r="A61" s="18" t="s">
        <v>30</v>
      </c>
      <c r="B61" s="18">
        <v>11</v>
      </c>
      <c r="C61" s="18">
        <v>2</v>
      </c>
      <c r="D61" s="18">
        <f t="shared" si="0"/>
        <v>4.8181818181818183</v>
      </c>
      <c r="E61" s="18">
        <v>53</v>
      </c>
      <c r="F61">
        <v>2.5226248955475601</v>
      </c>
      <c r="I61" t="s">
        <v>148</v>
      </c>
      <c r="J61">
        <v>8</v>
      </c>
      <c r="K61">
        <v>0</v>
      </c>
      <c r="L61">
        <v>4.25</v>
      </c>
      <c r="M61">
        <f t="shared" si="3"/>
        <v>0</v>
      </c>
      <c r="N61">
        <v>2.0528725518857001</v>
      </c>
    </row>
    <row r="62" spans="1:14" x14ac:dyDescent="0.35">
      <c r="A62" s="18" t="s">
        <v>29</v>
      </c>
      <c r="B62" s="18">
        <v>20</v>
      </c>
      <c r="C62" s="18">
        <v>1</v>
      </c>
      <c r="D62" s="18">
        <f t="shared" si="0"/>
        <v>4.4000000000000004</v>
      </c>
      <c r="E62" s="18">
        <v>88</v>
      </c>
      <c r="F62">
        <v>2.0875571218153701</v>
      </c>
      <c r="I62" t="s">
        <v>9</v>
      </c>
      <c r="J62">
        <v>9</v>
      </c>
      <c r="K62">
        <v>1</v>
      </c>
      <c r="L62">
        <v>3.89</v>
      </c>
      <c r="M62">
        <f t="shared" si="3"/>
        <v>0.1111111111111111</v>
      </c>
      <c r="N62">
        <v>2.42097317438899</v>
      </c>
    </row>
    <row r="63" spans="1:14" x14ac:dyDescent="0.35">
      <c r="A63" s="18" t="s">
        <v>148</v>
      </c>
      <c r="B63" s="18">
        <v>8</v>
      </c>
      <c r="C63" s="18">
        <v>0</v>
      </c>
      <c r="D63" s="18">
        <f t="shared" si="0"/>
        <v>4.25</v>
      </c>
      <c r="E63" s="18">
        <v>34</v>
      </c>
      <c r="F63">
        <v>2.0528725518857001</v>
      </c>
      <c r="I63" t="s">
        <v>139</v>
      </c>
      <c r="J63">
        <v>14</v>
      </c>
      <c r="K63">
        <v>2</v>
      </c>
      <c r="L63">
        <v>3.86</v>
      </c>
      <c r="M63">
        <f t="shared" si="3"/>
        <v>0.14285714285714285</v>
      </c>
      <c r="N63">
        <v>1.9944979263017399</v>
      </c>
    </row>
    <row r="64" spans="1:14" x14ac:dyDescent="0.35">
      <c r="A64" s="18" t="s">
        <v>9</v>
      </c>
      <c r="B64" s="18">
        <v>9</v>
      </c>
      <c r="C64" s="18">
        <v>1</v>
      </c>
      <c r="D64" s="18">
        <f t="shared" si="0"/>
        <v>3.8888888888888888</v>
      </c>
      <c r="E64" s="18">
        <v>35</v>
      </c>
      <c r="F64">
        <v>2.42097317438899</v>
      </c>
      <c r="I64" t="s">
        <v>23</v>
      </c>
      <c r="J64">
        <v>13</v>
      </c>
      <c r="K64">
        <v>0</v>
      </c>
      <c r="L64">
        <v>4.54</v>
      </c>
      <c r="M64">
        <f t="shared" si="3"/>
        <v>0</v>
      </c>
      <c r="N64">
        <v>1.9414506867882999</v>
      </c>
    </row>
    <row r="65" spans="1:14" x14ac:dyDescent="0.35">
      <c r="A65" s="18" t="s">
        <v>139</v>
      </c>
      <c r="B65" s="18">
        <v>14</v>
      </c>
      <c r="C65" s="18">
        <v>2</v>
      </c>
      <c r="D65" s="18">
        <f t="shared" si="0"/>
        <v>3.8571428571428572</v>
      </c>
      <c r="E65" s="18">
        <v>54</v>
      </c>
      <c r="F65">
        <v>1.9944979263017399</v>
      </c>
      <c r="I65" t="s">
        <v>197</v>
      </c>
      <c r="J65">
        <v>8</v>
      </c>
      <c r="K65">
        <v>0</v>
      </c>
      <c r="L65">
        <v>5</v>
      </c>
      <c r="M65">
        <f t="shared" si="3"/>
        <v>0</v>
      </c>
      <c r="N65">
        <v>2.39045721866878</v>
      </c>
    </row>
    <row r="66" spans="1:14" x14ac:dyDescent="0.35">
      <c r="A66" s="18" t="s">
        <v>23</v>
      </c>
      <c r="B66" s="18">
        <v>13</v>
      </c>
      <c r="C66" s="18">
        <v>0</v>
      </c>
      <c r="D66" s="18">
        <f t="shared" si="0"/>
        <v>4.5384615384615383</v>
      </c>
      <c r="E66" s="18">
        <v>59</v>
      </c>
      <c r="F66">
        <v>1.9414506867882999</v>
      </c>
      <c r="I66" t="s">
        <v>17</v>
      </c>
      <c r="J66">
        <v>6</v>
      </c>
      <c r="K66">
        <v>1</v>
      </c>
      <c r="L66">
        <v>5.17</v>
      </c>
      <c r="M66">
        <f t="shared" si="3"/>
        <v>0.16666666666666666</v>
      </c>
      <c r="N66">
        <v>2.4832774042918899</v>
      </c>
    </row>
    <row r="67" spans="1:14" x14ac:dyDescent="0.35">
      <c r="A67" s="18" t="s">
        <v>197</v>
      </c>
      <c r="B67" s="18">
        <v>8</v>
      </c>
      <c r="C67" s="18">
        <v>0</v>
      </c>
      <c r="D67" s="18">
        <f t="shared" si="0"/>
        <v>5</v>
      </c>
      <c r="E67" s="18">
        <v>40</v>
      </c>
      <c r="F67">
        <v>2.39045721866878</v>
      </c>
      <c r="I67" t="s">
        <v>79</v>
      </c>
      <c r="J67">
        <v>15</v>
      </c>
      <c r="K67">
        <v>0</v>
      </c>
      <c r="L67">
        <v>5.33</v>
      </c>
      <c r="M67">
        <f t="shared" si="3"/>
        <v>0</v>
      </c>
      <c r="N67">
        <v>2.05866345916355</v>
      </c>
    </row>
    <row r="68" spans="1:14" x14ac:dyDescent="0.35">
      <c r="A68" s="18" t="s">
        <v>17</v>
      </c>
      <c r="B68" s="18">
        <v>6</v>
      </c>
      <c r="C68" s="18">
        <v>1</v>
      </c>
      <c r="D68" s="18">
        <f t="shared" si="0"/>
        <v>5.166666666666667</v>
      </c>
      <c r="E68" s="18">
        <v>31</v>
      </c>
      <c r="F68">
        <v>2.4832774042918899</v>
      </c>
      <c r="I68" t="s">
        <v>123</v>
      </c>
      <c r="J68">
        <v>6</v>
      </c>
      <c r="K68">
        <v>0</v>
      </c>
      <c r="L68">
        <v>5</v>
      </c>
      <c r="M68">
        <f t="shared" si="3"/>
        <v>0</v>
      </c>
      <c r="N68">
        <v>2</v>
      </c>
    </row>
    <row r="69" spans="1:14" x14ac:dyDescent="0.35">
      <c r="A69" s="18" t="s">
        <v>79</v>
      </c>
      <c r="B69" s="18">
        <v>15</v>
      </c>
      <c r="C69" s="18">
        <v>0</v>
      </c>
      <c r="D69" s="18">
        <f t="shared" si="0"/>
        <v>5.333333333333333</v>
      </c>
      <c r="E69" s="18">
        <v>80</v>
      </c>
      <c r="F69">
        <v>2.05866345916355</v>
      </c>
      <c r="I69" t="s">
        <v>12</v>
      </c>
      <c r="J69">
        <v>8</v>
      </c>
      <c r="K69">
        <v>0</v>
      </c>
      <c r="L69">
        <v>5.63</v>
      </c>
      <c r="M69">
        <f t="shared" si="3"/>
        <v>0</v>
      </c>
      <c r="N69">
        <v>2.44584195260913</v>
      </c>
    </row>
    <row r="70" spans="1:14" x14ac:dyDescent="0.35">
      <c r="A70" s="18" t="s">
        <v>123</v>
      </c>
      <c r="B70" s="18">
        <v>6</v>
      </c>
      <c r="C70" s="18">
        <v>0</v>
      </c>
      <c r="D70" s="18">
        <f t="shared" si="0"/>
        <v>5</v>
      </c>
      <c r="E70" s="18">
        <v>30</v>
      </c>
      <c r="F70">
        <v>2</v>
      </c>
      <c r="I70" t="s">
        <v>16</v>
      </c>
      <c r="J70">
        <v>7</v>
      </c>
      <c r="K70">
        <v>1</v>
      </c>
      <c r="L70">
        <v>5</v>
      </c>
      <c r="M70">
        <f t="shared" si="3"/>
        <v>0.14285714285714285</v>
      </c>
      <c r="N70">
        <v>2.3094010767584998</v>
      </c>
    </row>
    <row r="71" spans="1:14" x14ac:dyDescent="0.35">
      <c r="A71" s="18" t="s">
        <v>12</v>
      </c>
      <c r="B71" s="18">
        <v>8</v>
      </c>
      <c r="C71" s="18">
        <v>0</v>
      </c>
      <c r="D71" s="18">
        <f t="shared" si="0"/>
        <v>5.625</v>
      </c>
      <c r="E71" s="18">
        <v>45</v>
      </c>
      <c r="F71">
        <v>2.44584195260913</v>
      </c>
      <c r="I71" t="s">
        <v>89</v>
      </c>
      <c r="J71">
        <v>6</v>
      </c>
      <c r="K71">
        <v>0</v>
      </c>
      <c r="L71">
        <v>5.67</v>
      </c>
      <c r="M71">
        <f t="shared" si="3"/>
        <v>0</v>
      </c>
      <c r="N71">
        <v>1.96638416050035</v>
      </c>
    </row>
    <row r="72" spans="1:14" x14ac:dyDescent="0.35">
      <c r="A72" s="18" t="s">
        <v>16</v>
      </c>
      <c r="B72" s="18">
        <v>7</v>
      </c>
      <c r="C72" s="18">
        <v>1</v>
      </c>
      <c r="D72" s="18">
        <f t="shared" si="0"/>
        <v>5</v>
      </c>
      <c r="E72" s="18">
        <v>35</v>
      </c>
      <c r="F72">
        <v>2.3094010767584998</v>
      </c>
      <c r="I72" t="s">
        <v>22</v>
      </c>
      <c r="J72">
        <v>102</v>
      </c>
      <c r="K72">
        <v>14</v>
      </c>
      <c r="L72">
        <v>4.25</v>
      </c>
      <c r="M72">
        <f>K72/J72</f>
        <v>0.13725490196078433</v>
      </c>
      <c r="N72">
        <v>2.2045689482796602</v>
      </c>
    </row>
    <row r="73" spans="1:14" x14ac:dyDescent="0.35">
      <c r="A73" s="18" t="s">
        <v>89</v>
      </c>
      <c r="B73" s="18">
        <v>6</v>
      </c>
      <c r="C73" s="18">
        <v>0</v>
      </c>
      <c r="D73" s="18">
        <f t="shared" si="0"/>
        <v>5.666666666666667</v>
      </c>
      <c r="E73" s="18">
        <v>34</v>
      </c>
      <c r="F73">
        <v>1.96638416050035</v>
      </c>
      <c r="I73" t="s">
        <v>135</v>
      </c>
      <c r="J73">
        <v>5</v>
      </c>
      <c r="K73">
        <v>1</v>
      </c>
      <c r="L73">
        <v>4.2</v>
      </c>
      <c r="M73">
        <f t="shared" ref="M73:M74" si="4">K73/J73</f>
        <v>0.2</v>
      </c>
      <c r="N73">
        <v>2.16794833886788</v>
      </c>
    </row>
    <row r="74" spans="1:14" x14ac:dyDescent="0.35">
      <c r="A74" s="18" t="s">
        <v>22</v>
      </c>
      <c r="B74" s="18">
        <v>102</v>
      </c>
      <c r="C74" s="18">
        <v>14</v>
      </c>
      <c r="D74" s="18">
        <f>E74/B74</f>
        <v>4.2450980392156863</v>
      </c>
      <c r="E74" s="18">
        <v>433</v>
      </c>
      <c r="F74">
        <v>2.2045689482796602</v>
      </c>
      <c r="I74" t="s">
        <v>110</v>
      </c>
      <c r="J74">
        <v>6</v>
      </c>
      <c r="K74">
        <v>0</v>
      </c>
      <c r="L74">
        <v>5.17</v>
      </c>
      <c r="M74">
        <f t="shared" si="4"/>
        <v>0</v>
      </c>
      <c r="N74">
        <v>1.9407902170679501</v>
      </c>
    </row>
    <row r="75" spans="1:14" x14ac:dyDescent="0.35">
      <c r="A75" s="18" t="s">
        <v>135</v>
      </c>
      <c r="B75" s="18">
        <v>5</v>
      </c>
      <c r="C75" s="18">
        <v>1</v>
      </c>
      <c r="D75" s="18">
        <f t="shared" si="0"/>
        <v>4.2</v>
      </c>
      <c r="E75" s="18">
        <v>21</v>
      </c>
      <c r="F75">
        <v>2.16794833886788</v>
      </c>
      <c r="I75" t="s">
        <v>82</v>
      </c>
      <c r="J75">
        <v>6</v>
      </c>
      <c r="K75">
        <v>0</v>
      </c>
      <c r="L75">
        <v>6</v>
      </c>
      <c r="M75">
        <f t="shared" ref="M75:M89" si="5">K75/J75</f>
        <v>0</v>
      </c>
      <c r="N75">
        <v>2</v>
      </c>
    </row>
    <row r="76" spans="1:14" x14ac:dyDescent="0.35">
      <c r="A76" s="18" t="s">
        <v>110</v>
      </c>
      <c r="B76" s="18">
        <v>6</v>
      </c>
      <c r="C76" s="18">
        <v>0</v>
      </c>
      <c r="D76" s="18">
        <f t="shared" si="0"/>
        <v>5.166666666666667</v>
      </c>
      <c r="E76" s="18">
        <v>31</v>
      </c>
      <c r="F76">
        <v>1.9407902170679501</v>
      </c>
      <c r="I76" t="s">
        <v>33</v>
      </c>
      <c r="J76">
        <v>10</v>
      </c>
      <c r="K76">
        <v>0</v>
      </c>
      <c r="L76">
        <v>6.2</v>
      </c>
      <c r="M76">
        <f t="shared" si="5"/>
        <v>0</v>
      </c>
      <c r="N76">
        <v>2.14993539954627</v>
      </c>
    </row>
    <row r="77" spans="1:14" x14ac:dyDescent="0.35">
      <c r="A77" s="18" t="s">
        <v>82</v>
      </c>
      <c r="B77" s="18">
        <v>6</v>
      </c>
      <c r="C77" s="18">
        <v>0</v>
      </c>
      <c r="D77" s="18">
        <f t="shared" ref="D77:D92" si="6">E77/B77</f>
        <v>6</v>
      </c>
      <c r="E77" s="18">
        <v>36</v>
      </c>
      <c r="F77">
        <v>2</v>
      </c>
      <c r="I77" t="s">
        <v>99</v>
      </c>
      <c r="J77">
        <v>10</v>
      </c>
      <c r="K77">
        <v>2</v>
      </c>
      <c r="L77">
        <v>4.7</v>
      </c>
      <c r="M77">
        <f t="shared" si="5"/>
        <v>0.2</v>
      </c>
      <c r="N77">
        <v>2.6687491868330699</v>
      </c>
    </row>
    <row r="78" spans="1:14" x14ac:dyDescent="0.35">
      <c r="A78" s="18" t="s">
        <v>33</v>
      </c>
      <c r="B78" s="18">
        <v>10</v>
      </c>
      <c r="C78" s="18">
        <v>0</v>
      </c>
      <c r="D78" s="18">
        <f t="shared" si="6"/>
        <v>6.2</v>
      </c>
      <c r="E78" s="18">
        <v>62</v>
      </c>
      <c r="F78">
        <v>2.14993539954627</v>
      </c>
      <c r="I78" t="s">
        <v>7</v>
      </c>
      <c r="J78">
        <v>9</v>
      </c>
      <c r="K78">
        <v>2</v>
      </c>
      <c r="L78">
        <v>4.4400000000000004</v>
      </c>
      <c r="M78">
        <f t="shared" si="5"/>
        <v>0.22222222222222221</v>
      </c>
      <c r="N78">
        <v>2.7888667551135802</v>
      </c>
    </row>
    <row r="79" spans="1:14" x14ac:dyDescent="0.35">
      <c r="A79" s="18" t="s">
        <v>99</v>
      </c>
      <c r="B79" s="18">
        <v>10</v>
      </c>
      <c r="C79" s="18">
        <v>2</v>
      </c>
      <c r="D79" s="18">
        <f t="shared" si="6"/>
        <v>4.7</v>
      </c>
      <c r="E79" s="18">
        <v>47</v>
      </c>
      <c r="F79">
        <v>2.6687491868330699</v>
      </c>
      <c r="I79" t="s">
        <v>137</v>
      </c>
      <c r="J79">
        <v>6</v>
      </c>
      <c r="K79">
        <v>0</v>
      </c>
      <c r="L79">
        <v>5.33</v>
      </c>
      <c r="M79">
        <f t="shared" si="5"/>
        <v>0</v>
      </c>
      <c r="N79">
        <v>1.8618986725025199</v>
      </c>
    </row>
    <row r="80" spans="1:14" x14ac:dyDescent="0.35">
      <c r="A80" s="18" t="s">
        <v>7</v>
      </c>
      <c r="B80" s="18">
        <v>9</v>
      </c>
      <c r="C80" s="18">
        <v>2</v>
      </c>
      <c r="D80" s="18">
        <f t="shared" si="6"/>
        <v>4.4444444444444446</v>
      </c>
      <c r="E80" s="18">
        <v>40</v>
      </c>
      <c r="F80">
        <v>2.7888667551135802</v>
      </c>
      <c r="I80" t="s">
        <v>129</v>
      </c>
      <c r="J80">
        <v>25</v>
      </c>
      <c r="K80">
        <v>5</v>
      </c>
      <c r="L80">
        <v>4.28</v>
      </c>
      <c r="M80">
        <f t="shared" si="5"/>
        <v>0.2</v>
      </c>
      <c r="N80">
        <v>2.1315096371664199</v>
      </c>
    </row>
    <row r="81" spans="1:14" x14ac:dyDescent="0.35">
      <c r="A81" t="s">
        <v>138</v>
      </c>
      <c r="B81">
        <v>4</v>
      </c>
      <c r="C81">
        <v>0</v>
      </c>
      <c r="D81" s="18">
        <f t="shared" si="6"/>
        <v>4.75</v>
      </c>
      <c r="E81">
        <v>19</v>
      </c>
      <c r="F81">
        <v>2.2173557826083399</v>
      </c>
      <c r="I81" t="s">
        <v>113</v>
      </c>
      <c r="J81">
        <v>5</v>
      </c>
      <c r="K81">
        <v>0</v>
      </c>
      <c r="L81">
        <v>4.2</v>
      </c>
      <c r="M81">
        <f t="shared" si="5"/>
        <v>0</v>
      </c>
      <c r="N81">
        <v>2.4899799195977401</v>
      </c>
    </row>
    <row r="82" spans="1:14" x14ac:dyDescent="0.35">
      <c r="A82" s="18" t="s">
        <v>137</v>
      </c>
      <c r="B82" s="18">
        <v>6</v>
      </c>
      <c r="C82" s="18">
        <v>0</v>
      </c>
      <c r="D82" s="18">
        <f t="shared" si="6"/>
        <v>5.333333333333333</v>
      </c>
      <c r="E82" s="18">
        <v>32</v>
      </c>
      <c r="F82">
        <v>1.8618986725025199</v>
      </c>
      <c r="I82" t="s">
        <v>35</v>
      </c>
      <c r="J82">
        <v>41</v>
      </c>
      <c r="K82">
        <v>14</v>
      </c>
      <c r="L82">
        <v>3.68</v>
      </c>
      <c r="M82">
        <f t="shared" si="5"/>
        <v>0.34146341463414637</v>
      </c>
      <c r="N82">
        <v>2.6214406763289899</v>
      </c>
    </row>
    <row r="83" spans="1:14" x14ac:dyDescent="0.35">
      <c r="A83" s="18" t="s">
        <v>129</v>
      </c>
      <c r="B83" s="18">
        <v>25</v>
      </c>
      <c r="C83" s="18">
        <v>5</v>
      </c>
      <c r="D83" s="18">
        <f t="shared" si="6"/>
        <v>4.28</v>
      </c>
      <c r="E83" s="18">
        <v>107</v>
      </c>
      <c r="F83">
        <v>2.1315096371664199</v>
      </c>
      <c r="I83" t="s">
        <v>26</v>
      </c>
      <c r="J83">
        <v>10</v>
      </c>
      <c r="K83">
        <v>2</v>
      </c>
      <c r="L83">
        <v>4</v>
      </c>
      <c r="M83">
        <f t="shared" si="5"/>
        <v>0.2</v>
      </c>
      <c r="N83">
        <v>2.4494897427831699</v>
      </c>
    </row>
    <row r="84" spans="1:14" x14ac:dyDescent="0.35">
      <c r="A84" s="18" t="s">
        <v>113</v>
      </c>
      <c r="B84" s="18">
        <v>5</v>
      </c>
      <c r="C84" s="18">
        <v>0</v>
      </c>
      <c r="D84" s="18">
        <f t="shared" si="6"/>
        <v>4.2</v>
      </c>
      <c r="E84" s="18">
        <v>21</v>
      </c>
      <c r="F84">
        <v>2.4899799195977401</v>
      </c>
      <c r="I84" t="s">
        <v>122</v>
      </c>
      <c r="J84">
        <v>6</v>
      </c>
      <c r="K84">
        <v>0</v>
      </c>
      <c r="L84">
        <v>4.33</v>
      </c>
      <c r="M84">
        <f t="shared" si="5"/>
        <v>0</v>
      </c>
      <c r="N84">
        <v>1.6329931618554501</v>
      </c>
    </row>
    <row r="85" spans="1:14" x14ac:dyDescent="0.35">
      <c r="A85" s="18" t="s">
        <v>35</v>
      </c>
      <c r="B85" s="18">
        <v>41</v>
      </c>
      <c r="C85" s="18">
        <v>14</v>
      </c>
      <c r="D85" s="18">
        <f t="shared" si="6"/>
        <v>3.6829268292682928</v>
      </c>
      <c r="E85" s="18">
        <v>151</v>
      </c>
      <c r="F85">
        <v>2.6214406763289899</v>
      </c>
      <c r="I85" t="s">
        <v>49</v>
      </c>
      <c r="J85">
        <v>7</v>
      </c>
      <c r="K85">
        <v>1</v>
      </c>
      <c r="L85">
        <v>5.14</v>
      </c>
      <c r="M85">
        <f t="shared" si="5"/>
        <v>0.14285714285714285</v>
      </c>
      <c r="N85">
        <v>2.79455252402308</v>
      </c>
    </row>
    <row r="86" spans="1:14" x14ac:dyDescent="0.35">
      <c r="A86" s="18" t="s">
        <v>26</v>
      </c>
      <c r="B86" s="18">
        <v>10</v>
      </c>
      <c r="C86" s="18">
        <v>2</v>
      </c>
      <c r="D86" s="18">
        <f t="shared" si="6"/>
        <v>4</v>
      </c>
      <c r="E86" s="18">
        <v>40</v>
      </c>
      <c r="F86">
        <v>2.4494897427831699</v>
      </c>
      <c r="I86" t="s">
        <v>230</v>
      </c>
      <c r="J86">
        <v>5</v>
      </c>
      <c r="K86">
        <v>1</v>
      </c>
      <c r="L86">
        <v>4.8</v>
      </c>
      <c r="M86">
        <f t="shared" si="5"/>
        <v>0.2</v>
      </c>
      <c r="N86">
        <v>2.3731557327466102</v>
      </c>
    </row>
    <row r="87" spans="1:14" x14ac:dyDescent="0.35">
      <c r="A87" s="18" t="s">
        <v>122</v>
      </c>
      <c r="B87" s="18">
        <v>6</v>
      </c>
      <c r="C87" s="18">
        <v>0</v>
      </c>
      <c r="D87" s="18">
        <f t="shared" si="6"/>
        <v>4.333333333333333</v>
      </c>
      <c r="E87" s="18">
        <v>26</v>
      </c>
      <c r="F87">
        <v>1.6329931618554501</v>
      </c>
      <c r="I87" t="s">
        <v>3</v>
      </c>
      <c r="J87">
        <v>14</v>
      </c>
      <c r="K87">
        <v>2</v>
      </c>
      <c r="L87">
        <v>4.6399999999999997</v>
      </c>
      <c r="M87">
        <f t="shared" si="5"/>
        <v>0.14285714285714285</v>
      </c>
      <c r="N87">
        <v>2.7748873851023199</v>
      </c>
    </row>
    <row r="88" spans="1:14" x14ac:dyDescent="0.35">
      <c r="A88" s="18" t="s">
        <v>49</v>
      </c>
      <c r="B88" s="18">
        <v>7</v>
      </c>
      <c r="C88" s="18">
        <v>1</v>
      </c>
      <c r="D88" s="18">
        <f t="shared" si="6"/>
        <v>5.1428571428571432</v>
      </c>
      <c r="E88" s="18">
        <v>36</v>
      </c>
      <c r="F88">
        <v>2.79455252402308</v>
      </c>
      <c r="I88" t="s">
        <v>2</v>
      </c>
      <c r="J88">
        <v>19</v>
      </c>
      <c r="K88">
        <v>4</v>
      </c>
      <c r="L88">
        <v>3.84</v>
      </c>
      <c r="M88">
        <f t="shared" si="5"/>
        <v>0.21052631578947367</v>
      </c>
      <c r="N88">
        <v>2.5876449587894599</v>
      </c>
    </row>
    <row r="89" spans="1:14" x14ac:dyDescent="0.35">
      <c r="A89" s="18" t="s">
        <v>3</v>
      </c>
      <c r="B89" s="18">
        <v>14</v>
      </c>
      <c r="C89" s="18">
        <v>2</v>
      </c>
      <c r="D89" s="18">
        <f t="shared" si="6"/>
        <v>4.6428571428571432</v>
      </c>
      <c r="E89" s="18">
        <v>65</v>
      </c>
      <c r="F89">
        <v>2.3731557327466102</v>
      </c>
      <c r="I89" t="s">
        <v>124</v>
      </c>
      <c r="J89">
        <v>6</v>
      </c>
      <c r="K89">
        <v>0</v>
      </c>
      <c r="L89">
        <v>5.5</v>
      </c>
      <c r="M89">
        <f t="shared" si="5"/>
        <v>0</v>
      </c>
      <c r="N89">
        <v>2.16794833886788</v>
      </c>
    </row>
    <row r="90" spans="1:14" x14ac:dyDescent="0.35">
      <c r="A90" s="18" t="s">
        <v>230</v>
      </c>
      <c r="B90" s="18">
        <v>5</v>
      </c>
      <c r="C90" s="18">
        <v>1</v>
      </c>
      <c r="D90" s="18">
        <f t="shared" si="6"/>
        <v>4.8</v>
      </c>
      <c r="E90" s="18">
        <v>24</v>
      </c>
      <c r="F90">
        <v>2.7748873851023199</v>
      </c>
    </row>
    <row r="91" spans="1:14" x14ac:dyDescent="0.35">
      <c r="A91" s="18" t="s">
        <v>2</v>
      </c>
      <c r="B91" s="18">
        <v>19</v>
      </c>
      <c r="C91" s="18">
        <v>4</v>
      </c>
      <c r="D91" s="18">
        <f t="shared" si="6"/>
        <v>3.8421052631578947</v>
      </c>
      <c r="E91" s="18">
        <v>73</v>
      </c>
      <c r="F91">
        <v>2.5876449587894599</v>
      </c>
    </row>
    <row r="92" spans="1:14" x14ac:dyDescent="0.35">
      <c r="A92" s="18" t="s">
        <v>124</v>
      </c>
      <c r="B92" s="18">
        <v>6</v>
      </c>
      <c r="C92" s="18">
        <v>0</v>
      </c>
      <c r="D92" s="18">
        <f t="shared" si="6"/>
        <v>5.5</v>
      </c>
      <c r="E92" s="18">
        <v>33</v>
      </c>
      <c r="F92">
        <v>2.16794833886788</v>
      </c>
    </row>
    <row r="99" spans="1:6" x14ac:dyDescent="0.35">
      <c r="A99" t="s">
        <v>237</v>
      </c>
      <c r="B99">
        <v>1</v>
      </c>
      <c r="C99">
        <v>1</v>
      </c>
      <c r="D99">
        <v>1</v>
      </c>
      <c r="E99">
        <v>1</v>
      </c>
    </row>
    <row r="100" spans="1:6" x14ac:dyDescent="0.35">
      <c r="A100" t="s">
        <v>173</v>
      </c>
      <c r="B100">
        <v>3</v>
      </c>
      <c r="C100">
        <v>0</v>
      </c>
      <c r="D100">
        <v>5.33</v>
      </c>
      <c r="E100">
        <v>16</v>
      </c>
      <c r="F100">
        <v>3.05505046330389</v>
      </c>
    </row>
    <row r="101" spans="1:6" x14ac:dyDescent="0.35">
      <c r="A101" t="s">
        <v>80</v>
      </c>
      <c r="B101">
        <v>3</v>
      </c>
      <c r="C101">
        <v>0</v>
      </c>
      <c r="D101">
        <v>5.33</v>
      </c>
      <c r="E101">
        <v>16</v>
      </c>
      <c r="F101">
        <v>2.51661147842358</v>
      </c>
    </row>
    <row r="102" spans="1:6" x14ac:dyDescent="0.35">
      <c r="A102" t="s">
        <v>313</v>
      </c>
      <c r="B102">
        <v>1</v>
      </c>
      <c r="C102">
        <v>0</v>
      </c>
      <c r="D102">
        <v>8</v>
      </c>
      <c r="E102">
        <v>8</v>
      </c>
    </row>
  </sheetData>
  <sortState ref="A13:F95">
    <sortCondition ref="A13:A9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8"/>
  <sheetViews>
    <sheetView topLeftCell="L1" zoomScaleNormal="100" workbookViewId="0">
      <selection activeCell="L20" sqref="L20"/>
    </sheetView>
  </sheetViews>
  <sheetFormatPr defaultRowHeight="14.5" x14ac:dyDescent="0.35"/>
  <cols>
    <col min="1" max="1" width="18.81640625" bestFit="1" customWidth="1"/>
    <col min="2" max="2" width="10" bestFit="1" customWidth="1"/>
    <col min="3" max="3" width="11.54296875" bestFit="1" customWidth="1"/>
    <col min="4" max="4" width="15.81640625" bestFit="1" customWidth="1"/>
    <col min="5" max="5" width="15.453125" bestFit="1" customWidth="1"/>
    <col min="6" max="6" width="14.81640625" bestFit="1" customWidth="1"/>
    <col min="7" max="7" width="33.54296875" bestFit="1" customWidth="1"/>
    <col min="8" max="8" width="18.26953125" customWidth="1"/>
    <col min="9" max="9" width="9.7265625" customWidth="1"/>
    <col min="10" max="10" width="11.26953125" bestFit="1" customWidth="1"/>
    <col min="11" max="11" width="15.453125" bestFit="1" customWidth="1"/>
    <col min="12" max="12" width="15" customWidth="1"/>
    <col min="13" max="13" width="14.453125" bestFit="1" customWidth="1"/>
    <col min="14" max="14" width="37.7265625" bestFit="1" customWidth="1"/>
    <col min="16" max="16" width="18.26953125" bestFit="1" customWidth="1"/>
    <col min="17" max="17" width="9.7265625" bestFit="1" customWidth="1"/>
    <col min="18" max="18" width="11.26953125" bestFit="1" customWidth="1"/>
    <col min="19" max="19" width="15.453125" bestFit="1" customWidth="1"/>
    <col min="20" max="20" width="15" bestFit="1" customWidth="1"/>
    <col min="22" max="22" width="18.26953125" bestFit="1" customWidth="1"/>
    <col min="23" max="23" width="9.7265625" bestFit="1" customWidth="1"/>
    <col min="24" max="24" width="16.54296875" bestFit="1" customWidth="1"/>
    <col min="25" max="25" width="11.26953125" bestFit="1" customWidth="1"/>
    <col min="26" max="26" width="17.81640625" bestFit="1" customWidth="1"/>
    <col min="27" max="27" width="15.453125" bestFit="1" customWidth="1"/>
    <col min="28" max="28" width="21.26953125" bestFit="1" customWidth="1"/>
    <col min="29" max="29" width="14.453125" bestFit="1" customWidth="1"/>
  </cols>
  <sheetData>
    <row r="1" spans="1:29" x14ac:dyDescent="0.35">
      <c r="A1" s="4" t="s">
        <v>42</v>
      </c>
      <c r="B1" s="4" t="s">
        <v>38</v>
      </c>
      <c r="C1" s="4" t="s">
        <v>39</v>
      </c>
      <c r="D1" s="4" t="s">
        <v>40</v>
      </c>
      <c r="E1" s="4" t="s">
        <v>111</v>
      </c>
      <c r="F1" s="4" t="s">
        <v>275</v>
      </c>
      <c r="H1" s="4" t="s">
        <v>42</v>
      </c>
      <c r="I1" s="4" t="s">
        <v>38</v>
      </c>
      <c r="J1" s="4" t="s">
        <v>39</v>
      </c>
      <c r="K1" s="4" t="s">
        <v>40</v>
      </c>
      <c r="L1" s="4" t="s">
        <v>111</v>
      </c>
      <c r="M1" s="4" t="s">
        <v>275</v>
      </c>
      <c r="P1" s="4" t="s">
        <v>42</v>
      </c>
      <c r="Q1" s="4" t="s">
        <v>38</v>
      </c>
      <c r="R1" s="4" t="s">
        <v>39</v>
      </c>
      <c r="S1" s="4" t="s">
        <v>40</v>
      </c>
      <c r="T1" s="4" t="s">
        <v>111</v>
      </c>
      <c r="V1" s="4" t="s">
        <v>42</v>
      </c>
      <c r="W1" s="4" t="s">
        <v>38</v>
      </c>
      <c r="X1" s="4" t="s">
        <v>372</v>
      </c>
      <c r="Y1" s="4" t="s">
        <v>39</v>
      </c>
      <c r="Z1" s="4" t="s">
        <v>373</v>
      </c>
      <c r="AA1" s="4" t="s">
        <v>40</v>
      </c>
      <c r="AB1" s="4" t="s">
        <v>374</v>
      </c>
      <c r="AC1" s="4"/>
    </row>
    <row r="2" spans="1:29" x14ac:dyDescent="0.35">
      <c r="A2" t="s">
        <v>128</v>
      </c>
      <c r="B2">
        <v>43</v>
      </c>
      <c r="C2">
        <v>15</v>
      </c>
      <c r="D2">
        <v>2.86</v>
      </c>
      <c r="E2" s="7">
        <v>0.35</v>
      </c>
      <c r="F2">
        <v>2.4994623077688098</v>
      </c>
      <c r="H2" t="s">
        <v>128</v>
      </c>
      <c r="I2">
        <v>43</v>
      </c>
      <c r="J2">
        <v>15</v>
      </c>
      <c r="K2">
        <v>2.86</v>
      </c>
      <c r="L2">
        <f t="shared" ref="L2:L33" si="0">J2/I2</f>
        <v>0.34883720930232559</v>
      </c>
      <c r="M2">
        <v>2.03049835952651</v>
      </c>
      <c r="P2" t="s">
        <v>125</v>
      </c>
      <c r="Q2">
        <v>5</v>
      </c>
      <c r="R2">
        <v>0</v>
      </c>
      <c r="S2">
        <v>4.8</v>
      </c>
      <c r="T2">
        <v>0</v>
      </c>
      <c r="V2" s="18" t="s">
        <v>125</v>
      </c>
      <c r="W2">
        <v>7</v>
      </c>
      <c r="X2">
        <f t="shared" ref="X2:X33" si="1">W2-Q2</f>
        <v>2</v>
      </c>
      <c r="Y2">
        <v>0</v>
      </c>
      <c r="Z2">
        <f t="shared" ref="Z2:Z33" si="2">Y2-R2</f>
        <v>0</v>
      </c>
      <c r="AA2">
        <v>5</v>
      </c>
      <c r="AB2">
        <f t="shared" ref="AB2:AB33" si="3">AA2-S2</f>
        <v>0.20000000000000018</v>
      </c>
    </row>
    <row r="3" spans="1:29" x14ac:dyDescent="0.35">
      <c r="A3" t="s">
        <v>121</v>
      </c>
      <c r="B3" s="6">
        <v>29</v>
      </c>
      <c r="C3" s="6">
        <v>7</v>
      </c>
      <c r="D3">
        <v>3.45</v>
      </c>
      <c r="E3">
        <v>0.24</v>
      </c>
      <c r="F3">
        <v>2.1884181020028501</v>
      </c>
      <c r="G3" s="2" t="s">
        <v>133</v>
      </c>
      <c r="H3" t="s">
        <v>141</v>
      </c>
      <c r="I3">
        <v>6</v>
      </c>
      <c r="J3">
        <v>1</v>
      </c>
      <c r="K3">
        <v>3.5</v>
      </c>
      <c r="L3">
        <f t="shared" si="0"/>
        <v>0.16666666666666666</v>
      </c>
      <c r="M3">
        <v>2.0736441353327701</v>
      </c>
      <c r="N3" s="2" t="s">
        <v>44</v>
      </c>
      <c r="P3" t="s">
        <v>104</v>
      </c>
      <c r="Q3">
        <v>18</v>
      </c>
      <c r="R3">
        <v>2</v>
      </c>
      <c r="S3">
        <v>4.17</v>
      </c>
      <c r="T3">
        <v>0.11</v>
      </c>
      <c r="V3" s="18" t="s">
        <v>104</v>
      </c>
      <c r="W3">
        <v>25</v>
      </c>
      <c r="X3">
        <f t="shared" si="1"/>
        <v>7</v>
      </c>
      <c r="Y3">
        <v>2</v>
      </c>
      <c r="Z3">
        <f t="shared" si="2"/>
        <v>0</v>
      </c>
      <c r="AA3">
        <v>4.4000000000000004</v>
      </c>
      <c r="AB3">
        <f t="shared" si="3"/>
        <v>0.23000000000000043</v>
      </c>
    </row>
    <row r="4" spans="1:29" x14ac:dyDescent="0.35">
      <c r="A4" t="s">
        <v>141</v>
      </c>
      <c r="B4">
        <v>6</v>
      </c>
      <c r="C4">
        <v>1</v>
      </c>
      <c r="D4">
        <v>3.5</v>
      </c>
      <c r="E4">
        <v>0.17</v>
      </c>
      <c r="F4">
        <v>2.0736441353327701</v>
      </c>
      <c r="H4" t="s">
        <v>121</v>
      </c>
      <c r="I4" s="6">
        <v>33</v>
      </c>
      <c r="J4" s="6">
        <v>8</v>
      </c>
      <c r="K4">
        <v>3.55</v>
      </c>
      <c r="L4">
        <f t="shared" si="0"/>
        <v>0.24242424242424243</v>
      </c>
      <c r="M4">
        <v>2.2233267457082899</v>
      </c>
      <c r="N4" s="3" t="s">
        <v>46</v>
      </c>
      <c r="P4" t="s">
        <v>31</v>
      </c>
      <c r="Q4">
        <v>4</v>
      </c>
      <c r="R4">
        <v>0</v>
      </c>
      <c r="S4">
        <v>5.75</v>
      </c>
      <c r="T4">
        <v>0</v>
      </c>
      <c r="V4" s="18" t="s">
        <v>31</v>
      </c>
      <c r="W4">
        <v>9</v>
      </c>
      <c r="X4">
        <f t="shared" si="1"/>
        <v>5</v>
      </c>
      <c r="Y4">
        <v>0</v>
      </c>
      <c r="Z4">
        <f t="shared" si="2"/>
        <v>0</v>
      </c>
      <c r="AA4">
        <v>5.33</v>
      </c>
      <c r="AB4">
        <f t="shared" si="3"/>
        <v>-0.41999999999999993</v>
      </c>
    </row>
    <row r="5" spans="1:29" x14ac:dyDescent="0.35">
      <c r="A5" t="s">
        <v>2</v>
      </c>
      <c r="B5" s="6">
        <v>15</v>
      </c>
      <c r="C5">
        <v>3</v>
      </c>
      <c r="D5">
        <v>3.53</v>
      </c>
      <c r="E5">
        <v>0.2</v>
      </c>
      <c r="F5">
        <v>2.3992520201950902</v>
      </c>
      <c r="G5" s="3" t="s">
        <v>45</v>
      </c>
      <c r="H5" t="s">
        <v>0</v>
      </c>
      <c r="I5">
        <v>36</v>
      </c>
      <c r="J5">
        <v>6</v>
      </c>
      <c r="K5">
        <v>3.67</v>
      </c>
      <c r="L5">
        <f t="shared" si="0"/>
        <v>0.16666666666666666</v>
      </c>
      <c r="M5">
        <v>2.16465107712866</v>
      </c>
      <c r="N5" s="2" t="s">
        <v>47</v>
      </c>
      <c r="P5" t="s">
        <v>105</v>
      </c>
      <c r="Q5">
        <v>3</v>
      </c>
      <c r="R5">
        <v>0</v>
      </c>
      <c r="S5">
        <v>5.67</v>
      </c>
      <c r="T5">
        <v>0</v>
      </c>
      <c r="V5" s="18" t="s">
        <v>105</v>
      </c>
      <c r="W5">
        <v>5</v>
      </c>
      <c r="X5">
        <f t="shared" si="1"/>
        <v>2</v>
      </c>
      <c r="Y5">
        <v>0</v>
      </c>
      <c r="Z5">
        <f t="shared" si="2"/>
        <v>0</v>
      </c>
      <c r="AA5">
        <v>5.6</v>
      </c>
      <c r="AB5">
        <f t="shared" si="3"/>
        <v>-7.0000000000000284E-2</v>
      </c>
    </row>
    <row r="6" spans="1:29" x14ac:dyDescent="0.35">
      <c r="A6" t="s">
        <v>139</v>
      </c>
      <c r="B6">
        <v>13</v>
      </c>
      <c r="C6">
        <v>2</v>
      </c>
      <c r="D6">
        <v>3.54</v>
      </c>
      <c r="E6">
        <v>0.15</v>
      </c>
      <c r="F6">
        <v>1.6641005886756799</v>
      </c>
      <c r="H6" t="s">
        <v>35</v>
      </c>
      <c r="I6" s="6">
        <v>41</v>
      </c>
      <c r="J6" s="6">
        <v>14</v>
      </c>
      <c r="K6">
        <v>3.68</v>
      </c>
      <c r="L6">
        <f t="shared" si="0"/>
        <v>0.34146341463414637</v>
      </c>
      <c r="M6">
        <v>2.6214406763289899</v>
      </c>
      <c r="N6" s="2" t="s">
        <v>47</v>
      </c>
      <c r="P6" t="s">
        <v>128</v>
      </c>
      <c r="Q6">
        <v>22</v>
      </c>
      <c r="R6">
        <v>7</v>
      </c>
      <c r="S6">
        <v>2.91</v>
      </c>
      <c r="T6">
        <v>0.32</v>
      </c>
      <c r="V6" s="18" t="s">
        <v>128</v>
      </c>
      <c r="W6">
        <v>43</v>
      </c>
      <c r="X6">
        <f t="shared" si="1"/>
        <v>21</v>
      </c>
      <c r="Y6">
        <v>15</v>
      </c>
      <c r="Z6">
        <f t="shared" si="2"/>
        <v>8</v>
      </c>
      <c r="AA6">
        <v>2.86</v>
      </c>
      <c r="AB6">
        <f t="shared" si="3"/>
        <v>-5.0000000000000266E-2</v>
      </c>
    </row>
    <row r="7" spans="1:29" x14ac:dyDescent="0.35">
      <c r="A7" t="s">
        <v>0</v>
      </c>
      <c r="B7">
        <v>36</v>
      </c>
      <c r="C7">
        <v>6</v>
      </c>
      <c r="D7">
        <v>3.67</v>
      </c>
      <c r="E7">
        <v>0.17</v>
      </c>
      <c r="F7">
        <v>2.16465107712866</v>
      </c>
      <c r="G7" s="2" t="s">
        <v>44</v>
      </c>
      <c r="H7" t="s">
        <v>2</v>
      </c>
      <c r="I7" s="6">
        <v>19</v>
      </c>
      <c r="J7" s="6">
        <v>4</v>
      </c>
      <c r="K7">
        <v>3.84</v>
      </c>
      <c r="L7">
        <f t="shared" si="0"/>
        <v>0.21052631578947367</v>
      </c>
      <c r="M7">
        <v>2.5876449587894599</v>
      </c>
      <c r="N7" s="3" t="s">
        <v>45</v>
      </c>
      <c r="P7" t="s">
        <v>8</v>
      </c>
      <c r="Q7">
        <v>30</v>
      </c>
      <c r="R7">
        <v>5</v>
      </c>
      <c r="S7">
        <v>4.3</v>
      </c>
      <c r="T7">
        <v>0.17</v>
      </c>
      <c r="V7" s="18" t="s">
        <v>8</v>
      </c>
      <c r="W7">
        <v>31</v>
      </c>
      <c r="X7">
        <f t="shared" si="1"/>
        <v>1</v>
      </c>
      <c r="Y7">
        <v>5</v>
      </c>
      <c r="Z7">
        <f t="shared" si="2"/>
        <v>0</v>
      </c>
      <c r="AA7">
        <v>4.2300000000000004</v>
      </c>
      <c r="AB7">
        <f t="shared" si="3"/>
        <v>-6.9999999999999396E-2</v>
      </c>
    </row>
    <row r="8" spans="1:29" x14ac:dyDescent="0.35">
      <c r="A8" t="s">
        <v>35</v>
      </c>
      <c r="B8" s="6">
        <v>39</v>
      </c>
      <c r="C8">
        <v>13</v>
      </c>
      <c r="D8">
        <v>3.72</v>
      </c>
      <c r="E8">
        <v>0.33</v>
      </c>
      <c r="F8">
        <v>2.5562735641035199</v>
      </c>
      <c r="G8" s="3" t="s">
        <v>54</v>
      </c>
      <c r="H8" t="s">
        <v>139</v>
      </c>
      <c r="I8" s="6">
        <v>14</v>
      </c>
      <c r="J8">
        <v>2</v>
      </c>
      <c r="K8">
        <v>3.86</v>
      </c>
      <c r="L8">
        <f t="shared" si="0"/>
        <v>0.14285714285714285</v>
      </c>
      <c r="M8">
        <v>1.9944979263017399</v>
      </c>
      <c r="N8" s="3" t="s">
        <v>45</v>
      </c>
      <c r="P8" t="s">
        <v>37</v>
      </c>
      <c r="Q8">
        <v>11</v>
      </c>
      <c r="R8">
        <v>2</v>
      </c>
      <c r="S8">
        <v>4.45</v>
      </c>
      <c r="T8">
        <v>0.18</v>
      </c>
      <c r="V8" s="18" t="s">
        <v>37</v>
      </c>
      <c r="W8">
        <v>14</v>
      </c>
      <c r="X8">
        <f t="shared" si="1"/>
        <v>3</v>
      </c>
      <c r="Y8">
        <v>2</v>
      </c>
      <c r="Z8">
        <f t="shared" si="2"/>
        <v>0</v>
      </c>
      <c r="AA8">
        <v>4.79</v>
      </c>
      <c r="AB8">
        <f t="shared" si="3"/>
        <v>0.33999999999999986</v>
      </c>
    </row>
    <row r="9" spans="1:29" x14ac:dyDescent="0.35">
      <c r="A9" t="s">
        <v>9</v>
      </c>
      <c r="B9">
        <v>9</v>
      </c>
      <c r="C9">
        <v>1</v>
      </c>
      <c r="D9">
        <v>3.89</v>
      </c>
      <c r="E9">
        <v>0.13</v>
      </c>
      <c r="F9">
        <v>2.42097317438899</v>
      </c>
      <c r="H9" t="s">
        <v>9</v>
      </c>
      <c r="I9">
        <v>9</v>
      </c>
      <c r="J9">
        <v>1</v>
      </c>
      <c r="K9">
        <v>3.89</v>
      </c>
      <c r="L9">
        <f t="shared" si="0"/>
        <v>0.1111111111111111</v>
      </c>
      <c r="M9">
        <v>2.42097317438899</v>
      </c>
      <c r="P9" t="s">
        <v>14</v>
      </c>
      <c r="Q9">
        <v>33</v>
      </c>
      <c r="R9">
        <v>3</v>
      </c>
      <c r="S9">
        <v>4.24</v>
      </c>
      <c r="T9">
        <v>0.09</v>
      </c>
      <c r="V9" s="18" t="s">
        <v>14</v>
      </c>
      <c r="W9">
        <v>41</v>
      </c>
      <c r="X9">
        <f t="shared" si="1"/>
        <v>8</v>
      </c>
      <c r="Y9">
        <v>3</v>
      </c>
      <c r="Z9">
        <f t="shared" si="2"/>
        <v>0</v>
      </c>
      <c r="AA9">
        <v>4.46</v>
      </c>
      <c r="AB9">
        <f t="shared" si="3"/>
        <v>0.21999999999999975</v>
      </c>
    </row>
    <row r="10" spans="1:29" x14ac:dyDescent="0.35">
      <c r="A10" t="s">
        <v>361</v>
      </c>
      <c r="B10">
        <v>5</v>
      </c>
      <c r="C10">
        <v>1</v>
      </c>
      <c r="D10">
        <v>4</v>
      </c>
      <c r="E10">
        <v>0.2</v>
      </c>
      <c r="F10" s="7">
        <v>3.2403703492039302</v>
      </c>
      <c r="H10" t="s">
        <v>52</v>
      </c>
      <c r="I10" s="6">
        <v>9</v>
      </c>
      <c r="J10">
        <v>0</v>
      </c>
      <c r="K10">
        <v>4</v>
      </c>
      <c r="L10">
        <f t="shared" si="0"/>
        <v>0</v>
      </c>
      <c r="M10">
        <v>2.1794494717703299</v>
      </c>
      <c r="N10" s="2" t="s">
        <v>153</v>
      </c>
      <c r="P10" t="s">
        <v>90</v>
      </c>
      <c r="Q10">
        <v>3</v>
      </c>
      <c r="R10">
        <v>1</v>
      </c>
      <c r="S10">
        <v>5.67</v>
      </c>
      <c r="T10">
        <v>0.33</v>
      </c>
      <c r="V10" s="18" t="s">
        <v>90</v>
      </c>
      <c r="W10">
        <v>11</v>
      </c>
      <c r="X10">
        <f t="shared" si="1"/>
        <v>8</v>
      </c>
      <c r="Y10">
        <v>1</v>
      </c>
      <c r="Z10">
        <f t="shared" si="2"/>
        <v>0</v>
      </c>
      <c r="AA10">
        <v>6.45</v>
      </c>
      <c r="AB10">
        <f t="shared" si="3"/>
        <v>0.78000000000000025</v>
      </c>
    </row>
    <row r="11" spans="1:29" x14ac:dyDescent="0.35">
      <c r="A11" t="s">
        <v>15</v>
      </c>
      <c r="B11" s="6">
        <v>71</v>
      </c>
      <c r="C11" s="8">
        <v>16</v>
      </c>
      <c r="D11">
        <v>4.0599999999999996</v>
      </c>
      <c r="E11">
        <v>0.23</v>
      </c>
      <c r="F11">
        <v>2.36340384813104</v>
      </c>
      <c r="H11" t="s">
        <v>27</v>
      </c>
      <c r="I11" s="6">
        <v>17</v>
      </c>
      <c r="J11" s="6">
        <v>1</v>
      </c>
      <c r="K11">
        <v>4</v>
      </c>
      <c r="L11">
        <f t="shared" si="0"/>
        <v>5.8823529411764705E-2</v>
      </c>
      <c r="M11">
        <v>2.54950975679639</v>
      </c>
      <c r="N11" s="2" t="s">
        <v>59</v>
      </c>
      <c r="P11" t="s">
        <v>6</v>
      </c>
      <c r="Q11">
        <v>30</v>
      </c>
      <c r="R11">
        <v>3</v>
      </c>
      <c r="S11">
        <v>5.23</v>
      </c>
      <c r="T11">
        <v>0.1</v>
      </c>
      <c r="V11" s="18" t="s">
        <v>6</v>
      </c>
      <c r="W11">
        <v>38</v>
      </c>
      <c r="X11">
        <f t="shared" si="1"/>
        <v>8</v>
      </c>
      <c r="Y11">
        <v>3</v>
      </c>
      <c r="Z11">
        <f t="shared" si="2"/>
        <v>0</v>
      </c>
      <c r="AA11">
        <v>5.42</v>
      </c>
      <c r="AB11">
        <f t="shared" si="3"/>
        <v>0.1899999999999995</v>
      </c>
    </row>
    <row r="12" spans="1:29" x14ac:dyDescent="0.35">
      <c r="A12" t="s">
        <v>26</v>
      </c>
      <c r="B12">
        <v>9</v>
      </c>
      <c r="C12">
        <v>2</v>
      </c>
      <c r="D12">
        <v>4.1100000000000003</v>
      </c>
      <c r="E12">
        <v>0.22</v>
      </c>
      <c r="F12">
        <v>2.5712081034235799</v>
      </c>
      <c r="H12" t="s">
        <v>361</v>
      </c>
      <c r="I12">
        <v>5</v>
      </c>
      <c r="J12">
        <v>1</v>
      </c>
      <c r="K12">
        <v>4</v>
      </c>
      <c r="L12">
        <f t="shared" si="0"/>
        <v>0.2</v>
      </c>
      <c r="M12">
        <v>3.2403703492039302</v>
      </c>
      <c r="P12" t="s">
        <v>19</v>
      </c>
      <c r="Q12">
        <v>3</v>
      </c>
      <c r="R12">
        <v>1</v>
      </c>
      <c r="S12">
        <v>4.67</v>
      </c>
      <c r="T12">
        <v>0</v>
      </c>
      <c r="V12" s="18" t="s">
        <v>19</v>
      </c>
      <c r="W12">
        <v>8</v>
      </c>
      <c r="X12">
        <f t="shared" si="1"/>
        <v>5</v>
      </c>
      <c r="Y12">
        <v>1</v>
      </c>
      <c r="Z12">
        <f t="shared" si="2"/>
        <v>0</v>
      </c>
      <c r="AA12">
        <v>5.5</v>
      </c>
      <c r="AB12">
        <f t="shared" si="3"/>
        <v>0.83000000000000007</v>
      </c>
    </row>
    <row r="13" spans="1:29" x14ac:dyDescent="0.35">
      <c r="A13" t="s">
        <v>63</v>
      </c>
      <c r="B13">
        <v>6</v>
      </c>
      <c r="C13">
        <v>1</v>
      </c>
      <c r="D13">
        <v>4.17</v>
      </c>
      <c r="E13">
        <v>0.17</v>
      </c>
      <c r="F13">
        <v>2.6394443859772201</v>
      </c>
      <c r="H13" t="s">
        <v>26</v>
      </c>
      <c r="I13" s="6">
        <v>10</v>
      </c>
      <c r="J13">
        <v>2</v>
      </c>
      <c r="K13">
        <v>4</v>
      </c>
      <c r="L13">
        <f t="shared" si="0"/>
        <v>0.2</v>
      </c>
      <c r="M13">
        <v>2.4494897427831699</v>
      </c>
      <c r="N13" s="3" t="s">
        <v>46</v>
      </c>
      <c r="P13" t="s">
        <v>56</v>
      </c>
      <c r="Q13">
        <v>3</v>
      </c>
      <c r="R13">
        <v>0</v>
      </c>
      <c r="S13">
        <v>4</v>
      </c>
      <c r="T13">
        <v>0</v>
      </c>
      <c r="V13" s="18" t="s">
        <v>56</v>
      </c>
      <c r="W13">
        <v>6</v>
      </c>
      <c r="X13">
        <f t="shared" si="1"/>
        <v>3</v>
      </c>
      <c r="Y13">
        <v>0</v>
      </c>
      <c r="Z13">
        <f t="shared" si="2"/>
        <v>0</v>
      </c>
      <c r="AA13">
        <v>5.67</v>
      </c>
      <c r="AB13" s="7">
        <f t="shared" si="3"/>
        <v>1.67</v>
      </c>
    </row>
    <row r="14" spans="1:29" x14ac:dyDescent="0.35">
      <c r="A14" t="s">
        <v>27</v>
      </c>
      <c r="B14">
        <v>16</v>
      </c>
      <c r="C14">
        <v>0</v>
      </c>
      <c r="D14">
        <v>4.1900000000000004</v>
      </c>
      <c r="E14">
        <v>0</v>
      </c>
      <c r="F14">
        <v>2.5091499224504901</v>
      </c>
      <c r="H14" t="s">
        <v>15</v>
      </c>
      <c r="I14" s="6">
        <v>72</v>
      </c>
      <c r="J14">
        <v>16</v>
      </c>
      <c r="K14">
        <v>4.0999999999999996</v>
      </c>
      <c r="L14">
        <f t="shared" si="0"/>
        <v>0.22222222222222221</v>
      </c>
      <c r="M14">
        <v>2.3694389634605302</v>
      </c>
      <c r="N14" s="3" t="s">
        <v>54</v>
      </c>
      <c r="P14" t="s">
        <v>52</v>
      </c>
      <c r="Q14">
        <v>6</v>
      </c>
      <c r="R14">
        <v>0</v>
      </c>
      <c r="S14">
        <v>3.67</v>
      </c>
      <c r="T14">
        <v>0</v>
      </c>
      <c r="V14" s="18" t="s">
        <v>52</v>
      </c>
      <c r="W14">
        <v>9</v>
      </c>
      <c r="X14">
        <f t="shared" si="1"/>
        <v>3</v>
      </c>
      <c r="Y14">
        <v>0</v>
      </c>
      <c r="Z14">
        <f t="shared" si="2"/>
        <v>0</v>
      </c>
      <c r="AA14">
        <v>4</v>
      </c>
      <c r="AB14">
        <f t="shared" si="3"/>
        <v>0.33000000000000007</v>
      </c>
    </row>
    <row r="15" spans="1:29" x14ac:dyDescent="0.35">
      <c r="A15" t="s">
        <v>117</v>
      </c>
      <c r="B15">
        <v>9</v>
      </c>
      <c r="C15">
        <v>2</v>
      </c>
      <c r="D15">
        <v>4.2</v>
      </c>
      <c r="E15">
        <v>0.25</v>
      </c>
      <c r="F15">
        <v>2.7284509239574799</v>
      </c>
      <c r="H15" t="s">
        <v>63</v>
      </c>
      <c r="I15">
        <v>6</v>
      </c>
      <c r="J15">
        <v>1</v>
      </c>
      <c r="K15">
        <v>4.17</v>
      </c>
      <c r="L15">
        <f t="shared" si="0"/>
        <v>0.16666666666666666</v>
      </c>
      <c r="M15">
        <v>2.6394443859772201</v>
      </c>
      <c r="N15" s="3" t="s">
        <v>45</v>
      </c>
      <c r="P15" t="s">
        <v>20</v>
      </c>
      <c r="Q15">
        <v>11</v>
      </c>
      <c r="R15">
        <v>1</v>
      </c>
      <c r="S15">
        <v>5.82</v>
      </c>
      <c r="T15">
        <v>0.09</v>
      </c>
      <c r="V15" s="18" t="s">
        <v>20</v>
      </c>
      <c r="W15">
        <v>11</v>
      </c>
      <c r="X15">
        <f t="shared" si="1"/>
        <v>0</v>
      </c>
      <c r="Y15">
        <v>1</v>
      </c>
      <c r="Z15">
        <f t="shared" si="2"/>
        <v>0</v>
      </c>
      <c r="AA15">
        <v>5.82</v>
      </c>
      <c r="AB15">
        <f t="shared" si="3"/>
        <v>0</v>
      </c>
    </row>
    <row r="16" spans="1:29" x14ac:dyDescent="0.35">
      <c r="A16" t="s">
        <v>28</v>
      </c>
      <c r="B16">
        <v>5</v>
      </c>
      <c r="C16">
        <v>0</v>
      </c>
      <c r="D16">
        <v>4.2</v>
      </c>
      <c r="E16">
        <v>0</v>
      </c>
      <c r="F16" s="7">
        <v>1.30384048104052</v>
      </c>
      <c r="H16" t="s">
        <v>117</v>
      </c>
      <c r="I16">
        <v>9</v>
      </c>
      <c r="J16">
        <v>2</v>
      </c>
      <c r="K16">
        <v>4.2</v>
      </c>
      <c r="L16">
        <f t="shared" si="0"/>
        <v>0.22222222222222221</v>
      </c>
      <c r="M16">
        <v>2.7284509239574799</v>
      </c>
      <c r="N16" s="3" t="s">
        <v>46</v>
      </c>
      <c r="P16" t="s">
        <v>25</v>
      </c>
      <c r="Q16">
        <v>26</v>
      </c>
      <c r="R16">
        <v>3</v>
      </c>
      <c r="S16">
        <v>5.31</v>
      </c>
      <c r="T16">
        <v>0.12</v>
      </c>
      <c r="V16" s="18" t="s">
        <v>25</v>
      </c>
      <c r="W16">
        <v>42</v>
      </c>
      <c r="X16">
        <f t="shared" si="1"/>
        <v>16</v>
      </c>
      <c r="Y16">
        <v>3</v>
      </c>
      <c r="Z16">
        <f t="shared" si="2"/>
        <v>0</v>
      </c>
      <c r="AA16">
        <v>5</v>
      </c>
      <c r="AB16">
        <f t="shared" si="3"/>
        <v>-0.30999999999999961</v>
      </c>
    </row>
    <row r="17" spans="1:28" x14ac:dyDescent="0.35">
      <c r="A17" t="s">
        <v>135</v>
      </c>
      <c r="B17">
        <v>5</v>
      </c>
      <c r="C17">
        <v>1</v>
      </c>
      <c r="D17">
        <v>4.2</v>
      </c>
      <c r="E17">
        <v>0.2</v>
      </c>
      <c r="F17">
        <v>2.16794833886788</v>
      </c>
      <c r="H17" t="s">
        <v>28</v>
      </c>
      <c r="I17">
        <v>5</v>
      </c>
      <c r="J17">
        <v>0</v>
      </c>
      <c r="K17">
        <v>4.2</v>
      </c>
      <c r="L17">
        <f t="shared" si="0"/>
        <v>0</v>
      </c>
      <c r="M17">
        <v>1.30384048104052</v>
      </c>
      <c r="N17" s="3" t="s">
        <v>46</v>
      </c>
      <c r="P17" t="s">
        <v>34</v>
      </c>
      <c r="Q17">
        <v>5</v>
      </c>
      <c r="R17">
        <v>1</v>
      </c>
      <c r="S17">
        <v>5</v>
      </c>
      <c r="T17">
        <v>0.2</v>
      </c>
      <c r="V17" s="18" t="s">
        <v>34</v>
      </c>
      <c r="W17">
        <v>5</v>
      </c>
      <c r="X17">
        <f t="shared" si="1"/>
        <v>0</v>
      </c>
      <c r="Y17">
        <v>1</v>
      </c>
      <c r="Z17">
        <f t="shared" si="2"/>
        <v>0</v>
      </c>
      <c r="AA17">
        <v>5</v>
      </c>
      <c r="AB17">
        <f t="shared" si="3"/>
        <v>0</v>
      </c>
    </row>
    <row r="18" spans="1:28" x14ac:dyDescent="0.35">
      <c r="A18" t="s">
        <v>113</v>
      </c>
      <c r="B18">
        <v>5</v>
      </c>
      <c r="C18">
        <v>0</v>
      </c>
      <c r="D18">
        <v>4.2</v>
      </c>
      <c r="E18">
        <v>0</v>
      </c>
      <c r="F18">
        <v>2.4899799195977401</v>
      </c>
      <c r="H18" t="s">
        <v>135</v>
      </c>
      <c r="I18">
        <v>5</v>
      </c>
      <c r="J18">
        <v>1</v>
      </c>
      <c r="K18">
        <v>4.2</v>
      </c>
      <c r="L18">
        <f t="shared" si="0"/>
        <v>0.2</v>
      </c>
      <c r="M18">
        <v>2.16794833886788</v>
      </c>
      <c r="N18" s="3" t="s">
        <v>46</v>
      </c>
      <c r="P18" t="s">
        <v>147</v>
      </c>
      <c r="Q18">
        <v>4</v>
      </c>
      <c r="R18">
        <v>0</v>
      </c>
      <c r="S18">
        <v>4.25</v>
      </c>
      <c r="T18">
        <v>0</v>
      </c>
      <c r="V18" s="18" t="s">
        <v>147</v>
      </c>
      <c r="W18">
        <v>5</v>
      </c>
      <c r="X18">
        <f t="shared" si="1"/>
        <v>1</v>
      </c>
      <c r="Y18">
        <v>0</v>
      </c>
      <c r="Z18">
        <f t="shared" si="2"/>
        <v>0</v>
      </c>
      <c r="AA18">
        <v>4.4000000000000004</v>
      </c>
      <c r="AB18">
        <f t="shared" si="3"/>
        <v>0.15000000000000036</v>
      </c>
    </row>
    <row r="19" spans="1:28" x14ac:dyDescent="0.35">
      <c r="A19" t="s">
        <v>8</v>
      </c>
      <c r="B19">
        <v>31</v>
      </c>
      <c r="C19">
        <v>5</v>
      </c>
      <c r="D19">
        <v>4.2300000000000004</v>
      </c>
      <c r="E19">
        <v>0.16</v>
      </c>
      <c r="F19">
        <v>2.4235565546581199</v>
      </c>
      <c r="H19" t="s">
        <v>113</v>
      </c>
      <c r="I19">
        <v>5</v>
      </c>
      <c r="J19">
        <v>0</v>
      </c>
      <c r="K19">
        <v>4.2</v>
      </c>
      <c r="L19">
        <f t="shared" si="0"/>
        <v>0</v>
      </c>
      <c r="M19">
        <v>2.4899799195977401</v>
      </c>
      <c r="N19" s="3" t="s">
        <v>46</v>
      </c>
      <c r="P19" t="s">
        <v>87</v>
      </c>
      <c r="Q19">
        <v>3</v>
      </c>
      <c r="R19">
        <v>0</v>
      </c>
      <c r="S19">
        <v>6</v>
      </c>
      <c r="T19">
        <v>0</v>
      </c>
      <c r="V19" s="18" t="s">
        <v>87</v>
      </c>
      <c r="W19">
        <v>5</v>
      </c>
      <c r="X19">
        <f t="shared" si="1"/>
        <v>2</v>
      </c>
      <c r="Y19">
        <v>0</v>
      </c>
      <c r="Z19">
        <f t="shared" si="2"/>
        <v>0</v>
      </c>
      <c r="AA19">
        <v>5.2</v>
      </c>
      <c r="AB19">
        <f t="shared" si="3"/>
        <v>-0.79999999999999982</v>
      </c>
    </row>
    <row r="20" spans="1:28" x14ac:dyDescent="0.35">
      <c r="A20" t="s">
        <v>148</v>
      </c>
      <c r="B20">
        <v>8</v>
      </c>
      <c r="C20">
        <v>0</v>
      </c>
      <c r="D20">
        <v>4.25</v>
      </c>
      <c r="E20">
        <v>0</v>
      </c>
      <c r="F20">
        <v>2.0528725518857001</v>
      </c>
      <c r="H20" t="s">
        <v>8</v>
      </c>
      <c r="I20">
        <v>31</v>
      </c>
      <c r="J20">
        <v>5</v>
      </c>
      <c r="K20">
        <v>4.2300000000000004</v>
      </c>
      <c r="L20">
        <f t="shared" si="0"/>
        <v>0.16129032258064516</v>
      </c>
      <c r="M20">
        <v>2.4994623077688098</v>
      </c>
      <c r="N20" s="3" t="s">
        <v>46</v>
      </c>
      <c r="P20" t="s">
        <v>50</v>
      </c>
      <c r="Q20">
        <v>3</v>
      </c>
      <c r="R20">
        <v>0</v>
      </c>
      <c r="S20">
        <v>4.67</v>
      </c>
      <c r="T20">
        <v>0</v>
      </c>
      <c r="V20" s="18" t="s">
        <v>50</v>
      </c>
      <c r="W20">
        <v>10</v>
      </c>
      <c r="X20">
        <f t="shared" si="1"/>
        <v>7</v>
      </c>
      <c r="Y20">
        <v>0</v>
      </c>
      <c r="Z20">
        <f t="shared" si="2"/>
        <v>0</v>
      </c>
      <c r="AA20">
        <v>4.5999999999999996</v>
      </c>
      <c r="AB20">
        <f t="shared" si="3"/>
        <v>-7.0000000000000284E-2</v>
      </c>
    </row>
    <row r="21" spans="1:28" x14ac:dyDescent="0.35">
      <c r="A21" t="s">
        <v>22</v>
      </c>
      <c r="B21" s="8">
        <v>97</v>
      </c>
      <c r="C21">
        <v>13</v>
      </c>
      <c r="D21">
        <v>4.28</v>
      </c>
      <c r="E21">
        <v>0.13</v>
      </c>
      <c r="F21">
        <v>2.2035296941729401</v>
      </c>
      <c r="H21" t="s">
        <v>148</v>
      </c>
      <c r="I21">
        <v>8</v>
      </c>
      <c r="J21">
        <v>0</v>
      </c>
      <c r="K21">
        <v>4.25</v>
      </c>
      <c r="L21">
        <f t="shared" si="0"/>
        <v>0</v>
      </c>
      <c r="M21">
        <v>2.0528725518857001</v>
      </c>
      <c r="N21" s="3" t="s">
        <v>46</v>
      </c>
      <c r="P21" t="s">
        <v>81</v>
      </c>
      <c r="Q21">
        <v>7</v>
      </c>
      <c r="R21">
        <v>1</v>
      </c>
      <c r="S21">
        <v>4.43</v>
      </c>
      <c r="T21">
        <v>0.14000000000000001</v>
      </c>
      <c r="V21" s="18" t="s">
        <v>81</v>
      </c>
      <c r="W21">
        <v>8</v>
      </c>
      <c r="X21">
        <f t="shared" si="1"/>
        <v>1</v>
      </c>
      <c r="Y21">
        <v>1</v>
      </c>
      <c r="Z21">
        <f t="shared" si="2"/>
        <v>0</v>
      </c>
      <c r="AA21">
        <v>4.63</v>
      </c>
      <c r="AB21">
        <f t="shared" si="3"/>
        <v>0.20000000000000018</v>
      </c>
    </row>
    <row r="22" spans="1:28" x14ac:dyDescent="0.35">
      <c r="A22" t="s">
        <v>129</v>
      </c>
      <c r="B22">
        <v>25</v>
      </c>
      <c r="C22">
        <v>5</v>
      </c>
      <c r="D22">
        <v>4.28</v>
      </c>
      <c r="E22">
        <v>0.2</v>
      </c>
      <c r="F22">
        <v>2.1315096371664199</v>
      </c>
      <c r="H22" t="s">
        <v>22</v>
      </c>
      <c r="I22" s="6">
        <v>102</v>
      </c>
      <c r="J22" s="6">
        <v>14</v>
      </c>
      <c r="K22">
        <v>4.25</v>
      </c>
      <c r="L22">
        <f t="shared" si="0"/>
        <v>0.13725490196078433</v>
      </c>
      <c r="M22">
        <v>2.2045689482796602</v>
      </c>
      <c r="N22" s="3" t="s">
        <v>46</v>
      </c>
      <c r="P22" t="s">
        <v>36</v>
      </c>
      <c r="Q22">
        <v>3</v>
      </c>
      <c r="R22">
        <v>0</v>
      </c>
      <c r="S22">
        <v>4</v>
      </c>
      <c r="T22">
        <v>0</v>
      </c>
      <c r="V22" s="18" t="s">
        <v>36</v>
      </c>
      <c r="W22">
        <v>5</v>
      </c>
      <c r="X22">
        <f t="shared" si="1"/>
        <v>2</v>
      </c>
      <c r="Y22">
        <v>0</v>
      </c>
      <c r="Z22">
        <f t="shared" si="2"/>
        <v>0</v>
      </c>
      <c r="AA22">
        <v>4.4000000000000004</v>
      </c>
      <c r="AB22">
        <f t="shared" si="3"/>
        <v>0.40000000000000036</v>
      </c>
    </row>
    <row r="23" spans="1:28" x14ac:dyDescent="0.35">
      <c r="A23" t="s">
        <v>52</v>
      </c>
      <c r="B23">
        <v>7</v>
      </c>
      <c r="C23">
        <v>0</v>
      </c>
      <c r="D23">
        <v>4.29</v>
      </c>
      <c r="E23">
        <v>0</v>
      </c>
      <c r="F23">
        <v>2.3603873774083199</v>
      </c>
      <c r="H23" t="s">
        <v>129</v>
      </c>
      <c r="I23">
        <v>25</v>
      </c>
      <c r="J23">
        <v>5</v>
      </c>
      <c r="K23">
        <v>4.28</v>
      </c>
      <c r="L23">
        <f t="shared" si="0"/>
        <v>0.2</v>
      </c>
      <c r="M23">
        <v>2.1315096371664199</v>
      </c>
      <c r="N23" s="3" t="s">
        <v>46</v>
      </c>
      <c r="P23" t="s">
        <v>112</v>
      </c>
      <c r="Q23">
        <v>7</v>
      </c>
      <c r="R23">
        <v>3</v>
      </c>
      <c r="S23">
        <v>3.29</v>
      </c>
      <c r="T23">
        <v>0.43</v>
      </c>
      <c r="V23" s="18" t="s">
        <v>112</v>
      </c>
      <c r="W23">
        <v>10</v>
      </c>
      <c r="X23">
        <f t="shared" si="1"/>
        <v>3</v>
      </c>
      <c r="Y23">
        <v>3</v>
      </c>
      <c r="Z23">
        <f t="shared" si="2"/>
        <v>0</v>
      </c>
      <c r="AA23">
        <v>4.3</v>
      </c>
      <c r="AB23">
        <f t="shared" si="3"/>
        <v>1.0099999999999998</v>
      </c>
    </row>
    <row r="24" spans="1:28" x14ac:dyDescent="0.35">
      <c r="A24" t="s">
        <v>10</v>
      </c>
      <c r="B24">
        <v>28</v>
      </c>
      <c r="C24">
        <v>4</v>
      </c>
      <c r="D24">
        <v>4.29</v>
      </c>
      <c r="E24">
        <v>0.14000000000000001</v>
      </c>
      <c r="F24">
        <v>2.2086889501029501</v>
      </c>
      <c r="H24" t="s">
        <v>10</v>
      </c>
      <c r="I24">
        <v>28</v>
      </c>
      <c r="J24">
        <v>4</v>
      </c>
      <c r="K24">
        <v>4.29</v>
      </c>
      <c r="L24">
        <f t="shared" si="0"/>
        <v>0.14285714285714285</v>
      </c>
      <c r="M24">
        <v>2.2086889501029501</v>
      </c>
      <c r="P24" t="s">
        <v>27</v>
      </c>
      <c r="Q24">
        <v>13</v>
      </c>
      <c r="R24">
        <v>0</v>
      </c>
      <c r="S24">
        <v>4.62</v>
      </c>
      <c r="T24">
        <v>0</v>
      </c>
      <c r="V24" s="18" t="s">
        <v>27</v>
      </c>
      <c r="W24">
        <v>17</v>
      </c>
      <c r="X24">
        <f t="shared" si="1"/>
        <v>4</v>
      </c>
      <c r="Y24">
        <v>1</v>
      </c>
      <c r="Z24" s="18">
        <f t="shared" si="2"/>
        <v>1</v>
      </c>
      <c r="AA24">
        <v>4</v>
      </c>
      <c r="AB24">
        <f t="shared" si="3"/>
        <v>-0.62000000000000011</v>
      </c>
    </row>
    <row r="25" spans="1:28" x14ac:dyDescent="0.35">
      <c r="A25" t="s">
        <v>112</v>
      </c>
      <c r="B25">
        <v>10</v>
      </c>
      <c r="C25">
        <v>3</v>
      </c>
      <c r="D25">
        <v>4.3</v>
      </c>
      <c r="E25">
        <v>0.3</v>
      </c>
      <c r="F25">
        <v>2.71006354989037</v>
      </c>
      <c r="H25" t="s">
        <v>112</v>
      </c>
      <c r="I25">
        <v>10</v>
      </c>
      <c r="J25">
        <v>3</v>
      </c>
      <c r="K25">
        <v>4.3</v>
      </c>
      <c r="L25">
        <f t="shared" si="0"/>
        <v>0.3</v>
      </c>
      <c r="M25">
        <v>2.71006354989037</v>
      </c>
      <c r="P25" t="s">
        <v>117</v>
      </c>
      <c r="Q25">
        <v>8</v>
      </c>
      <c r="R25">
        <v>2</v>
      </c>
      <c r="S25">
        <v>4.5</v>
      </c>
      <c r="T25">
        <v>0.25</v>
      </c>
      <c r="V25" s="18" t="s">
        <v>117</v>
      </c>
      <c r="W25">
        <v>9</v>
      </c>
      <c r="X25">
        <f t="shared" si="1"/>
        <v>1</v>
      </c>
      <c r="Y25">
        <v>2</v>
      </c>
      <c r="Z25">
        <f t="shared" si="2"/>
        <v>0</v>
      </c>
      <c r="AA25">
        <v>4.2</v>
      </c>
      <c r="AB25">
        <f t="shared" si="3"/>
        <v>-0.29999999999999982</v>
      </c>
    </row>
    <row r="26" spans="1:28" x14ac:dyDescent="0.35">
      <c r="A26" t="s">
        <v>24</v>
      </c>
      <c r="B26" s="6">
        <v>38</v>
      </c>
      <c r="C26">
        <v>4</v>
      </c>
      <c r="D26">
        <v>4.32</v>
      </c>
      <c r="E26">
        <v>0.11</v>
      </c>
      <c r="F26">
        <v>2.1683143917769998</v>
      </c>
      <c r="G26" s="2" t="s">
        <v>44</v>
      </c>
      <c r="H26" t="s">
        <v>232</v>
      </c>
      <c r="I26">
        <v>6</v>
      </c>
      <c r="J26">
        <v>0</v>
      </c>
      <c r="K26">
        <v>4.33</v>
      </c>
      <c r="L26">
        <f t="shared" si="0"/>
        <v>0</v>
      </c>
      <c r="M26">
        <v>2.2509257354845502</v>
      </c>
      <c r="N26" s="2" t="s">
        <v>44</v>
      </c>
      <c r="P26" t="s">
        <v>141</v>
      </c>
      <c r="Q26">
        <v>3</v>
      </c>
      <c r="R26">
        <v>1</v>
      </c>
      <c r="S26">
        <v>3.33</v>
      </c>
      <c r="T26">
        <v>0.33</v>
      </c>
      <c r="V26" s="18" t="s">
        <v>141</v>
      </c>
      <c r="W26">
        <v>6</v>
      </c>
      <c r="X26">
        <f t="shared" si="1"/>
        <v>3</v>
      </c>
      <c r="Y26">
        <v>1</v>
      </c>
      <c r="Z26">
        <f t="shared" si="2"/>
        <v>0</v>
      </c>
      <c r="AA26">
        <v>3.5</v>
      </c>
      <c r="AB26">
        <f t="shared" si="3"/>
        <v>0.16999999999999993</v>
      </c>
    </row>
    <row r="27" spans="1:28" x14ac:dyDescent="0.35">
      <c r="A27" t="s">
        <v>232</v>
      </c>
      <c r="B27">
        <v>6</v>
      </c>
      <c r="C27">
        <v>0</v>
      </c>
      <c r="D27">
        <v>4.33</v>
      </c>
      <c r="E27">
        <v>0</v>
      </c>
      <c r="F27">
        <v>2.2509257354845502</v>
      </c>
      <c r="H27" t="s">
        <v>58</v>
      </c>
      <c r="I27">
        <v>6</v>
      </c>
      <c r="J27">
        <v>0</v>
      </c>
      <c r="K27">
        <v>4.33</v>
      </c>
      <c r="L27">
        <f t="shared" si="0"/>
        <v>0</v>
      </c>
      <c r="M27">
        <v>2.33809038890002</v>
      </c>
      <c r="N27" s="2" t="s">
        <v>44</v>
      </c>
      <c r="P27" t="s">
        <v>32</v>
      </c>
      <c r="Q27">
        <v>9</v>
      </c>
      <c r="R27">
        <v>0</v>
      </c>
      <c r="S27">
        <v>6.11</v>
      </c>
      <c r="T27">
        <v>0</v>
      </c>
      <c r="V27" s="18" t="s">
        <v>32</v>
      </c>
      <c r="W27">
        <v>12</v>
      </c>
      <c r="X27">
        <f t="shared" si="1"/>
        <v>3</v>
      </c>
      <c r="Y27">
        <v>1</v>
      </c>
      <c r="Z27" s="18">
        <f t="shared" si="2"/>
        <v>1</v>
      </c>
      <c r="AA27">
        <v>5.83</v>
      </c>
      <c r="AB27">
        <f t="shared" si="3"/>
        <v>-0.28000000000000025</v>
      </c>
    </row>
    <row r="28" spans="1:28" x14ac:dyDescent="0.35">
      <c r="A28" t="s">
        <v>58</v>
      </c>
      <c r="B28">
        <v>6</v>
      </c>
      <c r="C28">
        <v>0</v>
      </c>
      <c r="D28">
        <v>4.33</v>
      </c>
      <c r="E28">
        <v>0</v>
      </c>
      <c r="F28">
        <v>2.33809038890002</v>
      </c>
      <c r="H28" t="s">
        <v>122</v>
      </c>
      <c r="I28">
        <v>6</v>
      </c>
      <c r="J28">
        <v>0</v>
      </c>
      <c r="K28">
        <v>4.33</v>
      </c>
      <c r="L28">
        <f t="shared" si="0"/>
        <v>0</v>
      </c>
      <c r="M28">
        <v>1.6329931618554501</v>
      </c>
      <c r="N28" s="2" t="s">
        <v>44</v>
      </c>
      <c r="P28" t="s">
        <v>15</v>
      </c>
      <c r="Q28">
        <v>61</v>
      </c>
      <c r="R28">
        <v>13</v>
      </c>
      <c r="S28">
        <v>4.1100000000000003</v>
      </c>
      <c r="T28">
        <v>0.21</v>
      </c>
      <c r="V28" s="18" t="s">
        <v>15</v>
      </c>
      <c r="W28">
        <v>72</v>
      </c>
      <c r="X28">
        <f t="shared" si="1"/>
        <v>11</v>
      </c>
      <c r="Y28">
        <v>16</v>
      </c>
      <c r="Z28" s="18">
        <f t="shared" si="2"/>
        <v>3</v>
      </c>
      <c r="AA28">
        <v>4.0999999999999996</v>
      </c>
      <c r="AB28">
        <f t="shared" si="3"/>
        <v>-1.0000000000000675E-2</v>
      </c>
    </row>
    <row r="29" spans="1:28" x14ac:dyDescent="0.35">
      <c r="A29" t="s">
        <v>122</v>
      </c>
      <c r="B29">
        <v>6</v>
      </c>
      <c r="C29">
        <v>0</v>
      </c>
      <c r="D29">
        <v>4.33</v>
      </c>
      <c r="E29">
        <v>0</v>
      </c>
      <c r="F29">
        <v>1.6329931618554501</v>
      </c>
      <c r="H29" t="s">
        <v>104</v>
      </c>
      <c r="I29" s="6">
        <v>25</v>
      </c>
      <c r="J29">
        <v>2</v>
      </c>
      <c r="K29">
        <v>4.4000000000000004</v>
      </c>
      <c r="L29">
        <f t="shared" si="0"/>
        <v>0.08</v>
      </c>
      <c r="M29">
        <v>2.3273733406281498</v>
      </c>
      <c r="N29" s="2" t="s">
        <v>370</v>
      </c>
      <c r="P29" t="s">
        <v>13</v>
      </c>
      <c r="Q29">
        <v>10</v>
      </c>
      <c r="R29">
        <v>1</v>
      </c>
      <c r="S29">
        <v>5</v>
      </c>
      <c r="T29">
        <v>0.1</v>
      </c>
      <c r="V29" s="18" t="s">
        <v>13</v>
      </c>
      <c r="W29">
        <v>20</v>
      </c>
      <c r="X29">
        <f t="shared" si="1"/>
        <v>10</v>
      </c>
      <c r="Y29">
        <v>1</v>
      </c>
      <c r="Z29">
        <f t="shared" si="2"/>
        <v>0</v>
      </c>
      <c r="AA29">
        <v>4.95</v>
      </c>
      <c r="AB29">
        <f t="shared" si="3"/>
        <v>-4.9999999999999822E-2</v>
      </c>
    </row>
    <row r="30" spans="1:28" x14ac:dyDescent="0.35">
      <c r="A30" t="s">
        <v>29</v>
      </c>
      <c r="B30">
        <v>18</v>
      </c>
      <c r="C30">
        <v>1</v>
      </c>
      <c r="D30">
        <v>4.3899999999999997</v>
      </c>
      <c r="E30">
        <v>0.06</v>
      </c>
      <c r="F30">
        <v>2.14582738434355</v>
      </c>
      <c r="H30" t="s">
        <v>147</v>
      </c>
      <c r="I30">
        <v>5</v>
      </c>
      <c r="J30">
        <v>0</v>
      </c>
      <c r="K30">
        <v>4.4000000000000004</v>
      </c>
      <c r="L30">
        <f t="shared" si="0"/>
        <v>0</v>
      </c>
      <c r="M30">
        <v>1.94935886896179</v>
      </c>
      <c r="N30" s="2" t="s">
        <v>44</v>
      </c>
      <c r="P30" t="s">
        <v>10</v>
      </c>
      <c r="Q30">
        <v>24</v>
      </c>
      <c r="R30">
        <v>3</v>
      </c>
      <c r="S30">
        <v>4.29</v>
      </c>
      <c r="T30">
        <v>0.13</v>
      </c>
      <c r="V30" s="18" t="s">
        <v>10</v>
      </c>
      <c r="W30">
        <v>28</v>
      </c>
      <c r="X30">
        <f t="shared" si="1"/>
        <v>4</v>
      </c>
      <c r="Y30">
        <v>4</v>
      </c>
      <c r="Z30" s="18">
        <f t="shared" si="2"/>
        <v>1</v>
      </c>
      <c r="AA30">
        <v>4.29</v>
      </c>
      <c r="AB30">
        <f t="shared" si="3"/>
        <v>0</v>
      </c>
    </row>
    <row r="31" spans="1:28" x14ac:dyDescent="0.35">
      <c r="A31" t="s">
        <v>147</v>
      </c>
      <c r="B31">
        <v>5</v>
      </c>
      <c r="C31">
        <v>0</v>
      </c>
      <c r="D31">
        <v>4.4000000000000004</v>
      </c>
      <c r="E31">
        <v>0</v>
      </c>
      <c r="F31">
        <v>1.94935886896179</v>
      </c>
      <c r="H31" t="s">
        <v>36</v>
      </c>
      <c r="I31">
        <v>5</v>
      </c>
      <c r="J31">
        <v>0</v>
      </c>
      <c r="K31">
        <v>4.4000000000000004</v>
      </c>
      <c r="L31">
        <f t="shared" si="0"/>
        <v>0</v>
      </c>
      <c r="M31">
        <v>2.6076809620810502</v>
      </c>
      <c r="N31" s="2" t="s">
        <v>44</v>
      </c>
      <c r="P31" t="s">
        <v>63</v>
      </c>
      <c r="Q31">
        <v>6</v>
      </c>
      <c r="R31">
        <v>1</v>
      </c>
      <c r="S31">
        <v>4.17</v>
      </c>
      <c r="T31">
        <v>0.17</v>
      </c>
      <c r="V31" s="18" t="s">
        <v>63</v>
      </c>
      <c r="W31">
        <v>6</v>
      </c>
      <c r="X31">
        <f t="shared" si="1"/>
        <v>0</v>
      </c>
      <c r="Y31">
        <v>1</v>
      </c>
      <c r="Z31">
        <f t="shared" si="2"/>
        <v>0</v>
      </c>
      <c r="AA31">
        <v>4.17</v>
      </c>
      <c r="AB31">
        <f t="shared" si="3"/>
        <v>0</v>
      </c>
    </row>
    <row r="32" spans="1:28" x14ac:dyDescent="0.35">
      <c r="A32" t="s">
        <v>36</v>
      </c>
      <c r="B32">
        <v>5</v>
      </c>
      <c r="C32">
        <v>0</v>
      </c>
      <c r="D32">
        <v>4.4000000000000004</v>
      </c>
      <c r="E32">
        <v>0</v>
      </c>
      <c r="F32">
        <v>2.6076809620810502</v>
      </c>
      <c r="H32" t="s">
        <v>29</v>
      </c>
      <c r="I32" s="6">
        <v>20</v>
      </c>
      <c r="J32">
        <v>1</v>
      </c>
      <c r="K32">
        <v>4.4000000000000004</v>
      </c>
      <c r="L32">
        <f t="shared" si="0"/>
        <v>0.05</v>
      </c>
      <c r="M32">
        <v>2.0875571218153701</v>
      </c>
      <c r="N32" s="3" t="s">
        <v>45</v>
      </c>
      <c r="P32" t="s">
        <v>4</v>
      </c>
      <c r="Q32">
        <v>3</v>
      </c>
      <c r="R32">
        <v>0</v>
      </c>
      <c r="S32">
        <v>5.33</v>
      </c>
      <c r="T32">
        <v>0</v>
      </c>
      <c r="V32" s="18" t="s">
        <v>4</v>
      </c>
      <c r="W32">
        <v>9</v>
      </c>
      <c r="X32">
        <f t="shared" si="1"/>
        <v>6</v>
      </c>
      <c r="Y32">
        <v>0</v>
      </c>
      <c r="Z32">
        <f t="shared" si="2"/>
        <v>0</v>
      </c>
      <c r="AA32">
        <v>6.11</v>
      </c>
      <c r="AB32">
        <f t="shared" si="3"/>
        <v>0.78000000000000025</v>
      </c>
    </row>
    <row r="33" spans="1:28" x14ac:dyDescent="0.35">
      <c r="A33" t="s">
        <v>81</v>
      </c>
      <c r="B33">
        <v>7</v>
      </c>
      <c r="C33">
        <v>1</v>
      </c>
      <c r="D33">
        <v>4.43</v>
      </c>
      <c r="E33">
        <v>0.14000000000000001</v>
      </c>
      <c r="F33">
        <v>1.77281052085583</v>
      </c>
      <c r="G33" s="2" t="s">
        <v>44</v>
      </c>
      <c r="H33" t="s">
        <v>24</v>
      </c>
      <c r="I33" s="6">
        <v>41</v>
      </c>
      <c r="J33" s="6">
        <v>5</v>
      </c>
      <c r="K33">
        <v>4.41</v>
      </c>
      <c r="L33">
        <f t="shared" si="0"/>
        <v>0.12195121951219512</v>
      </c>
      <c r="M33">
        <v>2.26909243703399</v>
      </c>
      <c r="N33" s="3" t="s">
        <v>69</v>
      </c>
      <c r="P33" t="s">
        <v>121</v>
      </c>
      <c r="Q33">
        <v>11</v>
      </c>
      <c r="R33">
        <v>2</v>
      </c>
      <c r="S33">
        <v>3.45</v>
      </c>
      <c r="T33">
        <v>0.18</v>
      </c>
      <c r="V33" s="18" t="s">
        <v>121</v>
      </c>
      <c r="W33">
        <v>33</v>
      </c>
      <c r="X33">
        <f t="shared" si="1"/>
        <v>22</v>
      </c>
      <c r="Y33">
        <v>8</v>
      </c>
      <c r="Z33" s="18">
        <f t="shared" si="2"/>
        <v>6</v>
      </c>
      <c r="AA33">
        <v>3.55</v>
      </c>
      <c r="AB33">
        <f t="shared" si="3"/>
        <v>9.9999999999999645E-2</v>
      </c>
    </row>
    <row r="34" spans="1:28" x14ac:dyDescent="0.35">
      <c r="A34" t="s">
        <v>104</v>
      </c>
      <c r="B34">
        <v>22</v>
      </c>
      <c r="C34">
        <v>2</v>
      </c>
      <c r="D34">
        <v>4.45</v>
      </c>
      <c r="E34">
        <v>0.09</v>
      </c>
      <c r="F34">
        <v>2.4635876418881599</v>
      </c>
      <c r="G34" s="2" t="s">
        <v>44</v>
      </c>
      <c r="H34" t="s">
        <v>7</v>
      </c>
      <c r="I34" s="6">
        <v>9</v>
      </c>
      <c r="J34">
        <v>2</v>
      </c>
      <c r="K34">
        <v>4.4400000000000004</v>
      </c>
      <c r="L34">
        <f t="shared" ref="L34:L65" si="4">J34/I34</f>
        <v>0.22222222222222221</v>
      </c>
      <c r="M34">
        <v>2.7888667551135802</v>
      </c>
      <c r="N34" s="2" t="s">
        <v>132</v>
      </c>
      <c r="P34" t="s">
        <v>232</v>
      </c>
      <c r="Q34">
        <v>3</v>
      </c>
      <c r="R34">
        <v>0</v>
      </c>
      <c r="S34">
        <v>4.33</v>
      </c>
      <c r="T34">
        <v>0</v>
      </c>
      <c r="V34" s="18" t="s">
        <v>232</v>
      </c>
      <c r="W34">
        <v>6</v>
      </c>
      <c r="X34">
        <f t="shared" ref="X34:X65" si="5">W34-Q34</f>
        <v>3</v>
      </c>
      <c r="Y34">
        <v>0</v>
      </c>
      <c r="Z34">
        <f t="shared" ref="Z34:Z65" si="6">Y34-R34</f>
        <v>0</v>
      </c>
      <c r="AA34">
        <v>4.33</v>
      </c>
      <c r="AB34">
        <f t="shared" ref="AB34:AB65" si="7">AA34-S34</f>
        <v>0</v>
      </c>
    </row>
    <row r="35" spans="1:28" x14ac:dyDescent="0.35">
      <c r="A35" t="s">
        <v>14</v>
      </c>
      <c r="B35" s="6">
        <v>41</v>
      </c>
      <c r="C35">
        <v>3</v>
      </c>
      <c r="D35">
        <v>4.46</v>
      </c>
      <c r="E35">
        <v>7.0000000000000007E-2</v>
      </c>
      <c r="F35">
        <v>2.6276913640612101</v>
      </c>
      <c r="G35" s="3" t="s">
        <v>45</v>
      </c>
      <c r="H35" t="s">
        <v>14</v>
      </c>
      <c r="I35">
        <v>41</v>
      </c>
      <c r="J35">
        <v>3</v>
      </c>
      <c r="K35">
        <v>4.46</v>
      </c>
      <c r="L35">
        <f t="shared" si="4"/>
        <v>7.3170731707317069E-2</v>
      </c>
      <c r="M35">
        <v>2.1805682857412299</v>
      </c>
      <c r="P35" t="s">
        <v>21</v>
      </c>
      <c r="Q35">
        <v>8</v>
      </c>
      <c r="R35">
        <v>0</v>
      </c>
      <c r="S35">
        <v>4.75</v>
      </c>
      <c r="T35">
        <v>0</v>
      </c>
      <c r="V35" s="18" t="s">
        <v>21</v>
      </c>
      <c r="W35">
        <v>10</v>
      </c>
      <c r="X35">
        <f t="shared" si="5"/>
        <v>2</v>
      </c>
      <c r="Y35">
        <v>0</v>
      </c>
      <c r="Z35">
        <f t="shared" si="6"/>
        <v>0</v>
      </c>
      <c r="AA35">
        <v>4.5999999999999996</v>
      </c>
      <c r="AB35">
        <f t="shared" si="7"/>
        <v>-0.15000000000000036</v>
      </c>
    </row>
    <row r="36" spans="1:28" x14ac:dyDescent="0.35">
      <c r="A36" t="s">
        <v>23</v>
      </c>
      <c r="B36">
        <v>13</v>
      </c>
      <c r="C36">
        <v>0</v>
      </c>
      <c r="D36">
        <v>4.54</v>
      </c>
      <c r="E36">
        <v>0</v>
      </c>
      <c r="F36">
        <v>1.9414506867882999</v>
      </c>
      <c r="H36" t="s">
        <v>23</v>
      </c>
      <c r="I36">
        <v>13</v>
      </c>
      <c r="J36">
        <v>0</v>
      </c>
      <c r="K36">
        <v>4.54</v>
      </c>
      <c r="L36">
        <f t="shared" si="4"/>
        <v>0</v>
      </c>
      <c r="M36">
        <v>1.9414506867882999</v>
      </c>
      <c r="P36" t="s">
        <v>51</v>
      </c>
      <c r="Q36">
        <v>16</v>
      </c>
      <c r="R36">
        <v>0</v>
      </c>
      <c r="S36">
        <v>5.38</v>
      </c>
      <c r="T36">
        <v>0</v>
      </c>
      <c r="V36" s="18" t="s">
        <v>51</v>
      </c>
      <c r="W36">
        <v>19</v>
      </c>
      <c r="X36">
        <f t="shared" si="5"/>
        <v>3</v>
      </c>
      <c r="Y36">
        <v>1</v>
      </c>
      <c r="Z36" s="18">
        <f t="shared" si="6"/>
        <v>1</v>
      </c>
      <c r="AA36">
        <v>5.05</v>
      </c>
      <c r="AB36">
        <f t="shared" si="7"/>
        <v>-0.33000000000000007</v>
      </c>
    </row>
    <row r="37" spans="1:28" x14ac:dyDescent="0.35">
      <c r="A37" t="s">
        <v>115</v>
      </c>
      <c r="B37">
        <v>7</v>
      </c>
      <c r="C37">
        <v>0</v>
      </c>
      <c r="D37">
        <v>4.57</v>
      </c>
      <c r="E37">
        <v>0</v>
      </c>
      <c r="F37">
        <v>1.71824938596844</v>
      </c>
      <c r="H37" t="s">
        <v>115</v>
      </c>
      <c r="I37">
        <v>7</v>
      </c>
      <c r="J37">
        <v>0</v>
      </c>
      <c r="K37">
        <v>4.57</v>
      </c>
      <c r="L37">
        <f t="shared" si="4"/>
        <v>0</v>
      </c>
      <c r="M37">
        <v>1.71824938596844</v>
      </c>
      <c r="P37" t="s">
        <v>78</v>
      </c>
      <c r="Q37">
        <v>5</v>
      </c>
      <c r="R37">
        <v>1</v>
      </c>
      <c r="S37">
        <v>3.4</v>
      </c>
      <c r="T37">
        <v>0.2</v>
      </c>
      <c r="V37" s="18" t="s">
        <v>78</v>
      </c>
      <c r="W37">
        <v>7</v>
      </c>
      <c r="X37">
        <f t="shared" si="5"/>
        <v>2</v>
      </c>
      <c r="Y37">
        <v>1</v>
      </c>
      <c r="Z37">
        <f t="shared" si="6"/>
        <v>0</v>
      </c>
      <c r="AA37">
        <v>4.71</v>
      </c>
      <c r="AB37">
        <f t="shared" si="7"/>
        <v>1.31</v>
      </c>
    </row>
    <row r="38" spans="1:28" x14ac:dyDescent="0.35">
      <c r="A38" t="s">
        <v>21</v>
      </c>
      <c r="B38">
        <v>10</v>
      </c>
      <c r="C38">
        <v>0</v>
      </c>
      <c r="D38">
        <v>4.5999999999999996</v>
      </c>
      <c r="E38">
        <v>0</v>
      </c>
      <c r="F38">
        <v>2.0655911179772799</v>
      </c>
      <c r="H38" t="s">
        <v>50</v>
      </c>
      <c r="I38" s="6">
        <v>10</v>
      </c>
      <c r="J38">
        <v>0</v>
      </c>
      <c r="K38">
        <v>4.5999999999999996</v>
      </c>
      <c r="L38">
        <f t="shared" si="4"/>
        <v>0</v>
      </c>
      <c r="M38">
        <v>2.2360679774997898</v>
      </c>
      <c r="N38" s="2" t="s">
        <v>132</v>
      </c>
      <c r="P38" t="s">
        <v>0</v>
      </c>
      <c r="Q38">
        <v>21</v>
      </c>
      <c r="R38">
        <v>3</v>
      </c>
      <c r="S38">
        <v>3.24</v>
      </c>
      <c r="T38">
        <v>0.14000000000000001</v>
      </c>
      <c r="V38" s="18" t="s">
        <v>0</v>
      </c>
      <c r="W38">
        <v>36</v>
      </c>
      <c r="X38">
        <f t="shared" si="5"/>
        <v>15</v>
      </c>
      <c r="Y38">
        <v>6</v>
      </c>
      <c r="Z38" s="18">
        <f t="shared" si="6"/>
        <v>3</v>
      </c>
      <c r="AA38">
        <v>3.67</v>
      </c>
      <c r="AB38">
        <f t="shared" si="7"/>
        <v>0.42999999999999972</v>
      </c>
    </row>
    <row r="39" spans="1:28" x14ac:dyDescent="0.35">
      <c r="A39" t="s">
        <v>3</v>
      </c>
      <c r="B39">
        <v>14</v>
      </c>
      <c r="C39">
        <v>2</v>
      </c>
      <c r="D39">
        <v>4.6399999999999997</v>
      </c>
      <c r="E39">
        <v>0.14000000000000001</v>
      </c>
      <c r="F39">
        <v>2.7748873851023199</v>
      </c>
      <c r="H39" t="s">
        <v>21</v>
      </c>
      <c r="I39">
        <v>10</v>
      </c>
      <c r="J39">
        <v>0</v>
      </c>
      <c r="K39">
        <v>4.5999999999999996</v>
      </c>
      <c r="L39">
        <f t="shared" si="4"/>
        <v>0</v>
      </c>
      <c r="M39">
        <v>2.0655911179772799</v>
      </c>
      <c r="N39" s="3" t="s">
        <v>46</v>
      </c>
      <c r="P39" t="s">
        <v>1</v>
      </c>
      <c r="Q39">
        <v>20</v>
      </c>
      <c r="R39">
        <v>1</v>
      </c>
      <c r="S39">
        <v>5.05</v>
      </c>
      <c r="T39">
        <v>0.05</v>
      </c>
      <c r="V39" s="18" t="s">
        <v>1</v>
      </c>
      <c r="W39">
        <v>25</v>
      </c>
      <c r="X39">
        <f t="shared" si="5"/>
        <v>5</v>
      </c>
      <c r="Y39">
        <v>1</v>
      </c>
      <c r="Z39">
        <f t="shared" si="6"/>
        <v>0</v>
      </c>
      <c r="AA39">
        <v>5.2</v>
      </c>
      <c r="AB39">
        <f t="shared" si="7"/>
        <v>0.15000000000000036</v>
      </c>
    </row>
    <row r="40" spans="1:28" x14ac:dyDescent="0.35">
      <c r="A40" t="s">
        <v>78</v>
      </c>
      <c r="B40">
        <v>7</v>
      </c>
      <c r="C40">
        <v>1</v>
      </c>
      <c r="D40">
        <v>4.71</v>
      </c>
      <c r="E40">
        <v>0.14000000000000001</v>
      </c>
      <c r="F40">
        <v>2.8702082220799299</v>
      </c>
      <c r="H40" t="s">
        <v>81</v>
      </c>
      <c r="I40" s="6">
        <v>8</v>
      </c>
      <c r="J40">
        <v>1</v>
      </c>
      <c r="K40">
        <v>4.63</v>
      </c>
      <c r="L40">
        <f t="shared" si="4"/>
        <v>0.125</v>
      </c>
      <c r="M40">
        <v>1.76776695296636</v>
      </c>
      <c r="N40" s="3" t="s">
        <v>69</v>
      </c>
      <c r="P40" t="s">
        <v>28</v>
      </c>
      <c r="Q40">
        <v>3</v>
      </c>
      <c r="R40">
        <v>0</v>
      </c>
      <c r="S40">
        <v>4.33</v>
      </c>
      <c r="T40">
        <v>0</v>
      </c>
      <c r="V40" s="18" t="s">
        <v>28</v>
      </c>
      <c r="W40">
        <v>5</v>
      </c>
      <c r="X40">
        <f t="shared" si="5"/>
        <v>2</v>
      </c>
      <c r="Y40">
        <v>0</v>
      </c>
      <c r="Z40">
        <f t="shared" si="6"/>
        <v>0</v>
      </c>
      <c r="AA40">
        <v>4.2</v>
      </c>
      <c r="AB40">
        <f t="shared" si="7"/>
        <v>-0.12999999999999989</v>
      </c>
    </row>
    <row r="41" spans="1:28" x14ac:dyDescent="0.35">
      <c r="A41" t="s">
        <v>7</v>
      </c>
      <c r="B41">
        <v>8</v>
      </c>
      <c r="C41">
        <v>2</v>
      </c>
      <c r="D41">
        <v>4.75</v>
      </c>
      <c r="E41">
        <v>0.25</v>
      </c>
      <c r="F41">
        <v>2.8157719063467099</v>
      </c>
      <c r="H41" t="s">
        <v>3</v>
      </c>
      <c r="I41">
        <v>14</v>
      </c>
      <c r="J41">
        <v>2</v>
      </c>
      <c r="K41">
        <v>4.6399999999999997</v>
      </c>
      <c r="L41">
        <f t="shared" si="4"/>
        <v>0.14285714285714285</v>
      </c>
      <c r="M41">
        <v>2.7748873851023199</v>
      </c>
      <c r="N41" s="3" t="s">
        <v>45</v>
      </c>
      <c r="V41" s="18" t="s">
        <v>175</v>
      </c>
      <c r="W41">
        <v>5</v>
      </c>
      <c r="X41">
        <f t="shared" si="5"/>
        <v>5</v>
      </c>
      <c r="Y41">
        <v>0</v>
      </c>
      <c r="Z41">
        <f t="shared" si="6"/>
        <v>0</v>
      </c>
      <c r="AA41">
        <v>5</v>
      </c>
      <c r="AB41">
        <f t="shared" si="7"/>
        <v>5</v>
      </c>
    </row>
    <row r="42" spans="1:28" x14ac:dyDescent="0.35">
      <c r="A42" t="s">
        <v>37</v>
      </c>
      <c r="B42">
        <v>14</v>
      </c>
      <c r="C42">
        <v>2</v>
      </c>
      <c r="D42">
        <v>4.79</v>
      </c>
      <c r="E42">
        <v>0.14000000000000001</v>
      </c>
      <c r="F42">
        <v>2.1942523988236999</v>
      </c>
      <c r="H42" t="s">
        <v>99</v>
      </c>
      <c r="I42" s="6">
        <v>10</v>
      </c>
      <c r="J42" s="6">
        <v>2</v>
      </c>
      <c r="K42">
        <v>4.7</v>
      </c>
      <c r="L42">
        <f t="shared" si="4"/>
        <v>0.2</v>
      </c>
      <c r="M42">
        <v>2.6687491868330699</v>
      </c>
      <c r="N42" s="2" t="s">
        <v>153</v>
      </c>
      <c r="P42" t="s">
        <v>61</v>
      </c>
      <c r="Q42">
        <v>3</v>
      </c>
      <c r="R42">
        <v>0</v>
      </c>
      <c r="S42">
        <v>4</v>
      </c>
      <c r="T42">
        <v>0</v>
      </c>
      <c r="V42" s="18" t="s">
        <v>361</v>
      </c>
      <c r="W42">
        <v>5</v>
      </c>
      <c r="X42">
        <f t="shared" si="5"/>
        <v>2</v>
      </c>
      <c r="Y42">
        <v>1</v>
      </c>
      <c r="Z42" s="18">
        <f t="shared" si="6"/>
        <v>1</v>
      </c>
      <c r="AA42">
        <v>4</v>
      </c>
      <c r="AB42">
        <f t="shared" si="7"/>
        <v>0</v>
      </c>
    </row>
    <row r="43" spans="1:28" x14ac:dyDescent="0.35">
      <c r="A43" t="s">
        <v>230</v>
      </c>
      <c r="B43">
        <v>5</v>
      </c>
      <c r="C43">
        <v>1</v>
      </c>
      <c r="D43">
        <v>4.8</v>
      </c>
      <c r="E43">
        <v>0.2</v>
      </c>
      <c r="F43">
        <v>2.3731557327466102</v>
      </c>
      <c r="H43" t="s">
        <v>78</v>
      </c>
      <c r="I43">
        <v>7</v>
      </c>
      <c r="J43">
        <v>1</v>
      </c>
      <c r="K43">
        <v>4.71</v>
      </c>
      <c r="L43">
        <f t="shared" si="4"/>
        <v>0.14285714285714285</v>
      </c>
      <c r="M43">
        <v>2.8702082220799299</v>
      </c>
      <c r="N43" s="3" t="s">
        <v>54</v>
      </c>
      <c r="P43" t="s">
        <v>115</v>
      </c>
      <c r="Q43">
        <v>7</v>
      </c>
      <c r="R43">
        <v>0</v>
      </c>
      <c r="S43">
        <v>4.57</v>
      </c>
      <c r="T43">
        <v>0</v>
      </c>
      <c r="V43" s="18" t="s">
        <v>115</v>
      </c>
      <c r="W43">
        <v>7</v>
      </c>
      <c r="X43">
        <f t="shared" si="5"/>
        <v>0</v>
      </c>
      <c r="Y43">
        <v>0</v>
      </c>
      <c r="Z43">
        <f t="shared" si="6"/>
        <v>0</v>
      </c>
      <c r="AA43">
        <v>4.57</v>
      </c>
      <c r="AB43">
        <f t="shared" si="7"/>
        <v>0</v>
      </c>
    </row>
    <row r="44" spans="1:28" x14ac:dyDescent="0.35">
      <c r="A44" t="s">
        <v>30</v>
      </c>
      <c r="B44">
        <v>11</v>
      </c>
      <c r="C44">
        <v>2</v>
      </c>
      <c r="D44">
        <v>4.82</v>
      </c>
      <c r="E44">
        <v>0.18</v>
      </c>
      <c r="F44">
        <v>2.5226248955475601</v>
      </c>
      <c r="H44" t="s">
        <v>116</v>
      </c>
      <c r="I44" s="6">
        <v>7</v>
      </c>
      <c r="J44">
        <v>0</v>
      </c>
      <c r="K44">
        <v>4.71</v>
      </c>
      <c r="L44">
        <f t="shared" si="4"/>
        <v>0</v>
      </c>
      <c r="M44">
        <v>1.7043362064926899</v>
      </c>
      <c r="N44" s="2" t="s">
        <v>161</v>
      </c>
      <c r="P44" t="s">
        <v>24</v>
      </c>
      <c r="Q44">
        <v>15</v>
      </c>
      <c r="R44">
        <v>1</v>
      </c>
      <c r="S44">
        <v>4.7300000000000004</v>
      </c>
      <c r="T44">
        <v>7.0000000000000007E-2</v>
      </c>
      <c r="V44" s="18" t="s">
        <v>24</v>
      </c>
      <c r="W44">
        <v>41</v>
      </c>
      <c r="X44">
        <f t="shared" si="5"/>
        <v>26</v>
      </c>
      <c r="Y44">
        <v>5</v>
      </c>
      <c r="Z44" s="18">
        <f t="shared" si="6"/>
        <v>4</v>
      </c>
      <c r="AA44">
        <v>4.41</v>
      </c>
      <c r="AB44">
        <f t="shared" si="7"/>
        <v>-0.32000000000000028</v>
      </c>
    </row>
    <row r="45" spans="1:28" x14ac:dyDescent="0.35">
      <c r="A45" t="s">
        <v>50</v>
      </c>
      <c r="B45" s="6">
        <v>7</v>
      </c>
      <c r="C45">
        <v>0</v>
      </c>
      <c r="D45">
        <v>4.8600000000000003</v>
      </c>
      <c r="E45">
        <v>0</v>
      </c>
      <c r="F45">
        <v>2.4494897427831699</v>
      </c>
      <c r="G45" s="2" t="s">
        <v>44</v>
      </c>
      <c r="H45" t="s">
        <v>5</v>
      </c>
      <c r="I45" s="6">
        <v>7</v>
      </c>
      <c r="J45">
        <v>0</v>
      </c>
      <c r="K45">
        <v>4.71</v>
      </c>
      <c r="L45">
        <f t="shared" si="4"/>
        <v>0</v>
      </c>
      <c r="M45">
        <v>1.8898223650461301</v>
      </c>
      <c r="N45" s="2" t="s">
        <v>153</v>
      </c>
      <c r="P45" t="s">
        <v>116</v>
      </c>
      <c r="Q45">
        <v>5</v>
      </c>
      <c r="R45">
        <v>0</v>
      </c>
      <c r="S45">
        <v>5.4</v>
      </c>
      <c r="T45">
        <v>0</v>
      </c>
      <c r="V45" s="18" t="s">
        <v>116</v>
      </c>
      <c r="W45">
        <v>7</v>
      </c>
      <c r="X45">
        <f t="shared" si="5"/>
        <v>2</v>
      </c>
      <c r="Y45">
        <v>0</v>
      </c>
      <c r="Z45">
        <f t="shared" si="6"/>
        <v>0</v>
      </c>
      <c r="AA45">
        <v>4.71</v>
      </c>
      <c r="AB45">
        <f t="shared" si="7"/>
        <v>-0.69000000000000039</v>
      </c>
    </row>
    <row r="46" spans="1:28" x14ac:dyDescent="0.35">
      <c r="A46" t="s">
        <v>13</v>
      </c>
      <c r="B46">
        <v>20</v>
      </c>
      <c r="C46">
        <v>1</v>
      </c>
      <c r="D46">
        <v>4.95</v>
      </c>
      <c r="E46">
        <v>0.05</v>
      </c>
      <c r="F46">
        <v>2.1392325234704299</v>
      </c>
      <c r="G46" s="3" t="s">
        <v>46</v>
      </c>
      <c r="H46" t="s">
        <v>37</v>
      </c>
      <c r="I46">
        <v>14</v>
      </c>
      <c r="J46">
        <v>2</v>
      </c>
      <c r="K46">
        <v>4.79</v>
      </c>
      <c r="L46">
        <f t="shared" si="4"/>
        <v>0.14285714285714285</v>
      </c>
      <c r="M46">
        <v>2.4235565546581199</v>
      </c>
      <c r="N46" s="3" t="s">
        <v>55</v>
      </c>
      <c r="P46" t="s">
        <v>5</v>
      </c>
      <c r="Q46">
        <v>3</v>
      </c>
      <c r="R46">
        <v>0</v>
      </c>
      <c r="S46">
        <v>5</v>
      </c>
      <c r="T46">
        <v>0</v>
      </c>
      <c r="V46" s="18" t="s">
        <v>5</v>
      </c>
      <c r="W46">
        <v>7</v>
      </c>
      <c r="X46">
        <f t="shared" si="5"/>
        <v>4</v>
      </c>
      <c r="Y46">
        <v>0</v>
      </c>
      <c r="Z46">
        <f t="shared" si="6"/>
        <v>0</v>
      </c>
      <c r="AA46">
        <v>4.71</v>
      </c>
      <c r="AB46">
        <f t="shared" si="7"/>
        <v>-0.29000000000000004</v>
      </c>
    </row>
    <row r="47" spans="1:28" x14ac:dyDescent="0.35">
      <c r="A47" t="s">
        <v>125</v>
      </c>
      <c r="B47">
        <v>7</v>
      </c>
      <c r="C47">
        <v>0</v>
      </c>
      <c r="D47">
        <v>5</v>
      </c>
      <c r="E47">
        <v>0</v>
      </c>
      <c r="F47">
        <v>2.3664319132398401</v>
      </c>
      <c r="G47" s="3"/>
      <c r="H47" t="s">
        <v>230</v>
      </c>
      <c r="I47">
        <v>5</v>
      </c>
      <c r="J47">
        <v>1</v>
      </c>
      <c r="K47">
        <v>4.8</v>
      </c>
      <c r="L47">
        <f t="shared" si="4"/>
        <v>0.2</v>
      </c>
      <c r="M47">
        <v>2.3731557327466102</v>
      </c>
      <c r="N47" s="3" t="s">
        <v>55</v>
      </c>
      <c r="P47" t="s">
        <v>58</v>
      </c>
      <c r="Q47">
        <v>3</v>
      </c>
      <c r="R47">
        <v>0</v>
      </c>
      <c r="S47">
        <v>4</v>
      </c>
      <c r="T47">
        <v>0</v>
      </c>
      <c r="V47" s="18" t="s">
        <v>58</v>
      </c>
      <c r="W47">
        <v>6</v>
      </c>
      <c r="X47">
        <f t="shared" si="5"/>
        <v>3</v>
      </c>
      <c r="Y47">
        <v>0</v>
      </c>
      <c r="Z47">
        <f t="shared" si="6"/>
        <v>0</v>
      </c>
      <c r="AA47">
        <v>4.33</v>
      </c>
      <c r="AB47">
        <f t="shared" si="7"/>
        <v>0.33000000000000007</v>
      </c>
    </row>
    <row r="48" spans="1:28" x14ac:dyDescent="0.35">
      <c r="A48" t="s">
        <v>34</v>
      </c>
      <c r="B48">
        <v>5</v>
      </c>
      <c r="C48">
        <v>1</v>
      </c>
      <c r="D48">
        <v>5</v>
      </c>
      <c r="E48">
        <v>0.2</v>
      </c>
      <c r="F48">
        <v>2.2360679774997898</v>
      </c>
      <c r="G48" s="3"/>
      <c r="H48" t="s">
        <v>30</v>
      </c>
      <c r="I48">
        <v>11</v>
      </c>
      <c r="J48">
        <v>2</v>
      </c>
      <c r="K48">
        <v>4.82</v>
      </c>
      <c r="L48">
        <f t="shared" si="4"/>
        <v>0.18181818181818182</v>
      </c>
      <c r="M48">
        <v>2.5226248955475601</v>
      </c>
      <c r="N48" s="3" t="s">
        <v>55</v>
      </c>
      <c r="P48" t="s">
        <v>30</v>
      </c>
      <c r="Q48">
        <v>6</v>
      </c>
      <c r="R48">
        <v>1</v>
      </c>
      <c r="S48">
        <v>5</v>
      </c>
      <c r="T48">
        <v>0.17</v>
      </c>
      <c r="V48" s="18" t="s">
        <v>30</v>
      </c>
      <c r="W48">
        <v>11</v>
      </c>
      <c r="X48">
        <f t="shared" si="5"/>
        <v>5</v>
      </c>
      <c r="Y48">
        <v>2</v>
      </c>
      <c r="Z48" s="18">
        <f t="shared" si="6"/>
        <v>1</v>
      </c>
      <c r="AA48">
        <v>4.82</v>
      </c>
      <c r="AB48">
        <f t="shared" si="7"/>
        <v>-0.17999999999999972</v>
      </c>
    </row>
    <row r="49" spans="1:28" x14ac:dyDescent="0.35">
      <c r="A49" t="s">
        <v>175</v>
      </c>
      <c r="B49">
        <v>5</v>
      </c>
      <c r="C49">
        <v>0</v>
      </c>
      <c r="D49">
        <v>5</v>
      </c>
      <c r="E49">
        <v>0</v>
      </c>
      <c r="F49">
        <v>2</v>
      </c>
      <c r="H49" t="s">
        <v>13</v>
      </c>
      <c r="I49">
        <v>20</v>
      </c>
      <c r="J49">
        <v>1</v>
      </c>
      <c r="K49">
        <v>4.95</v>
      </c>
      <c r="L49">
        <f t="shared" si="4"/>
        <v>0.05</v>
      </c>
      <c r="M49">
        <v>2.1392325234704299</v>
      </c>
      <c r="N49" s="3" t="s">
        <v>54</v>
      </c>
      <c r="P49" t="s">
        <v>29</v>
      </c>
      <c r="Q49">
        <v>8</v>
      </c>
      <c r="R49">
        <v>0</v>
      </c>
      <c r="S49">
        <v>5.25</v>
      </c>
      <c r="T49">
        <v>0</v>
      </c>
      <c r="V49" s="18" t="s">
        <v>29</v>
      </c>
      <c r="W49">
        <v>20</v>
      </c>
      <c r="X49">
        <f t="shared" si="5"/>
        <v>12</v>
      </c>
      <c r="Y49">
        <v>1</v>
      </c>
      <c r="Z49" s="18">
        <f t="shared" si="6"/>
        <v>1</v>
      </c>
      <c r="AA49">
        <v>4.4000000000000004</v>
      </c>
      <c r="AB49" s="7">
        <f t="shared" si="7"/>
        <v>-0.84999999999999964</v>
      </c>
    </row>
    <row r="50" spans="1:28" x14ac:dyDescent="0.35">
      <c r="A50" t="s">
        <v>116</v>
      </c>
      <c r="B50">
        <v>6</v>
      </c>
      <c r="C50">
        <v>0</v>
      </c>
      <c r="D50">
        <v>5</v>
      </c>
      <c r="E50">
        <v>0</v>
      </c>
      <c r="F50">
        <v>1.67332005306815</v>
      </c>
      <c r="H50" t="s">
        <v>125</v>
      </c>
      <c r="I50">
        <v>7</v>
      </c>
      <c r="J50">
        <v>0</v>
      </c>
      <c r="K50">
        <v>5</v>
      </c>
      <c r="L50">
        <f t="shared" si="4"/>
        <v>0</v>
      </c>
      <c r="M50">
        <v>2.3664319132398401</v>
      </c>
      <c r="N50" s="3" t="s">
        <v>54</v>
      </c>
      <c r="P50" t="s">
        <v>148</v>
      </c>
      <c r="Q50">
        <v>6</v>
      </c>
      <c r="R50">
        <v>0</v>
      </c>
      <c r="S50">
        <v>3.83</v>
      </c>
      <c r="T50">
        <v>0</v>
      </c>
      <c r="V50" s="18" t="s">
        <v>148</v>
      </c>
      <c r="W50">
        <v>8</v>
      </c>
      <c r="X50">
        <f t="shared" si="5"/>
        <v>2</v>
      </c>
      <c r="Y50">
        <v>0</v>
      </c>
      <c r="Z50">
        <f t="shared" si="6"/>
        <v>0</v>
      </c>
      <c r="AA50">
        <v>4.25</v>
      </c>
      <c r="AB50">
        <f t="shared" si="7"/>
        <v>0.41999999999999993</v>
      </c>
    </row>
    <row r="51" spans="1:28" x14ac:dyDescent="0.35">
      <c r="A51" t="s">
        <v>197</v>
      </c>
      <c r="B51">
        <v>8</v>
      </c>
      <c r="C51">
        <v>0</v>
      </c>
      <c r="D51">
        <v>5</v>
      </c>
      <c r="E51">
        <v>0</v>
      </c>
      <c r="F51">
        <v>2.39045721866878</v>
      </c>
      <c r="H51" t="s">
        <v>25</v>
      </c>
      <c r="I51" s="6">
        <v>42</v>
      </c>
      <c r="J51">
        <v>3</v>
      </c>
      <c r="K51">
        <v>5</v>
      </c>
      <c r="L51">
        <f t="shared" si="4"/>
        <v>7.1428571428571425E-2</v>
      </c>
      <c r="M51">
        <v>2.1609054109613202</v>
      </c>
      <c r="N51" s="2" t="s">
        <v>161</v>
      </c>
      <c r="P51" t="s">
        <v>9</v>
      </c>
      <c r="Q51">
        <v>3</v>
      </c>
      <c r="R51">
        <v>1</v>
      </c>
      <c r="S51">
        <v>3.67</v>
      </c>
      <c r="T51">
        <v>0.33</v>
      </c>
      <c r="V51" s="18" t="s">
        <v>9</v>
      </c>
      <c r="W51">
        <v>9</v>
      </c>
      <c r="X51">
        <f t="shared" si="5"/>
        <v>6</v>
      </c>
      <c r="Y51">
        <v>1</v>
      </c>
      <c r="Z51">
        <f t="shared" si="6"/>
        <v>0</v>
      </c>
      <c r="AA51">
        <v>3.89</v>
      </c>
      <c r="AB51">
        <f t="shared" si="7"/>
        <v>0.2200000000000002</v>
      </c>
    </row>
    <row r="52" spans="1:28" x14ac:dyDescent="0.35">
      <c r="A52" t="s">
        <v>123</v>
      </c>
      <c r="B52">
        <v>6</v>
      </c>
      <c r="C52">
        <v>0</v>
      </c>
      <c r="D52">
        <v>5</v>
      </c>
      <c r="E52">
        <v>0</v>
      </c>
      <c r="F52">
        <v>2</v>
      </c>
      <c r="H52" t="s">
        <v>34</v>
      </c>
      <c r="I52">
        <v>5</v>
      </c>
      <c r="J52">
        <v>1</v>
      </c>
      <c r="K52">
        <v>5</v>
      </c>
      <c r="L52">
        <f t="shared" si="4"/>
        <v>0.2</v>
      </c>
      <c r="M52">
        <v>2.2360679774997898</v>
      </c>
      <c r="N52" s="3" t="s">
        <v>54</v>
      </c>
      <c r="P52" t="s">
        <v>139</v>
      </c>
      <c r="Q52">
        <v>3</v>
      </c>
      <c r="R52">
        <v>0</v>
      </c>
      <c r="S52">
        <v>4.67</v>
      </c>
      <c r="T52">
        <v>0</v>
      </c>
      <c r="V52" s="18" t="s">
        <v>139</v>
      </c>
      <c r="W52">
        <v>14</v>
      </c>
      <c r="X52">
        <f t="shared" si="5"/>
        <v>11</v>
      </c>
      <c r="Y52">
        <v>2</v>
      </c>
      <c r="Z52" s="18">
        <f t="shared" si="6"/>
        <v>2</v>
      </c>
      <c r="AA52">
        <v>3.86</v>
      </c>
      <c r="AB52">
        <f t="shared" si="7"/>
        <v>-0.81</v>
      </c>
    </row>
    <row r="53" spans="1:28" x14ac:dyDescent="0.35">
      <c r="A53" t="s">
        <v>16</v>
      </c>
      <c r="B53">
        <v>7</v>
      </c>
      <c r="C53">
        <v>1</v>
      </c>
      <c r="D53">
        <v>5</v>
      </c>
      <c r="E53">
        <v>0.14000000000000001</v>
      </c>
      <c r="F53">
        <v>2.3094010767584998</v>
      </c>
      <c r="H53" t="s">
        <v>175</v>
      </c>
      <c r="I53">
        <v>5</v>
      </c>
      <c r="J53">
        <v>0</v>
      </c>
      <c r="K53">
        <v>5</v>
      </c>
      <c r="L53">
        <f t="shared" si="4"/>
        <v>0</v>
      </c>
      <c r="M53">
        <v>2</v>
      </c>
      <c r="N53" s="3" t="s">
        <v>54</v>
      </c>
      <c r="P53" t="s">
        <v>23</v>
      </c>
      <c r="Q53">
        <v>9</v>
      </c>
      <c r="R53">
        <v>0</v>
      </c>
      <c r="S53">
        <v>4.4400000000000004</v>
      </c>
      <c r="T53">
        <v>0</v>
      </c>
      <c r="V53" s="18" t="s">
        <v>23</v>
      </c>
      <c r="W53">
        <v>13</v>
      </c>
      <c r="X53">
        <f t="shared" si="5"/>
        <v>4</v>
      </c>
      <c r="Y53">
        <v>0</v>
      </c>
      <c r="Z53">
        <f t="shared" si="6"/>
        <v>0</v>
      </c>
      <c r="AA53">
        <v>4.54</v>
      </c>
      <c r="AB53">
        <f t="shared" si="7"/>
        <v>9.9999999999999645E-2</v>
      </c>
    </row>
    <row r="54" spans="1:28" x14ac:dyDescent="0.35">
      <c r="A54" t="s">
        <v>51</v>
      </c>
      <c r="B54">
        <v>19</v>
      </c>
      <c r="C54">
        <v>1</v>
      </c>
      <c r="D54">
        <v>5.05</v>
      </c>
      <c r="E54">
        <v>0.05</v>
      </c>
      <c r="F54">
        <v>2.2967049878400898</v>
      </c>
      <c r="H54" t="s">
        <v>197</v>
      </c>
      <c r="I54">
        <v>8</v>
      </c>
      <c r="J54">
        <v>0</v>
      </c>
      <c r="K54">
        <v>5</v>
      </c>
      <c r="L54">
        <f t="shared" si="4"/>
        <v>0</v>
      </c>
      <c r="M54">
        <v>2.39045721866878</v>
      </c>
      <c r="N54" s="3" t="s">
        <v>54</v>
      </c>
      <c r="P54" t="s">
        <v>197</v>
      </c>
      <c r="Q54">
        <v>3</v>
      </c>
      <c r="R54">
        <v>0</v>
      </c>
      <c r="S54">
        <v>5.33</v>
      </c>
      <c r="T54">
        <v>0</v>
      </c>
      <c r="V54" s="18" t="s">
        <v>197</v>
      </c>
      <c r="W54">
        <v>8</v>
      </c>
      <c r="X54">
        <f t="shared" si="5"/>
        <v>5</v>
      </c>
      <c r="Y54">
        <v>0</v>
      </c>
      <c r="Z54">
        <f t="shared" si="6"/>
        <v>0</v>
      </c>
      <c r="AA54">
        <v>5</v>
      </c>
      <c r="AB54">
        <f t="shared" si="7"/>
        <v>-0.33000000000000007</v>
      </c>
    </row>
    <row r="55" spans="1:28" x14ac:dyDescent="0.35">
      <c r="A55" t="s">
        <v>99</v>
      </c>
      <c r="B55">
        <v>9</v>
      </c>
      <c r="C55">
        <v>1</v>
      </c>
      <c r="D55">
        <v>5.1100000000000003</v>
      </c>
      <c r="E55">
        <v>0.11</v>
      </c>
      <c r="F55">
        <v>2.4720661623652198</v>
      </c>
      <c r="G55" s="2" t="s">
        <v>44</v>
      </c>
      <c r="H55" t="s">
        <v>123</v>
      </c>
      <c r="I55">
        <v>6</v>
      </c>
      <c r="J55">
        <v>0</v>
      </c>
      <c r="K55">
        <v>5</v>
      </c>
      <c r="L55">
        <f t="shared" si="4"/>
        <v>0</v>
      </c>
      <c r="M55">
        <v>2</v>
      </c>
      <c r="N55" s="3" t="s">
        <v>54</v>
      </c>
      <c r="P55" t="s">
        <v>79</v>
      </c>
      <c r="Q55">
        <v>10</v>
      </c>
      <c r="R55">
        <v>0</v>
      </c>
      <c r="S55">
        <v>4.5999999999999996</v>
      </c>
      <c r="T55">
        <v>0</v>
      </c>
      <c r="V55" s="18" t="s">
        <v>79</v>
      </c>
      <c r="W55">
        <v>15</v>
      </c>
      <c r="X55">
        <f t="shared" si="5"/>
        <v>5</v>
      </c>
      <c r="Y55">
        <v>0</v>
      </c>
      <c r="Z55">
        <f t="shared" si="6"/>
        <v>0</v>
      </c>
      <c r="AA55">
        <v>5.33</v>
      </c>
      <c r="AB55">
        <f t="shared" si="7"/>
        <v>0.73000000000000043</v>
      </c>
    </row>
    <row r="56" spans="1:28" x14ac:dyDescent="0.35">
      <c r="A56" t="s">
        <v>49</v>
      </c>
      <c r="B56">
        <v>7</v>
      </c>
      <c r="C56">
        <v>1</v>
      </c>
      <c r="D56">
        <v>5.14</v>
      </c>
      <c r="E56">
        <v>0.14000000000000001</v>
      </c>
      <c r="F56">
        <v>2.79455252402308</v>
      </c>
      <c r="G56" s="2" t="s">
        <v>44</v>
      </c>
      <c r="H56" t="s">
        <v>16</v>
      </c>
      <c r="I56">
        <v>7</v>
      </c>
      <c r="J56">
        <v>1</v>
      </c>
      <c r="K56">
        <v>5</v>
      </c>
      <c r="L56">
        <f t="shared" si="4"/>
        <v>0.14285714285714285</v>
      </c>
      <c r="M56">
        <v>2.3094010767584998</v>
      </c>
      <c r="N56" s="3" t="s">
        <v>54</v>
      </c>
      <c r="P56" t="s">
        <v>17</v>
      </c>
      <c r="Q56">
        <v>6</v>
      </c>
      <c r="R56">
        <v>1</v>
      </c>
      <c r="S56">
        <v>5.17</v>
      </c>
      <c r="T56">
        <v>0.17</v>
      </c>
      <c r="V56" s="18" t="s">
        <v>17</v>
      </c>
      <c r="W56">
        <v>6</v>
      </c>
      <c r="X56">
        <f t="shared" si="5"/>
        <v>0</v>
      </c>
      <c r="Y56">
        <v>1</v>
      </c>
      <c r="Z56">
        <f t="shared" si="6"/>
        <v>0</v>
      </c>
      <c r="AA56">
        <v>5.17</v>
      </c>
      <c r="AB56">
        <f t="shared" si="7"/>
        <v>0</v>
      </c>
    </row>
    <row r="57" spans="1:28" x14ac:dyDescent="0.35">
      <c r="A57" t="s">
        <v>25</v>
      </c>
      <c r="B57" s="6">
        <v>36</v>
      </c>
      <c r="C57">
        <v>3</v>
      </c>
      <c r="D57">
        <v>5.17</v>
      </c>
      <c r="E57">
        <v>0.08</v>
      </c>
      <c r="F57">
        <v>2.2638462845343499</v>
      </c>
      <c r="G57" s="3" t="s">
        <v>45</v>
      </c>
      <c r="H57" t="s">
        <v>51</v>
      </c>
      <c r="I57">
        <v>19</v>
      </c>
      <c r="J57">
        <v>1</v>
      </c>
      <c r="K57">
        <v>5.05</v>
      </c>
      <c r="L57">
        <f t="shared" si="4"/>
        <v>5.2631578947368418E-2</v>
      </c>
      <c r="M57">
        <v>2.2967049878400898</v>
      </c>
      <c r="N57" s="3" t="s">
        <v>54</v>
      </c>
      <c r="P57" t="s">
        <v>123</v>
      </c>
      <c r="Q57">
        <v>3</v>
      </c>
      <c r="R57">
        <v>0</v>
      </c>
      <c r="S57">
        <v>5.33</v>
      </c>
      <c r="T57">
        <v>0</v>
      </c>
      <c r="V57" s="18" t="s">
        <v>123</v>
      </c>
      <c r="W57">
        <v>6</v>
      </c>
      <c r="X57">
        <f t="shared" si="5"/>
        <v>3</v>
      </c>
      <c r="Y57">
        <v>0</v>
      </c>
      <c r="Z57">
        <f t="shared" si="6"/>
        <v>0</v>
      </c>
      <c r="AA57">
        <v>5</v>
      </c>
      <c r="AB57">
        <f t="shared" si="7"/>
        <v>-0.33000000000000007</v>
      </c>
    </row>
    <row r="58" spans="1:28" x14ac:dyDescent="0.35">
      <c r="A58" t="s">
        <v>5</v>
      </c>
      <c r="B58">
        <v>6</v>
      </c>
      <c r="C58">
        <v>0</v>
      </c>
      <c r="D58">
        <v>5.17</v>
      </c>
      <c r="E58">
        <v>0</v>
      </c>
      <c r="F58">
        <v>1.60208197875972</v>
      </c>
      <c r="H58" t="s">
        <v>49</v>
      </c>
      <c r="I58">
        <v>7</v>
      </c>
      <c r="J58">
        <v>1</v>
      </c>
      <c r="K58">
        <v>5.14</v>
      </c>
      <c r="L58">
        <f t="shared" si="4"/>
        <v>0.14285714285714285</v>
      </c>
      <c r="M58">
        <v>2.79455252402308</v>
      </c>
      <c r="N58" s="3" t="s">
        <v>45</v>
      </c>
      <c r="P58" t="s">
        <v>12</v>
      </c>
      <c r="Q58">
        <v>4</v>
      </c>
      <c r="R58">
        <v>0</v>
      </c>
      <c r="S58">
        <v>5.75</v>
      </c>
      <c r="T58">
        <v>0</v>
      </c>
      <c r="V58" s="18" t="s">
        <v>12</v>
      </c>
      <c r="W58">
        <v>8</v>
      </c>
      <c r="X58">
        <f t="shared" si="5"/>
        <v>4</v>
      </c>
      <c r="Y58">
        <v>0</v>
      </c>
      <c r="Z58">
        <f t="shared" si="6"/>
        <v>0</v>
      </c>
      <c r="AA58">
        <v>5.63</v>
      </c>
      <c r="AB58">
        <f t="shared" si="7"/>
        <v>-0.12000000000000011</v>
      </c>
    </row>
    <row r="59" spans="1:28" x14ac:dyDescent="0.35">
      <c r="A59" t="s">
        <v>17</v>
      </c>
      <c r="B59">
        <v>6</v>
      </c>
      <c r="C59">
        <v>1</v>
      </c>
      <c r="D59">
        <v>5.17</v>
      </c>
      <c r="E59">
        <v>0.17</v>
      </c>
      <c r="F59">
        <v>2.4832774042918899</v>
      </c>
      <c r="H59" t="s">
        <v>17</v>
      </c>
      <c r="I59">
        <v>6</v>
      </c>
      <c r="J59">
        <v>1</v>
      </c>
      <c r="K59">
        <v>5.17</v>
      </c>
      <c r="L59">
        <f t="shared" si="4"/>
        <v>0.16666666666666666</v>
      </c>
      <c r="M59">
        <v>2.4832774042918899</v>
      </c>
      <c r="P59" t="s">
        <v>16</v>
      </c>
      <c r="Q59">
        <v>4</v>
      </c>
      <c r="R59">
        <v>0</v>
      </c>
      <c r="S59">
        <v>5.25</v>
      </c>
      <c r="T59">
        <v>0</v>
      </c>
      <c r="V59" s="18" t="s">
        <v>16</v>
      </c>
      <c r="W59">
        <v>7</v>
      </c>
      <c r="X59">
        <f t="shared" si="5"/>
        <v>3</v>
      </c>
      <c r="Y59">
        <v>1</v>
      </c>
      <c r="Z59" s="18">
        <f t="shared" si="6"/>
        <v>1</v>
      </c>
      <c r="AA59">
        <v>5</v>
      </c>
      <c r="AB59">
        <f t="shared" si="7"/>
        <v>-0.25</v>
      </c>
    </row>
    <row r="60" spans="1:28" x14ac:dyDescent="0.35">
      <c r="A60" t="s">
        <v>87</v>
      </c>
      <c r="B60">
        <v>5</v>
      </c>
      <c r="C60">
        <v>0</v>
      </c>
      <c r="D60">
        <v>5.2</v>
      </c>
      <c r="E60">
        <v>0</v>
      </c>
      <c r="F60">
        <v>1.7888543819998299</v>
      </c>
      <c r="H60" t="s">
        <v>110</v>
      </c>
      <c r="I60" s="6">
        <v>6</v>
      </c>
      <c r="J60">
        <v>0</v>
      </c>
      <c r="K60">
        <v>5.17</v>
      </c>
      <c r="L60">
        <f t="shared" si="4"/>
        <v>0</v>
      </c>
      <c r="M60">
        <v>1.9407902170679501</v>
      </c>
      <c r="N60" s="3" t="s">
        <v>85</v>
      </c>
      <c r="P60" t="s">
        <v>89</v>
      </c>
      <c r="Q60">
        <v>4</v>
      </c>
      <c r="R60">
        <v>0</v>
      </c>
      <c r="S60">
        <v>5.5</v>
      </c>
      <c r="T60">
        <v>0</v>
      </c>
      <c r="V60" s="18" t="s">
        <v>89</v>
      </c>
      <c r="W60">
        <v>6</v>
      </c>
      <c r="X60">
        <f t="shared" si="5"/>
        <v>2</v>
      </c>
      <c r="Y60">
        <v>0</v>
      </c>
      <c r="Z60">
        <f t="shared" si="6"/>
        <v>0</v>
      </c>
      <c r="AA60">
        <v>5.67</v>
      </c>
      <c r="AB60">
        <f t="shared" si="7"/>
        <v>0.16999999999999993</v>
      </c>
    </row>
    <row r="61" spans="1:28" x14ac:dyDescent="0.35">
      <c r="A61" t="s">
        <v>79</v>
      </c>
      <c r="B61">
        <v>14</v>
      </c>
      <c r="C61">
        <v>0</v>
      </c>
      <c r="D61">
        <v>5.21</v>
      </c>
      <c r="E61">
        <v>0</v>
      </c>
      <c r="F61">
        <v>2.0821058655036802</v>
      </c>
      <c r="H61" t="s">
        <v>87</v>
      </c>
      <c r="I61">
        <v>5</v>
      </c>
      <c r="J61">
        <v>0</v>
      </c>
      <c r="K61">
        <v>5.2</v>
      </c>
      <c r="L61">
        <f t="shared" si="4"/>
        <v>0</v>
      </c>
      <c r="M61">
        <v>1.7888543819998299</v>
      </c>
      <c r="N61" s="3" t="s">
        <v>46</v>
      </c>
      <c r="P61" t="s">
        <v>22</v>
      </c>
      <c r="Q61">
        <v>58</v>
      </c>
      <c r="R61">
        <v>9</v>
      </c>
      <c r="S61">
        <v>4.1900000000000004</v>
      </c>
      <c r="T61">
        <v>0.16</v>
      </c>
      <c r="V61" s="18" t="s">
        <v>22</v>
      </c>
      <c r="W61">
        <v>102</v>
      </c>
      <c r="X61" s="7">
        <f t="shared" si="5"/>
        <v>44</v>
      </c>
      <c r="Y61">
        <v>14</v>
      </c>
      <c r="Z61" s="18">
        <f t="shared" si="6"/>
        <v>5</v>
      </c>
      <c r="AA61">
        <v>4.25</v>
      </c>
      <c r="AB61">
        <f t="shared" si="7"/>
        <v>5.9999999999999609E-2</v>
      </c>
    </row>
    <row r="62" spans="1:28" x14ac:dyDescent="0.35">
      <c r="A62" t="s">
        <v>1</v>
      </c>
      <c r="B62">
        <v>23</v>
      </c>
      <c r="C62">
        <v>1</v>
      </c>
      <c r="D62">
        <v>5.22</v>
      </c>
      <c r="E62">
        <v>0.04</v>
      </c>
      <c r="F62">
        <v>2.1310800023191399</v>
      </c>
      <c r="H62" t="s">
        <v>1</v>
      </c>
      <c r="I62" s="6">
        <v>25</v>
      </c>
      <c r="J62">
        <v>1</v>
      </c>
      <c r="K62">
        <v>5.2</v>
      </c>
      <c r="L62">
        <f t="shared" si="4"/>
        <v>0.04</v>
      </c>
      <c r="M62">
        <v>2.0412414523193099</v>
      </c>
      <c r="P62" t="s">
        <v>135</v>
      </c>
      <c r="Q62">
        <v>3</v>
      </c>
      <c r="R62">
        <v>1</v>
      </c>
      <c r="S62">
        <v>4</v>
      </c>
      <c r="T62">
        <v>0.33</v>
      </c>
      <c r="V62" s="18" t="s">
        <v>135</v>
      </c>
      <c r="W62">
        <v>5</v>
      </c>
      <c r="X62">
        <f t="shared" si="5"/>
        <v>2</v>
      </c>
      <c r="Y62">
        <v>1</v>
      </c>
      <c r="Z62">
        <f t="shared" si="6"/>
        <v>0</v>
      </c>
      <c r="AA62">
        <v>4.2</v>
      </c>
      <c r="AB62">
        <f t="shared" si="7"/>
        <v>0.20000000000000018</v>
      </c>
    </row>
    <row r="63" spans="1:28" x14ac:dyDescent="0.35">
      <c r="A63" t="s">
        <v>137</v>
      </c>
      <c r="B63">
        <v>6</v>
      </c>
      <c r="C63">
        <v>0</v>
      </c>
      <c r="D63">
        <v>5.33</v>
      </c>
      <c r="E63">
        <v>0</v>
      </c>
      <c r="F63">
        <v>1.8618986725025199</v>
      </c>
      <c r="H63" t="s">
        <v>31</v>
      </c>
      <c r="I63" s="6">
        <v>9</v>
      </c>
      <c r="J63">
        <v>0</v>
      </c>
      <c r="K63">
        <v>5.33</v>
      </c>
      <c r="L63">
        <f t="shared" si="4"/>
        <v>0</v>
      </c>
      <c r="M63">
        <v>1.87082869338697</v>
      </c>
      <c r="N63" s="2" t="s">
        <v>47</v>
      </c>
      <c r="P63" t="s">
        <v>110</v>
      </c>
      <c r="Q63">
        <v>3</v>
      </c>
      <c r="R63">
        <v>0</v>
      </c>
      <c r="S63">
        <v>5.33</v>
      </c>
      <c r="T63">
        <v>0</v>
      </c>
      <c r="V63" s="18" t="s">
        <v>110</v>
      </c>
      <c r="W63">
        <v>6</v>
      </c>
      <c r="X63">
        <f t="shared" si="5"/>
        <v>3</v>
      </c>
      <c r="Y63">
        <v>0</v>
      </c>
      <c r="Z63">
        <f t="shared" si="6"/>
        <v>0</v>
      </c>
      <c r="AA63">
        <v>5.17</v>
      </c>
      <c r="AB63">
        <f t="shared" si="7"/>
        <v>-0.16000000000000014</v>
      </c>
    </row>
    <row r="64" spans="1:28" x14ac:dyDescent="0.35">
      <c r="A64" t="s">
        <v>6</v>
      </c>
      <c r="B64">
        <v>38</v>
      </c>
      <c r="C64">
        <v>3</v>
      </c>
      <c r="D64">
        <v>5.42</v>
      </c>
      <c r="E64">
        <v>0.08</v>
      </c>
      <c r="F64">
        <v>2.3299294900428702</v>
      </c>
      <c r="H64" t="s">
        <v>79</v>
      </c>
      <c r="I64" s="6">
        <v>15</v>
      </c>
      <c r="J64">
        <v>0</v>
      </c>
      <c r="K64">
        <v>5.33</v>
      </c>
      <c r="L64">
        <f t="shared" si="4"/>
        <v>0</v>
      </c>
      <c r="M64">
        <v>2.05866345916355</v>
      </c>
      <c r="N64" s="3" t="s">
        <v>54</v>
      </c>
      <c r="P64" t="s">
        <v>82</v>
      </c>
      <c r="Q64">
        <v>3</v>
      </c>
      <c r="R64">
        <v>0</v>
      </c>
      <c r="S64">
        <v>5.67</v>
      </c>
      <c r="T64">
        <v>0</v>
      </c>
      <c r="V64" s="18" t="s">
        <v>82</v>
      </c>
      <c r="W64">
        <v>6</v>
      </c>
      <c r="X64">
        <f t="shared" si="5"/>
        <v>3</v>
      </c>
      <c r="Y64">
        <v>0</v>
      </c>
      <c r="Z64">
        <f t="shared" si="6"/>
        <v>0</v>
      </c>
      <c r="AA64">
        <v>6</v>
      </c>
      <c r="AB64">
        <f t="shared" si="7"/>
        <v>0.33000000000000007</v>
      </c>
    </row>
    <row r="65" spans="1:28" x14ac:dyDescent="0.35">
      <c r="A65" t="s">
        <v>31</v>
      </c>
      <c r="B65">
        <v>8</v>
      </c>
      <c r="C65">
        <v>0</v>
      </c>
      <c r="D65">
        <v>5.5</v>
      </c>
      <c r="E65">
        <v>0</v>
      </c>
      <c r="F65">
        <v>1.9272482233188599</v>
      </c>
      <c r="H65" t="s">
        <v>137</v>
      </c>
      <c r="I65">
        <v>6</v>
      </c>
      <c r="J65">
        <v>0</v>
      </c>
      <c r="K65">
        <v>5.33</v>
      </c>
      <c r="L65">
        <f t="shared" si="4"/>
        <v>0</v>
      </c>
      <c r="M65">
        <v>1.8618986725025199</v>
      </c>
      <c r="N65" s="3" t="s">
        <v>45</v>
      </c>
      <c r="P65" t="s">
        <v>33</v>
      </c>
      <c r="Q65">
        <v>3</v>
      </c>
      <c r="R65">
        <v>0</v>
      </c>
      <c r="S65">
        <v>5.33</v>
      </c>
      <c r="T65">
        <v>0</v>
      </c>
      <c r="V65" s="18" t="s">
        <v>33</v>
      </c>
      <c r="W65">
        <v>10</v>
      </c>
      <c r="X65">
        <f t="shared" si="5"/>
        <v>7</v>
      </c>
      <c r="Y65">
        <v>0</v>
      </c>
      <c r="Z65">
        <f t="shared" si="6"/>
        <v>0</v>
      </c>
      <c r="AA65">
        <v>6.2</v>
      </c>
      <c r="AB65">
        <f t="shared" si="7"/>
        <v>0.87000000000000011</v>
      </c>
    </row>
    <row r="66" spans="1:28" x14ac:dyDescent="0.35">
      <c r="A66" t="s">
        <v>19</v>
      </c>
      <c r="B66">
        <v>8</v>
      </c>
      <c r="C66">
        <v>1</v>
      </c>
      <c r="D66">
        <v>5.5</v>
      </c>
      <c r="E66">
        <v>0.13</v>
      </c>
      <c r="F66">
        <v>2.3021728866442599</v>
      </c>
      <c r="H66" t="s">
        <v>6</v>
      </c>
      <c r="I66">
        <v>38</v>
      </c>
      <c r="J66">
        <v>3</v>
      </c>
      <c r="K66">
        <v>5.42</v>
      </c>
      <c r="L66">
        <f t="shared" ref="L66:L78" si="8">J66/I66</f>
        <v>7.8947368421052627E-2</v>
      </c>
      <c r="M66">
        <v>2.1514492783133501</v>
      </c>
      <c r="N66" s="3" t="s">
        <v>45</v>
      </c>
      <c r="P66" t="s">
        <v>99</v>
      </c>
      <c r="Q66">
        <v>9</v>
      </c>
      <c r="R66">
        <v>1</v>
      </c>
      <c r="S66">
        <v>5.1100000000000003</v>
      </c>
      <c r="T66">
        <v>0.11</v>
      </c>
      <c r="V66" s="18" t="s">
        <v>99</v>
      </c>
      <c r="W66">
        <v>10</v>
      </c>
      <c r="X66">
        <f t="shared" ref="X66:X78" si="9">W66-Q66</f>
        <v>1</v>
      </c>
      <c r="Y66">
        <v>2</v>
      </c>
      <c r="Z66" s="18">
        <f t="shared" ref="Z66:Z78" si="10">Y66-R66</f>
        <v>1</v>
      </c>
      <c r="AA66">
        <v>4.7</v>
      </c>
      <c r="AB66">
        <f t="shared" ref="AB66:AB78" si="11">AA66-S66</f>
        <v>-0.41000000000000014</v>
      </c>
    </row>
    <row r="67" spans="1:28" x14ac:dyDescent="0.35">
      <c r="A67" t="s">
        <v>124</v>
      </c>
      <c r="B67">
        <v>6</v>
      </c>
      <c r="C67">
        <v>0</v>
      </c>
      <c r="D67">
        <v>5.5</v>
      </c>
      <c r="E67">
        <v>0</v>
      </c>
      <c r="F67">
        <v>2.16794833886788</v>
      </c>
      <c r="H67" t="s">
        <v>19</v>
      </c>
      <c r="I67">
        <v>8</v>
      </c>
      <c r="J67">
        <v>1</v>
      </c>
      <c r="K67">
        <v>5.5</v>
      </c>
      <c r="L67">
        <f t="shared" si="8"/>
        <v>0.125</v>
      </c>
      <c r="M67">
        <v>2.0655911179772799</v>
      </c>
      <c r="N67" s="3" t="s">
        <v>46</v>
      </c>
      <c r="P67" t="s">
        <v>7</v>
      </c>
      <c r="Q67">
        <v>7</v>
      </c>
      <c r="R67">
        <v>2</v>
      </c>
      <c r="S67">
        <v>4.29</v>
      </c>
      <c r="T67">
        <v>0.28999999999999998</v>
      </c>
      <c r="V67" s="18" t="s">
        <v>7</v>
      </c>
      <c r="W67">
        <v>9</v>
      </c>
      <c r="X67">
        <f t="shared" si="9"/>
        <v>2</v>
      </c>
      <c r="Y67">
        <v>2</v>
      </c>
      <c r="Z67">
        <f t="shared" si="10"/>
        <v>0</v>
      </c>
      <c r="AA67">
        <v>4.4400000000000004</v>
      </c>
      <c r="AB67">
        <f t="shared" si="11"/>
        <v>0.15000000000000036</v>
      </c>
    </row>
    <row r="68" spans="1:28" x14ac:dyDescent="0.35">
      <c r="A68" t="s">
        <v>105</v>
      </c>
      <c r="B68">
        <v>5</v>
      </c>
      <c r="C68">
        <v>0</v>
      </c>
      <c r="D68">
        <v>5.6</v>
      </c>
      <c r="E68">
        <v>0</v>
      </c>
      <c r="F68">
        <v>1.8165902124584901</v>
      </c>
      <c r="H68" t="s">
        <v>124</v>
      </c>
      <c r="I68">
        <v>6</v>
      </c>
      <c r="J68">
        <v>0</v>
      </c>
      <c r="K68">
        <v>5.5</v>
      </c>
      <c r="L68">
        <f t="shared" si="8"/>
        <v>0</v>
      </c>
      <c r="M68">
        <v>2.16794833886788</v>
      </c>
      <c r="N68" s="3" t="s">
        <v>46</v>
      </c>
      <c r="P68" t="s">
        <v>137</v>
      </c>
      <c r="Q68">
        <v>3</v>
      </c>
      <c r="R68">
        <v>0</v>
      </c>
      <c r="S68">
        <v>5.67</v>
      </c>
      <c r="T68">
        <v>0</v>
      </c>
      <c r="V68" s="18" t="s">
        <v>137</v>
      </c>
      <c r="W68">
        <v>6</v>
      </c>
      <c r="X68">
        <f t="shared" si="9"/>
        <v>3</v>
      </c>
      <c r="Y68">
        <v>0</v>
      </c>
      <c r="Z68">
        <f t="shared" si="10"/>
        <v>0</v>
      </c>
      <c r="AA68">
        <v>5.33</v>
      </c>
      <c r="AB68">
        <f t="shared" si="11"/>
        <v>-0.33999999999999986</v>
      </c>
    </row>
    <row r="69" spans="1:28" x14ac:dyDescent="0.35">
      <c r="A69" t="s">
        <v>56</v>
      </c>
      <c r="B69">
        <v>5</v>
      </c>
      <c r="C69">
        <v>0</v>
      </c>
      <c r="D69">
        <v>5.6</v>
      </c>
      <c r="E69">
        <v>0</v>
      </c>
      <c r="F69">
        <v>2.03049835952651</v>
      </c>
      <c r="H69" t="s">
        <v>105</v>
      </c>
      <c r="I69">
        <v>5</v>
      </c>
      <c r="J69">
        <v>0</v>
      </c>
      <c r="K69">
        <v>5.6</v>
      </c>
      <c r="L69">
        <f t="shared" si="8"/>
        <v>0</v>
      </c>
      <c r="M69">
        <v>1.8165902124584901</v>
      </c>
      <c r="N69" s="3" t="s">
        <v>46</v>
      </c>
      <c r="P69" t="s">
        <v>129</v>
      </c>
      <c r="Q69">
        <v>22</v>
      </c>
      <c r="R69">
        <v>5</v>
      </c>
      <c r="S69">
        <v>3.95</v>
      </c>
      <c r="T69">
        <v>0.23</v>
      </c>
      <c r="V69" s="18" t="s">
        <v>129</v>
      </c>
      <c r="W69">
        <v>25</v>
      </c>
      <c r="X69">
        <f t="shared" si="9"/>
        <v>3</v>
      </c>
      <c r="Y69">
        <v>5</v>
      </c>
      <c r="Z69">
        <f t="shared" si="10"/>
        <v>0</v>
      </c>
      <c r="AA69">
        <v>4.28</v>
      </c>
      <c r="AB69">
        <f t="shared" si="11"/>
        <v>0.33000000000000007</v>
      </c>
    </row>
    <row r="70" spans="1:28" x14ac:dyDescent="0.35">
      <c r="A70" t="s">
        <v>12</v>
      </c>
      <c r="B70">
        <v>8</v>
      </c>
      <c r="C70">
        <v>0</v>
      </c>
      <c r="D70">
        <v>5.63</v>
      </c>
      <c r="E70">
        <v>0</v>
      </c>
      <c r="F70">
        <v>2.44584195260913</v>
      </c>
      <c r="H70" t="s">
        <v>12</v>
      </c>
      <c r="I70">
        <v>8</v>
      </c>
      <c r="J70">
        <v>0</v>
      </c>
      <c r="K70">
        <v>5.63</v>
      </c>
      <c r="L70">
        <f t="shared" si="8"/>
        <v>0</v>
      </c>
      <c r="M70">
        <v>2.44584195260913</v>
      </c>
      <c r="P70" t="s">
        <v>113</v>
      </c>
      <c r="Q70">
        <v>4</v>
      </c>
      <c r="R70">
        <v>0</v>
      </c>
      <c r="S70">
        <v>4.25</v>
      </c>
      <c r="T70">
        <v>0</v>
      </c>
      <c r="V70" s="18" t="s">
        <v>113</v>
      </c>
      <c r="W70" s="18">
        <v>5</v>
      </c>
      <c r="X70">
        <f t="shared" si="9"/>
        <v>1</v>
      </c>
      <c r="Y70">
        <v>0</v>
      </c>
      <c r="Z70">
        <f t="shared" si="10"/>
        <v>0</v>
      </c>
      <c r="AA70">
        <v>4.2</v>
      </c>
      <c r="AB70">
        <f t="shared" si="11"/>
        <v>-4.9999999999999822E-2</v>
      </c>
    </row>
    <row r="71" spans="1:28" x14ac:dyDescent="0.35">
      <c r="A71" t="s">
        <v>89</v>
      </c>
      <c r="B71">
        <v>6</v>
      </c>
      <c r="C71">
        <v>0</v>
      </c>
      <c r="D71">
        <v>5.67</v>
      </c>
      <c r="E71">
        <v>0</v>
      </c>
      <c r="F71">
        <v>1.96638416050035</v>
      </c>
      <c r="H71" t="s">
        <v>56</v>
      </c>
      <c r="I71" s="6">
        <v>6</v>
      </c>
      <c r="J71">
        <v>0</v>
      </c>
      <c r="K71">
        <v>5.67</v>
      </c>
      <c r="L71">
        <f t="shared" si="8"/>
        <v>0</v>
      </c>
      <c r="M71">
        <v>2.3299294900428702</v>
      </c>
      <c r="N71" s="3" t="s">
        <v>45</v>
      </c>
      <c r="P71" t="s">
        <v>35</v>
      </c>
      <c r="Q71">
        <v>20</v>
      </c>
      <c r="R71">
        <v>5</v>
      </c>
      <c r="S71">
        <v>3.9</v>
      </c>
      <c r="T71">
        <v>0.25</v>
      </c>
      <c r="V71" s="18" t="s">
        <v>35</v>
      </c>
      <c r="W71">
        <v>41</v>
      </c>
      <c r="X71">
        <f t="shared" si="9"/>
        <v>21</v>
      </c>
      <c r="Y71">
        <v>14</v>
      </c>
      <c r="Z71" s="30">
        <f t="shared" si="10"/>
        <v>9</v>
      </c>
      <c r="AA71">
        <v>3.68</v>
      </c>
      <c r="AB71">
        <f t="shared" si="11"/>
        <v>-0.21999999999999975</v>
      </c>
    </row>
    <row r="72" spans="1:28" x14ac:dyDescent="0.35">
      <c r="A72" t="s">
        <v>82</v>
      </c>
      <c r="B72">
        <v>5</v>
      </c>
      <c r="C72">
        <v>0</v>
      </c>
      <c r="D72">
        <v>5.8</v>
      </c>
      <c r="E72">
        <v>0</v>
      </c>
      <c r="F72">
        <v>2.16794833886788</v>
      </c>
      <c r="H72" t="s">
        <v>89</v>
      </c>
      <c r="I72">
        <v>6</v>
      </c>
      <c r="J72">
        <v>0</v>
      </c>
      <c r="K72">
        <v>5.67</v>
      </c>
      <c r="L72">
        <f t="shared" si="8"/>
        <v>0</v>
      </c>
      <c r="M72">
        <v>1.96638416050035</v>
      </c>
      <c r="N72" s="3" t="s">
        <v>46</v>
      </c>
      <c r="P72" t="s">
        <v>26</v>
      </c>
      <c r="Q72">
        <v>9</v>
      </c>
      <c r="R72">
        <v>2</v>
      </c>
      <c r="S72">
        <v>4.1100000000000003</v>
      </c>
      <c r="T72">
        <v>0.22</v>
      </c>
      <c r="V72" s="30" t="s">
        <v>26</v>
      </c>
      <c r="W72">
        <v>10</v>
      </c>
      <c r="X72">
        <f t="shared" si="9"/>
        <v>1</v>
      </c>
      <c r="Y72">
        <v>2</v>
      </c>
      <c r="Z72">
        <f t="shared" si="10"/>
        <v>0</v>
      </c>
      <c r="AA72">
        <v>4</v>
      </c>
      <c r="AB72">
        <f t="shared" si="11"/>
        <v>-0.11000000000000032</v>
      </c>
    </row>
    <row r="73" spans="1:28" x14ac:dyDescent="0.35">
      <c r="A73" t="s">
        <v>20</v>
      </c>
      <c r="B73">
        <v>11</v>
      </c>
      <c r="C73">
        <v>1</v>
      </c>
      <c r="D73">
        <v>5.82</v>
      </c>
      <c r="E73">
        <v>0.09</v>
      </c>
      <c r="F73">
        <v>2.3159525823376299</v>
      </c>
      <c r="H73" t="s">
        <v>20</v>
      </c>
      <c r="I73">
        <v>11</v>
      </c>
      <c r="J73">
        <v>1</v>
      </c>
      <c r="K73">
        <v>5.82</v>
      </c>
      <c r="L73">
        <f t="shared" si="8"/>
        <v>9.0909090909090912E-2</v>
      </c>
      <c r="M73">
        <v>2.3159525823376299</v>
      </c>
      <c r="P73" t="s">
        <v>122</v>
      </c>
      <c r="Q73">
        <v>4</v>
      </c>
      <c r="R73">
        <v>0</v>
      </c>
      <c r="S73">
        <v>4</v>
      </c>
      <c r="T73">
        <v>0</v>
      </c>
      <c r="V73" s="18" t="s">
        <v>122</v>
      </c>
      <c r="W73">
        <v>6</v>
      </c>
      <c r="X73">
        <f t="shared" si="9"/>
        <v>2</v>
      </c>
      <c r="Y73">
        <v>0</v>
      </c>
      <c r="Z73">
        <f t="shared" si="10"/>
        <v>0</v>
      </c>
      <c r="AA73">
        <v>4.33</v>
      </c>
      <c r="AB73">
        <f t="shared" si="11"/>
        <v>0.33000000000000007</v>
      </c>
    </row>
    <row r="74" spans="1:28" x14ac:dyDescent="0.35">
      <c r="A74" t="s">
        <v>32</v>
      </c>
      <c r="B74">
        <v>12</v>
      </c>
      <c r="C74">
        <v>1</v>
      </c>
      <c r="D74">
        <v>5.83</v>
      </c>
      <c r="E74">
        <v>0.08</v>
      </c>
      <c r="F74">
        <v>2.1248885888797799</v>
      </c>
      <c r="H74" t="s">
        <v>32</v>
      </c>
      <c r="I74">
        <v>12</v>
      </c>
      <c r="J74">
        <v>1</v>
      </c>
      <c r="K74">
        <v>5.83</v>
      </c>
      <c r="L74">
        <f t="shared" si="8"/>
        <v>8.3333333333333329E-2</v>
      </c>
      <c r="M74">
        <v>2.1248885888797799</v>
      </c>
      <c r="P74" t="s">
        <v>49</v>
      </c>
      <c r="Q74">
        <v>5</v>
      </c>
      <c r="R74">
        <v>1</v>
      </c>
      <c r="S74">
        <v>5.4</v>
      </c>
      <c r="T74">
        <v>0.2</v>
      </c>
      <c r="V74" s="18" t="s">
        <v>49</v>
      </c>
      <c r="W74">
        <v>7</v>
      </c>
      <c r="X74">
        <f t="shared" si="9"/>
        <v>2</v>
      </c>
      <c r="Y74">
        <v>1</v>
      </c>
      <c r="Z74">
        <f t="shared" si="10"/>
        <v>0</v>
      </c>
      <c r="AA74">
        <v>5.14</v>
      </c>
      <c r="AB74">
        <f t="shared" si="11"/>
        <v>-0.26000000000000068</v>
      </c>
    </row>
    <row r="75" spans="1:28" x14ac:dyDescent="0.35">
      <c r="A75" t="s">
        <v>4</v>
      </c>
      <c r="B75">
        <v>8</v>
      </c>
      <c r="C75">
        <v>0</v>
      </c>
      <c r="D75">
        <v>5.88</v>
      </c>
      <c r="E75">
        <v>0</v>
      </c>
      <c r="F75">
        <v>2.1001700611412999</v>
      </c>
      <c r="H75" t="s">
        <v>82</v>
      </c>
      <c r="I75" s="6">
        <v>6</v>
      </c>
      <c r="J75">
        <v>0</v>
      </c>
      <c r="K75">
        <v>6</v>
      </c>
      <c r="L75">
        <f t="shared" si="8"/>
        <v>0</v>
      </c>
      <c r="M75">
        <v>2</v>
      </c>
      <c r="N75" s="3" t="s">
        <v>54</v>
      </c>
      <c r="P75" t="s">
        <v>3</v>
      </c>
      <c r="Q75">
        <v>12</v>
      </c>
      <c r="R75">
        <v>1</v>
      </c>
      <c r="S75">
        <v>4.67</v>
      </c>
      <c r="T75">
        <v>0.08</v>
      </c>
      <c r="V75" s="18" t="s">
        <v>3</v>
      </c>
      <c r="W75">
        <v>14</v>
      </c>
      <c r="X75">
        <f t="shared" si="9"/>
        <v>2</v>
      </c>
      <c r="Y75">
        <v>2</v>
      </c>
      <c r="Z75" s="18">
        <f t="shared" si="10"/>
        <v>1</v>
      </c>
      <c r="AA75">
        <v>4.6399999999999997</v>
      </c>
      <c r="AB75">
        <f t="shared" si="11"/>
        <v>-3.0000000000000249E-2</v>
      </c>
    </row>
    <row r="76" spans="1:28" x14ac:dyDescent="0.35">
      <c r="A76" t="s">
        <v>33</v>
      </c>
      <c r="B76">
        <v>10</v>
      </c>
      <c r="C76">
        <v>0</v>
      </c>
      <c r="D76">
        <v>6.2</v>
      </c>
      <c r="E76">
        <v>0</v>
      </c>
      <c r="F76">
        <v>2.14993539954627</v>
      </c>
      <c r="G76" s="12" t="s">
        <v>369</v>
      </c>
      <c r="H76" t="s">
        <v>4</v>
      </c>
      <c r="I76" s="6">
        <v>9</v>
      </c>
      <c r="J76">
        <v>0</v>
      </c>
      <c r="K76">
        <v>6.11</v>
      </c>
      <c r="L76">
        <f t="shared" si="8"/>
        <v>0</v>
      </c>
      <c r="M76">
        <v>2.08832734769027</v>
      </c>
      <c r="N76" s="3" t="s">
        <v>46</v>
      </c>
      <c r="P76" t="s">
        <v>230</v>
      </c>
      <c r="Q76">
        <v>4</v>
      </c>
      <c r="R76">
        <v>1</v>
      </c>
      <c r="S76">
        <v>5.25</v>
      </c>
      <c r="T76">
        <v>0.25</v>
      </c>
      <c r="V76" s="18" t="s">
        <v>230</v>
      </c>
      <c r="W76">
        <v>5</v>
      </c>
      <c r="X76">
        <f t="shared" si="9"/>
        <v>1</v>
      </c>
      <c r="Y76">
        <v>1</v>
      </c>
      <c r="Z76">
        <f t="shared" si="10"/>
        <v>0</v>
      </c>
      <c r="AA76">
        <v>4.8</v>
      </c>
      <c r="AB76">
        <f t="shared" si="11"/>
        <v>-0.45000000000000018</v>
      </c>
    </row>
    <row r="77" spans="1:28" x14ac:dyDescent="0.35">
      <c r="A77" t="s">
        <v>90</v>
      </c>
      <c r="B77">
        <v>7</v>
      </c>
      <c r="C77">
        <v>1</v>
      </c>
      <c r="D77">
        <v>6.29</v>
      </c>
      <c r="E77">
        <v>0.17</v>
      </c>
      <c r="F77">
        <v>2.1514492783133501</v>
      </c>
      <c r="G77" s="20" t="s">
        <v>291</v>
      </c>
      <c r="H77" t="s">
        <v>33</v>
      </c>
      <c r="I77">
        <v>10</v>
      </c>
      <c r="J77">
        <v>0</v>
      </c>
      <c r="K77">
        <v>6.2</v>
      </c>
      <c r="L77">
        <f t="shared" si="8"/>
        <v>0</v>
      </c>
      <c r="M77">
        <v>2.14993539954627</v>
      </c>
      <c r="N77" s="12" t="s">
        <v>369</v>
      </c>
      <c r="P77" t="s">
        <v>2</v>
      </c>
      <c r="Q77">
        <v>4</v>
      </c>
      <c r="R77">
        <v>1</v>
      </c>
      <c r="S77">
        <v>4</v>
      </c>
      <c r="T77">
        <v>0.25</v>
      </c>
      <c r="V77" s="18" t="s">
        <v>2</v>
      </c>
      <c r="W77">
        <v>19</v>
      </c>
      <c r="X77">
        <f t="shared" si="9"/>
        <v>15</v>
      </c>
      <c r="Y77">
        <v>4</v>
      </c>
      <c r="Z77" s="18">
        <f t="shared" si="10"/>
        <v>3</v>
      </c>
      <c r="AA77">
        <v>3.84</v>
      </c>
      <c r="AB77">
        <f t="shared" si="11"/>
        <v>-0.16000000000000014</v>
      </c>
    </row>
    <row r="78" spans="1:28" x14ac:dyDescent="0.35">
      <c r="H78" t="s">
        <v>90</v>
      </c>
      <c r="I78" s="6">
        <v>11</v>
      </c>
      <c r="J78">
        <v>1</v>
      </c>
      <c r="K78">
        <v>6.45</v>
      </c>
      <c r="L78">
        <f t="shared" si="8"/>
        <v>9.0909090909090912E-2</v>
      </c>
      <c r="M78">
        <v>2.2962419891481902</v>
      </c>
      <c r="N78" s="20" t="s">
        <v>371</v>
      </c>
      <c r="P78" t="s">
        <v>124</v>
      </c>
      <c r="Q78">
        <v>6</v>
      </c>
      <c r="R78">
        <v>0</v>
      </c>
      <c r="S78">
        <v>5.5</v>
      </c>
      <c r="T78">
        <v>0</v>
      </c>
      <c r="V78" s="18" t="s">
        <v>124</v>
      </c>
      <c r="W78">
        <v>6</v>
      </c>
      <c r="X78">
        <f t="shared" si="9"/>
        <v>0</v>
      </c>
      <c r="Y78">
        <v>0</v>
      </c>
      <c r="Z78">
        <f t="shared" si="10"/>
        <v>0</v>
      </c>
      <c r="AA78">
        <v>5.5</v>
      </c>
      <c r="AB78">
        <f t="shared" si="11"/>
        <v>0</v>
      </c>
    </row>
  </sheetData>
  <sortState ref="V2:AB78">
    <sortCondition ref="V2:V78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opLeftCell="A61" workbookViewId="0">
      <selection activeCell="I107" sqref="I107"/>
    </sheetView>
  </sheetViews>
  <sheetFormatPr defaultRowHeight="14.5" x14ac:dyDescent="0.35"/>
  <cols>
    <col min="1" max="1" width="17.7265625" bestFit="1" customWidth="1"/>
    <col min="2" max="2" width="17.26953125" bestFit="1" customWidth="1"/>
    <col min="3" max="3" width="13.54296875" bestFit="1" customWidth="1"/>
    <col min="4" max="4" width="15.1796875" bestFit="1" customWidth="1"/>
    <col min="5" max="5" width="13.54296875" bestFit="1" customWidth="1"/>
    <col min="6" max="6" width="12" bestFit="1" customWidth="1"/>
    <col min="7" max="7" width="17.7265625" bestFit="1" customWidth="1"/>
    <col min="8" max="8" width="12.26953125" bestFit="1" customWidth="1"/>
    <col min="9" max="9" width="11.81640625" bestFit="1" customWidth="1"/>
    <col min="10" max="10" width="9.7265625" bestFit="1" customWidth="1"/>
    <col min="11" max="11" width="10.81640625" bestFit="1" customWidth="1"/>
    <col min="12" max="12" width="11.81640625" bestFit="1" customWidth="1"/>
    <col min="13" max="13" width="11.7265625" bestFit="1" customWidth="1"/>
    <col min="14" max="14" width="4" bestFit="1" customWidth="1"/>
    <col min="15" max="15" width="11.26953125" bestFit="1" customWidth="1"/>
    <col min="16" max="16" width="12" bestFit="1" customWidth="1"/>
  </cols>
  <sheetData>
    <row r="1" spans="1:16" x14ac:dyDescent="0.35">
      <c r="A1" s="1">
        <v>45689</v>
      </c>
      <c r="B1" s="1">
        <v>45689</v>
      </c>
      <c r="C1" s="1">
        <v>45689</v>
      </c>
      <c r="D1" s="1">
        <v>45689</v>
      </c>
      <c r="E1" s="1">
        <v>45689</v>
      </c>
      <c r="F1" s="1">
        <v>45689</v>
      </c>
      <c r="G1" s="1">
        <v>45689</v>
      </c>
      <c r="H1" s="1">
        <v>45694</v>
      </c>
      <c r="I1" s="1">
        <v>45701</v>
      </c>
      <c r="J1" s="1">
        <v>45701</v>
      </c>
    </row>
    <row r="2" spans="1:16" x14ac:dyDescent="0.35">
      <c r="A2" t="s">
        <v>58</v>
      </c>
      <c r="B2" t="s">
        <v>0</v>
      </c>
      <c r="C2" t="s">
        <v>21</v>
      </c>
      <c r="D2" t="s">
        <v>128</v>
      </c>
      <c r="E2" t="s">
        <v>112</v>
      </c>
      <c r="F2" t="s">
        <v>148</v>
      </c>
      <c r="G2" t="s">
        <v>21</v>
      </c>
      <c r="H2" t="s">
        <v>15</v>
      </c>
      <c r="I2" t="s">
        <v>128</v>
      </c>
      <c r="J2" t="s">
        <v>115</v>
      </c>
    </row>
    <row r="3" spans="1:16" x14ac:dyDescent="0.35">
      <c r="A3" t="s">
        <v>148</v>
      </c>
      <c r="B3" t="s">
        <v>147</v>
      </c>
      <c r="C3" t="s">
        <v>22</v>
      </c>
      <c r="D3" t="s">
        <v>22</v>
      </c>
      <c r="E3" t="s">
        <v>31</v>
      </c>
      <c r="F3" t="s">
        <v>15</v>
      </c>
      <c r="G3" t="s">
        <v>125</v>
      </c>
      <c r="H3" t="s">
        <v>6</v>
      </c>
      <c r="I3" t="s">
        <v>22</v>
      </c>
      <c r="J3" t="s">
        <v>122</v>
      </c>
    </row>
    <row r="4" spans="1:16" x14ac:dyDescent="0.35">
      <c r="A4" t="s">
        <v>35</v>
      </c>
      <c r="B4" t="s">
        <v>135</v>
      </c>
      <c r="C4" t="s">
        <v>104</v>
      </c>
      <c r="D4" t="s">
        <v>21</v>
      </c>
      <c r="E4" t="s">
        <v>81</v>
      </c>
      <c r="F4" t="s">
        <v>21</v>
      </c>
      <c r="G4" t="s">
        <v>147</v>
      </c>
      <c r="H4" t="s">
        <v>7</v>
      </c>
      <c r="I4" t="s">
        <v>35</v>
      </c>
      <c r="J4" t="s">
        <v>22</v>
      </c>
    </row>
    <row r="5" spans="1:16" x14ac:dyDescent="0.35">
      <c r="A5" t="s">
        <v>29</v>
      </c>
      <c r="B5" t="s">
        <v>128</v>
      </c>
      <c r="C5" t="s">
        <v>29</v>
      </c>
      <c r="D5" t="s">
        <v>99</v>
      </c>
      <c r="E5" t="s">
        <v>148</v>
      </c>
      <c r="F5" t="s">
        <v>35</v>
      </c>
      <c r="G5" t="s">
        <v>31</v>
      </c>
      <c r="H5" t="s">
        <v>124</v>
      </c>
      <c r="I5" t="s">
        <v>31</v>
      </c>
      <c r="J5" t="s">
        <v>21</v>
      </c>
    </row>
    <row r="6" spans="1:16" x14ac:dyDescent="0.35">
      <c r="A6" t="s">
        <v>115</v>
      </c>
      <c r="B6" t="s">
        <v>21</v>
      </c>
      <c r="C6" t="s">
        <v>33</v>
      </c>
      <c r="D6" t="s">
        <v>19</v>
      </c>
      <c r="E6" t="s">
        <v>29</v>
      </c>
      <c r="F6" t="s">
        <v>0</v>
      </c>
      <c r="G6" t="s">
        <v>0</v>
      </c>
      <c r="H6" t="s">
        <v>119</v>
      </c>
      <c r="I6" t="s">
        <v>115</v>
      </c>
      <c r="J6" t="s">
        <v>1</v>
      </c>
    </row>
    <row r="7" spans="1:16" x14ac:dyDescent="0.35">
      <c r="A7" t="s">
        <v>135</v>
      </c>
      <c r="B7" t="s">
        <v>35</v>
      </c>
      <c r="C7" t="s">
        <v>18</v>
      </c>
      <c r="D7" t="s">
        <v>26</v>
      </c>
      <c r="E7" t="s">
        <v>115</v>
      </c>
      <c r="F7" t="s">
        <v>197</v>
      </c>
      <c r="G7" t="s">
        <v>15</v>
      </c>
      <c r="H7" t="s">
        <v>49</v>
      </c>
      <c r="I7" t="s">
        <v>1</v>
      </c>
      <c r="J7" t="s">
        <v>147</v>
      </c>
    </row>
    <row r="8" spans="1:16" x14ac:dyDescent="0.35">
      <c r="A8" t="s">
        <v>121</v>
      </c>
      <c r="B8" t="s">
        <v>142</v>
      </c>
      <c r="C8" t="s">
        <v>128</v>
      </c>
      <c r="D8" t="s">
        <v>33</v>
      </c>
      <c r="E8" t="s">
        <v>117</v>
      </c>
      <c r="F8" t="s">
        <v>147</v>
      </c>
      <c r="G8" t="s">
        <v>148</v>
      </c>
      <c r="H8" t="s">
        <v>29</v>
      </c>
      <c r="I8" t="s">
        <v>122</v>
      </c>
      <c r="J8" t="s">
        <v>35</v>
      </c>
    </row>
    <row r="9" spans="1:16" x14ac:dyDescent="0.35">
      <c r="A9" t="s">
        <v>173</v>
      </c>
      <c r="B9" t="s">
        <v>15</v>
      </c>
      <c r="C9" t="s">
        <v>99</v>
      </c>
      <c r="D9" t="s">
        <v>90</v>
      </c>
      <c r="E9" t="s">
        <v>35</v>
      </c>
      <c r="F9" t="s">
        <v>135</v>
      </c>
      <c r="G9" t="s">
        <v>117</v>
      </c>
      <c r="H9" t="s">
        <v>5</v>
      </c>
      <c r="I9" t="s">
        <v>16</v>
      </c>
      <c r="J9" t="s">
        <v>31</v>
      </c>
    </row>
    <row r="12" spans="1:16" x14ac:dyDescent="0.35">
      <c r="A12" t="s">
        <v>42</v>
      </c>
      <c r="B12" t="s">
        <v>38</v>
      </c>
      <c r="C12" t="s">
        <v>39</v>
      </c>
      <c r="D12" t="s">
        <v>40</v>
      </c>
      <c r="E12" t="s">
        <v>43</v>
      </c>
      <c r="F12" t="s">
        <v>111</v>
      </c>
      <c r="G12" t="s">
        <v>275</v>
      </c>
      <c r="J12" s="4" t="s">
        <v>42</v>
      </c>
      <c r="K12" s="4" t="s">
        <v>38</v>
      </c>
      <c r="L12" s="4" t="s">
        <v>39</v>
      </c>
      <c r="M12" s="4" t="s">
        <v>40</v>
      </c>
      <c r="O12" s="4" t="s">
        <v>111</v>
      </c>
      <c r="P12" s="4" t="s">
        <v>391</v>
      </c>
    </row>
    <row r="13" spans="1:16" x14ac:dyDescent="0.35">
      <c r="A13" s="18" t="s">
        <v>125</v>
      </c>
      <c r="B13" s="18">
        <v>18</v>
      </c>
      <c r="C13" s="18">
        <v>1</v>
      </c>
      <c r="D13" s="18">
        <f t="shared" ref="D13:D44" si="0">E13/B13</f>
        <v>4.166666666666667</v>
      </c>
      <c r="E13" s="18">
        <v>75</v>
      </c>
      <c r="F13" s="18">
        <f t="shared" ref="F13:F44" si="1">C13/B13</f>
        <v>5.5555555555555552E-2</v>
      </c>
      <c r="G13" s="32">
        <v>2.3664319132398401</v>
      </c>
      <c r="J13" s="18" t="s">
        <v>125</v>
      </c>
      <c r="K13" s="18">
        <v>18</v>
      </c>
      <c r="L13" s="18">
        <v>1</v>
      </c>
      <c r="M13" s="18">
        <f t="shared" ref="M13" si="2">N13/K13</f>
        <v>4.166666666666667</v>
      </c>
      <c r="N13" s="18">
        <v>75</v>
      </c>
      <c r="O13" s="18">
        <f t="shared" ref="O13" si="3">L13/K13</f>
        <v>5.5555555555555552E-2</v>
      </c>
      <c r="P13" s="18" t="s">
        <v>392</v>
      </c>
    </row>
    <row r="14" spans="1:16" x14ac:dyDescent="0.35">
      <c r="A14" s="18" t="s">
        <v>104</v>
      </c>
      <c r="B14" s="18">
        <v>44</v>
      </c>
      <c r="C14" s="18">
        <v>3</v>
      </c>
      <c r="D14" s="18">
        <f t="shared" si="0"/>
        <v>4.0909090909090908</v>
      </c>
      <c r="E14" s="18">
        <v>180</v>
      </c>
      <c r="F14" s="18">
        <f t="shared" si="1"/>
        <v>6.8181818181818177E-2</v>
      </c>
      <c r="G14" s="32">
        <v>2.3273733406281498</v>
      </c>
      <c r="J14" s="18" t="s">
        <v>104</v>
      </c>
      <c r="K14" s="18">
        <v>44</v>
      </c>
      <c r="L14" s="18">
        <v>3</v>
      </c>
      <c r="M14" s="18">
        <f t="shared" ref="M14:M15" si="4">N14/K14</f>
        <v>4.0909090909090908</v>
      </c>
      <c r="N14" s="18">
        <v>180</v>
      </c>
      <c r="O14" s="18">
        <f t="shared" ref="O14:O15" si="5">L14/K14</f>
        <v>6.8181818181818177E-2</v>
      </c>
      <c r="P14" s="18" t="s">
        <v>392</v>
      </c>
    </row>
    <row r="15" spans="1:16" x14ac:dyDescent="0.35">
      <c r="A15" s="18" t="s">
        <v>31</v>
      </c>
      <c r="B15" s="18">
        <v>47</v>
      </c>
      <c r="C15" s="18">
        <v>3</v>
      </c>
      <c r="D15" s="18">
        <f t="shared" si="0"/>
        <v>5.1063829787234045</v>
      </c>
      <c r="E15" s="18">
        <v>240</v>
      </c>
      <c r="F15" s="18">
        <f t="shared" si="1"/>
        <v>6.3829787234042548E-2</v>
      </c>
      <c r="G15" s="32">
        <v>1.87082869338697</v>
      </c>
      <c r="J15" s="18" t="s">
        <v>31</v>
      </c>
      <c r="K15" s="18">
        <v>47</v>
      </c>
      <c r="L15" s="18">
        <v>3</v>
      </c>
      <c r="M15" s="18">
        <f t="shared" si="4"/>
        <v>5.1063829787234045</v>
      </c>
      <c r="N15" s="18">
        <v>240</v>
      </c>
      <c r="O15" s="18">
        <f t="shared" si="5"/>
        <v>6.3829787234042548E-2</v>
      </c>
      <c r="P15" s="18" t="s">
        <v>392</v>
      </c>
    </row>
    <row r="16" spans="1:16" x14ac:dyDescent="0.35">
      <c r="A16" s="18" t="s">
        <v>105</v>
      </c>
      <c r="B16" s="18">
        <v>11</v>
      </c>
      <c r="C16" s="18">
        <v>0</v>
      </c>
      <c r="D16" s="18">
        <f t="shared" si="0"/>
        <v>5.3636363636363633</v>
      </c>
      <c r="E16" s="18">
        <v>59</v>
      </c>
      <c r="F16" s="18">
        <f t="shared" si="1"/>
        <v>0</v>
      </c>
      <c r="G16" s="32">
        <v>1.8165902124584901</v>
      </c>
      <c r="J16" s="18" t="s">
        <v>105</v>
      </c>
      <c r="K16" s="18">
        <v>11</v>
      </c>
      <c r="L16" s="18">
        <v>0</v>
      </c>
      <c r="M16" s="18">
        <f t="shared" ref="M16:M17" si="6">N16/K16</f>
        <v>5.3636363636363633</v>
      </c>
      <c r="N16" s="18">
        <v>59</v>
      </c>
      <c r="O16" s="18">
        <f t="shared" ref="O16:O17" si="7">L16/K16</f>
        <v>0</v>
      </c>
      <c r="P16" s="18" t="s">
        <v>392</v>
      </c>
    </row>
    <row r="17" spans="1:16" x14ac:dyDescent="0.35">
      <c r="A17" s="18" t="s">
        <v>128</v>
      </c>
      <c r="B17" s="18">
        <v>59</v>
      </c>
      <c r="C17" s="18">
        <v>20</v>
      </c>
      <c r="D17" s="18">
        <f t="shared" si="0"/>
        <v>3.1186440677966103</v>
      </c>
      <c r="E17" s="18">
        <v>184</v>
      </c>
      <c r="F17" s="18">
        <f t="shared" si="1"/>
        <v>0.33898305084745761</v>
      </c>
      <c r="G17" s="32">
        <v>2.03049835952651</v>
      </c>
      <c r="J17" s="18" t="s">
        <v>128</v>
      </c>
      <c r="K17" s="18">
        <v>59</v>
      </c>
      <c r="L17" s="18">
        <v>20</v>
      </c>
      <c r="M17" s="18">
        <f t="shared" si="6"/>
        <v>3.1186440677966103</v>
      </c>
      <c r="N17" s="18">
        <v>184</v>
      </c>
      <c r="O17" s="18">
        <f t="shared" si="7"/>
        <v>0.33898305084745761</v>
      </c>
      <c r="P17" s="18" t="s">
        <v>392</v>
      </c>
    </row>
    <row r="18" spans="1:16" x14ac:dyDescent="0.35">
      <c r="A18" s="18" t="s">
        <v>8</v>
      </c>
      <c r="B18" s="18">
        <v>42</v>
      </c>
      <c r="C18" s="18">
        <v>5</v>
      </c>
      <c r="D18" s="18">
        <f t="shared" si="0"/>
        <v>4.5238095238095237</v>
      </c>
      <c r="E18" s="18">
        <v>190</v>
      </c>
      <c r="F18" s="18">
        <f t="shared" si="1"/>
        <v>0.11904761904761904</v>
      </c>
      <c r="G18" s="32">
        <v>2.4994623077688098</v>
      </c>
      <c r="J18" s="18" t="s">
        <v>8</v>
      </c>
      <c r="K18" s="18">
        <v>42</v>
      </c>
      <c r="L18" s="18">
        <v>5</v>
      </c>
      <c r="M18" s="18">
        <f t="shared" ref="M18:M22" si="8">N18/K18</f>
        <v>4.5238095238095237</v>
      </c>
      <c r="N18" s="18">
        <v>190</v>
      </c>
      <c r="O18" s="18">
        <f t="shared" ref="O18:O22" si="9">L18/K18</f>
        <v>0.11904761904761904</v>
      </c>
      <c r="P18" s="18" t="s">
        <v>392</v>
      </c>
    </row>
    <row r="19" spans="1:16" x14ac:dyDescent="0.35">
      <c r="A19" s="18" t="s">
        <v>37</v>
      </c>
      <c r="B19" s="18">
        <v>19</v>
      </c>
      <c r="C19" s="18">
        <v>2</v>
      </c>
      <c r="D19" s="18">
        <f t="shared" si="0"/>
        <v>4.7894736842105265</v>
      </c>
      <c r="E19" s="18">
        <v>91</v>
      </c>
      <c r="F19" s="18">
        <f t="shared" si="1"/>
        <v>0.10526315789473684</v>
      </c>
      <c r="G19" s="32">
        <v>2.4235565546581199</v>
      </c>
      <c r="J19" s="18" t="s">
        <v>37</v>
      </c>
      <c r="K19" s="18">
        <v>19</v>
      </c>
      <c r="L19" s="18">
        <v>2</v>
      </c>
      <c r="M19" s="18">
        <f t="shared" si="8"/>
        <v>4.7894736842105265</v>
      </c>
      <c r="N19" s="18">
        <v>91</v>
      </c>
      <c r="O19" s="18">
        <f t="shared" si="9"/>
        <v>0.10526315789473684</v>
      </c>
      <c r="P19" s="18" t="s">
        <v>392</v>
      </c>
    </row>
    <row r="20" spans="1:16" x14ac:dyDescent="0.35">
      <c r="A20" s="18" t="s">
        <v>14</v>
      </c>
      <c r="B20" s="18">
        <v>45</v>
      </c>
      <c r="C20" s="18">
        <v>3</v>
      </c>
      <c r="D20" s="18">
        <f t="shared" si="0"/>
        <v>4.7111111111111112</v>
      </c>
      <c r="E20" s="18">
        <v>212</v>
      </c>
      <c r="F20" s="18">
        <f t="shared" si="1"/>
        <v>6.6666666666666666E-2</v>
      </c>
      <c r="G20" s="32">
        <v>2.1805682857412299</v>
      </c>
      <c r="J20" s="18" t="s">
        <v>14</v>
      </c>
      <c r="K20" s="18">
        <v>45</v>
      </c>
      <c r="L20" s="18">
        <v>3</v>
      </c>
      <c r="M20" s="18">
        <f t="shared" si="8"/>
        <v>4.7111111111111112</v>
      </c>
      <c r="N20" s="18">
        <v>212</v>
      </c>
      <c r="O20" s="18">
        <f t="shared" si="9"/>
        <v>6.6666666666666666E-2</v>
      </c>
      <c r="P20" s="18" t="s">
        <v>392</v>
      </c>
    </row>
    <row r="21" spans="1:16" x14ac:dyDescent="0.35">
      <c r="A21" s="18" t="s">
        <v>90</v>
      </c>
      <c r="B21" s="18">
        <v>27</v>
      </c>
      <c r="C21" s="18">
        <v>3</v>
      </c>
      <c r="D21" s="18">
        <f t="shared" si="0"/>
        <v>5.4074074074074074</v>
      </c>
      <c r="E21" s="18">
        <v>146</v>
      </c>
      <c r="F21" s="18">
        <f t="shared" si="1"/>
        <v>0.1111111111111111</v>
      </c>
      <c r="G21" s="32">
        <v>2.2962419891481902</v>
      </c>
      <c r="J21" s="18" t="s">
        <v>90</v>
      </c>
      <c r="K21" s="18">
        <v>27</v>
      </c>
      <c r="L21" s="18">
        <v>3</v>
      </c>
      <c r="M21" s="18">
        <f t="shared" si="8"/>
        <v>5.4074074074074074</v>
      </c>
      <c r="N21" s="18">
        <v>146</v>
      </c>
      <c r="O21" s="18">
        <f t="shared" si="9"/>
        <v>0.1111111111111111</v>
      </c>
      <c r="P21" s="18" t="s">
        <v>392</v>
      </c>
    </row>
    <row r="22" spans="1:16" x14ac:dyDescent="0.35">
      <c r="A22" s="18" t="s">
        <v>6</v>
      </c>
      <c r="B22" s="18">
        <v>41</v>
      </c>
      <c r="C22" s="18">
        <v>3</v>
      </c>
      <c r="D22" s="18">
        <f t="shared" si="0"/>
        <v>5.2439024390243905</v>
      </c>
      <c r="E22" s="18">
        <v>215</v>
      </c>
      <c r="F22" s="18">
        <f t="shared" si="1"/>
        <v>7.3170731707317069E-2</v>
      </c>
      <c r="G22" s="32">
        <v>2.1514492783133501</v>
      </c>
      <c r="J22" s="18" t="s">
        <v>6</v>
      </c>
      <c r="K22" s="18">
        <v>41</v>
      </c>
      <c r="L22" s="18">
        <v>3</v>
      </c>
      <c r="M22" s="18">
        <f t="shared" si="8"/>
        <v>5.2439024390243905</v>
      </c>
      <c r="N22" s="18">
        <v>215</v>
      </c>
      <c r="O22" s="18">
        <f t="shared" si="9"/>
        <v>7.3170731707317069E-2</v>
      </c>
      <c r="P22" s="18" t="s">
        <v>392</v>
      </c>
    </row>
    <row r="23" spans="1:16" x14ac:dyDescent="0.35">
      <c r="A23" s="18" t="s">
        <v>19</v>
      </c>
      <c r="B23" s="18">
        <v>12</v>
      </c>
      <c r="C23" s="18">
        <v>1</v>
      </c>
      <c r="D23" s="18">
        <f t="shared" si="0"/>
        <v>5.166666666666667</v>
      </c>
      <c r="E23" s="18">
        <v>62</v>
      </c>
      <c r="F23" s="18">
        <f t="shared" si="1"/>
        <v>8.3333333333333329E-2</v>
      </c>
      <c r="G23" s="32">
        <v>2.3299294900428702</v>
      </c>
      <c r="J23" s="18" t="s">
        <v>19</v>
      </c>
      <c r="K23" s="18">
        <v>12</v>
      </c>
      <c r="L23" s="18">
        <v>1</v>
      </c>
      <c r="M23" s="18">
        <f t="shared" ref="M23" si="10">N23/K23</f>
        <v>5.166666666666667</v>
      </c>
      <c r="N23" s="18">
        <v>62</v>
      </c>
      <c r="O23" s="18">
        <f t="shared" ref="O23" si="11">L23/K23</f>
        <v>8.3333333333333329E-2</v>
      </c>
      <c r="P23" s="18" t="s">
        <v>392</v>
      </c>
    </row>
    <row r="24" spans="1:16" x14ac:dyDescent="0.35">
      <c r="A24" s="18" t="s">
        <v>56</v>
      </c>
      <c r="B24" s="18">
        <v>13</v>
      </c>
      <c r="C24" s="18">
        <v>0</v>
      </c>
      <c r="D24" s="18">
        <f t="shared" si="0"/>
        <v>5.0769230769230766</v>
      </c>
      <c r="E24" s="18">
        <v>66</v>
      </c>
      <c r="F24" s="18">
        <f t="shared" si="1"/>
        <v>0</v>
      </c>
      <c r="G24" s="32">
        <v>2.0655911179772799</v>
      </c>
      <c r="J24" s="18" t="s">
        <v>56</v>
      </c>
      <c r="K24" s="18">
        <v>13</v>
      </c>
      <c r="L24" s="18">
        <v>0</v>
      </c>
      <c r="M24" s="18">
        <f t="shared" ref="M24" si="12">N24/K24</f>
        <v>5.0769230769230766</v>
      </c>
      <c r="N24" s="18">
        <v>66</v>
      </c>
      <c r="O24" s="18">
        <f t="shared" ref="O24" si="13">L24/K24</f>
        <v>0</v>
      </c>
      <c r="P24" s="18" t="s">
        <v>392</v>
      </c>
    </row>
    <row r="25" spans="1:16" x14ac:dyDescent="0.35">
      <c r="A25" s="18" t="s">
        <v>52</v>
      </c>
      <c r="B25" s="18">
        <v>13</v>
      </c>
      <c r="C25" s="18">
        <v>1</v>
      </c>
      <c r="D25" s="18">
        <f t="shared" si="0"/>
        <v>3.7692307692307692</v>
      </c>
      <c r="E25" s="18">
        <v>49</v>
      </c>
      <c r="F25" s="18">
        <f t="shared" si="1"/>
        <v>7.6923076923076927E-2</v>
      </c>
      <c r="G25" s="32">
        <v>2.1794494717703299</v>
      </c>
      <c r="J25" s="18" t="s">
        <v>52</v>
      </c>
      <c r="K25" s="18">
        <v>13</v>
      </c>
      <c r="L25" s="18">
        <v>1</v>
      </c>
      <c r="M25" s="18">
        <f t="shared" ref="M25:M29" si="14">N25/K25</f>
        <v>3.7692307692307692</v>
      </c>
      <c r="N25" s="18">
        <v>49</v>
      </c>
      <c r="O25" s="18">
        <f t="shared" ref="O25:O29" si="15">L25/K25</f>
        <v>7.6923076923076927E-2</v>
      </c>
      <c r="P25" s="18" t="s">
        <v>392</v>
      </c>
    </row>
    <row r="26" spans="1:16" x14ac:dyDescent="0.35">
      <c r="A26" s="18" t="s">
        <v>20</v>
      </c>
      <c r="B26" s="18">
        <v>15</v>
      </c>
      <c r="C26" s="18">
        <v>1</v>
      </c>
      <c r="D26" s="18">
        <f t="shared" si="0"/>
        <v>5.7333333333333334</v>
      </c>
      <c r="E26" s="18">
        <v>86</v>
      </c>
      <c r="F26" s="18">
        <f t="shared" si="1"/>
        <v>6.6666666666666666E-2</v>
      </c>
      <c r="G26" s="32">
        <v>2.3159525823376299</v>
      </c>
      <c r="J26" s="18" t="s">
        <v>20</v>
      </c>
      <c r="K26" s="18">
        <v>15</v>
      </c>
      <c r="L26" s="18">
        <v>1</v>
      </c>
      <c r="M26" s="18">
        <f t="shared" si="14"/>
        <v>5.7333333333333334</v>
      </c>
      <c r="N26" s="18">
        <v>86</v>
      </c>
      <c r="O26" s="18">
        <f t="shared" si="15"/>
        <v>6.6666666666666666E-2</v>
      </c>
      <c r="P26" s="18" t="s">
        <v>392</v>
      </c>
    </row>
    <row r="27" spans="1:16" x14ac:dyDescent="0.35">
      <c r="A27" s="18" t="s">
        <v>25</v>
      </c>
      <c r="B27" s="18">
        <v>58</v>
      </c>
      <c r="C27" s="18">
        <v>4</v>
      </c>
      <c r="D27" s="18">
        <f t="shared" si="0"/>
        <v>5.1379310344827589</v>
      </c>
      <c r="E27" s="18">
        <v>298</v>
      </c>
      <c r="F27" s="18">
        <f t="shared" si="1"/>
        <v>6.8965517241379309E-2</v>
      </c>
      <c r="G27" s="32">
        <v>2.1609054109613202</v>
      </c>
      <c r="J27" s="18" t="s">
        <v>25</v>
      </c>
      <c r="K27" s="18">
        <v>58</v>
      </c>
      <c r="L27" s="18">
        <v>4</v>
      </c>
      <c r="M27" s="18">
        <f t="shared" si="14"/>
        <v>5.1379310344827589</v>
      </c>
      <c r="N27" s="18">
        <v>298</v>
      </c>
      <c r="O27" s="18">
        <f t="shared" si="15"/>
        <v>6.8965517241379309E-2</v>
      </c>
      <c r="P27" s="18" t="s">
        <v>392</v>
      </c>
    </row>
    <row r="28" spans="1:16" x14ac:dyDescent="0.35">
      <c r="A28" s="18" t="s">
        <v>34</v>
      </c>
      <c r="B28" s="18">
        <v>12</v>
      </c>
      <c r="C28" s="18">
        <v>1</v>
      </c>
      <c r="D28" s="18">
        <f t="shared" si="0"/>
        <v>5.333333333333333</v>
      </c>
      <c r="E28" s="18">
        <v>64</v>
      </c>
      <c r="F28" s="18">
        <f t="shared" si="1"/>
        <v>8.3333333333333329E-2</v>
      </c>
      <c r="G28" s="32">
        <v>2.2360679774997898</v>
      </c>
      <c r="J28" s="18" t="s">
        <v>34</v>
      </c>
      <c r="K28" s="18">
        <v>12</v>
      </c>
      <c r="L28" s="18">
        <v>1</v>
      </c>
      <c r="M28" s="18">
        <f t="shared" si="14"/>
        <v>5.333333333333333</v>
      </c>
      <c r="N28" s="18">
        <v>64</v>
      </c>
      <c r="O28" s="18">
        <f t="shared" si="15"/>
        <v>8.3333333333333329E-2</v>
      </c>
      <c r="P28" s="18" t="s">
        <v>392</v>
      </c>
    </row>
    <row r="29" spans="1:16" x14ac:dyDescent="0.35">
      <c r="A29" s="18" t="s">
        <v>147</v>
      </c>
      <c r="B29" s="18">
        <v>25</v>
      </c>
      <c r="C29" s="18">
        <v>3</v>
      </c>
      <c r="D29" s="18">
        <f t="shared" si="0"/>
        <v>3.96</v>
      </c>
      <c r="E29" s="18">
        <v>99</v>
      </c>
      <c r="F29" s="18">
        <f t="shared" si="1"/>
        <v>0.12</v>
      </c>
      <c r="G29" s="32">
        <v>1.94935886896179</v>
      </c>
      <c r="J29" s="18" t="s">
        <v>147</v>
      </c>
      <c r="K29" s="18">
        <v>25</v>
      </c>
      <c r="L29" s="18">
        <v>3</v>
      </c>
      <c r="M29" s="18">
        <f t="shared" si="14"/>
        <v>3.96</v>
      </c>
      <c r="N29" s="18">
        <v>99</v>
      </c>
      <c r="O29" s="18">
        <f t="shared" si="15"/>
        <v>0.12</v>
      </c>
      <c r="P29" s="18" t="s">
        <v>392</v>
      </c>
    </row>
    <row r="30" spans="1:16" x14ac:dyDescent="0.35">
      <c r="A30" s="18" t="s">
        <v>87</v>
      </c>
      <c r="B30" s="18">
        <v>10</v>
      </c>
      <c r="C30" s="18">
        <v>1</v>
      </c>
      <c r="D30" s="18">
        <f t="shared" si="0"/>
        <v>4.7</v>
      </c>
      <c r="E30" s="18">
        <v>47</v>
      </c>
      <c r="F30" s="18">
        <f t="shared" si="1"/>
        <v>0.1</v>
      </c>
      <c r="G30" s="32">
        <v>1.7888543819998299</v>
      </c>
      <c r="J30" s="18" t="s">
        <v>87</v>
      </c>
      <c r="K30" s="18">
        <v>10</v>
      </c>
      <c r="L30" s="18">
        <v>1</v>
      </c>
      <c r="M30" s="18">
        <f>N30/K30</f>
        <v>4.7</v>
      </c>
      <c r="N30" s="18">
        <v>47</v>
      </c>
      <c r="O30" s="18">
        <f>L30/K30</f>
        <v>0.1</v>
      </c>
      <c r="P30" s="18" t="s">
        <v>392</v>
      </c>
    </row>
    <row r="31" spans="1:16" x14ac:dyDescent="0.35">
      <c r="A31" s="18" t="s">
        <v>50</v>
      </c>
      <c r="B31" s="18">
        <v>13</v>
      </c>
      <c r="C31" s="18">
        <v>0</v>
      </c>
      <c r="D31" s="18">
        <f t="shared" si="0"/>
        <v>4.6923076923076925</v>
      </c>
      <c r="E31" s="18">
        <v>61</v>
      </c>
      <c r="F31" s="18">
        <f t="shared" si="1"/>
        <v>0</v>
      </c>
      <c r="G31" s="32">
        <v>2.2360679774997898</v>
      </c>
      <c r="J31" s="18" t="s">
        <v>50</v>
      </c>
      <c r="K31" s="18">
        <v>13</v>
      </c>
      <c r="L31" s="18">
        <v>0</v>
      </c>
      <c r="M31" s="18">
        <f>N31/K31</f>
        <v>4.6923076923076925</v>
      </c>
      <c r="N31" s="18">
        <v>61</v>
      </c>
      <c r="O31" s="18">
        <f>L31/K31</f>
        <v>0</v>
      </c>
      <c r="P31" s="18" t="s">
        <v>392</v>
      </c>
    </row>
    <row r="32" spans="1:16" x14ac:dyDescent="0.35">
      <c r="A32" s="18" t="s">
        <v>81</v>
      </c>
      <c r="B32" s="18">
        <v>26</v>
      </c>
      <c r="C32" s="18">
        <v>2</v>
      </c>
      <c r="D32" s="18">
        <f t="shared" si="0"/>
        <v>4.8076923076923075</v>
      </c>
      <c r="E32" s="18">
        <v>125</v>
      </c>
      <c r="F32" s="18">
        <f t="shared" si="1"/>
        <v>7.6923076923076927E-2</v>
      </c>
      <c r="G32" s="32">
        <v>1.76776695296636</v>
      </c>
      <c r="J32" s="18" t="s">
        <v>81</v>
      </c>
      <c r="K32" s="18">
        <v>26</v>
      </c>
      <c r="L32" s="18">
        <v>2</v>
      </c>
      <c r="M32" s="18">
        <f t="shared" ref="M32" si="16">N32/K32</f>
        <v>4.8076923076923075</v>
      </c>
      <c r="N32" s="18">
        <v>125</v>
      </c>
      <c r="O32" s="18">
        <f t="shared" ref="O32" si="17">L32/K32</f>
        <v>7.6923076923076927E-2</v>
      </c>
      <c r="P32" s="18" t="s">
        <v>392</v>
      </c>
    </row>
    <row r="33" spans="1:16" x14ac:dyDescent="0.35">
      <c r="A33" s="18" t="s">
        <v>36</v>
      </c>
      <c r="B33" s="18">
        <v>11</v>
      </c>
      <c r="C33" s="18">
        <v>0</v>
      </c>
      <c r="D33" s="18">
        <f t="shared" si="0"/>
        <v>4.3636363636363633</v>
      </c>
      <c r="E33" s="18">
        <v>48</v>
      </c>
      <c r="F33" s="18">
        <f t="shared" si="1"/>
        <v>0</v>
      </c>
      <c r="G33" s="32">
        <v>2.6076809620810502</v>
      </c>
      <c r="J33" s="18" t="s">
        <v>36</v>
      </c>
      <c r="K33" s="18">
        <v>11</v>
      </c>
      <c r="L33" s="18">
        <v>0</v>
      </c>
      <c r="M33" s="18">
        <f t="shared" ref="M33:M34" si="18">N33/K33</f>
        <v>4.3636363636363633</v>
      </c>
      <c r="N33" s="18">
        <v>48</v>
      </c>
      <c r="O33" s="18">
        <f t="shared" ref="O33:O34" si="19">L33/K33</f>
        <v>0</v>
      </c>
      <c r="P33" s="18" t="s">
        <v>392</v>
      </c>
    </row>
    <row r="34" spans="1:16" x14ac:dyDescent="0.35">
      <c r="A34" s="18" t="s">
        <v>112</v>
      </c>
      <c r="B34" s="18">
        <v>16</v>
      </c>
      <c r="C34" s="18">
        <v>5</v>
      </c>
      <c r="D34" s="18">
        <f t="shared" si="0"/>
        <v>3.9375</v>
      </c>
      <c r="E34" s="18">
        <v>63</v>
      </c>
      <c r="F34" s="18">
        <f t="shared" si="1"/>
        <v>0.3125</v>
      </c>
      <c r="G34" s="32">
        <v>2.71006354989037</v>
      </c>
      <c r="J34" s="18" t="s">
        <v>112</v>
      </c>
      <c r="K34" s="18">
        <v>16</v>
      </c>
      <c r="L34" s="18">
        <v>5</v>
      </c>
      <c r="M34" s="18">
        <f t="shared" si="18"/>
        <v>3.9375</v>
      </c>
      <c r="N34" s="18">
        <v>63</v>
      </c>
      <c r="O34" s="18">
        <f t="shared" si="19"/>
        <v>0.3125</v>
      </c>
      <c r="P34">
        <v>1</v>
      </c>
    </row>
    <row r="35" spans="1:16" x14ac:dyDescent="0.35">
      <c r="A35" s="18" t="s">
        <v>27</v>
      </c>
      <c r="B35" s="18">
        <v>24</v>
      </c>
      <c r="C35" s="18">
        <v>1</v>
      </c>
      <c r="D35" s="18">
        <f t="shared" si="0"/>
        <v>4.541666666666667</v>
      </c>
      <c r="E35" s="18">
        <v>109</v>
      </c>
      <c r="F35" s="18">
        <f t="shared" si="1"/>
        <v>4.1666666666666664E-2</v>
      </c>
      <c r="G35" s="32">
        <v>2.54950975679639</v>
      </c>
      <c r="J35" s="18" t="s">
        <v>27</v>
      </c>
      <c r="K35" s="18">
        <v>24</v>
      </c>
      <c r="L35" s="18">
        <v>1</v>
      </c>
      <c r="M35" s="18">
        <f t="shared" ref="M35:M36" si="20">N35/K35</f>
        <v>4.541666666666667</v>
      </c>
      <c r="N35" s="18">
        <v>109</v>
      </c>
      <c r="O35" s="18">
        <f t="shared" ref="O35:O36" si="21">L35/K35</f>
        <v>4.1666666666666664E-2</v>
      </c>
      <c r="P35" s="18" t="s">
        <v>392</v>
      </c>
    </row>
    <row r="36" spans="1:16" x14ac:dyDescent="0.35">
      <c r="A36" s="18" t="s">
        <v>117</v>
      </c>
      <c r="B36" s="18">
        <v>14</v>
      </c>
      <c r="C36" s="18">
        <v>2</v>
      </c>
      <c r="D36" s="18">
        <f t="shared" si="0"/>
        <v>5.1428571428571432</v>
      </c>
      <c r="E36" s="18">
        <v>72</v>
      </c>
      <c r="F36" s="18">
        <f t="shared" si="1"/>
        <v>0.14285714285714285</v>
      </c>
      <c r="G36" s="32">
        <v>2.7284509239574799</v>
      </c>
      <c r="J36" s="18" t="s">
        <v>117</v>
      </c>
      <c r="K36" s="18">
        <v>14</v>
      </c>
      <c r="L36" s="18">
        <v>2</v>
      </c>
      <c r="M36" s="18">
        <f t="shared" si="20"/>
        <v>5.1428571428571432</v>
      </c>
      <c r="N36" s="18">
        <v>72</v>
      </c>
      <c r="O36" s="18">
        <f t="shared" si="21"/>
        <v>0.14285714285714285</v>
      </c>
      <c r="P36" s="18" t="s">
        <v>392</v>
      </c>
    </row>
    <row r="37" spans="1:16" x14ac:dyDescent="0.35">
      <c r="A37" t="s">
        <v>141</v>
      </c>
      <c r="B37">
        <v>6</v>
      </c>
      <c r="C37">
        <v>1</v>
      </c>
      <c r="D37">
        <f t="shared" si="0"/>
        <v>3.5</v>
      </c>
      <c r="E37">
        <v>21</v>
      </c>
      <c r="F37">
        <f t="shared" si="1"/>
        <v>0.16666666666666666</v>
      </c>
      <c r="G37" s="32">
        <v>2.0736441353327701</v>
      </c>
      <c r="J37" s="18" t="s">
        <v>401</v>
      </c>
      <c r="K37" s="18">
        <v>23</v>
      </c>
      <c r="L37" s="18">
        <v>1</v>
      </c>
      <c r="M37" s="18">
        <f t="shared" ref="M37:M39" si="22">N37/K37</f>
        <v>5.9565217391304346</v>
      </c>
      <c r="N37" s="18">
        <v>137</v>
      </c>
      <c r="O37" s="18">
        <f t="shared" ref="O37:O39" si="23">L37/K37</f>
        <v>4.3478260869565216E-2</v>
      </c>
      <c r="P37" s="18" t="s">
        <v>392</v>
      </c>
    </row>
    <row r="38" spans="1:16" x14ac:dyDescent="0.35">
      <c r="A38" s="18" t="s">
        <v>401</v>
      </c>
      <c r="B38" s="18">
        <v>23</v>
      </c>
      <c r="C38" s="18">
        <v>1</v>
      </c>
      <c r="D38" s="18">
        <f t="shared" si="0"/>
        <v>5.9565217391304346</v>
      </c>
      <c r="E38" s="18">
        <v>137</v>
      </c>
      <c r="F38" s="18">
        <f t="shared" si="1"/>
        <v>4.3478260869565216E-2</v>
      </c>
      <c r="G38" s="32">
        <v>2.1248885888797799</v>
      </c>
      <c r="J38" s="18" t="s">
        <v>15</v>
      </c>
      <c r="K38" s="18">
        <v>126</v>
      </c>
      <c r="L38" s="18">
        <v>24</v>
      </c>
      <c r="M38" s="18">
        <f t="shared" si="22"/>
        <v>4.412698412698413</v>
      </c>
      <c r="N38" s="18">
        <v>556</v>
      </c>
      <c r="O38" s="18">
        <f t="shared" si="23"/>
        <v>0.19047619047619047</v>
      </c>
      <c r="P38">
        <v>2</v>
      </c>
    </row>
    <row r="39" spans="1:16" x14ac:dyDescent="0.35">
      <c r="A39" s="18" t="s">
        <v>15</v>
      </c>
      <c r="B39" s="18">
        <v>126</v>
      </c>
      <c r="C39" s="18">
        <v>24</v>
      </c>
      <c r="D39" s="18">
        <f t="shared" si="0"/>
        <v>4.412698412698413</v>
      </c>
      <c r="E39" s="18">
        <v>556</v>
      </c>
      <c r="F39" s="18">
        <f t="shared" si="1"/>
        <v>0.19047619047619047</v>
      </c>
      <c r="G39" s="32">
        <v>2.3694389634605302</v>
      </c>
      <c r="J39" s="18" t="s">
        <v>13</v>
      </c>
      <c r="K39" s="18">
        <v>31</v>
      </c>
      <c r="L39" s="18">
        <v>2</v>
      </c>
      <c r="M39" s="18">
        <f t="shared" si="22"/>
        <v>4.645161290322581</v>
      </c>
      <c r="N39" s="18">
        <v>144</v>
      </c>
      <c r="O39" s="18">
        <f t="shared" si="23"/>
        <v>6.4516129032258063E-2</v>
      </c>
      <c r="P39" s="18" t="s">
        <v>392</v>
      </c>
    </row>
    <row r="40" spans="1:16" x14ac:dyDescent="0.35">
      <c r="A40" s="18" t="s">
        <v>13</v>
      </c>
      <c r="B40" s="18">
        <v>31</v>
      </c>
      <c r="C40" s="18">
        <v>2</v>
      </c>
      <c r="D40" s="18">
        <f t="shared" si="0"/>
        <v>4.645161290322581</v>
      </c>
      <c r="E40" s="18">
        <v>144</v>
      </c>
      <c r="F40" s="18">
        <f t="shared" si="1"/>
        <v>6.4516129032258063E-2</v>
      </c>
      <c r="G40" s="32">
        <v>2.1392325234704299</v>
      </c>
      <c r="J40" s="18" t="s">
        <v>10</v>
      </c>
      <c r="K40" s="18">
        <v>33</v>
      </c>
      <c r="L40" s="18">
        <v>6</v>
      </c>
      <c r="M40" s="18">
        <f t="shared" ref="M40" si="24">N40/K40</f>
        <v>4.0606060606060606</v>
      </c>
      <c r="N40" s="18">
        <v>134</v>
      </c>
      <c r="O40" s="18">
        <f t="shared" ref="O40" si="25">L40/K40</f>
        <v>0.18181818181818182</v>
      </c>
      <c r="P40" s="18" t="s">
        <v>392</v>
      </c>
    </row>
    <row r="41" spans="1:16" x14ac:dyDescent="0.35">
      <c r="A41" s="18" t="s">
        <v>10</v>
      </c>
      <c r="B41" s="18">
        <v>33</v>
      </c>
      <c r="C41" s="18">
        <v>6</v>
      </c>
      <c r="D41" s="18">
        <f t="shared" si="0"/>
        <v>4.0606060606060606</v>
      </c>
      <c r="E41" s="18">
        <v>134</v>
      </c>
      <c r="F41" s="18">
        <f t="shared" si="1"/>
        <v>0.18181818181818182</v>
      </c>
      <c r="G41" s="32">
        <v>2.2086889501029501</v>
      </c>
      <c r="J41" s="18" t="s">
        <v>63</v>
      </c>
      <c r="K41" s="18">
        <v>14</v>
      </c>
      <c r="L41" s="18">
        <v>2</v>
      </c>
      <c r="M41" s="18">
        <f t="shared" ref="M41:M43" si="26">N41/K41</f>
        <v>4.2142857142857144</v>
      </c>
      <c r="N41" s="18">
        <v>59</v>
      </c>
      <c r="O41" s="18">
        <f t="shared" ref="O41:O43" si="27">L41/K41</f>
        <v>0.14285714285714285</v>
      </c>
      <c r="P41" s="18" t="s">
        <v>392</v>
      </c>
    </row>
    <row r="42" spans="1:16" x14ac:dyDescent="0.35">
      <c r="A42" s="18" t="s">
        <v>63</v>
      </c>
      <c r="B42" s="18">
        <v>14</v>
      </c>
      <c r="C42" s="18">
        <v>2</v>
      </c>
      <c r="D42" s="18">
        <f t="shared" si="0"/>
        <v>4.2142857142857144</v>
      </c>
      <c r="E42" s="18">
        <v>59</v>
      </c>
      <c r="F42" s="18">
        <f t="shared" si="1"/>
        <v>0.14285714285714285</v>
      </c>
      <c r="G42" s="32">
        <v>2.6394443859772201</v>
      </c>
      <c r="J42" s="18" t="s">
        <v>4</v>
      </c>
      <c r="K42" s="18">
        <v>15</v>
      </c>
      <c r="L42" s="18">
        <v>0</v>
      </c>
      <c r="M42" s="18">
        <f t="shared" si="26"/>
        <v>5.8</v>
      </c>
      <c r="N42" s="18">
        <v>87</v>
      </c>
      <c r="O42" s="18">
        <f t="shared" si="27"/>
        <v>0</v>
      </c>
      <c r="P42" s="18" t="s">
        <v>392</v>
      </c>
    </row>
    <row r="43" spans="1:16" x14ac:dyDescent="0.35">
      <c r="A43" s="18" t="s">
        <v>4</v>
      </c>
      <c r="B43" s="18">
        <v>15</v>
      </c>
      <c r="C43" s="18">
        <v>0</v>
      </c>
      <c r="D43" s="18">
        <f t="shared" si="0"/>
        <v>5.8</v>
      </c>
      <c r="E43" s="18">
        <v>87</v>
      </c>
      <c r="F43" s="18">
        <f t="shared" si="1"/>
        <v>0</v>
      </c>
      <c r="G43" s="32">
        <v>2.08832734769027</v>
      </c>
      <c r="J43" s="18" t="s">
        <v>121</v>
      </c>
      <c r="K43" s="18">
        <v>52</v>
      </c>
      <c r="L43" s="18">
        <v>11</v>
      </c>
      <c r="M43" s="18">
        <f t="shared" si="26"/>
        <v>3.8269230769230771</v>
      </c>
      <c r="N43" s="18">
        <v>199</v>
      </c>
      <c r="O43" s="18">
        <f t="shared" si="27"/>
        <v>0.21153846153846154</v>
      </c>
      <c r="P43" s="18" t="s">
        <v>392</v>
      </c>
    </row>
    <row r="44" spans="1:16" x14ac:dyDescent="0.35">
      <c r="A44" s="18" t="s">
        <v>121</v>
      </c>
      <c r="B44" s="18">
        <v>52</v>
      </c>
      <c r="C44" s="18">
        <v>11</v>
      </c>
      <c r="D44" s="18">
        <f t="shared" si="0"/>
        <v>3.8269230769230771</v>
      </c>
      <c r="E44" s="18">
        <v>199</v>
      </c>
      <c r="F44" s="18">
        <f t="shared" si="1"/>
        <v>0.21153846153846154</v>
      </c>
      <c r="G44" s="32">
        <v>2.2233267457082899</v>
      </c>
      <c r="J44" s="18" t="s">
        <v>232</v>
      </c>
      <c r="K44" s="18">
        <v>13</v>
      </c>
      <c r="L44" s="18">
        <v>2</v>
      </c>
      <c r="M44" s="18">
        <f t="shared" ref="M44:M45" si="28">N44/K44</f>
        <v>3.7692307692307692</v>
      </c>
      <c r="N44" s="18">
        <v>49</v>
      </c>
      <c r="O44" s="18">
        <f t="shared" ref="O44:O45" si="29">L44/K44</f>
        <v>0.15384615384615385</v>
      </c>
      <c r="P44" s="18" t="s">
        <v>392</v>
      </c>
    </row>
    <row r="45" spans="1:16" x14ac:dyDescent="0.35">
      <c r="A45" s="18" t="s">
        <v>232</v>
      </c>
      <c r="B45" s="18">
        <v>13</v>
      </c>
      <c r="C45" s="18">
        <v>2</v>
      </c>
      <c r="D45" s="18">
        <f t="shared" ref="D45:D72" si="30">E45/B45</f>
        <v>3.7692307692307692</v>
      </c>
      <c r="E45" s="18">
        <v>49</v>
      </c>
      <c r="F45" s="18">
        <f t="shared" ref="F45:F72" si="31">C45/B45</f>
        <v>0.15384615384615385</v>
      </c>
      <c r="G45" s="32">
        <v>2.2509257354845502</v>
      </c>
      <c r="J45" s="18" t="s">
        <v>21</v>
      </c>
      <c r="K45" s="18">
        <v>36</v>
      </c>
      <c r="L45" s="18">
        <v>5</v>
      </c>
      <c r="M45" s="18">
        <f t="shared" si="28"/>
        <v>4.2222222222222223</v>
      </c>
      <c r="N45" s="18">
        <v>152</v>
      </c>
      <c r="O45" s="18">
        <f t="shared" si="29"/>
        <v>0.1388888888888889</v>
      </c>
      <c r="P45">
        <v>1</v>
      </c>
    </row>
    <row r="46" spans="1:16" x14ac:dyDescent="0.35">
      <c r="A46" s="18" t="s">
        <v>21</v>
      </c>
      <c r="B46" s="18">
        <v>36</v>
      </c>
      <c r="C46" s="18">
        <v>5</v>
      </c>
      <c r="D46" s="18">
        <f t="shared" si="30"/>
        <v>4.2222222222222223</v>
      </c>
      <c r="E46" s="18">
        <v>152</v>
      </c>
      <c r="F46" s="18">
        <f t="shared" si="31"/>
        <v>0.1388888888888889</v>
      </c>
      <c r="G46" s="32">
        <v>2.0655911179772799</v>
      </c>
      <c r="J46" s="18" t="s">
        <v>51</v>
      </c>
      <c r="K46" s="18">
        <v>21</v>
      </c>
      <c r="L46" s="18">
        <v>1</v>
      </c>
      <c r="M46" s="18">
        <f>N46/K46</f>
        <v>5.0952380952380949</v>
      </c>
      <c r="N46" s="18">
        <v>107</v>
      </c>
      <c r="O46" s="18">
        <f>L46/K46</f>
        <v>4.7619047619047616E-2</v>
      </c>
      <c r="P46" s="18" t="s">
        <v>392</v>
      </c>
    </row>
    <row r="47" spans="1:16" x14ac:dyDescent="0.35">
      <c r="A47" s="18" t="s">
        <v>51</v>
      </c>
      <c r="B47" s="18">
        <v>21</v>
      </c>
      <c r="C47" s="18">
        <v>1</v>
      </c>
      <c r="D47" s="18">
        <f t="shared" si="30"/>
        <v>5.0952380952380949</v>
      </c>
      <c r="E47" s="18">
        <v>107</v>
      </c>
      <c r="F47" s="18">
        <f t="shared" si="31"/>
        <v>4.7619047619047616E-2</v>
      </c>
      <c r="G47" s="32">
        <v>2.2967049878400898</v>
      </c>
      <c r="J47" s="18" t="s">
        <v>414</v>
      </c>
      <c r="K47" s="18">
        <v>11</v>
      </c>
      <c r="L47" s="18">
        <v>1</v>
      </c>
      <c r="M47" s="18">
        <f t="shared" ref="M47:M49" si="32">N47/K47</f>
        <v>5</v>
      </c>
      <c r="N47" s="18">
        <v>55</v>
      </c>
      <c r="O47" s="18">
        <f t="shared" ref="O47:O49" si="33">L47/K47</f>
        <v>9.0909090909090912E-2</v>
      </c>
      <c r="P47" s="18" t="s">
        <v>392</v>
      </c>
    </row>
    <row r="48" spans="1:16" x14ac:dyDescent="0.35">
      <c r="A48" s="18" t="s">
        <v>414</v>
      </c>
      <c r="B48" s="18">
        <v>11</v>
      </c>
      <c r="C48" s="18">
        <v>1</v>
      </c>
      <c r="D48" s="18">
        <f t="shared" si="30"/>
        <v>5</v>
      </c>
      <c r="E48" s="18">
        <v>55</v>
      </c>
      <c r="F48" s="18">
        <f t="shared" si="31"/>
        <v>9.0909090909090912E-2</v>
      </c>
      <c r="G48" s="32">
        <v>2.8702082220799299</v>
      </c>
      <c r="J48" s="18" t="s">
        <v>0</v>
      </c>
      <c r="K48" s="18">
        <v>67</v>
      </c>
      <c r="L48" s="18">
        <v>12</v>
      </c>
      <c r="M48" s="18">
        <f t="shared" si="32"/>
        <v>3.955223880597015</v>
      </c>
      <c r="N48" s="18">
        <v>265</v>
      </c>
      <c r="O48" s="18">
        <f t="shared" si="33"/>
        <v>0.17910447761194029</v>
      </c>
      <c r="P48" s="18" t="s">
        <v>392</v>
      </c>
    </row>
    <row r="49" spans="1:16" x14ac:dyDescent="0.35">
      <c r="A49" s="18" t="s">
        <v>0</v>
      </c>
      <c r="B49" s="18">
        <v>67</v>
      </c>
      <c r="C49" s="18">
        <v>12</v>
      </c>
      <c r="D49" s="18">
        <f t="shared" si="30"/>
        <v>3.955223880597015</v>
      </c>
      <c r="E49" s="18">
        <v>265</v>
      </c>
      <c r="F49" s="18">
        <f t="shared" si="31"/>
        <v>0.17910447761194029</v>
      </c>
      <c r="G49" s="32">
        <v>2.16465107712866</v>
      </c>
      <c r="J49" s="18" t="s">
        <v>1</v>
      </c>
      <c r="K49" s="18">
        <v>43</v>
      </c>
      <c r="L49" s="18">
        <v>3</v>
      </c>
      <c r="M49" s="18">
        <f t="shared" si="32"/>
        <v>4.6744186046511631</v>
      </c>
      <c r="N49" s="18">
        <v>201</v>
      </c>
      <c r="O49" s="18">
        <f t="shared" si="33"/>
        <v>6.9767441860465115E-2</v>
      </c>
      <c r="P49" s="18" t="s">
        <v>392</v>
      </c>
    </row>
    <row r="50" spans="1:16" x14ac:dyDescent="0.35">
      <c r="A50" s="18" t="s">
        <v>1</v>
      </c>
      <c r="B50" s="18">
        <v>43</v>
      </c>
      <c r="C50" s="18">
        <v>3</v>
      </c>
      <c r="D50" s="18">
        <f t="shared" si="30"/>
        <v>4.6744186046511631</v>
      </c>
      <c r="E50" s="18">
        <v>201</v>
      </c>
      <c r="F50" s="18">
        <f t="shared" si="31"/>
        <v>6.9767441860465115E-2</v>
      </c>
      <c r="G50" s="32">
        <v>2.0412414523193099</v>
      </c>
      <c r="J50" s="18" t="s">
        <v>28</v>
      </c>
      <c r="K50" s="18">
        <v>13</v>
      </c>
      <c r="L50" s="18">
        <v>0</v>
      </c>
      <c r="M50" s="18">
        <f t="shared" ref="M50:M52" si="34">N50/K50</f>
        <v>5.5384615384615383</v>
      </c>
      <c r="N50" s="18">
        <v>72</v>
      </c>
      <c r="O50" s="18">
        <f t="shared" ref="O50:O52" si="35">L50/K50</f>
        <v>0</v>
      </c>
      <c r="P50" s="18" t="s">
        <v>392</v>
      </c>
    </row>
    <row r="51" spans="1:16" x14ac:dyDescent="0.35">
      <c r="A51" s="18" t="s">
        <v>28</v>
      </c>
      <c r="B51" s="18">
        <v>13</v>
      </c>
      <c r="C51" s="18">
        <v>0</v>
      </c>
      <c r="D51" s="18">
        <f t="shared" si="30"/>
        <v>5.5384615384615383</v>
      </c>
      <c r="E51" s="18">
        <v>72</v>
      </c>
      <c r="F51" s="18">
        <f t="shared" si="31"/>
        <v>0</v>
      </c>
      <c r="G51" s="32">
        <v>1.30384048104052</v>
      </c>
      <c r="J51" s="18" t="s">
        <v>61</v>
      </c>
      <c r="K51" s="18">
        <v>10</v>
      </c>
      <c r="L51" s="18">
        <v>2</v>
      </c>
      <c r="M51" s="18">
        <f t="shared" si="34"/>
        <v>5.2</v>
      </c>
      <c r="N51" s="18">
        <v>52</v>
      </c>
      <c r="O51" s="18">
        <f t="shared" si="35"/>
        <v>0.2</v>
      </c>
      <c r="P51" s="18" t="s">
        <v>392</v>
      </c>
    </row>
    <row r="52" spans="1:16" x14ac:dyDescent="0.35">
      <c r="A52" t="s">
        <v>253</v>
      </c>
      <c r="B52">
        <v>4</v>
      </c>
      <c r="C52">
        <v>0</v>
      </c>
      <c r="D52">
        <f t="shared" si="30"/>
        <v>5.75</v>
      </c>
      <c r="E52">
        <v>23</v>
      </c>
      <c r="F52">
        <f t="shared" si="31"/>
        <v>0</v>
      </c>
      <c r="G52" s="32"/>
      <c r="J52" s="18" t="s">
        <v>115</v>
      </c>
      <c r="K52" s="18">
        <v>17</v>
      </c>
      <c r="L52" s="18">
        <v>1</v>
      </c>
      <c r="M52" s="18">
        <f t="shared" si="34"/>
        <v>4.3529411764705879</v>
      </c>
      <c r="N52" s="18">
        <v>74</v>
      </c>
      <c r="O52" s="18">
        <f t="shared" si="35"/>
        <v>5.8823529411764705E-2</v>
      </c>
      <c r="P52" s="18" t="s">
        <v>392</v>
      </c>
    </row>
    <row r="53" spans="1:16" x14ac:dyDescent="0.35">
      <c r="A53" t="s">
        <v>175</v>
      </c>
      <c r="B53">
        <v>7</v>
      </c>
      <c r="C53">
        <v>0</v>
      </c>
      <c r="D53">
        <f t="shared" si="30"/>
        <v>4.5714285714285712</v>
      </c>
      <c r="E53">
        <v>32</v>
      </c>
      <c r="F53">
        <f t="shared" si="31"/>
        <v>0</v>
      </c>
      <c r="G53" s="32">
        <v>2</v>
      </c>
      <c r="J53" s="18" t="s">
        <v>24</v>
      </c>
      <c r="K53" s="18">
        <v>71</v>
      </c>
      <c r="L53" s="18">
        <v>9</v>
      </c>
      <c r="M53" s="18">
        <f t="shared" ref="M53:M54" si="36">N53/K53</f>
        <v>4.535211267605634</v>
      </c>
      <c r="N53" s="18">
        <v>322</v>
      </c>
      <c r="O53" s="18">
        <f t="shared" ref="O53:O54" si="37">L53/K53</f>
        <v>0.12676056338028169</v>
      </c>
      <c r="P53" s="18" t="s">
        <v>392</v>
      </c>
    </row>
    <row r="54" spans="1:16" x14ac:dyDescent="0.35">
      <c r="A54" s="18" t="s">
        <v>61</v>
      </c>
      <c r="B54" s="18">
        <v>10</v>
      </c>
      <c r="C54" s="18">
        <v>2</v>
      </c>
      <c r="D54" s="18">
        <f t="shared" si="30"/>
        <v>5.2</v>
      </c>
      <c r="E54" s="18">
        <v>52</v>
      </c>
      <c r="F54" s="18">
        <f t="shared" si="31"/>
        <v>0.2</v>
      </c>
      <c r="G54" s="32">
        <v>3.2403703492039302</v>
      </c>
      <c r="J54" s="18" t="s">
        <v>116</v>
      </c>
      <c r="K54" s="18">
        <v>15</v>
      </c>
      <c r="L54" s="18">
        <v>3</v>
      </c>
      <c r="M54" s="18">
        <f t="shared" si="36"/>
        <v>4.1333333333333337</v>
      </c>
      <c r="N54" s="18">
        <v>62</v>
      </c>
      <c r="O54" s="18">
        <f t="shared" si="37"/>
        <v>0.2</v>
      </c>
      <c r="P54" s="18" t="s">
        <v>392</v>
      </c>
    </row>
    <row r="55" spans="1:16" x14ac:dyDescent="0.35">
      <c r="A55" t="s">
        <v>142</v>
      </c>
      <c r="B55">
        <v>5</v>
      </c>
      <c r="C55">
        <v>0</v>
      </c>
      <c r="D55">
        <f t="shared" si="30"/>
        <v>7</v>
      </c>
      <c r="E55">
        <v>35</v>
      </c>
      <c r="F55">
        <f t="shared" si="31"/>
        <v>0</v>
      </c>
      <c r="G55" s="32">
        <v>0.81649658092772603</v>
      </c>
      <c r="J55" s="18" t="s">
        <v>5</v>
      </c>
      <c r="K55" s="18">
        <v>10</v>
      </c>
      <c r="L55" s="18">
        <v>0</v>
      </c>
      <c r="M55" s="18">
        <f t="shared" ref="M55" si="38">N55/K55</f>
        <v>4.7</v>
      </c>
      <c r="N55" s="18">
        <v>47</v>
      </c>
      <c r="O55" s="18">
        <f t="shared" ref="O55" si="39">L55/K55</f>
        <v>0</v>
      </c>
      <c r="P55" s="18" t="s">
        <v>392</v>
      </c>
    </row>
    <row r="56" spans="1:16" x14ac:dyDescent="0.35">
      <c r="A56" s="18" t="s">
        <v>115</v>
      </c>
      <c r="B56" s="18">
        <v>17</v>
      </c>
      <c r="C56" s="18">
        <v>1</v>
      </c>
      <c r="D56" s="18">
        <f t="shared" si="30"/>
        <v>4.3529411764705879</v>
      </c>
      <c r="E56" s="18">
        <v>74</v>
      </c>
      <c r="F56" s="18">
        <f t="shared" si="31"/>
        <v>5.8823529411764705E-2</v>
      </c>
      <c r="G56" s="32">
        <v>1.71824938596844</v>
      </c>
      <c r="J56" s="18" t="s">
        <v>58</v>
      </c>
      <c r="K56" s="18">
        <v>16</v>
      </c>
      <c r="L56" s="18">
        <v>3</v>
      </c>
      <c r="M56" s="18">
        <f>N56/K56</f>
        <v>4</v>
      </c>
      <c r="N56" s="18">
        <v>64</v>
      </c>
      <c r="O56" s="18">
        <f>L56/K56</f>
        <v>0.1875</v>
      </c>
      <c r="P56">
        <v>1</v>
      </c>
    </row>
    <row r="57" spans="1:16" x14ac:dyDescent="0.35">
      <c r="A57" s="18" t="s">
        <v>24</v>
      </c>
      <c r="B57" s="18">
        <v>71</v>
      </c>
      <c r="C57" s="18">
        <v>9</v>
      </c>
      <c r="D57" s="18">
        <f t="shared" si="30"/>
        <v>4.535211267605634</v>
      </c>
      <c r="E57" s="18">
        <v>322</v>
      </c>
      <c r="F57" s="18">
        <f t="shared" si="31"/>
        <v>0.12676056338028169</v>
      </c>
      <c r="G57" s="32">
        <v>2.26909243703399</v>
      </c>
      <c r="J57" s="18" t="s">
        <v>30</v>
      </c>
      <c r="K57" s="18">
        <v>17</v>
      </c>
      <c r="L57" s="18">
        <v>3</v>
      </c>
      <c r="M57" s="18">
        <f t="shared" ref="M57:M59" si="40">N57/K57</f>
        <v>4.882352941176471</v>
      </c>
      <c r="N57" s="18">
        <v>83</v>
      </c>
      <c r="O57" s="18">
        <f t="shared" ref="O57:O59" si="41">L57/K57</f>
        <v>0.17647058823529413</v>
      </c>
      <c r="P57" s="18" t="s">
        <v>392</v>
      </c>
    </row>
    <row r="58" spans="1:16" x14ac:dyDescent="0.35">
      <c r="A58" s="18" t="s">
        <v>116</v>
      </c>
      <c r="B58" s="18">
        <v>15</v>
      </c>
      <c r="C58" s="18">
        <v>3</v>
      </c>
      <c r="D58" s="18">
        <f t="shared" si="30"/>
        <v>4.1333333333333337</v>
      </c>
      <c r="E58" s="18">
        <v>62</v>
      </c>
      <c r="F58" s="18">
        <f t="shared" si="31"/>
        <v>0.2</v>
      </c>
      <c r="G58" s="32">
        <v>1.7043362064926899</v>
      </c>
      <c r="J58" s="18" t="s">
        <v>29</v>
      </c>
      <c r="K58" s="18">
        <v>47</v>
      </c>
      <c r="L58" s="18">
        <v>4</v>
      </c>
      <c r="M58" s="18">
        <f t="shared" si="40"/>
        <v>4.2553191489361701</v>
      </c>
      <c r="N58" s="18">
        <v>200</v>
      </c>
      <c r="O58" s="18">
        <f t="shared" si="41"/>
        <v>8.5106382978723402E-2</v>
      </c>
      <c r="P58" s="18" t="s">
        <v>392</v>
      </c>
    </row>
    <row r="59" spans="1:16" x14ac:dyDescent="0.35">
      <c r="A59" s="18" t="s">
        <v>5</v>
      </c>
      <c r="B59" s="18">
        <v>10</v>
      </c>
      <c r="C59" s="18">
        <v>0</v>
      </c>
      <c r="D59" s="18">
        <f t="shared" si="30"/>
        <v>4.7</v>
      </c>
      <c r="E59" s="18">
        <v>47</v>
      </c>
      <c r="F59" s="18">
        <f t="shared" si="31"/>
        <v>0</v>
      </c>
      <c r="G59" s="32">
        <v>1.8898223650461301</v>
      </c>
      <c r="J59" s="18" t="s">
        <v>148</v>
      </c>
      <c r="K59" s="18">
        <v>22</v>
      </c>
      <c r="L59" s="18">
        <v>4</v>
      </c>
      <c r="M59" s="18">
        <f t="shared" si="40"/>
        <v>3.7272727272727271</v>
      </c>
      <c r="N59" s="18">
        <v>82</v>
      </c>
      <c r="O59" s="18">
        <f t="shared" si="41"/>
        <v>0.18181818181818182</v>
      </c>
      <c r="P59" s="18">
        <v>1</v>
      </c>
    </row>
    <row r="60" spans="1:16" x14ac:dyDescent="0.35">
      <c r="A60" s="18" t="s">
        <v>58</v>
      </c>
      <c r="B60" s="18">
        <v>16</v>
      </c>
      <c r="C60" s="18">
        <v>3</v>
      </c>
      <c r="D60" s="18">
        <f t="shared" si="30"/>
        <v>4</v>
      </c>
      <c r="E60" s="18">
        <v>64</v>
      </c>
      <c r="F60" s="18">
        <f t="shared" si="31"/>
        <v>0.1875</v>
      </c>
      <c r="G60" s="32">
        <v>2.33809038890002</v>
      </c>
      <c r="J60" s="18" t="s">
        <v>9</v>
      </c>
      <c r="K60" s="18">
        <v>13</v>
      </c>
      <c r="L60" s="18">
        <v>2</v>
      </c>
      <c r="M60" s="18">
        <f>N60/K60</f>
        <v>4.0769230769230766</v>
      </c>
      <c r="N60" s="18">
        <v>53</v>
      </c>
      <c r="O60" s="18">
        <f>L60/K60</f>
        <v>0.15384615384615385</v>
      </c>
      <c r="P60" s="18" t="s">
        <v>392</v>
      </c>
    </row>
    <row r="61" spans="1:16" x14ac:dyDescent="0.35">
      <c r="A61" s="18" t="s">
        <v>30</v>
      </c>
      <c r="B61" s="18">
        <v>17</v>
      </c>
      <c r="C61" s="18">
        <v>3</v>
      </c>
      <c r="D61" s="18">
        <f t="shared" si="30"/>
        <v>4.882352941176471</v>
      </c>
      <c r="E61" s="18">
        <v>83</v>
      </c>
      <c r="F61" s="18">
        <f t="shared" si="31"/>
        <v>0.17647058823529413</v>
      </c>
      <c r="G61" s="32">
        <v>2.5226248955475601</v>
      </c>
      <c r="J61" s="18" t="s">
        <v>139</v>
      </c>
      <c r="K61" s="18">
        <v>18</v>
      </c>
      <c r="L61" s="18">
        <v>2</v>
      </c>
      <c r="M61" s="18">
        <f t="shared" ref="M61:M62" si="42">N61/K61</f>
        <v>4.166666666666667</v>
      </c>
      <c r="N61" s="18">
        <v>75</v>
      </c>
      <c r="O61" s="18">
        <f t="shared" ref="O61:O62" si="43">L61/K61</f>
        <v>0.1111111111111111</v>
      </c>
      <c r="P61" s="18" t="s">
        <v>392</v>
      </c>
    </row>
    <row r="62" spans="1:16" x14ac:dyDescent="0.35">
      <c r="A62" s="18" t="s">
        <v>29</v>
      </c>
      <c r="B62" s="18">
        <v>47</v>
      </c>
      <c r="C62" s="18">
        <v>4</v>
      </c>
      <c r="D62" s="18">
        <f t="shared" si="30"/>
        <v>4.2553191489361701</v>
      </c>
      <c r="E62" s="18">
        <v>200</v>
      </c>
      <c r="F62" s="18">
        <f t="shared" si="31"/>
        <v>8.5106382978723402E-2</v>
      </c>
      <c r="G62" s="32">
        <v>2.0875571218153701</v>
      </c>
      <c r="J62" s="18" t="s">
        <v>428</v>
      </c>
      <c r="K62" s="18">
        <v>20</v>
      </c>
      <c r="L62" s="18">
        <v>0</v>
      </c>
      <c r="M62" s="18">
        <f t="shared" si="42"/>
        <v>4.6500000000000004</v>
      </c>
      <c r="N62" s="18">
        <v>93</v>
      </c>
      <c r="O62" s="18">
        <f t="shared" si="43"/>
        <v>0</v>
      </c>
      <c r="P62" s="18" t="s">
        <v>392</v>
      </c>
    </row>
    <row r="63" spans="1:16" x14ac:dyDescent="0.35">
      <c r="A63" s="18" t="s">
        <v>148</v>
      </c>
      <c r="B63" s="18">
        <v>22</v>
      </c>
      <c r="C63" s="18">
        <v>4</v>
      </c>
      <c r="D63" s="18">
        <f t="shared" si="30"/>
        <v>3.7272727272727271</v>
      </c>
      <c r="E63" s="18">
        <v>82</v>
      </c>
      <c r="F63" s="18">
        <f t="shared" si="31"/>
        <v>0.18181818181818182</v>
      </c>
      <c r="G63" s="32">
        <v>2.0528725518857001</v>
      </c>
      <c r="J63" s="18" t="s">
        <v>197</v>
      </c>
      <c r="K63" s="18">
        <v>10</v>
      </c>
      <c r="L63" s="18">
        <v>0</v>
      </c>
      <c r="M63" s="18">
        <f t="shared" ref="M63" si="44">N63/K63</f>
        <v>5</v>
      </c>
      <c r="N63" s="18">
        <v>50</v>
      </c>
      <c r="O63" s="18">
        <f t="shared" ref="O63" si="45">L63/K63</f>
        <v>0</v>
      </c>
      <c r="P63" s="18" t="s">
        <v>392</v>
      </c>
    </row>
    <row r="64" spans="1:16" x14ac:dyDescent="0.35">
      <c r="A64" s="18" t="s">
        <v>9</v>
      </c>
      <c r="B64" s="18">
        <v>13</v>
      </c>
      <c r="C64" s="18">
        <v>2</v>
      </c>
      <c r="D64" s="18">
        <f t="shared" si="30"/>
        <v>4.0769230769230766</v>
      </c>
      <c r="E64" s="18">
        <v>53</v>
      </c>
      <c r="F64" s="18">
        <f t="shared" si="31"/>
        <v>0.15384615384615385</v>
      </c>
      <c r="G64" s="32">
        <v>2.42097317438899</v>
      </c>
      <c r="J64" s="18" t="s">
        <v>17</v>
      </c>
      <c r="K64" s="18">
        <v>11</v>
      </c>
      <c r="L64" s="18">
        <v>1</v>
      </c>
      <c r="M64" s="18">
        <f>N64/K64</f>
        <v>5.5454545454545459</v>
      </c>
      <c r="N64" s="18">
        <v>61</v>
      </c>
      <c r="O64" s="18">
        <f>L64/K64</f>
        <v>9.0909090909090912E-2</v>
      </c>
      <c r="P64" s="18" t="s">
        <v>392</v>
      </c>
    </row>
    <row r="65" spans="1:16" x14ac:dyDescent="0.35">
      <c r="A65" s="18" t="s">
        <v>139</v>
      </c>
      <c r="B65" s="18">
        <v>18</v>
      </c>
      <c r="C65" s="18">
        <v>2</v>
      </c>
      <c r="D65" s="18">
        <f t="shared" si="30"/>
        <v>4.166666666666667</v>
      </c>
      <c r="E65" s="18">
        <v>75</v>
      </c>
      <c r="F65" s="18">
        <f t="shared" si="31"/>
        <v>0.1111111111111111</v>
      </c>
      <c r="G65" s="32">
        <v>1.9944979263017399</v>
      </c>
      <c r="J65" s="18" t="s">
        <v>79</v>
      </c>
      <c r="K65" s="18">
        <v>22</v>
      </c>
      <c r="L65" s="18">
        <v>0</v>
      </c>
      <c r="M65" s="18">
        <f>N65/K65</f>
        <v>5.2272727272727275</v>
      </c>
      <c r="N65" s="18">
        <v>115</v>
      </c>
      <c r="O65" s="18">
        <f>L65/K65</f>
        <v>0</v>
      </c>
      <c r="P65" s="18" t="s">
        <v>392</v>
      </c>
    </row>
    <row r="66" spans="1:16" x14ac:dyDescent="0.35">
      <c r="A66" s="18" t="s">
        <v>428</v>
      </c>
      <c r="B66" s="18">
        <v>20</v>
      </c>
      <c r="C66" s="18">
        <v>0</v>
      </c>
      <c r="D66" s="18">
        <f t="shared" si="30"/>
        <v>4.6500000000000004</v>
      </c>
      <c r="E66" s="18">
        <v>93</v>
      </c>
      <c r="F66" s="18">
        <f t="shared" si="31"/>
        <v>0</v>
      </c>
      <c r="G66" s="32">
        <v>1.9414506867882999</v>
      </c>
      <c r="J66" s="18" t="s">
        <v>123</v>
      </c>
      <c r="K66" s="18">
        <v>10</v>
      </c>
      <c r="L66" s="18">
        <v>1</v>
      </c>
      <c r="M66" s="18">
        <f t="shared" ref="M66" si="46">N66/K66</f>
        <v>4.0999999999999996</v>
      </c>
      <c r="N66" s="18">
        <v>41</v>
      </c>
      <c r="O66" s="18">
        <f t="shared" ref="O66" si="47">L66/K66</f>
        <v>0.1</v>
      </c>
      <c r="P66" s="18" t="s">
        <v>392</v>
      </c>
    </row>
    <row r="67" spans="1:16" x14ac:dyDescent="0.35">
      <c r="A67" s="18" t="s">
        <v>197</v>
      </c>
      <c r="B67" s="18">
        <v>10</v>
      </c>
      <c r="C67" s="18">
        <v>0</v>
      </c>
      <c r="D67" s="18">
        <f t="shared" si="30"/>
        <v>5</v>
      </c>
      <c r="E67" s="18">
        <v>50</v>
      </c>
      <c r="F67" s="18">
        <f t="shared" si="31"/>
        <v>0</v>
      </c>
      <c r="G67" s="32">
        <v>2.39045721866878</v>
      </c>
      <c r="J67" s="18" t="s">
        <v>12</v>
      </c>
      <c r="K67" s="18">
        <v>13</v>
      </c>
      <c r="L67" s="18">
        <v>0</v>
      </c>
      <c r="M67" s="18">
        <f>N67/K67</f>
        <v>5</v>
      </c>
      <c r="N67" s="18">
        <v>65</v>
      </c>
      <c r="O67" s="18">
        <f>L67/K67</f>
        <v>0</v>
      </c>
      <c r="P67" s="18" t="s">
        <v>392</v>
      </c>
    </row>
    <row r="68" spans="1:16" x14ac:dyDescent="0.35">
      <c r="A68" s="18" t="s">
        <v>17</v>
      </c>
      <c r="B68" s="18">
        <v>11</v>
      </c>
      <c r="C68" s="18">
        <v>1</v>
      </c>
      <c r="D68" s="18">
        <f t="shared" si="30"/>
        <v>5.5454545454545459</v>
      </c>
      <c r="E68" s="18">
        <v>61</v>
      </c>
      <c r="F68" s="18">
        <f t="shared" si="31"/>
        <v>9.0909090909090912E-2</v>
      </c>
      <c r="G68" s="32">
        <v>2.4832774042918899</v>
      </c>
      <c r="J68" s="18" t="s">
        <v>404</v>
      </c>
      <c r="K68" s="18">
        <v>12</v>
      </c>
      <c r="L68" s="18">
        <v>2</v>
      </c>
      <c r="M68" s="18">
        <f t="shared" ref="M68" si="48">N68/K68</f>
        <v>4.833333333333333</v>
      </c>
      <c r="N68" s="18">
        <v>58</v>
      </c>
      <c r="O68" s="18">
        <f t="shared" ref="O68" si="49">L68/K68</f>
        <v>0.16666666666666666</v>
      </c>
      <c r="P68" s="18" t="s">
        <v>392</v>
      </c>
    </row>
    <row r="69" spans="1:16" x14ac:dyDescent="0.35">
      <c r="A69" s="18" t="s">
        <v>79</v>
      </c>
      <c r="B69" s="18">
        <v>22</v>
      </c>
      <c r="C69" s="18">
        <v>0</v>
      </c>
      <c r="D69" s="18">
        <f t="shared" si="30"/>
        <v>5.2272727272727275</v>
      </c>
      <c r="E69" s="18">
        <v>115</v>
      </c>
      <c r="F69" s="18">
        <f t="shared" si="31"/>
        <v>0</v>
      </c>
      <c r="G69" s="32">
        <v>2.05866345916355</v>
      </c>
      <c r="J69" s="18" t="s">
        <v>22</v>
      </c>
      <c r="K69" s="18">
        <v>146</v>
      </c>
      <c r="L69" s="18">
        <v>23</v>
      </c>
      <c r="M69" s="18">
        <f>N69/K69</f>
        <v>4.0342465753424657</v>
      </c>
      <c r="N69" s="18">
        <v>589</v>
      </c>
      <c r="O69" s="18">
        <f>L69/K69</f>
        <v>0.15753424657534246</v>
      </c>
      <c r="P69" s="18" t="s">
        <v>392</v>
      </c>
    </row>
    <row r="70" spans="1:16" x14ac:dyDescent="0.35">
      <c r="A70" s="18" t="s">
        <v>123</v>
      </c>
      <c r="B70" s="18">
        <v>10</v>
      </c>
      <c r="C70" s="18">
        <v>1</v>
      </c>
      <c r="D70" s="18">
        <f t="shared" si="30"/>
        <v>4.0999999999999996</v>
      </c>
      <c r="E70" s="18">
        <v>41</v>
      </c>
      <c r="F70" s="18">
        <f t="shared" si="31"/>
        <v>0.1</v>
      </c>
      <c r="G70" s="32">
        <v>2</v>
      </c>
      <c r="J70" s="18" t="s">
        <v>110</v>
      </c>
      <c r="K70" s="18">
        <v>11</v>
      </c>
      <c r="L70" s="18">
        <v>0</v>
      </c>
      <c r="M70" s="18">
        <f>N70/K70</f>
        <v>5.5454545454545459</v>
      </c>
      <c r="N70" s="18">
        <v>61</v>
      </c>
      <c r="O70" s="18">
        <f>L70/K70</f>
        <v>0</v>
      </c>
      <c r="P70" s="18" t="s">
        <v>392</v>
      </c>
    </row>
    <row r="71" spans="1:16" x14ac:dyDescent="0.35">
      <c r="A71" s="18" t="s">
        <v>12</v>
      </c>
      <c r="B71" s="18">
        <v>13</v>
      </c>
      <c r="C71" s="18">
        <v>0</v>
      </c>
      <c r="D71" s="18">
        <f t="shared" si="30"/>
        <v>5</v>
      </c>
      <c r="E71" s="18">
        <v>65</v>
      </c>
      <c r="F71" s="18">
        <f t="shared" si="31"/>
        <v>0</v>
      </c>
      <c r="G71" s="32">
        <v>2.44584195260913</v>
      </c>
      <c r="J71" s="18" t="s">
        <v>82</v>
      </c>
      <c r="K71" s="18">
        <v>12</v>
      </c>
      <c r="L71" s="18">
        <v>0</v>
      </c>
      <c r="M71" s="18">
        <f t="shared" ref="M71:M84" si="50">N71/K71</f>
        <v>5.416666666666667</v>
      </c>
      <c r="N71" s="18">
        <v>65</v>
      </c>
      <c r="O71" s="18">
        <f>L71/K71</f>
        <v>0</v>
      </c>
      <c r="P71" s="18" t="s">
        <v>392</v>
      </c>
    </row>
    <row r="72" spans="1:16" x14ac:dyDescent="0.35">
      <c r="A72" s="18" t="s">
        <v>404</v>
      </c>
      <c r="B72" s="18">
        <v>12</v>
      </c>
      <c r="C72" s="18">
        <v>2</v>
      </c>
      <c r="D72" s="18">
        <f t="shared" si="30"/>
        <v>4.833333333333333</v>
      </c>
      <c r="E72" s="18">
        <v>58</v>
      </c>
      <c r="F72" s="18">
        <f t="shared" si="31"/>
        <v>0.16666666666666666</v>
      </c>
      <c r="G72" s="32">
        <v>2.3094010767584998</v>
      </c>
      <c r="J72" s="18" t="s">
        <v>33</v>
      </c>
      <c r="K72" s="18">
        <v>25</v>
      </c>
      <c r="L72" s="18">
        <v>1</v>
      </c>
      <c r="M72" s="18">
        <f t="shared" si="50"/>
        <v>5.48</v>
      </c>
      <c r="N72" s="18">
        <v>137</v>
      </c>
      <c r="O72" s="18">
        <f t="shared" ref="O72" si="51">L72/K72</f>
        <v>0.04</v>
      </c>
      <c r="P72" s="18" t="s">
        <v>392</v>
      </c>
    </row>
    <row r="73" spans="1:16" x14ac:dyDescent="0.35">
      <c r="A73" s="18" t="s">
        <v>22</v>
      </c>
      <c r="B73" s="18">
        <v>146</v>
      </c>
      <c r="C73" s="18">
        <v>23</v>
      </c>
      <c r="D73" s="18">
        <f>E73/B73</f>
        <v>4.0342465753424657</v>
      </c>
      <c r="E73" s="18">
        <v>589</v>
      </c>
      <c r="F73" s="18">
        <f>C73/B73</f>
        <v>0.15753424657534246</v>
      </c>
      <c r="G73" s="32">
        <v>2.2045689482796602</v>
      </c>
      <c r="J73" s="18" t="s">
        <v>99</v>
      </c>
      <c r="K73" s="18">
        <v>16</v>
      </c>
      <c r="L73" s="18">
        <v>2</v>
      </c>
      <c r="M73" s="18">
        <f t="shared" si="50"/>
        <v>5.25</v>
      </c>
      <c r="N73" s="18">
        <v>84</v>
      </c>
      <c r="O73" s="18">
        <f t="shared" ref="O73:O74" si="52">L73/K73</f>
        <v>0.125</v>
      </c>
      <c r="P73" s="18" t="s">
        <v>392</v>
      </c>
    </row>
    <row r="74" spans="1:16" x14ac:dyDescent="0.35">
      <c r="A74" t="s">
        <v>135</v>
      </c>
      <c r="B74">
        <v>8</v>
      </c>
      <c r="C74">
        <v>1</v>
      </c>
      <c r="D74">
        <f>E74/B74</f>
        <v>4.75</v>
      </c>
      <c r="E74">
        <v>38</v>
      </c>
      <c r="F74">
        <f>C74/B74</f>
        <v>0.125</v>
      </c>
      <c r="G74" s="32">
        <v>2.16794833886788</v>
      </c>
      <c r="J74" s="18" t="s">
        <v>7</v>
      </c>
      <c r="K74" s="18">
        <v>15</v>
      </c>
      <c r="L74" s="18">
        <v>3</v>
      </c>
      <c r="M74" s="18">
        <f t="shared" si="50"/>
        <v>4.2666666666666666</v>
      </c>
      <c r="N74" s="18">
        <v>64</v>
      </c>
      <c r="O74" s="18">
        <f t="shared" si="52"/>
        <v>0.2</v>
      </c>
      <c r="P74" s="18" t="s">
        <v>392</v>
      </c>
    </row>
    <row r="75" spans="1:16" x14ac:dyDescent="0.35">
      <c r="A75" s="18" t="s">
        <v>110</v>
      </c>
      <c r="B75" s="18">
        <v>11</v>
      </c>
      <c r="C75" s="18">
        <v>0</v>
      </c>
      <c r="D75" s="18">
        <f>E75/B75</f>
        <v>5.5454545454545459</v>
      </c>
      <c r="E75" s="18">
        <v>61</v>
      </c>
      <c r="F75" s="18">
        <f>C75/B75</f>
        <v>0</v>
      </c>
      <c r="G75" s="32">
        <v>1.9407902170679501</v>
      </c>
      <c r="J75" s="18" t="s">
        <v>129</v>
      </c>
      <c r="K75" s="18">
        <v>35</v>
      </c>
      <c r="L75" s="18">
        <v>6</v>
      </c>
      <c r="M75" s="18">
        <f t="shared" si="50"/>
        <v>4.3428571428571425</v>
      </c>
      <c r="N75" s="18">
        <v>152</v>
      </c>
      <c r="O75" s="18">
        <f t="shared" ref="O75:O84" si="53">L75/K75</f>
        <v>0.17142857142857143</v>
      </c>
      <c r="P75" s="18" t="s">
        <v>392</v>
      </c>
    </row>
    <row r="76" spans="1:16" x14ac:dyDescent="0.35">
      <c r="A76" s="18" t="s">
        <v>82</v>
      </c>
      <c r="B76" s="18">
        <v>12</v>
      </c>
      <c r="C76" s="18">
        <v>0</v>
      </c>
      <c r="D76" s="18">
        <f t="shared" ref="D76:D91" si="54">E76/B76</f>
        <v>5.416666666666667</v>
      </c>
      <c r="E76" s="18">
        <v>65</v>
      </c>
      <c r="F76" s="18">
        <f>C76/B76</f>
        <v>0</v>
      </c>
      <c r="G76" s="32">
        <v>2</v>
      </c>
      <c r="J76" s="18" t="s">
        <v>113</v>
      </c>
      <c r="K76" s="18">
        <v>13</v>
      </c>
      <c r="L76" s="18">
        <v>0</v>
      </c>
      <c r="M76" s="18">
        <f t="shared" si="50"/>
        <v>4.3076923076923075</v>
      </c>
      <c r="N76" s="18">
        <v>56</v>
      </c>
      <c r="O76" s="18">
        <f t="shared" si="53"/>
        <v>0</v>
      </c>
      <c r="P76" s="18" t="s">
        <v>392</v>
      </c>
    </row>
    <row r="77" spans="1:16" x14ac:dyDescent="0.35">
      <c r="A77" s="18" t="s">
        <v>33</v>
      </c>
      <c r="B77" s="18">
        <v>25</v>
      </c>
      <c r="C77" s="18">
        <v>1</v>
      </c>
      <c r="D77" s="18">
        <f t="shared" si="54"/>
        <v>5.48</v>
      </c>
      <c r="E77" s="18">
        <v>137</v>
      </c>
      <c r="F77" s="18">
        <f t="shared" ref="F77:F91" si="55">C77/B77</f>
        <v>0.04</v>
      </c>
      <c r="G77" s="32">
        <v>2.14993539954627</v>
      </c>
      <c r="J77" s="18" t="s">
        <v>35</v>
      </c>
      <c r="K77" s="18">
        <v>78</v>
      </c>
      <c r="L77" s="18">
        <v>23</v>
      </c>
      <c r="M77" s="18">
        <f t="shared" si="50"/>
        <v>3.7051282051282053</v>
      </c>
      <c r="N77" s="18">
        <v>289</v>
      </c>
      <c r="O77" s="18">
        <f t="shared" si="53"/>
        <v>0.29487179487179488</v>
      </c>
      <c r="P77" s="18" t="s">
        <v>392</v>
      </c>
    </row>
    <row r="78" spans="1:16" x14ac:dyDescent="0.35">
      <c r="A78" s="18" t="s">
        <v>99</v>
      </c>
      <c r="B78" s="18">
        <v>16</v>
      </c>
      <c r="C78" s="18">
        <v>2</v>
      </c>
      <c r="D78" s="18">
        <f t="shared" si="54"/>
        <v>5.25</v>
      </c>
      <c r="E78" s="18">
        <v>84</v>
      </c>
      <c r="F78" s="18">
        <f t="shared" si="55"/>
        <v>0.125</v>
      </c>
      <c r="G78" s="32">
        <v>2.6687491868330699</v>
      </c>
      <c r="J78" s="18" t="s">
        <v>26</v>
      </c>
      <c r="K78" s="18">
        <v>16</v>
      </c>
      <c r="L78" s="18">
        <v>2</v>
      </c>
      <c r="M78" s="18">
        <f t="shared" si="50"/>
        <v>4.75</v>
      </c>
      <c r="N78" s="18">
        <v>76</v>
      </c>
      <c r="O78" s="18">
        <f t="shared" si="53"/>
        <v>0.125</v>
      </c>
      <c r="P78" s="18" t="s">
        <v>392</v>
      </c>
    </row>
    <row r="79" spans="1:16" x14ac:dyDescent="0.35">
      <c r="A79" s="18" t="s">
        <v>7</v>
      </c>
      <c r="B79" s="18">
        <v>15</v>
      </c>
      <c r="C79" s="18">
        <v>3</v>
      </c>
      <c r="D79" s="18">
        <f t="shared" si="54"/>
        <v>4.2666666666666666</v>
      </c>
      <c r="E79" s="18">
        <v>64</v>
      </c>
      <c r="F79" s="18">
        <f t="shared" si="55"/>
        <v>0.2</v>
      </c>
      <c r="G79" s="32">
        <v>2.7888667551135802</v>
      </c>
      <c r="J79" s="18" t="s">
        <v>122</v>
      </c>
      <c r="K79" s="18">
        <v>28</v>
      </c>
      <c r="L79" s="18">
        <v>3</v>
      </c>
      <c r="M79" s="18">
        <f t="shared" si="50"/>
        <v>3.75</v>
      </c>
      <c r="N79" s="18">
        <v>105</v>
      </c>
      <c r="O79" s="18">
        <f t="shared" si="53"/>
        <v>0.10714285714285714</v>
      </c>
      <c r="P79" s="18" t="s">
        <v>392</v>
      </c>
    </row>
    <row r="80" spans="1:16" x14ac:dyDescent="0.35">
      <c r="A80" t="s">
        <v>138</v>
      </c>
      <c r="B80">
        <v>5</v>
      </c>
      <c r="C80">
        <v>1</v>
      </c>
      <c r="D80">
        <f t="shared" si="54"/>
        <v>4</v>
      </c>
      <c r="E80">
        <v>20</v>
      </c>
      <c r="F80">
        <f t="shared" si="55"/>
        <v>0.2</v>
      </c>
      <c r="G80" s="32">
        <v>2.2173557826083399</v>
      </c>
      <c r="J80" s="18" t="s">
        <v>49</v>
      </c>
      <c r="K80" s="18">
        <v>20</v>
      </c>
      <c r="L80" s="18">
        <v>2</v>
      </c>
      <c r="M80" s="18">
        <f t="shared" si="50"/>
        <v>5.45</v>
      </c>
      <c r="N80" s="18">
        <v>109</v>
      </c>
      <c r="O80" s="18">
        <f t="shared" si="53"/>
        <v>0.1</v>
      </c>
      <c r="P80" s="18" t="s">
        <v>392</v>
      </c>
    </row>
    <row r="81" spans="1:16" x14ac:dyDescent="0.35">
      <c r="A81" t="s">
        <v>137</v>
      </c>
      <c r="B81">
        <v>8</v>
      </c>
      <c r="C81">
        <v>1</v>
      </c>
      <c r="D81">
        <f t="shared" si="54"/>
        <v>4.875</v>
      </c>
      <c r="E81">
        <v>39</v>
      </c>
      <c r="F81">
        <f t="shared" si="55"/>
        <v>0.125</v>
      </c>
      <c r="G81" s="32">
        <v>1.8618986725025199</v>
      </c>
      <c r="J81" s="18" t="s">
        <v>3</v>
      </c>
      <c r="K81" s="18">
        <v>21</v>
      </c>
      <c r="L81" s="18">
        <v>3</v>
      </c>
      <c r="M81" s="18">
        <f t="shared" si="50"/>
        <v>4.7142857142857144</v>
      </c>
      <c r="N81" s="18">
        <v>99</v>
      </c>
      <c r="O81" s="18">
        <f t="shared" si="53"/>
        <v>0.14285714285714285</v>
      </c>
      <c r="P81" s="18" t="s">
        <v>392</v>
      </c>
    </row>
    <row r="82" spans="1:16" x14ac:dyDescent="0.35">
      <c r="A82" s="18" t="s">
        <v>129</v>
      </c>
      <c r="B82" s="18">
        <v>35</v>
      </c>
      <c r="C82" s="18">
        <v>6</v>
      </c>
      <c r="D82" s="18">
        <f t="shared" si="54"/>
        <v>4.3428571428571425</v>
      </c>
      <c r="E82" s="18">
        <v>152</v>
      </c>
      <c r="F82" s="18">
        <f t="shared" si="55"/>
        <v>0.17142857142857143</v>
      </c>
      <c r="G82" s="32">
        <v>2.1315096371664199</v>
      </c>
      <c r="J82" s="18" t="s">
        <v>230</v>
      </c>
      <c r="K82" s="18">
        <v>10</v>
      </c>
      <c r="L82" s="18">
        <v>1</v>
      </c>
      <c r="M82" s="18">
        <f t="shared" si="50"/>
        <v>4.7</v>
      </c>
      <c r="N82" s="18">
        <v>47</v>
      </c>
      <c r="O82" s="18">
        <f t="shared" si="53"/>
        <v>0.1</v>
      </c>
      <c r="P82" s="18" t="s">
        <v>392</v>
      </c>
    </row>
    <row r="83" spans="1:16" x14ac:dyDescent="0.35">
      <c r="A83" s="18" t="s">
        <v>113</v>
      </c>
      <c r="B83" s="18">
        <v>13</v>
      </c>
      <c r="C83" s="18">
        <v>0</v>
      </c>
      <c r="D83" s="18">
        <f t="shared" si="54"/>
        <v>4.3076923076923075</v>
      </c>
      <c r="E83" s="18">
        <v>56</v>
      </c>
      <c r="F83" s="18">
        <f t="shared" si="55"/>
        <v>0</v>
      </c>
      <c r="G83" s="32">
        <v>2.4899799195977401</v>
      </c>
      <c r="J83" s="18" t="s">
        <v>2</v>
      </c>
      <c r="K83" s="18">
        <v>28</v>
      </c>
      <c r="L83" s="18">
        <v>5</v>
      </c>
      <c r="M83" s="18">
        <f t="shared" si="50"/>
        <v>4.1428571428571432</v>
      </c>
      <c r="N83" s="18">
        <v>116</v>
      </c>
      <c r="O83" s="18">
        <f t="shared" si="53"/>
        <v>0.17857142857142858</v>
      </c>
      <c r="P83" s="18" t="s">
        <v>392</v>
      </c>
    </row>
    <row r="84" spans="1:16" x14ac:dyDescent="0.35">
      <c r="A84" s="18" t="s">
        <v>35</v>
      </c>
      <c r="B84" s="18">
        <v>78</v>
      </c>
      <c r="C84" s="18">
        <v>23</v>
      </c>
      <c r="D84" s="18">
        <f t="shared" si="54"/>
        <v>3.7051282051282053</v>
      </c>
      <c r="E84" s="18">
        <v>289</v>
      </c>
      <c r="F84" s="18">
        <f t="shared" si="55"/>
        <v>0.29487179487179488</v>
      </c>
      <c r="G84" s="32">
        <v>2.6214406763289899</v>
      </c>
      <c r="J84" s="18" t="s">
        <v>124</v>
      </c>
      <c r="K84" s="18">
        <v>10</v>
      </c>
      <c r="L84" s="18">
        <v>0</v>
      </c>
      <c r="M84" s="18">
        <f t="shared" si="50"/>
        <v>5.7</v>
      </c>
      <c r="N84" s="18">
        <v>57</v>
      </c>
      <c r="O84" s="18">
        <f t="shared" si="53"/>
        <v>0</v>
      </c>
      <c r="P84" s="18" t="s">
        <v>392</v>
      </c>
    </row>
    <row r="85" spans="1:16" x14ac:dyDescent="0.35">
      <c r="A85" s="18" t="s">
        <v>26</v>
      </c>
      <c r="B85" s="18">
        <v>16</v>
      </c>
      <c r="C85" s="18">
        <v>2</v>
      </c>
      <c r="D85" s="18">
        <f t="shared" si="54"/>
        <v>4.75</v>
      </c>
      <c r="E85" s="18">
        <v>76</v>
      </c>
      <c r="F85" s="18">
        <f t="shared" si="55"/>
        <v>0.125</v>
      </c>
      <c r="G85" s="32">
        <v>2.4494897427831699</v>
      </c>
    </row>
    <row r="86" spans="1:16" x14ac:dyDescent="0.35">
      <c r="A86" s="18" t="s">
        <v>122</v>
      </c>
      <c r="B86" s="18">
        <v>28</v>
      </c>
      <c r="C86" s="18">
        <v>3</v>
      </c>
      <c r="D86" s="18">
        <f t="shared" si="54"/>
        <v>3.75</v>
      </c>
      <c r="E86" s="18">
        <v>105</v>
      </c>
      <c r="F86" s="18">
        <f t="shared" si="55"/>
        <v>0.10714285714285714</v>
      </c>
      <c r="G86" s="32">
        <v>1.6329931618554501</v>
      </c>
    </row>
    <row r="87" spans="1:16" x14ac:dyDescent="0.35">
      <c r="A87" s="18" t="s">
        <v>49</v>
      </c>
      <c r="B87" s="18">
        <v>20</v>
      </c>
      <c r="C87" s="18">
        <v>2</v>
      </c>
      <c r="D87" s="18">
        <f t="shared" si="54"/>
        <v>5.45</v>
      </c>
      <c r="E87" s="18">
        <v>109</v>
      </c>
      <c r="F87" s="18">
        <f t="shared" si="55"/>
        <v>0.1</v>
      </c>
      <c r="G87" s="32">
        <v>2.79455252402308</v>
      </c>
    </row>
    <row r="88" spans="1:16" x14ac:dyDescent="0.35">
      <c r="A88" s="18" t="s">
        <v>3</v>
      </c>
      <c r="B88" s="18">
        <v>21</v>
      </c>
      <c r="C88" s="18">
        <v>3</v>
      </c>
      <c r="D88" s="18">
        <f t="shared" si="54"/>
        <v>4.7142857142857144</v>
      </c>
      <c r="E88" s="18">
        <v>99</v>
      </c>
      <c r="F88" s="18">
        <f t="shared" si="55"/>
        <v>0.14285714285714285</v>
      </c>
      <c r="G88" s="32">
        <v>2.3731557327466102</v>
      </c>
    </row>
    <row r="89" spans="1:16" x14ac:dyDescent="0.35">
      <c r="A89" s="18" t="s">
        <v>230</v>
      </c>
      <c r="B89" s="18">
        <v>10</v>
      </c>
      <c r="C89" s="18">
        <v>1</v>
      </c>
      <c r="D89" s="18">
        <f t="shared" si="54"/>
        <v>4.7</v>
      </c>
      <c r="E89" s="18">
        <v>47</v>
      </c>
      <c r="F89" s="18">
        <f t="shared" si="55"/>
        <v>0.1</v>
      </c>
      <c r="G89" s="32">
        <v>2.7748873851023199</v>
      </c>
    </row>
    <row r="90" spans="1:16" x14ac:dyDescent="0.35">
      <c r="A90" s="18" t="s">
        <v>2</v>
      </c>
      <c r="B90" s="18">
        <v>28</v>
      </c>
      <c r="C90" s="18">
        <v>5</v>
      </c>
      <c r="D90" s="18">
        <f t="shared" si="54"/>
        <v>4.1428571428571432</v>
      </c>
      <c r="E90" s="18">
        <v>116</v>
      </c>
      <c r="F90" s="18">
        <f t="shared" si="55"/>
        <v>0.17857142857142858</v>
      </c>
      <c r="G90" s="32">
        <v>2.5876449587894599</v>
      </c>
    </row>
    <row r="91" spans="1:16" x14ac:dyDescent="0.35">
      <c r="A91" s="18" t="s">
        <v>124</v>
      </c>
      <c r="B91" s="18">
        <v>10</v>
      </c>
      <c r="C91" s="18">
        <v>0</v>
      </c>
      <c r="D91" s="18">
        <f t="shared" si="54"/>
        <v>5.7</v>
      </c>
      <c r="E91" s="18">
        <v>57</v>
      </c>
      <c r="F91" s="18">
        <f t="shared" si="55"/>
        <v>0</v>
      </c>
      <c r="G91" s="32">
        <v>2.16794833886788</v>
      </c>
    </row>
    <row r="96" spans="1:16" x14ac:dyDescent="0.35">
      <c r="A96" t="s">
        <v>89</v>
      </c>
      <c r="B96">
        <v>7</v>
      </c>
      <c r="C96">
        <v>0</v>
      </c>
      <c r="D96">
        <f t="shared" ref="D96:D97" si="56">E96/B96</f>
        <v>6</v>
      </c>
      <c r="E96">
        <v>42</v>
      </c>
      <c r="F96">
        <f t="shared" ref="F96:F97" si="57">C96/B96</f>
        <v>0</v>
      </c>
      <c r="G96" s="32">
        <v>1.96638416050035</v>
      </c>
    </row>
    <row r="97" spans="1:7" x14ac:dyDescent="0.35">
      <c r="A97" s="18" t="s">
        <v>32</v>
      </c>
      <c r="B97" s="18">
        <v>13</v>
      </c>
      <c r="C97" s="18">
        <v>1</v>
      </c>
      <c r="D97" s="18">
        <f t="shared" si="56"/>
        <v>5.8461538461538458</v>
      </c>
      <c r="E97" s="18">
        <v>76</v>
      </c>
      <c r="F97" s="18">
        <f t="shared" si="57"/>
        <v>7.6923076923076927E-2</v>
      </c>
      <c r="G97" s="32">
        <v>2.1248885888797799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8576"/>
  <sheetViews>
    <sheetView topLeftCell="M1" zoomScale="70" zoomScaleNormal="70" workbookViewId="0">
      <selection activeCell="P5" sqref="P5"/>
    </sheetView>
  </sheetViews>
  <sheetFormatPr defaultRowHeight="14.5" x14ac:dyDescent="0.35"/>
  <cols>
    <col min="1" max="1" width="22.453125" bestFit="1" customWidth="1"/>
    <col min="2" max="2" width="10" bestFit="1" customWidth="1"/>
    <col min="3" max="3" width="11.54296875" bestFit="1" customWidth="1"/>
    <col min="4" max="4" width="15.81640625" bestFit="1" customWidth="1"/>
    <col min="5" max="5" width="15.453125" bestFit="1" customWidth="1"/>
    <col min="6" max="6" width="19.54296875" bestFit="1" customWidth="1"/>
    <col min="7" max="7" width="33.1796875" bestFit="1" customWidth="1"/>
    <col min="10" max="10" width="22.453125" bestFit="1" customWidth="1"/>
    <col min="11" max="11" width="10" bestFit="1" customWidth="1"/>
    <col min="12" max="12" width="11.54296875" bestFit="1" customWidth="1"/>
    <col min="13" max="13" width="15.81640625" bestFit="1" customWidth="1"/>
    <col min="14" max="14" width="15.453125" customWidth="1"/>
    <col min="15" max="15" width="19.54296875" bestFit="1" customWidth="1"/>
    <col min="16" max="16" width="33.1796875" bestFit="1" customWidth="1"/>
    <col min="20" max="20" width="18.81640625" bestFit="1" customWidth="1"/>
    <col min="21" max="21" width="10" bestFit="1" customWidth="1"/>
    <col min="22" max="22" width="11.54296875" bestFit="1" customWidth="1"/>
    <col min="23" max="23" width="15.81640625" bestFit="1" customWidth="1"/>
    <col min="24" max="24" width="15.453125" bestFit="1" customWidth="1"/>
    <col min="26" max="26" width="22.453125" bestFit="1" customWidth="1"/>
    <col min="27" max="27" width="10" bestFit="1" customWidth="1"/>
    <col min="28" max="28" width="10.54296875" bestFit="1" customWidth="1"/>
    <col min="29" max="29" width="15.81640625" bestFit="1" customWidth="1"/>
    <col min="30" max="30" width="10.54296875" bestFit="1" customWidth="1"/>
    <col min="31" max="31" width="19.54296875" bestFit="1" customWidth="1"/>
    <col min="32" max="32" width="33.1796875" bestFit="1" customWidth="1"/>
    <col min="33" max="33" width="36.26953125" bestFit="1" customWidth="1"/>
  </cols>
  <sheetData>
    <row r="1" spans="1:44" x14ac:dyDescent="0.35">
      <c r="A1" s="4" t="s">
        <v>42</v>
      </c>
      <c r="B1" s="4" t="s">
        <v>38</v>
      </c>
      <c r="C1" s="4" t="s">
        <v>39</v>
      </c>
      <c r="D1" s="4" t="s">
        <v>40</v>
      </c>
      <c r="E1" s="4" t="s">
        <v>111</v>
      </c>
      <c r="F1" s="4" t="s">
        <v>391</v>
      </c>
      <c r="J1" s="4" t="s">
        <v>42</v>
      </c>
      <c r="K1" s="4" t="s">
        <v>38</v>
      </c>
      <c r="L1" s="4" t="s">
        <v>39</v>
      </c>
      <c r="M1" s="4" t="s">
        <v>40</v>
      </c>
      <c r="N1" s="4" t="s">
        <v>111</v>
      </c>
      <c r="O1" s="4" t="s">
        <v>391</v>
      </c>
      <c r="T1" s="4" t="s">
        <v>42</v>
      </c>
      <c r="U1" s="4" t="s">
        <v>38</v>
      </c>
      <c r="V1" s="4" t="s">
        <v>39</v>
      </c>
      <c r="W1" s="4" t="s">
        <v>40</v>
      </c>
      <c r="X1" s="4" t="s">
        <v>111</v>
      </c>
      <c r="Z1" s="4" t="s">
        <v>42</v>
      </c>
      <c r="AA1" s="4" t="s">
        <v>38</v>
      </c>
      <c r="AB1" s="4" t="s">
        <v>435</v>
      </c>
      <c r="AC1" s="4" t="s">
        <v>39</v>
      </c>
      <c r="AD1" s="4" t="s">
        <v>435</v>
      </c>
      <c r="AE1" s="4" t="s">
        <v>40</v>
      </c>
      <c r="AF1" s="4" t="s">
        <v>111</v>
      </c>
      <c r="AJ1" s="4" t="s">
        <v>42</v>
      </c>
      <c r="AK1" s="4" t="s">
        <v>38</v>
      </c>
      <c r="AL1" s="4" t="s">
        <v>39</v>
      </c>
      <c r="AM1" s="4" t="s">
        <v>40</v>
      </c>
      <c r="AN1" s="4" t="s">
        <v>111</v>
      </c>
      <c r="AP1" s="4" t="s">
        <v>42</v>
      </c>
      <c r="AQ1" s="4" t="s">
        <v>38</v>
      </c>
      <c r="AR1" s="4" t="s">
        <v>39</v>
      </c>
    </row>
    <row r="2" spans="1:44" x14ac:dyDescent="0.35">
      <c r="A2" s="18" t="s">
        <v>128</v>
      </c>
      <c r="B2" s="31">
        <v>58</v>
      </c>
      <c r="C2" s="31">
        <v>19</v>
      </c>
      <c r="D2" s="18">
        <f t="shared" ref="D2:D33" si="0">H2/B2</f>
        <v>3.1551724137931036</v>
      </c>
      <c r="E2" s="30">
        <f t="shared" ref="E2:E33" si="1">C2/B2</f>
        <v>0.32758620689655171</v>
      </c>
      <c r="F2" s="18" t="s">
        <v>413</v>
      </c>
      <c r="H2" s="18">
        <v>183</v>
      </c>
      <c r="J2" s="18" t="s">
        <v>128</v>
      </c>
      <c r="K2" s="31">
        <v>59</v>
      </c>
      <c r="L2" s="31">
        <v>20</v>
      </c>
      <c r="M2" s="18">
        <f t="shared" ref="M2:M33" si="2">Q2/K2</f>
        <v>3.1186440677966103</v>
      </c>
      <c r="N2" s="30">
        <f t="shared" ref="N2:N33" si="3">L2/K2</f>
        <v>0.33898305084745761</v>
      </c>
      <c r="O2" s="18" t="s">
        <v>413</v>
      </c>
      <c r="Q2" s="18">
        <v>184</v>
      </c>
      <c r="T2" t="s">
        <v>128</v>
      </c>
      <c r="U2">
        <v>43</v>
      </c>
      <c r="V2">
        <v>15</v>
      </c>
      <c r="W2">
        <v>2.86</v>
      </c>
      <c r="X2">
        <f t="shared" ref="X2:X33" si="4">V2/U2</f>
        <v>0.34883720930232559</v>
      </c>
      <c r="Z2" s="18" t="s">
        <v>128</v>
      </c>
      <c r="AA2" s="18">
        <v>59</v>
      </c>
      <c r="AB2" s="18">
        <f t="shared" ref="AB2:AB33" si="5">AQ2-AK2</f>
        <v>16</v>
      </c>
      <c r="AC2" s="18">
        <v>20</v>
      </c>
      <c r="AD2" s="18">
        <f t="shared" ref="AD2:AD33" si="6">AR2-AL2</f>
        <v>5</v>
      </c>
      <c r="AE2" s="18">
        <f t="shared" ref="AE2:AE33" si="7">AH2/AA2</f>
        <v>3.1186440677966103</v>
      </c>
      <c r="AF2" s="30">
        <f t="shared" ref="AF2:AF33" si="8">AC2/AA2</f>
        <v>0.33898305084745761</v>
      </c>
      <c r="AG2" t="s">
        <v>453</v>
      </c>
      <c r="AH2" s="18">
        <v>184</v>
      </c>
      <c r="AJ2" t="s">
        <v>128</v>
      </c>
      <c r="AK2">
        <v>43</v>
      </c>
      <c r="AL2">
        <v>15</v>
      </c>
      <c r="AM2">
        <v>2.86</v>
      </c>
      <c r="AN2">
        <f t="shared" ref="AN2:AN33" si="9">AL2/AK2</f>
        <v>0.34883720930232559</v>
      </c>
      <c r="AP2" s="18" t="s">
        <v>128</v>
      </c>
      <c r="AQ2" s="31">
        <v>59</v>
      </c>
      <c r="AR2" s="31">
        <v>20</v>
      </c>
    </row>
    <row r="3" spans="1:44" x14ac:dyDescent="0.35">
      <c r="A3" s="36" t="s">
        <v>35</v>
      </c>
      <c r="B3" s="37">
        <v>76</v>
      </c>
      <c r="C3" s="51">
        <v>23</v>
      </c>
      <c r="D3" s="36">
        <f t="shared" si="0"/>
        <v>3.6710526315789473</v>
      </c>
      <c r="E3" s="36">
        <f t="shared" si="1"/>
        <v>0.30263157894736842</v>
      </c>
      <c r="F3" s="36" t="s">
        <v>413</v>
      </c>
      <c r="H3" s="18">
        <v>279</v>
      </c>
      <c r="J3" s="36" t="s">
        <v>35</v>
      </c>
      <c r="K3" s="37">
        <v>78</v>
      </c>
      <c r="L3" s="36">
        <v>23</v>
      </c>
      <c r="M3" s="36">
        <f t="shared" si="2"/>
        <v>3.7051282051282053</v>
      </c>
      <c r="N3" s="36">
        <f t="shared" si="3"/>
        <v>0.29487179487179488</v>
      </c>
      <c r="O3" s="36" t="s">
        <v>413</v>
      </c>
      <c r="Q3" s="18">
        <v>289</v>
      </c>
      <c r="T3" t="s">
        <v>141</v>
      </c>
      <c r="U3">
        <v>6</v>
      </c>
      <c r="V3">
        <v>1</v>
      </c>
      <c r="W3">
        <v>3.5</v>
      </c>
      <c r="X3">
        <f t="shared" si="4"/>
        <v>0.16666666666666666</v>
      </c>
      <c r="Z3" s="36" t="s">
        <v>35</v>
      </c>
      <c r="AA3" s="36">
        <v>78</v>
      </c>
      <c r="AB3" s="36">
        <f t="shared" si="5"/>
        <v>37</v>
      </c>
      <c r="AC3" s="36">
        <v>23</v>
      </c>
      <c r="AD3" s="36">
        <f t="shared" si="6"/>
        <v>9</v>
      </c>
      <c r="AE3" s="36">
        <f t="shared" si="7"/>
        <v>3.7051282051282053</v>
      </c>
      <c r="AF3" s="36">
        <f t="shared" si="8"/>
        <v>0.29487179487179488</v>
      </c>
      <c r="AG3" s="2" t="s">
        <v>59</v>
      </c>
      <c r="AH3" s="18">
        <v>289</v>
      </c>
      <c r="AJ3" t="s">
        <v>35</v>
      </c>
      <c r="AK3">
        <v>41</v>
      </c>
      <c r="AL3">
        <v>14</v>
      </c>
      <c r="AM3">
        <v>3.68</v>
      </c>
      <c r="AN3">
        <f t="shared" si="9"/>
        <v>0.34146341463414637</v>
      </c>
      <c r="AP3" s="36" t="s">
        <v>35</v>
      </c>
      <c r="AQ3" s="37">
        <v>78</v>
      </c>
      <c r="AR3" s="36">
        <v>23</v>
      </c>
    </row>
    <row r="4" spans="1:44" x14ac:dyDescent="0.35">
      <c r="A4" s="36" t="s">
        <v>122</v>
      </c>
      <c r="B4" s="37">
        <v>26</v>
      </c>
      <c r="C4" s="36">
        <v>3</v>
      </c>
      <c r="D4" s="36">
        <f t="shared" si="0"/>
        <v>3.6923076923076925</v>
      </c>
      <c r="E4" s="36">
        <f t="shared" si="1"/>
        <v>0.11538461538461539</v>
      </c>
      <c r="F4" s="36" t="s">
        <v>413</v>
      </c>
      <c r="G4" s="2" t="s">
        <v>370</v>
      </c>
      <c r="H4" s="18">
        <v>96</v>
      </c>
      <c r="J4" s="36" t="s">
        <v>148</v>
      </c>
      <c r="K4" s="36">
        <v>22</v>
      </c>
      <c r="L4" s="36">
        <v>4</v>
      </c>
      <c r="M4" s="36">
        <f t="shared" si="2"/>
        <v>3.7272727272727271</v>
      </c>
      <c r="N4" s="36">
        <f t="shared" si="3"/>
        <v>0.18181818181818182</v>
      </c>
      <c r="O4" s="36">
        <v>1</v>
      </c>
      <c r="P4" s="2" t="s">
        <v>44</v>
      </c>
      <c r="Q4" s="18">
        <v>82</v>
      </c>
      <c r="T4" t="s">
        <v>121</v>
      </c>
      <c r="U4">
        <v>33</v>
      </c>
      <c r="V4">
        <v>8</v>
      </c>
      <c r="W4">
        <v>3.55</v>
      </c>
      <c r="X4">
        <f t="shared" si="4"/>
        <v>0.24242424242424243</v>
      </c>
      <c r="Z4" s="36" t="s">
        <v>148</v>
      </c>
      <c r="AA4" s="36">
        <v>22</v>
      </c>
      <c r="AB4" s="36">
        <f t="shared" si="5"/>
        <v>14</v>
      </c>
      <c r="AC4" s="36">
        <v>4</v>
      </c>
      <c r="AD4" s="36">
        <f t="shared" si="6"/>
        <v>4</v>
      </c>
      <c r="AE4" s="36">
        <f t="shared" si="7"/>
        <v>3.7272727272727271</v>
      </c>
      <c r="AF4" s="36">
        <f t="shared" si="8"/>
        <v>0.18181818181818182</v>
      </c>
      <c r="AG4" s="2" t="s">
        <v>436</v>
      </c>
      <c r="AH4" s="18">
        <v>82</v>
      </c>
      <c r="AJ4" t="s">
        <v>148</v>
      </c>
      <c r="AK4">
        <v>8</v>
      </c>
      <c r="AL4">
        <v>0</v>
      </c>
      <c r="AM4">
        <v>4.25</v>
      </c>
      <c r="AN4">
        <f t="shared" si="9"/>
        <v>0</v>
      </c>
      <c r="AP4" s="36" t="s">
        <v>148</v>
      </c>
      <c r="AQ4" s="36">
        <v>22</v>
      </c>
      <c r="AR4" s="36">
        <v>4</v>
      </c>
    </row>
    <row r="5" spans="1:44" x14ac:dyDescent="0.35">
      <c r="A5" s="36" t="s">
        <v>148</v>
      </c>
      <c r="B5" s="37">
        <v>22</v>
      </c>
      <c r="C5" s="37">
        <v>4</v>
      </c>
      <c r="D5" s="36">
        <f t="shared" si="0"/>
        <v>3.7272727272727271</v>
      </c>
      <c r="E5" s="36">
        <f t="shared" si="1"/>
        <v>0.18181818181818182</v>
      </c>
      <c r="F5" s="36">
        <v>1</v>
      </c>
      <c r="G5" s="2" t="s">
        <v>47</v>
      </c>
      <c r="H5" s="18">
        <v>82</v>
      </c>
      <c r="J5" s="36" t="s">
        <v>122</v>
      </c>
      <c r="K5" s="37">
        <v>28</v>
      </c>
      <c r="L5" s="36">
        <v>3</v>
      </c>
      <c r="M5" s="36">
        <f t="shared" si="2"/>
        <v>3.75</v>
      </c>
      <c r="N5" s="36">
        <f t="shared" si="3"/>
        <v>0.10714285714285714</v>
      </c>
      <c r="O5" s="36" t="s">
        <v>413</v>
      </c>
      <c r="P5" s="3" t="s">
        <v>46</v>
      </c>
      <c r="Q5" s="18">
        <v>105</v>
      </c>
      <c r="T5" t="s">
        <v>0</v>
      </c>
      <c r="U5">
        <v>36</v>
      </c>
      <c r="V5">
        <v>6</v>
      </c>
      <c r="W5">
        <v>3.67</v>
      </c>
      <c r="X5">
        <f t="shared" si="4"/>
        <v>0.16666666666666666</v>
      </c>
      <c r="Z5" s="36" t="s">
        <v>122</v>
      </c>
      <c r="AA5" s="36">
        <v>28</v>
      </c>
      <c r="AB5" s="36">
        <f t="shared" si="5"/>
        <v>22</v>
      </c>
      <c r="AC5" s="36">
        <v>3</v>
      </c>
      <c r="AD5" s="36">
        <f t="shared" si="6"/>
        <v>3</v>
      </c>
      <c r="AE5" s="36">
        <f t="shared" si="7"/>
        <v>3.75</v>
      </c>
      <c r="AF5" s="36">
        <f t="shared" si="8"/>
        <v>0.10714285714285714</v>
      </c>
      <c r="AG5" s="2" t="s">
        <v>437</v>
      </c>
      <c r="AH5" s="18">
        <v>105</v>
      </c>
      <c r="AJ5" t="s">
        <v>122</v>
      </c>
      <c r="AK5">
        <v>6</v>
      </c>
      <c r="AL5">
        <v>0</v>
      </c>
      <c r="AM5">
        <v>4.33</v>
      </c>
      <c r="AN5">
        <f t="shared" si="9"/>
        <v>0</v>
      </c>
      <c r="AP5" s="36" t="s">
        <v>122</v>
      </c>
      <c r="AQ5" s="37">
        <v>28</v>
      </c>
      <c r="AR5" s="36">
        <v>3</v>
      </c>
    </row>
    <row r="6" spans="1:44" x14ac:dyDescent="0.35">
      <c r="A6" s="36" t="s">
        <v>52</v>
      </c>
      <c r="B6" s="36">
        <v>13</v>
      </c>
      <c r="C6" s="36">
        <v>1</v>
      </c>
      <c r="D6" s="36">
        <f t="shared" si="0"/>
        <v>3.7692307692307692</v>
      </c>
      <c r="E6" s="36">
        <f t="shared" si="1"/>
        <v>7.6923076923076927E-2</v>
      </c>
      <c r="F6" s="36" t="s">
        <v>413</v>
      </c>
      <c r="G6" s="3" t="s">
        <v>45</v>
      </c>
      <c r="H6" s="18">
        <v>49</v>
      </c>
      <c r="J6" s="36" t="s">
        <v>52</v>
      </c>
      <c r="K6" s="36">
        <v>13</v>
      </c>
      <c r="L6" s="36">
        <v>1</v>
      </c>
      <c r="M6" s="36">
        <f t="shared" si="2"/>
        <v>3.7692307692307692</v>
      </c>
      <c r="N6" s="36">
        <f t="shared" si="3"/>
        <v>7.6923076923076927E-2</v>
      </c>
      <c r="O6" s="36" t="s">
        <v>413</v>
      </c>
      <c r="Q6" s="18">
        <v>49</v>
      </c>
      <c r="T6" t="s">
        <v>35</v>
      </c>
      <c r="U6">
        <v>41</v>
      </c>
      <c r="V6">
        <v>14</v>
      </c>
      <c r="W6">
        <v>3.68</v>
      </c>
      <c r="X6">
        <f t="shared" si="4"/>
        <v>0.34146341463414637</v>
      </c>
      <c r="Z6" s="36" t="s">
        <v>52</v>
      </c>
      <c r="AA6" s="36">
        <v>13</v>
      </c>
      <c r="AB6" s="36">
        <f t="shared" si="5"/>
        <v>4</v>
      </c>
      <c r="AC6" s="36">
        <v>1</v>
      </c>
      <c r="AD6" s="36">
        <f t="shared" si="6"/>
        <v>1</v>
      </c>
      <c r="AE6" s="36">
        <f t="shared" si="7"/>
        <v>3.7692307692307692</v>
      </c>
      <c r="AF6" s="36">
        <f t="shared" si="8"/>
        <v>7.6923076923076927E-2</v>
      </c>
      <c r="AG6" s="2" t="s">
        <v>133</v>
      </c>
      <c r="AH6" s="18">
        <v>49</v>
      </c>
      <c r="AJ6" t="s">
        <v>52</v>
      </c>
      <c r="AK6">
        <v>9</v>
      </c>
      <c r="AL6">
        <v>0</v>
      </c>
      <c r="AM6">
        <v>4</v>
      </c>
      <c r="AN6">
        <f t="shared" si="9"/>
        <v>0</v>
      </c>
      <c r="AP6" s="36" t="s">
        <v>52</v>
      </c>
      <c r="AQ6" s="36">
        <v>13</v>
      </c>
      <c r="AR6" s="36">
        <v>1</v>
      </c>
    </row>
    <row r="7" spans="1:44" x14ac:dyDescent="0.35">
      <c r="A7" s="36" t="s">
        <v>232</v>
      </c>
      <c r="B7" s="36">
        <v>13</v>
      </c>
      <c r="C7" s="36">
        <v>2</v>
      </c>
      <c r="D7" s="36">
        <f t="shared" si="0"/>
        <v>3.7692307692307692</v>
      </c>
      <c r="E7" s="36">
        <f t="shared" si="1"/>
        <v>0.15384615384615385</v>
      </c>
      <c r="F7" s="36" t="s">
        <v>413</v>
      </c>
      <c r="G7" s="3" t="s">
        <v>45</v>
      </c>
      <c r="H7" s="18">
        <v>49</v>
      </c>
      <c r="J7" s="36" t="s">
        <v>232</v>
      </c>
      <c r="K7" s="36">
        <v>13</v>
      </c>
      <c r="L7" s="36">
        <v>2</v>
      </c>
      <c r="M7" s="36">
        <f t="shared" si="2"/>
        <v>3.7692307692307692</v>
      </c>
      <c r="N7" s="36">
        <f t="shared" si="3"/>
        <v>0.15384615384615385</v>
      </c>
      <c r="O7" s="36" t="s">
        <v>413</v>
      </c>
      <c r="Q7" s="18">
        <v>49</v>
      </c>
      <c r="T7" t="s">
        <v>2</v>
      </c>
      <c r="U7">
        <v>19</v>
      </c>
      <c r="V7">
        <v>4</v>
      </c>
      <c r="W7">
        <v>3.84</v>
      </c>
      <c r="X7">
        <f t="shared" si="4"/>
        <v>0.21052631578947367</v>
      </c>
      <c r="Z7" s="36" t="s">
        <v>232</v>
      </c>
      <c r="AA7" s="36">
        <v>13</v>
      </c>
      <c r="AB7" s="36">
        <f t="shared" si="5"/>
        <v>7</v>
      </c>
      <c r="AC7" s="36">
        <v>2</v>
      </c>
      <c r="AD7" s="36">
        <f t="shared" si="6"/>
        <v>2</v>
      </c>
      <c r="AE7" s="36">
        <f t="shared" si="7"/>
        <v>3.7692307692307692</v>
      </c>
      <c r="AF7" s="36">
        <f t="shared" si="8"/>
        <v>0.15384615384615385</v>
      </c>
      <c r="AG7" s="2" t="s">
        <v>439</v>
      </c>
      <c r="AH7" s="18">
        <v>49</v>
      </c>
      <c r="AJ7" t="s">
        <v>232</v>
      </c>
      <c r="AK7">
        <v>6</v>
      </c>
      <c r="AL7">
        <v>0</v>
      </c>
      <c r="AM7">
        <v>4.33</v>
      </c>
      <c r="AN7">
        <f t="shared" si="9"/>
        <v>0</v>
      </c>
      <c r="AP7" s="36" t="s">
        <v>232</v>
      </c>
      <c r="AQ7" s="36">
        <v>13</v>
      </c>
      <c r="AR7" s="36">
        <v>2</v>
      </c>
    </row>
    <row r="8" spans="1:44" x14ac:dyDescent="0.35">
      <c r="A8" s="36" t="s">
        <v>121</v>
      </c>
      <c r="B8" s="37">
        <v>52</v>
      </c>
      <c r="C8" s="37">
        <v>11</v>
      </c>
      <c r="D8" s="36">
        <f t="shared" si="0"/>
        <v>3.8269230769230771</v>
      </c>
      <c r="E8" s="36">
        <f t="shared" si="1"/>
        <v>0.21153846153846154</v>
      </c>
      <c r="F8" s="36" t="s">
        <v>413</v>
      </c>
      <c r="H8" s="18">
        <v>199</v>
      </c>
      <c r="J8" s="36" t="s">
        <v>121</v>
      </c>
      <c r="K8" s="36">
        <v>52</v>
      </c>
      <c r="L8" s="36">
        <v>11</v>
      </c>
      <c r="M8" s="36">
        <f t="shared" si="2"/>
        <v>3.8269230769230771</v>
      </c>
      <c r="N8" s="36">
        <f t="shared" si="3"/>
        <v>0.21153846153846154</v>
      </c>
      <c r="O8" s="36" t="s">
        <v>413</v>
      </c>
      <c r="Q8" s="18">
        <v>199</v>
      </c>
      <c r="T8" t="s">
        <v>139</v>
      </c>
      <c r="U8">
        <v>14</v>
      </c>
      <c r="V8">
        <v>2</v>
      </c>
      <c r="W8">
        <v>3.86</v>
      </c>
      <c r="X8">
        <f t="shared" si="4"/>
        <v>0.14285714285714285</v>
      </c>
      <c r="Z8" s="36" t="s">
        <v>121</v>
      </c>
      <c r="AA8" s="36">
        <v>52</v>
      </c>
      <c r="AB8" s="36">
        <f t="shared" si="5"/>
        <v>19</v>
      </c>
      <c r="AC8" s="36">
        <v>11</v>
      </c>
      <c r="AD8" s="36">
        <f t="shared" si="6"/>
        <v>3</v>
      </c>
      <c r="AE8" s="36">
        <f t="shared" si="7"/>
        <v>3.8269230769230771</v>
      </c>
      <c r="AF8" s="36">
        <f t="shared" si="8"/>
        <v>0.21153846153846154</v>
      </c>
      <c r="AG8" s="3" t="s">
        <v>55</v>
      </c>
      <c r="AH8" s="18">
        <v>199</v>
      </c>
      <c r="AJ8" t="s">
        <v>121</v>
      </c>
      <c r="AK8">
        <v>33</v>
      </c>
      <c r="AL8">
        <v>8</v>
      </c>
      <c r="AM8">
        <v>3.55</v>
      </c>
      <c r="AN8">
        <f t="shared" si="9"/>
        <v>0.24242424242424243</v>
      </c>
      <c r="AP8" s="36" t="s">
        <v>121</v>
      </c>
      <c r="AQ8" s="36">
        <v>52</v>
      </c>
      <c r="AR8" s="36">
        <v>11</v>
      </c>
    </row>
    <row r="9" spans="1:44" x14ac:dyDescent="0.35">
      <c r="A9" s="36" t="s">
        <v>147</v>
      </c>
      <c r="B9" s="37">
        <v>24</v>
      </c>
      <c r="C9" s="36">
        <v>3</v>
      </c>
      <c r="D9" s="36">
        <f t="shared" si="0"/>
        <v>3.875</v>
      </c>
      <c r="E9" s="36">
        <f t="shared" si="1"/>
        <v>0.125</v>
      </c>
      <c r="F9" s="36" t="s">
        <v>413</v>
      </c>
      <c r="G9" s="2" t="s">
        <v>44</v>
      </c>
      <c r="H9" s="18">
        <v>93</v>
      </c>
      <c r="J9" s="36" t="s">
        <v>112</v>
      </c>
      <c r="K9" s="36">
        <v>16</v>
      </c>
      <c r="L9" s="36">
        <v>5</v>
      </c>
      <c r="M9" s="36">
        <f t="shared" si="2"/>
        <v>3.9375</v>
      </c>
      <c r="N9" s="36">
        <f t="shared" si="3"/>
        <v>0.3125</v>
      </c>
      <c r="O9" s="36">
        <v>1</v>
      </c>
      <c r="P9" s="2" t="s">
        <v>44</v>
      </c>
      <c r="Q9" s="18">
        <v>63</v>
      </c>
      <c r="T9" t="s">
        <v>9</v>
      </c>
      <c r="U9">
        <v>9</v>
      </c>
      <c r="V9">
        <v>1</v>
      </c>
      <c r="W9">
        <v>3.89</v>
      </c>
      <c r="X9">
        <f t="shared" si="4"/>
        <v>0.1111111111111111</v>
      </c>
      <c r="Z9" s="36" t="s">
        <v>112</v>
      </c>
      <c r="AA9" s="36">
        <v>16</v>
      </c>
      <c r="AB9" s="36">
        <f t="shared" si="5"/>
        <v>6</v>
      </c>
      <c r="AC9" s="36">
        <v>5</v>
      </c>
      <c r="AD9" s="36">
        <f t="shared" si="6"/>
        <v>2</v>
      </c>
      <c r="AE9" s="36">
        <f t="shared" si="7"/>
        <v>3.9375</v>
      </c>
      <c r="AF9" s="36">
        <f t="shared" si="8"/>
        <v>0.3125</v>
      </c>
      <c r="AG9" s="2" t="s">
        <v>440</v>
      </c>
      <c r="AH9" s="18">
        <v>63</v>
      </c>
      <c r="AJ9" t="s">
        <v>112</v>
      </c>
      <c r="AK9">
        <v>10</v>
      </c>
      <c r="AL9">
        <v>3</v>
      </c>
      <c r="AM9">
        <v>4.3</v>
      </c>
      <c r="AN9">
        <f t="shared" si="9"/>
        <v>0.3</v>
      </c>
      <c r="AP9" s="36" t="s">
        <v>112</v>
      </c>
      <c r="AQ9" s="36">
        <v>16</v>
      </c>
      <c r="AR9" s="36">
        <v>5</v>
      </c>
    </row>
    <row r="10" spans="1:44" x14ac:dyDescent="0.35">
      <c r="A10" s="36" t="s">
        <v>112</v>
      </c>
      <c r="B10" s="37">
        <v>16</v>
      </c>
      <c r="C10" s="37">
        <v>5</v>
      </c>
      <c r="D10" s="36">
        <f t="shared" si="0"/>
        <v>3.9375</v>
      </c>
      <c r="E10" s="36">
        <f t="shared" si="1"/>
        <v>0.3125</v>
      </c>
      <c r="F10" s="36">
        <v>1</v>
      </c>
      <c r="G10" s="2" t="s">
        <v>132</v>
      </c>
      <c r="H10" s="18">
        <v>63</v>
      </c>
      <c r="J10" s="36" t="s">
        <v>0</v>
      </c>
      <c r="K10" s="36">
        <v>67</v>
      </c>
      <c r="L10" s="36">
        <v>12</v>
      </c>
      <c r="M10" s="36">
        <f t="shared" si="2"/>
        <v>3.955223880597015</v>
      </c>
      <c r="N10" s="36">
        <f t="shared" si="3"/>
        <v>0.17910447761194029</v>
      </c>
      <c r="O10" s="36" t="s">
        <v>413</v>
      </c>
      <c r="P10" s="2" t="s">
        <v>44</v>
      </c>
      <c r="Q10" s="18">
        <v>265</v>
      </c>
      <c r="T10" t="s">
        <v>52</v>
      </c>
      <c r="U10">
        <v>9</v>
      </c>
      <c r="V10">
        <v>0</v>
      </c>
      <c r="W10">
        <v>4</v>
      </c>
      <c r="X10">
        <f t="shared" si="4"/>
        <v>0</v>
      </c>
      <c r="Z10" s="36" t="s">
        <v>0</v>
      </c>
      <c r="AA10" s="36">
        <v>67</v>
      </c>
      <c r="AB10" s="36">
        <f t="shared" si="5"/>
        <v>31</v>
      </c>
      <c r="AC10" s="36">
        <v>12</v>
      </c>
      <c r="AD10" s="36">
        <f t="shared" si="6"/>
        <v>6</v>
      </c>
      <c r="AE10" s="36">
        <f t="shared" si="7"/>
        <v>3.955223880597015</v>
      </c>
      <c r="AF10" s="36">
        <f t="shared" si="8"/>
        <v>0.17910447761194029</v>
      </c>
      <c r="AG10" s="3" t="s">
        <v>381</v>
      </c>
      <c r="AH10" s="18">
        <v>265</v>
      </c>
      <c r="AJ10" t="s">
        <v>0</v>
      </c>
      <c r="AK10">
        <v>36</v>
      </c>
      <c r="AL10">
        <v>6</v>
      </c>
      <c r="AM10">
        <v>3.67</v>
      </c>
      <c r="AN10">
        <f t="shared" si="9"/>
        <v>0.16666666666666666</v>
      </c>
      <c r="AP10" s="36" t="s">
        <v>0</v>
      </c>
      <c r="AQ10" s="36">
        <v>67</v>
      </c>
      <c r="AR10" s="36">
        <v>12</v>
      </c>
    </row>
    <row r="11" spans="1:44" x14ac:dyDescent="0.35">
      <c r="A11" s="36" t="s">
        <v>0</v>
      </c>
      <c r="B11" s="37">
        <v>67</v>
      </c>
      <c r="C11" s="37">
        <v>12</v>
      </c>
      <c r="D11" s="36">
        <f t="shared" si="0"/>
        <v>3.955223880597015</v>
      </c>
      <c r="E11" s="36">
        <f t="shared" si="1"/>
        <v>0.17910447761194029</v>
      </c>
      <c r="F11" s="36" t="s">
        <v>413</v>
      </c>
      <c r="H11" s="18">
        <v>265</v>
      </c>
      <c r="J11" s="36" t="s">
        <v>147</v>
      </c>
      <c r="K11" s="37">
        <v>25</v>
      </c>
      <c r="L11" s="36">
        <v>3</v>
      </c>
      <c r="M11" s="36">
        <f t="shared" si="2"/>
        <v>3.96</v>
      </c>
      <c r="N11" s="36">
        <f t="shared" si="3"/>
        <v>0.12</v>
      </c>
      <c r="O11" s="36" t="s">
        <v>413</v>
      </c>
      <c r="P11" s="3" t="s">
        <v>45</v>
      </c>
      <c r="Q11" s="18">
        <v>99</v>
      </c>
      <c r="T11" t="s">
        <v>27</v>
      </c>
      <c r="U11">
        <v>17</v>
      </c>
      <c r="V11">
        <v>1</v>
      </c>
      <c r="W11">
        <v>4</v>
      </c>
      <c r="X11">
        <f t="shared" si="4"/>
        <v>5.8823529411764705E-2</v>
      </c>
      <c r="Z11" s="36" t="s">
        <v>147</v>
      </c>
      <c r="AA11" s="36">
        <v>25</v>
      </c>
      <c r="AB11" s="36">
        <f t="shared" si="5"/>
        <v>20</v>
      </c>
      <c r="AC11" s="36">
        <v>3</v>
      </c>
      <c r="AD11" s="36">
        <f t="shared" si="6"/>
        <v>3</v>
      </c>
      <c r="AE11" s="36">
        <f t="shared" si="7"/>
        <v>3.96</v>
      </c>
      <c r="AF11" s="36">
        <f t="shared" si="8"/>
        <v>0.12</v>
      </c>
      <c r="AG11" s="2" t="s">
        <v>439</v>
      </c>
      <c r="AH11" s="18">
        <v>99</v>
      </c>
      <c r="AJ11" t="s">
        <v>147</v>
      </c>
      <c r="AK11">
        <v>5</v>
      </c>
      <c r="AL11">
        <v>0</v>
      </c>
      <c r="AM11">
        <v>4.4000000000000004</v>
      </c>
      <c r="AN11">
        <f t="shared" si="9"/>
        <v>0</v>
      </c>
      <c r="AP11" s="36" t="s">
        <v>147</v>
      </c>
      <c r="AQ11" s="37">
        <v>25</v>
      </c>
      <c r="AR11" s="36">
        <v>3</v>
      </c>
    </row>
    <row r="12" spans="1:44" x14ac:dyDescent="0.35">
      <c r="A12" s="38" t="s">
        <v>58</v>
      </c>
      <c r="B12" s="39">
        <v>16</v>
      </c>
      <c r="C12" s="39">
        <v>3</v>
      </c>
      <c r="D12" s="38">
        <f t="shared" si="0"/>
        <v>4</v>
      </c>
      <c r="E12" s="38">
        <f t="shared" si="1"/>
        <v>0.1875</v>
      </c>
      <c r="F12" s="38">
        <v>1</v>
      </c>
      <c r="G12" s="2" t="s">
        <v>378</v>
      </c>
      <c r="H12" s="18">
        <v>64</v>
      </c>
      <c r="J12" s="38" t="s">
        <v>58</v>
      </c>
      <c r="K12" s="38">
        <v>16</v>
      </c>
      <c r="L12" s="38">
        <v>3</v>
      </c>
      <c r="M12" s="38">
        <f t="shared" si="2"/>
        <v>4</v>
      </c>
      <c r="N12" s="38">
        <f t="shared" si="3"/>
        <v>0.1875</v>
      </c>
      <c r="O12" s="38">
        <v>1</v>
      </c>
      <c r="Q12" s="18">
        <v>64</v>
      </c>
      <c r="T12" t="s">
        <v>361</v>
      </c>
      <c r="U12">
        <v>5</v>
      </c>
      <c r="V12">
        <v>1</v>
      </c>
      <c r="W12">
        <v>4</v>
      </c>
      <c r="X12">
        <f t="shared" si="4"/>
        <v>0.2</v>
      </c>
      <c r="Z12" s="38" t="s">
        <v>58</v>
      </c>
      <c r="AA12" s="38">
        <v>16</v>
      </c>
      <c r="AB12" s="38">
        <f t="shared" si="5"/>
        <v>10</v>
      </c>
      <c r="AC12" s="38">
        <v>3</v>
      </c>
      <c r="AD12" s="38">
        <f t="shared" si="6"/>
        <v>3</v>
      </c>
      <c r="AE12" s="38">
        <f t="shared" si="7"/>
        <v>4</v>
      </c>
      <c r="AF12" s="38">
        <f t="shared" si="8"/>
        <v>0.1875</v>
      </c>
      <c r="AG12" s="2" t="s">
        <v>441</v>
      </c>
      <c r="AH12" s="18">
        <v>64</v>
      </c>
      <c r="AJ12" t="s">
        <v>58</v>
      </c>
      <c r="AK12">
        <v>6</v>
      </c>
      <c r="AL12">
        <v>0</v>
      </c>
      <c r="AM12">
        <v>4.33</v>
      </c>
      <c r="AN12">
        <f t="shared" si="9"/>
        <v>0</v>
      </c>
      <c r="AP12" s="38" t="s">
        <v>58</v>
      </c>
      <c r="AQ12" s="38">
        <v>16</v>
      </c>
      <c r="AR12" s="38">
        <v>3</v>
      </c>
    </row>
    <row r="13" spans="1:44" x14ac:dyDescent="0.35">
      <c r="A13" s="38" t="s">
        <v>22</v>
      </c>
      <c r="B13" s="39">
        <v>144</v>
      </c>
      <c r="C13" s="38">
        <v>23</v>
      </c>
      <c r="D13" s="38">
        <f t="shared" si="0"/>
        <v>4.0555555555555554</v>
      </c>
      <c r="E13" s="38">
        <f t="shared" si="1"/>
        <v>0.15972222222222221</v>
      </c>
      <c r="F13" s="38" t="s">
        <v>392</v>
      </c>
      <c r="H13" s="18">
        <v>584</v>
      </c>
      <c r="J13" s="38" t="s">
        <v>22</v>
      </c>
      <c r="K13" s="40">
        <v>146</v>
      </c>
      <c r="L13" s="38">
        <v>23</v>
      </c>
      <c r="M13" s="38">
        <f t="shared" si="2"/>
        <v>4.0342465753424657</v>
      </c>
      <c r="N13" s="38">
        <f t="shared" si="3"/>
        <v>0.15753424657534246</v>
      </c>
      <c r="O13" s="38" t="s">
        <v>392</v>
      </c>
      <c r="Q13" s="18">
        <v>589</v>
      </c>
      <c r="T13" t="s">
        <v>26</v>
      </c>
      <c r="U13">
        <v>10</v>
      </c>
      <c r="V13">
        <v>2</v>
      </c>
      <c r="W13">
        <v>4</v>
      </c>
      <c r="X13">
        <f t="shared" si="4"/>
        <v>0.2</v>
      </c>
      <c r="Z13" s="38" t="s">
        <v>22</v>
      </c>
      <c r="AA13" s="47">
        <v>146</v>
      </c>
      <c r="AB13" s="38">
        <f t="shared" si="5"/>
        <v>44</v>
      </c>
      <c r="AC13" s="38">
        <v>23</v>
      </c>
      <c r="AD13" s="38">
        <f t="shared" si="6"/>
        <v>9</v>
      </c>
      <c r="AE13" s="38">
        <f t="shared" si="7"/>
        <v>4.0342465753424657</v>
      </c>
      <c r="AF13" s="38">
        <f t="shared" si="8"/>
        <v>0.15753424657534246</v>
      </c>
      <c r="AG13" s="2" t="s">
        <v>378</v>
      </c>
      <c r="AH13" s="18">
        <v>589</v>
      </c>
      <c r="AJ13" t="s">
        <v>22</v>
      </c>
      <c r="AK13">
        <v>102</v>
      </c>
      <c r="AL13">
        <v>14</v>
      </c>
      <c r="AM13">
        <v>4.25</v>
      </c>
      <c r="AN13">
        <f t="shared" si="9"/>
        <v>0.13725490196078433</v>
      </c>
      <c r="AP13" s="38" t="s">
        <v>22</v>
      </c>
      <c r="AQ13" s="40">
        <v>146</v>
      </c>
      <c r="AR13" s="38">
        <v>23</v>
      </c>
    </row>
    <row r="14" spans="1:44" x14ac:dyDescent="0.35">
      <c r="A14" s="38" t="s">
        <v>10</v>
      </c>
      <c r="B14" s="38">
        <v>33</v>
      </c>
      <c r="C14" s="38">
        <v>6</v>
      </c>
      <c r="D14" s="38">
        <f t="shared" si="0"/>
        <v>4.0606060606060606</v>
      </c>
      <c r="E14" s="38">
        <f t="shared" si="1"/>
        <v>0.18181818181818182</v>
      </c>
      <c r="F14" s="38" t="s">
        <v>392</v>
      </c>
      <c r="G14" s="3" t="s">
        <v>45</v>
      </c>
      <c r="H14" s="18">
        <v>134</v>
      </c>
      <c r="J14" s="38" t="s">
        <v>10</v>
      </c>
      <c r="K14" s="38">
        <v>33</v>
      </c>
      <c r="L14" s="38">
        <v>6</v>
      </c>
      <c r="M14" s="38">
        <f t="shared" si="2"/>
        <v>4.0606060606060606</v>
      </c>
      <c r="N14" s="38">
        <f t="shared" si="3"/>
        <v>0.18181818181818182</v>
      </c>
      <c r="O14" s="38" t="s">
        <v>392</v>
      </c>
      <c r="Q14" s="18">
        <v>134</v>
      </c>
      <c r="T14" t="s">
        <v>15</v>
      </c>
      <c r="U14">
        <v>72</v>
      </c>
      <c r="V14">
        <v>16</v>
      </c>
      <c r="W14">
        <v>4.0999999999999996</v>
      </c>
      <c r="X14">
        <f t="shared" si="4"/>
        <v>0.22222222222222221</v>
      </c>
      <c r="Z14" s="38" t="s">
        <v>10</v>
      </c>
      <c r="AA14" s="38">
        <v>33</v>
      </c>
      <c r="AB14" s="38">
        <f t="shared" si="5"/>
        <v>5</v>
      </c>
      <c r="AC14" s="38">
        <v>6</v>
      </c>
      <c r="AD14" s="38">
        <f t="shared" si="6"/>
        <v>2</v>
      </c>
      <c r="AE14" s="38">
        <f t="shared" si="7"/>
        <v>4.0606060606060606</v>
      </c>
      <c r="AF14" s="38">
        <f t="shared" si="8"/>
        <v>0.18181818181818182</v>
      </c>
      <c r="AG14" s="2" t="s">
        <v>443</v>
      </c>
      <c r="AH14" s="18">
        <v>134</v>
      </c>
      <c r="AJ14" t="s">
        <v>10</v>
      </c>
      <c r="AK14">
        <v>28</v>
      </c>
      <c r="AL14">
        <v>4</v>
      </c>
      <c r="AM14">
        <v>4.29</v>
      </c>
      <c r="AN14">
        <f t="shared" si="9"/>
        <v>0.14285714285714285</v>
      </c>
      <c r="AP14" s="38" t="s">
        <v>10</v>
      </c>
      <c r="AQ14" s="38">
        <v>33</v>
      </c>
      <c r="AR14" s="38">
        <v>6</v>
      </c>
    </row>
    <row r="15" spans="1:44" x14ac:dyDescent="0.35">
      <c r="A15" s="38" t="s">
        <v>9</v>
      </c>
      <c r="B15" s="38">
        <v>13</v>
      </c>
      <c r="C15" s="38">
        <v>2</v>
      </c>
      <c r="D15" s="38">
        <f t="shared" si="0"/>
        <v>4.0769230769230766</v>
      </c>
      <c r="E15" s="38">
        <f t="shared" si="1"/>
        <v>0.15384615384615385</v>
      </c>
      <c r="F15" s="38" t="s">
        <v>392</v>
      </c>
      <c r="G15" s="3" t="s">
        <v>46</v>
      </c>
      <c r="H15" s="18">
        <v>53</v>
      </c>
      <c r="J15" s="38" t="s">
        <v>9</v>
      </c>
      <c r="K15" s="38">
        <v>13</v>
      </c>
      <c r="L15" s="38">
        <v>2</v>
      </c>
      <c r="M15" s="38">
        <f t="shared" si="2"/>
        <v>4.0769230769230766</v>
      </c>
      <c r="N15" s="38">
        <f t="shared" si="3"/>
        <v>0.15384615384615385</v>
      </c>
      <c r="O15" s="38" t="s">
        <v>392</v>
      </c>
      <c r="Q15" s="18">
        <v>53</v>
      </c>
      <c r="T15" t="s">
        <v>63</v>
      </c>
      <c r="U15">
        <v>6</v>
      </c>
      <c r="V15">
        <v>1</v>
      </c>
      <c r="W15">
        <v>4.17</v>
      </c>
      <c r="X15">
        <f t="shared" si="4"/>
        <v>0.16666666666666666</v>
      </c>
      <c r="Z15" s="38" t="s">
        <v>9</v>
      </c>
      <c r="AA15" s="38">
        <v>13</v>
      </c>
      <c r="AB15" s="38">
        <f t="shared" si="5"/>
        <v>4</v>
      </c>
      <c r="AC15" s="38">
        <v>2</v>
      </c>
      <c r="AD15" s="38">
        <f t="shared" si="6"/>
        <v>1</v>
      </c>
      <c r="AE15" s="38">
        <f t="shared" si="7"/>
        <v>4.0769230769230766</v>
      </c>
      <c r="AF15" s="38">
        <f t="shared" si="8"/>
        <v>0.15384615384615385</v>
      </c>
      <c r="AG15" s="3" t="s">
        <v>195</v>
      </c>
      <c r="AH15" s="18">
        <v>53</v>
      </c>
      <c r="AJ15" t="s">
        <v>9</v>
      </c>
      <c r="AK15">
        <v>9</v>
      </c>
      <c r="AL15">
        <v>1</v>
      </c>
      <c r="AM15">
        <v>3.89</v>
      </c>
      <c r="AN15">
        <f t="shared" si="9"/>
        <v>0.1111111111111111</v>
      </c>
      <c r="AP15" s="38" t="s">
        <v>9</v>
      </c>
      <c r="AQ15" s="38">
        <v>13</v>
      </c>
      <c r="AR15" s="38">
        <v>2</v>
      </c>
    </row>
    <row r="16" spans="1:44" x14ac:dyDescent="0.35">
      <c r="A16" s="38" t="s">
        <v>104</v>
      </c>
      <c r="B16" s="39">
        <v>44</v>
      </c>
      <c r="C16" s="38">
        <v>3</v>
      </c>
      <c r="D16" s="38">
        <f t="shared" si="0"/>
        <v>4.0909090909090908</v>
      </c>
      <c r="E16" s="38">
        <f t="shared" si="1"/>
        <v>6.8181818181818177E-2</v>
      </c>
      <c r="F16" s="38" t="s">
        <v>392</v>
      </c>
      <c r="G16" s="3" t="s">
        <v>46</v>
      </c>
      <c r="H16" s="18">
        <v>180</v>
      </c>
      <c r="J16" s="38" t="s">
        <v>104</v>
      </c>
      <c r="K16" s="38">
        <v>44</v>
      </c>
      <c r="L16" s="38">
        <v>3</v>
      </c>
      <c r="M16" s="38">
        <f t="shared" si="2"/>
        <v>4.0909090909090908</v>
      </c>
      <c r="N16" s="38">
        <f t="shared" si="3"/>
        <v>6.8181818181818177E-2</v>
      </c>
      <c r="O16" s="38" t="s">
        <v>392</v>
      </c>
      <c r="Q16" s="18">
        <v>180</v>
      </c>
      <c r="T16" t="s">
        <v>117</v>
      </c>
      <c r="U16">
        <v>9</v>
      </c>
      <c r="V16">
        <v>2</v>
      </c>
      <c r="W16">
        <v>4.2</v>
      </c>
      <c r="X16">
        <f t="shared" si="4"/>
        <v>0.22222222222222221</v>
      </c>
      <c r="Z16" s="38" t="s">
        <v>104</v>
      </c>
      <c r="AA16" s="38">
        <v>44</v>
      </c>
      <c r="AB16" s="38">
        <f t="shared" si="5"/>
        <v>19</v>
      </c>
      <c r="AC16" s="38">
        <v>3</v>
      </c>
      <c r="AD16" s="38">
        <f t="shared" si="6"/>
        <v>1</v>
      </c>
      <c r="AE16" s="38">
        <f t="shared" si="7"/>
        <v>4.0909090909090908</v>
      </c>
      <c r="AF16" s="38">
        <f t="shared" si="8"/>
        <v>6.8181818181818177E-2</v>
      </c>
      <c r="AG16" s="2" t="s">
        <v>216</v>
      </c>
      <c r="AH16" s="18">
        <v>180</v>
      </c>
      <c r="AJ16" t="s">
        <v>104</v>
      </c>
      <c r="AK16">
        <v>25</v>
      </c>
      <c r="AL16">
        <v>2</v>
      </c>
      <c r="AM16">
        <v>4.4000000000000004</v>
      </c>
      <c r="AN16">
        <f t="shared" si="9"/>
        <v>0.08</v>
      </c>
      <c r="AP16" s="38" t="s">
        <v>104</v>
      </c>
      <c r="AQ16" s="38">
        <v>44</v>
      </c>
      <c r="AR16" s="38">
        <v>3</v>
      </c>
    </row>
    <row r="17" spans="1:44" x14ac:dyDescent="0.35">
      <c r="A17" s="38" t="s">
        <v>123</v>
      </c>
      <c r="B17" s="38">
        <v>10</v>
      </c>
      <c r="C17" s="38">
        <v>1</v>
      </c>
      <c r="D17" s="38">
        <f t="shared" si="0"/>
        <v>4.0999999999999996</v>
      </c>
      <c r="E17" s="38">
        <f t="shared" si="1"/>
        <v>0.1</v>
      </c>
      <c r="F17" s="38" t="s">
        <v>392</v>
      </c>
      <c r="G17" s="3" t="s">
        <v>46</v>
      </c>
      <c r="H17" s="18">
        <v>41</v>
      </c>
      <c r="J17" s="38" t="s">
        <v>123</v>
      </c>
      <c r="K17" s="38">
        <v>10</v>
      </c>
      <c r="L17" s="38">
        <v>1</v>
      </c>
      <c r="M17" s="38">
        <f t="shared" si="2"/>
        <v>4.0999999999999996</v>
      </c>
      <c r="N17" s="38">
        <f t="shared" si="3"/>
        <v>0.1</v>
      </c>
      <c r="O17" s="38" t="s">
        <v>392</v>
      </c>
      <c r="Q17" s="18">
        <v>41</v>
      </c>
      <c r="T17" t="s">
        <v>28</v>
      </c>
      <c r="U17">
        <v>5</v>
      </c>
      <c r="V17">
        <v>0</v>
      </c>
      <c r="W17">
        <v>4.2</v>
      </c>
      <c r="X17">
        <f t="shared" si="4"/>
        <v>0</v>
      </c>
      <c r="Z17" s="38" t="s">
        <v>123</v>
      </c>
      <c r="AA17" s="38">
        <v>10</v>
      </c>
      <c r="AB17" s="38">
        <f t="shared" si="5"/>
        <v>4</v>
      </c>
      <c r="AC17" s="38">
        <v>1</v>
      </c>
      <c r="AD17" s="38">
        <f t="shared" si="6"/>
        <v>1</v>
      </c>
      <c r="AE17" s="38">
        <f t="shared" si="7"/>
        <v>4.0999999999999996</v>
      </c>
      <c r="AF17" s="38">
        <f t="shared" si="8"/>
        <v>0.1</v>
      </c>
      <c r="AG17" s="2" t="s">
        <v>444</v>
      </c>
      <c r="AH17" s="18">
        <v>41</v>
      </c>
      <c r="AJ17" t="s">
        <v>123</v>
      </c>
      <c r="AK17">
        <v>6</v>
      </c>
      <c r="AL17">
        <v>0</v>
      </c>
      <c r="AM17">
        <v>5</v>
      </c>
      <c r="AN17">
        <f t="shared" si="9"/>
        <v>0</v>
      </c>
      <c r="AP17" s="38" t="s">
        <v>123</v>
      </c>
      <c r="AQ17" s="38">
        <v>10</v>
      </c>
      <c r="AR17" s="38">
        <v>1</v>
      </c>
    </row>
    <row r="18" spans="1:44" x14ac:dyDescent="0.35">
      <c r="A18" s="38" t="s">
        <v>116</v>
      </c>
      <c r="B18" s="39">
        <v>15</v>
      </c>
      <c r="C18" s="38">
        <v>3</v>
      </c>
      <c r="D18" s="38">
        <f t="shared" si="0"/>
        <v>4.1333333333333337</v>
      </c>
      <c r="E18" s="38">
        <f t="shared" si="1"/>
        <v>0.2</v>
      </c>
      <c r="F18" s="38" t="s">
        <v>392</v>
      </c>
      <c r="G18" s="3" t="s">
        <v>152</v>
      </c>
      <c r="H18" s="18">
        <v>62</v>
      </c>
      <c r="J18" s="38" t="s">
        <v>116</v>
      </c>
      <c r="K18" s="38">
        <v>15</v>
      </c>
      <c r="L18" s="38">
        <v>3</v>
      </c>
      <c r="M18" s="38">
        <f t="shared" si="2"/>
        <v>4.1333333333333337</v>
      </c>
      <c r="N18" s="38">
        <f t="shared" si="3"/>
        <v>0.2</v>
      </c>
      <c r="O18" s="38" t="s">
        <v>392</v>
      </c>
      <c r="Q18" s="18">
        <v>62</v>
      </c>
      <c r="T18" t="s">
        <v>135</v>
      </c>
      <c r="U18">
        <v>5</v>
      </c>
      <c r="V18">
        <v>1</v>
      </c>
      <c r="W18">
        <v>4.2</v>
      </c>
      <c r="X18">
        <f t="shared" si="4"/>
        <v>0.2</v>
      </c>
      <c r="Z18" s="38" t="s">
        <v>116</v>
      </c>
      <c r="AA18" s="38">
        <v>15</v>
      </c>
      <c r="AB18" s="38">
        <f t="shared" si="5"/>
        <v>8</v>
      </c>
      <c r="AC18" s="38">
        <v>3</v>
      </c>
      <c r="AD18" s="38">
        <f t="shared" si="6"/>
        <v>3</v>
      </c>
      <c r="AE18" s="38">
        <f t="shared" si="7"/>
        <v>4.1333333333333337</v>
      </c>
      <c r="AF18" s="38">
        <f t="shared" si="8"/>
        <v>0.2</v>
      </c>
      <c r="AG18" s="2" t="s">
        <v>445</v>
      </c>
      <c r="AH18" s="18">
        <v>62</v>
      </c>
      <c r="AJ18" t="s">
        <v>116</v>
      </c>
      <c r="AK18">
        <v>7</v>
      </c>
      <c r="AL18">
        <v>0</v>
      </c>
      <c r="AM18">
        <v>4.71</v>
      </c>
      <c r="AN18">
        <f t="shared" si="9"/>
        <v>0</v>
      </c>
      <c r="AP18" s="38" t="s">
        <v>116</v>
      </c>
      <c r="AQ18" s="38">
        <v>15</v>
      </c>
      <c r="AR18" s="38">
        <v>3</v>
      </c>
    </row>
    <row r="19" spans="1:44" x14ac:dyDescent="0.35">
      <c r="A19" s="38" t="s">
        <v>2</v>
      </c>
      <c r="B19" s="38">
        <v>28</v>
      </c>
      <c r="C19" s="38">
        <v>5</v>
      </c>
      <c r="D19" s="38">
        <f t="shared" si="0"/>
        <v>4.1428571428571432</v>
      </c>
      <c r="E19" s="38">
        <f t="shared" si="1"/>
        <v>0.17857142857142858</v>
      </c>
      <c r="F19" s="38" t="s">
        <v>392</v>
      </c>
      <c r="G19" s="3" t="s">
        <v>46</v>
      </c>
      <c r="H19" s="18">
        <v>116</v>
      </c>
      <c r="J19" s="38" t="s">
        <v>2</v>
      </c>
      <c r="K19" s="38">
        <v>28</v>
      </c>
      <c r="L19" s="38">
        <v>5</v>
      </c>
      <c r="M19" s="38">
        <f t="shared" si="2"/>
        <v>4.1428571428571432</v>
      </c>
      <c r="N19" s="38">
        <f t="shared" si="3"/>
        <v>0.17857142857142858</v>
      </c>
      <c r="O19" s="38" t="s">
        <v>392</v>
      </c>
      <c r="Q19" s="18">
        <v>116</v>
      </c>
      <c r="T19" t="s">
        <v>113</v>
      </c>
      <c r="U19">
        <v>5</v>
      </c>
      <c r="V19">
        <v>0</v>
      </c>
      <c r="W19">
        <v>4.2</v>
      </c>
      <c r="X19">
        <f t="shared" si="4"/>
        <v>0</v>
      </c>
      <c r="Z19" s="38" t="s">
        <v>2</v>
      </c>
      <c r="AA19" s="38">
        <v>28</v>
      </c>
      <c r="AB19" s="38">
        <f t="shared" si="5"/>
        <v>9</v>
      </c>
      <c r="AC19" s="38">
        <v>5</v>
      </c>
      <c r="AD19" s="38">
        <f t="shared" si="6"/>
        <v>1</v>
      </c>
      <c r="AE19" s="38">
        <f t="shared" si="7"/>
        <v>4.1428571428571432</v>
      </c>
      <c r="AF19" s="38">
        <f t="shared" si="8"/>
        <v>0.17857142857142858</v>
      </c>
      <c r="AG19" s="3" t="s">
        <v>152</v>
      </c>
      <c r="AH19" s="18">
        <v>116</v>
      </c>
      <c r="AJ19" t="s">
        <v>2</v>
      </c>
      <c r="AK19">
        <v>19</v>
      </c>
      <c r="AL19">
        <v>4</v>
      </c>
      <c r="AM19">
        <v>3.84</v>
      </c>
      <c r="AN19">
        <f t="shared" si="9"/>
        <v>0.21052631578947367</v>
      </c>
      <c r="AP19" s="38" t="s">
        <v>2</v>
      </c>
      <c r="AQ19" s="38">
        <v>28</v>
      </c>
      <c r="AR19" s="38">
        <v>5</v>
      </c>
    </row>
    <row r="20" spans="1:44" x14ac:dyDescent="0.35">
      <c r="A20" s="38" t="s">
        <v>125</v>
      </c>
      <c r="B20" s="39">
        <v>18</v>
      </c>
      <c r="C20" s="38">
        <v>1</v>
      </c>
      <c r="D20" s="38">
        <f t="shared" si="0"/>
        <v>4.166666666666667</v>
      </c>
      <c r="E20" s="38">
        <f t="shared" si="1"/>
        <v>5.5555555555555552E-2</v>
      </c>
      <c r="F20" s="38" t="s">
        <v>392</v>
      </c>
      <c r="G20" s="2" t="s">
        <v>59</v>
      </c>
      <c r="H20" s="18">
        <v>75</v>
      </c>
      <c r="J20" s="38" t="s">
        <v>125</v>
      </c>
      <c r="K20" s="38">
        <v>18</v>
      </c>
      <c r="L20" s="38">
        <v>1</v>
      </c>
      <c r="M20" s="38">
        <f t="shared" si="2"/>
        <v>4.166666666666667</v>
      </c>
      <c r="N20" s="38">
        <f t="shared" si="3"/>
        <v>5.5555555555555552E-2</v>
      </c>
      <c r="O20" s="38" t="s">
        <v>392</v>
      </c>
      <c r="Q20" s="18">
        <v>75</v>
      </c>
      <c r="T20" t="s">
        <v>8</v>
      </c>
      <c r="U20">
        <v>31</v>
      </c>
      <c r="V20">
        <v>5</v>
      </c>
      <c r="W20">
        <v>4.2300000000000004</v>
      </c>
      <c r="X20">
        <f t="shared" si="4"/>
        <v>0.16129032258064516</v>
      </c>
      <c r="Z20" s="38" t="s">
        <v>125</v>
      </c>
      <c r="AA20" s="38">
        <v>18</v>
      </c>
      <c r="AB20" s="38">
        <f t="shared" si="5"/>
        <v>11</v>
      </c>
      <c r="AC20" s="38">
        <v>1</v>
      </c>
      <c r="AD20" s="38">
        <f t="shared" si="6"/>
        <v>1</v>
      </c>
      <c r="AE20" s="38">
        <f t="shared" si="7"/>
        <v>4.166666666666667</v>
      </c>
      <c r="AF20" s="38">
        <f t="shared" si="8"/>
        <v>5.5555555555555552E-2</v>
      </c>
      <c r="AG20" s="2" t="s">
        <v>446</v>
      </c>
      <c r="AH20" s="18">
        <v>75</v>
      </c>
      <c r="AJ20" t="s">
        <v>125</v>
      </c>
      <c r="AK20">
        <v>7</v>
      </c>
      <c r="AL20">
        <v>0</v>
      </c>
      <c r="AM20">
        <v>5</v>
      </c>
      <c r="AN20">
        <f t="shared" si="9"/>
        <v>0</v>
      </c>
      <c r="AP20" s="38" t="s">
        <v>125</v>
      </c>
      <c r="AQ20" s="38">
        <v>18</v>
      </c>
      <c r="AR20" s="38">
        <v>1</v>
      </c>
    </row>
    <row r="21" spans="1:44" x14ac:dyDescent="0.35">
      <c r="A21" s="38" t="s">
        <v>139</v>
      </c>
      <c r="B21" s="38">
        <v>18</v>
      </c>
      <c r="C21" s="38">
        <v>2</v>
      </c>
      <c r="D21" s="38">
        <f t="shared" si="0"/>
        <v>4.166666666666667</v>
      </c>
      <c r="E21" s="38">
        <f t="shared" si="1"/>
        <v>0.1111111111111111</v>
      </c>
      <c r="F21" s="38" t="s">
        <v>392</v>
      </c>
      <c r="G21" s="3" t="s">
        <v>45</v>
      </c>
      <c r="H21" s="18">
        <v>75</v>
      </c>
      <c r="J21" s="38" t="s">
        <v>139</v>
      </c>
      <c r="K21" s="38">
        <v>18</v>
      </c>
      <c r="L21" s="38">
        <v>2</v>
      </c>
      <c r="M21" s="38">
        <f t="shared" si="2"/>
        <v>4.166666666666667</v>
      </c>
      <c r="N21" s="38">
        <f t="shared" si="3"/>
        <v>0.1111111111111111</v>
      </c>
      <c r="O21" s="38" t="s">
        <v>392</v>
      </c>
      <c r="Q21" s="18">
        <v>75</v>
      </c>
      <c r="T21" t="s">
        <v>148</v>
      </c>
      <c r="U21">
        <v>8</v>
      </c>
      <c r="V21">
        <v>0</v>
      </c>
      <c r="W21">
        <v>4.25</v>
      </c>
      <c r="X21">
        <f t="shared" si="4"/>
        <v>0</v>
      </c>
      <c r="Z21" s="38" t="s">
        <v>139</v>
      </c>
      <c r="AA21" s="38">
        <v>18</v>
      </c>
      <c r="AB21" s="38">
        <f t="shared" si="5"/>
        <v>4</v>
      </c>
      <c r="AC21" s="38">
        <v>2</v>
      </c>
      <c r="AD21" s="38">
        <f t="shared" si="6"/>
        <v>0</v>
      </c>
      <c r="AE21" s="38">
        <f t="shared" si="7"/>
        <v>4.166666666666667</v>
      </c>
      <c r="AF21" s="38">
        <f t="shared" si="8"/>
        <v>0.1111111111111111</v>
      </c>
      <c r="AG21" s="3" t="s">
        <v>267</v>
      </c>
      <c r="AH21" s="18">
        <v>75</v>
      </c>
      <c r="AJ21" t="s">
        <v>139</v>
      </c>
      <c r="AK21">
        <v>14</v>
      </c>
      <c r="AL21">
        <v>2</v>
      </c>
      <c r="AM21">
        <v>3.86</v>
      </c>
      <c r="AN21">
        <f t="shared" si="9"/>
        <v>0.14285714285714285</v>
      </c>
      <c r="AP21" s="38" t="s">
        <v>139</v>
      </c>
      <c r="AQ21" s="38">
        <v>18</v>
      </c>
      <c r="AR21" s="38">
        <v>2</v>
      </c>
    </row>
    <row r="22" spans="1:44" x14ac:dyDescent="0.35">
      <c r="A22" s="38" t="s">
        <v>29</v>
      </c>
      <c r="B22" s="39">
        <v>46</v>
      </c>
      <c r="C22" s="39">
        <v>4</v>
      </c>
      <c r="D22" s="38">
        <f t="shared" si="0"/>
        <v>4.1956521739130439</v>
      </c>
      <c r="E22" s="38">
        <f t="shared" si="1"/>
        <v>8.6956521739130432E-2</v>
      </c>
      <c r="F22" s="38" t="s">
        <v>392</v>
      </c>
      <c r="G22" s="3" t="s">
        <v>45</v>
      </c>
      <c r="H22" s="18">
        <v>193</v>
      </c>
      <c r="J22" s="38" t="s">
        <v>63</v>
      </c>
      <c r="K22" s="38">
        <v>14</v>
      </c>
      <c r="L22" s="38">
        <v>2</v>
      </c>
      <c r="M22" s="38">
        <f t="shared" si="2"/>
        <v>4.2142857142857144</v>
      </c>
      <c r="N22" s="38">
        <f t="shared" si="3"/>
        <v>0.14285714285714285</v>
      </c>
      <c r="O22" s="38" t="s">
        <v>392</v>
      </c>
      <c r="P22" s="2" t="s">
        <v>44</v>
      </c>
      <c r="Q22" s="18">
        <v>59</v>
      </c>
      <c r="T22" t="s">
        <v>22</v>
      </c>
      <c r="U22">
        <v>102</v>
      </c>
      <c r="V22">
        <v>14</v>
      </c>
      <c r="W22">
        <v>4.25</v>
      </c>
      <c r="X22">
        <f t="shared" si="4"/>
        <v>0.13725490196078433</v>
      </c>
      <c r="Z22" s="38" t="s">
        <v>63</v>
      </c>
      <c r="AA22" s="38">
        <v>14</v>
      </c>
      <c r="AB22" s="38">
        <f t="shared" si="5"/>
        <v>8</v>
      </c>
      <c r="AC22" s="38">
        <v>2</v>
      </c>
      <c r="AD22" s="38">
        <f t="shared" si="6"/>
        <v>1</v>
      </c>
      <c r="AE22" s="38">
        <f t="shared" si="7"/>
        <v>4.2142857142857144</v>
      </c>
      <c r="AF22" s="38">
        <f t="shared" si="8"/>
        <v>0.14285714285714285</v>
      </c>
      <c r="AG22" s="3" t="s">
        <v>69</v>
      </c>
      <c r="AH22" s="18">
        <v>59</v>
      </c>
      <c r="AJ22" t="s">
        <v>63</v>
      </c>
      <c r="AK22">
        <v>6</v>
      </c>
      <c r="AL22">
        <v>1</v>
      </c>
      <c r="AM22">
        <v>4.17</v>
      </c>
      <c r="AN22">
        <f t="shared" si="9"/>
        <v>0.16666666666666666</v>
      </c>
      <c r="AP22" s="38" t="s">
        <v>63</v>
      </c>
      <c r="AQ22" s="38">
        <v>14</v>
      </c>
      <c r="AR22" s="38">
        <v>2</v>
      </c>
    </row>
    <row r="23" spans="1:44" x14ac:dyDescent="0.35">
      <c r="A23" s="38" t="s">
        <v>63</v>
      </c>
      <c r="B23" s="38">
        <v>14</v>
      </c>
      <c r="C23" s="38">
        <v>2</v>
      </c>
      <c r="D23" s="38">
        <f t="shared" si="0"/>
        <v>4.2142857142857144</v>
      </c>
      <c r="E23" s="38">
        <f t="shared" si="1"/>
        <v>0.14285714285714285</v>
      </c>
      <c r="F23" s="38" t="s">
        <v>392</v>
      </c>
      <c r="G23" s="3" t="s">
        <v>46</v>
      </c>
      <c r="H23" s="18">
        <v>59</v>
      </c>
      <c r="J23" s="38" t="s">
        <v>21</v>
      </c>
      <c r="K23" s="39">
        <v>36</v>
      </c>
      <c r="L23" s="38">
        <v>5</v>
      </c>
      <c r="M23" s="38">
        <f t="shared" si="2"/>
        <v>4.2222222222222223</v>
      </c>
      <c r="N23" s="38">
        <f t="shared" si="3"/>
        <v>0.1388888888888889</v>
      </c>
      <c r="O23" s="38">
        <v>1</v>
      </c>
      <c r="P23" s="2" t="s">
        <v>44</v>
      </c>
      <c r="Q23" s="18">
        <v>152</v>
      </c>
      <c r="T23" t="s">
        <v>129</v>
      </c>
      <c r="U23">
        <v>25</v>
      </c>
      <c r="V23">
        <v>5</v>
      </c>
      <c r="W23">
        <v>4.28</v>
      </c>
      <c r="X23">
        <f t="shared" si="4"/>
        <v>0.2</v>
      </c>
      <c r="Z23" s="38" t="s">
        <v>21</v>
      </c>
      <c r="AA23" s="38">
        <v>36</v>
      </c>
      <c r="AB23" s="38">
        <f t="shared" si="5"/>
        <v>26</v>
      </c>
      <c r="AC23" s="38">
        <v>5</v>
      </c>
      <c r="AD23" s="38">
        <f t="shared" si="6"/>
        <v>5</v>
      </c>
      <c r="AE23" s="38">
        <f t="shared" si="7"/>
        <v>4.2222222222222223</v>
      </c>
      <c r="AF23" s="38">
        <f t="shared" si="8"/>
        <v>0.1388888888888889</v>
      </c>
      <c r="AG23" s="2" t="s">
        <v>447</v>
      </c>
      <c r="AH23" s="18">
        <v>152</v>
      </c>
      <c r="AJ23" t="s">
        <v>21</v>
      </c>
      <c r="AK23">
        <v>10</v>
      </c>
      <c r="AL23">
        <v>0</v>
      </c>
      <c r="AM23">
        <v>4.5999999999999996</v>
      </c>
      <c r="AN23">
        <f t="shared" si="9"/>
        <v>0</v>
      </c>
      <c r="AP23" s="38" t="s">
        <v>21</v>
      </c>
      <c r="AQ23" s="39">
        <v>36</v>
      </c>
      <c r="AR23" s="38">
        <v>5</v>
      </c>
    </row>
    <row r="24" spans="1:44" x14ac:dyDescent="0.35">
      <c r="A24" s="38" t="s">
        <v>21</v>
      </c>
      <c r="B24" s="39">
        <v>35</v>
      </c>
      <c r="C24" s="39">
        <v>5</v>
      </c>
      <c r="D24" s="38">
        <f t="shared" si="0"/>
        <v>4.2285714285714286</v>
      </c>
      <c r="E24" s="38">
        <f t="shared" si="1"/>
        <v>0.14285714285714285</v>
      </c>
      <c r="F24" s="38">
        <v>1</v>
      </c>
      <c r="G24" s="2" t="s">
        <v>429</v>
      </c>
      <c r="H24" s="18">
        <v>148</v>
      </c>
      <c r="J24" s="38" t="s">
        <v>29</v>
      </c>
      <c r="K24" s="39">
        <v>47</v>
      </c>
      <c r="L24" s="38">
        <v>4</v>
      </c>
      <c r="M24" s="38">
        <f t="shared" si="2"/>
        <v>4.2553191489361701</v>
      </c>
      <c r="N24" s="38">
        <f t="shared" si="3"/>
        <v>8.5106382978723402E-2</v>
      </c>
      <c r="O24" s="38" t="s">
        <v>392</v>
      </c>
      <c r="P24" s="3" t="s">
        <v>45</v>
      </c>
      <c r="Q24" s="18">
        <v>200</v>
      </c>
      <c r="T24" t="s">
        <v>10</v>
      </c>
      <c r="U24">
        <v>28</v>
      </c>
      <c r="V24">
        <v>4</v>
      </c>
      <c r="W24">
        <v>4.29</v>
      </c>
      <c r="X24">
        <f t="shared" si="4"/>
        <v>0.14285714285714285</v>
      </c>
      <c r="Z24" s="38" t="s">
        <v>29</v>
      </c>
      <c r="AA24" s="38">
        <v>47</v>
      </c>
      <c r="AB24" s="38">
        <f t="shared" si="5"/>
        <v>27</v>
      </c>
      <c r="AC24" s="38">
        <v>4</v>
      </c>
      <c r="AD24" s="38">
        <f t="shared" si="6"/>
        <v>3</v>
      </c>
      <c r="AE24" s="38">
        <f t="shared" si="7"/>
        <v>4.2553191489361701</v>
      </c>
      <c r="AF24" s="38">
        <f t="shared" si="8"/>
        <v>8.5106382978723402E-2</v>
      </c>
      <c r="AG24" s="2" t="s">
        <v>442</v>
      </c>
      <c r="AH24" s="18">
        <v>200</v>
      </c>
      <c r="AJ24" t="s">
        <v>29</v>
      </c>
      <c r="AK24">
        <v>20</v>
      </c>
      <c r="AL24">
        <v>1</v>
      </c>
      <c r="AM24">
        <v>4.4000000000000004</v>
      </c>
      <c r="AN24">
        <f t="shared" si="9"/>
        <v>0.05</v>
      </c>
      <c r="AP24" s="38" t="s">
        <v>29</v>
      </c>
      <c r="AQ24" s="39">
        <v>47</v>
      </c>
      <c r="AR24" s="38">
        <v>4</v>
      </c>
    </row>
    <row r="25" spans="1:44" x14ac:dyDescent="0.35">
      <c r="A25" s="38" t="s">
        <v>113</v>
      </c>
      <c r="B25" s="38">
        <v>13</v>
      </c>
      <c r="C25" s="38">
        <v>0</v>
      </c>
      <c r="D25" s="38">
        <f t="shared" si="0"/>
        <v>4.3076923076923075</v>
      </c>
      <c r="E25" s="38">
        <f t="shared" si="1"/>
        <v>0</v>
      </c>
      <c r="F25" s="38" t="s">
        <v>392</v>
      </c>
      <c r="G25" s="3" t="s">
        <v>46</v>
      </c>
      <c r="H25" s="18">
        <v>56</v>
      </c>
      <c r="J25" s="38" t="s">
        <v>7</v>
      </c>
      <c r="K25" s="39">
        <v>15</v>
      </c>
      <c r="L25" s="38">
        <v>3</v>
      </c>
      <c r="M25" s="38">
        <f t="shared" si="2"/>
        <v>4.2666666666666666</v>
      </c>
      <c r="N25" s="38">
        <f t="shared" si="3"/>
        <v>0.2</v>
      </c>
      <c r="O25" s="38" t="s">
        <v>392</v>
      </c>
      <c r="P25" s="2" t="s">
        <v>47</v>
      </c>
      <c r="Q25" s="18">
        <v>64</v>
      </c>
      <c r="T25" t="s">
        <v>112</v>
      </c>
      <c r="U25">
        <v>10</v>
      </c>
      <c r="V25">
        <v>3</v>
      </c>
      <c r="W25">
        <v>4.3</v>
      </c>
      <c r="X25">
        <f t="shared" si="4"/>
        <v>0.3</v>
      </c>
      <c r="Z25" s="38" t="s">
        <v>7</v>
      </c>
      <c r="AA25" s="38">
        <v>15</v>
      </c>
      <c r="AB25" s="38">
        <f t="shared" si="5"/>
        <v>6</v>
      </c>
      <c r="AC25" s="38">
        <v>3</v>
      </c>
      <c r="AD25" s="38">
        <f t="shared" si="6"/>
        <v>1</v>
      </c>
      <c r="AE25" s="38">
        <f t="shared" si="7"/>
        <v>4.2666666666666666</v>
      </c>
      <c r="AF25" s="38">
        <f t="shared" si="8"/>
        <v>0.2</v>
      </c>
      <c r="AG25" s="2" t="s">
        <v>378</v>
      </c>
      <c r="AH25" s="18">
        <v>64</v>
      </c>
      <c r="AJ25" t="s">
        <v>7</v>
      </c>
      <c r="AK25">
        <v>9</v>
      </c>
      <c r="AL25">
        <v>2</v>
      </c>
      <c r="AM25">
        <v>4.4400000000000004</v>
      </c>
      <c r="AN25">
        <f t="shared" si="9"/>
        <v>0.22222222222222221</v>
      </c>
      <c r="AP25" s="38" t="s">
        <v>7</v>
      </c>
      <c r="AQ25" s="39">
        <v>15</v>
      </c>
      <c r="AR25" s="38">
        <v>3</v>
      </c>
    </row>
    <row r="26" spans="1:44" x14ac:dyDescent="0.35">
      <c r="A26" s="38" t="s">
        <v>129</v>
      </c>
      <c r="B26" s="38">
        <v>35</v>
      </c>
      <c r="C26" s="38">
        <v>6</v>
      </c>
      <c r="D26" s="38">
        <f t="shared" si="0"/>
        <v>4.3428571428571425</v>
      </c>
      <c r="E26" s="38">
        <f t="shared" si="1"/>
        <v>0.17142857142857143</v>
      </c>
      <c r="F26" s="38" t="s">
        <v>392</v>
      </c>
      <c r="G26" s="3" t="s">
        <v>46</v>
      </c>
      <c r="H26" s="18">
        <v>152</v>
      </c>
      <c r="J26" s="38" t="s">
        <v>113</v>
      </c>
      <c r="K26" s="38">
        <v>13</v>
      </c>
      <c r="L26" s="38">
        <v>0</v>
      </c>
      <c r="M26" s="38">
        <f t="shared" si="2"/>
        <v>4.3076923076923075</v>
      </c>
      <c r="N26" s="38">
        <f t="shared" si="3"/>
        <v>0</v>
      </c>
      <c r="O26" s="38" t="s">
        <v>392</v>
      </c>
      <c r="P26" s="3" t="s">
        <v>46</v>
      </c>
      <c r="Q26" s="18">
        <v>56</v>
      </c>
      <c r="T26" t="s">
        <v>232</v>
      </c>
      <c r="U26">
        <v>6</v>
      </c>
      <c r="V26">
        <v>0</v>
      </c>
      <c r="W26">
        <v>4.33</v>
      </c>
      <c r="X26">
        <f t="shared" si="4"/>
        <v>0</v>
      </c>
      <c r="Z26" s="38" t="s">
        <v>113</v>
      </c>
      <c r="AA26" s="38">
        <v>13</v>
      </c>
      <c r="AB26" s="38">
        <f t="shared" si="5"/>
        <v>8</v>
      </c>
      <c r="AC26" s="38">
        <v>0</v>
      </c>
      <c r="AD26" s="38">
        <f t="shared" si="6"/>
        <v>0</v>
      </c>
      <c r="AE26" s="38">
        <f t="shared" si="7"/>
        <v>4.3076923076923075</v>
      </c>
      <c r="AF26" s="38">
        <f t="shared" si="8"/>
        <v>0</v>
      </c>
      <c r="AG26" s="3" t="s">
        <v>69</v>
      </c>
      <c r="AH26" s="18">
        <v>56</v>
      </c>
      <c r="AJ26" t="s">
        <v>113</v>
      </c>
      <c r="AK26">
        <v>5</v>
      </c>
      <c r="AL26">
        <v>0</v>
      </c>
      <c r="AM26">
        <v>4.2</v>
      </c>
      <c r="AN26">
        <f t="shared" si="9"/>
        <v>0</v>
      </c>
      <c r="AP26" s="38" t="s">
        <v>113</v>
      </c>
      <c r="AQ26" s="38">
        <v>13</v>
      </c>
      <c r="AR26" s="38">
        <v>0</v>
      </c>
    </row>
    <row r="27" spans="1:44" x14ac:dyDescent="0.35">
      <c r="A27" s="38" t="s">
        <v>7</v>
      </c>
      <c r="B27" s="38">
        <v>14</v>
      </c>
      <c r="C27" s="38">
        <v>3</v>
      </c>
      <c r="D27" s="38">
        <f t="shared" si="0"/>
        <v>4.3571428571428568</v>
      </c>
      <c r="E27" s="38">
        <f t="shared" si="1"/>
        <v>0.21428571428571427</v>
      </c>
      <c r="F27" s="38" t="s">
        <v>392</v>
      </c>
      <c r="G27" s="3" t="s">
        <v>46</v>
      </c>
      <c r="H27" s="18">
        <v>61</v>
      </c>
      <c r="J27" s="38" t="s">
        <v>129</v>
      </c>
      <c r="K27" s="38">
        <v>35</v>
      </c>
      <c r="L27" s="38">
        <v>6</v>
      </c>
      <c r="M27" s="38">
        <f t="shared" si="2"/>
        <v>4.3428571428571425</v>
      </c>
      <c r="N27" s="38">
        <f t="shared" si="3"/>
        <v>0.17142857142857143</v>
      </c>
      <c r="O27" s="38" t="s">
        <v>392</v>
      </c>
      <c r="P27" s="3" t="s">
        <v>46</v>
      </c>
      <c r="Q27" s="18">
        <v>152</v>
      </c>
      <c r="T27" t="s">
        <v>58</v>
      </c>
      <c r="U27">
        <v>6</v>
      </c>
      <c r="V27">
        <v>0</v>
      </c>
      <c r="W27">
        <v>4.33</v>
      </c>
      <c r="X27">
        <f t="shared" si="4"/>
        <v>0</v>
      </c>
      <c r="Z27" s="38" t="s">
        <v>129</v>
      </c>
      <c r="AA27" s="38">
        <v>35</v>
      </c>
      <c r="AB27" s="38">
        <f t="shared" si="5"/>
        <v>10</v>
      </c>
      <c r="AC27" s="38">
        <v>6</v>
      </c>
      <c r="AD27" s="38">
        <f t="shared" si="6"/>
        <v>1</v>
      </c>
      <c r="AE27" s="38">
        <f t="shared" si="7"/>
        <v>4.3428571428571425</v>
      </c>
      <c r="AF27" s="38">
        <f t="shared" si="8"/>
        <v>0.17142857142857143</v>
      </c>
      <c r="AG27" s="3" t="s">
        <v>55</v>
      </c>
      <c r="AH27" s="18">
        <v>152</v>
      </c>
      <c r="AJ27" t="s">
        <v>129</v>
      </c>
      <c r="AK27">
        <v>25</v>
      </c>
      <c r="AL27">
        <v>5</v>
      </c>
      <c r="AM27">
        <v>4.28</v>
      </c>
      <c r="AN27">
        <f t="shared" si="9"/>
        <v>0.2</v>
      </c>
      <c r="AP27" s="38" t="s">
        <v>129</v>
      </c>
      <c r="AQ27" s="38">
        <v>35</v>
      </c>
      <c r="AR27" s="38">
        <v>6</v>
      </c>
    </row>
    <row r="28" spans="1:44" x14ac:dyDescent="0.35">
      <c r="A28" s="38" t="s">
        <v>36</v>
      </c>
      <c r="B28" s="38">
        <v>11</v>
      </c>
      <c r="C28" s="38">
        <v>0</v>
      </c>
      <c r="D28" s="38">
        <f t="shared" si="0"/>
        <v>4.3636363636363633</v>
      </c>
      <c r="E28" s="38">
        <f t="shared" si="1"/>
        <v>0</v>
      </c>
      <c r="F28" s="38" t="s">
        <v>392</v>
      </c>
      <c r="G28" s="3" t="s">
        <v>46</v>
      </c>
      <c r="H28" s="18">
        <v>48</v>
      </c>
      <c r="J28" s="38" t="s">
        <v>115</v>
      </c>
      <c r="K28" s="39">
        <v>17</v>
      </c>
      <c r="L28" s="39">
        <v>1</v>
      </c>
      <c r="M28" s="38">
        <f t="shared" si="2"/>
        <v>4.3529411764705879</v>
      </c>
      <c r="N28" s="38">
        <f t="shared" si="3"/>
        <v>5.8823529411764705E-2</v>
      </c>
      <c r="O28" s="38" t="s">
        <v>392</v>
      </c>
      <c r="P28" s="2" t="s">
        <v>59</v>
      </c>
      <c r="Q28" s="18">
        <v>74</v>
      </c>
      <c r="T28" t="s">
        <v>122</v>
      </c>
      <c r="U28">
        <v>6</v>
      </c>
      <c r="V28">
        <v>0</v>
      </c>
      <c r="W28">
        <v>4.33</v>
      </c>
      <c r="X28">
        <f t="shared" si="4"/>
        <v>0</v>
      </c>
      <c r="Z28" s="38" t="s">
        <v>115</v>
      </c>
      <c r="AA28" s="38">
        <v>17</v>
      </c>
      <c r="AB28" s="38">
        <f t="shared" si="5"/>
        <v>10</v>
      </c>
      <c r="AC28" s="38">
        <v>1</v>
      </c>
      <c r="AD28" s="38">
        <f t="shared" si="6"/>
        <v>1</v>
      </c>
      <c r="AE28" s="38">
        <f t="shared" si="7"/>
        <v>4.3529411764705879</v>
      </c>
      <c r="AF28" s="38">
        <f t="shared" si="8"/>
        <v>5.8823529411764705E-2</v>
      </c>
      <c r="AG28" s="2" t="s">
        <v>378</v>
      </c>
      <c r="AH28" s="18">
        <v>74</v>
      </c>
      <c r="AJ28" t="s">
        <v>115</v>
      </c>
      <c r="AK28">
        <v>7</v>
      </c>
      <c r="AL28">
        <v>0</v>
      </c>
      <c r="AM28">
        <v>4.57</v>
      </c>
      <c r="AN28">
        <f t="shared" si="9"/>
        <v>0</v>
      </c>
      <c r="AP28" s="38" t="s">
        <v>115</v>
      </c>
      <c r="AQ28" s="39">
        <v>17</v>
      </c>
      <c r="AR28" s="39">
        <v>1</v>
      </c>
    </row>
    <row r="29" spans="1:44" x14ac:dyDescent="0.35">
      <c r="A29" s="41" t="s">
        <v>15</v>
      </c>
      <c r="B29" s="42">
        <v>125</v>
      </c>
      <c r="C29" s="41">
        <v>23</v>
      </c>
      <c r="D29" s="41">
        <f t="shared" si="0"/>
        <v>4.4400000000000004</v>
      </c>
      <c r="E29" s="41">
        <f t="shared" si="1"/>
        <v>0.184</v>
      </c>
      <c r="F29" s="41">
        <v>2</v>
      </c>
      <c r="H29" s="18">
        <v>555</v>
      </c>
      <c r="J29" s="38" t="s">
        <v>36</v>
      </c>
      <c r="K29" s="38">
        <v>11</v>
      </c>
      <c r="L29" s="38">
        <v>0</v>
      </c>
      <c r="M29" s="38">
        <f t="shared" si="2"/>
        <v>4.3636363636363633</v>
      </c>
      <c r="N29" s="38">
        <f t="shared" si="3"/>
        <v>0</v>
      </c>
      <c r="O29" s="38" t="s">
        <v>392</v>
      </c>
      <c r="P29" s="3" t="s">
        <v>46</v>
      </c>
      <c r="Q29" s="18">
        <v>48</v>
      </c>
      <c r="T29" t="s">
        <v>104</v>
      </c>
      <c r="U29">
        <v>25</v>
      </c>
      <c r="V29">
        <v>2</v>
      </c>
      <c r="W29">
        <v>4.4000000000000004</v>
      </c>
      <c r="X29">
        <f t="shared" si="4"/>
        <v>0.08</v>
      </c>
      <c r="Z29" s="38" t="s">
        <v>36</v>
      </c>
      <c r="AA29" s="38">
        <v>11</v>
      </c>
      <c r="AB29" s="38">
        <f t="shared" si="5"/>
        <v>6</v>
      </c>
      <c r="AC29" s="38">
        <v>0</v>
      </c>
      <c r="AD29" s="38">
        <f t="shared" si="6"/>
        <v>0</v>
      </c>
      <c r="AE29" s="38">
        <f t="shared" si="7"/>
        <v>4.3636363636363633</v>
      </c>
      <c r="AF29" s="38">
        <f t="shared" si="8"/>
        <v>0</v>
      </c>
      <c r="AG29" s="2" t="s">
        <v>47</v>
      </c>
      <c r="AH29" s="18">
        <v>48</v>
      </c>
      <c r="AJ29" t="s">
        <v>36</v>
      </c>
      <c r="AK29">
        <v>5</v>
      </c>
      <c r="AL29">
        <v>0</v>
      </c>
      <c r="AM29">
        <v>4.4000000000000004</v>
      </c>
      <c r="AN29">
        <f t="shared" si="9"/>
        <v>0</v>
      </c>
      <c r="AP29" s="38" t="s">
        <v>36</v>
      </c>
      <c r="AQ29" s="38">
        <v>11</v>
      </c>
      <c r="AR29" s="38">
        <v>0</v>
      </c>
    </row>
    <row r="30" spans="1:44" x14ac:dyDescent="0.35">
      <c r="A30" s="41" t="s">
        <v>8</v>
      </c>
      <c r="B30" s="41">
        <v>42</v>
      </c>
      <c r="C30" s="41">
        <v>5</v>
      </c>
      <c r="D30" s="41">
        <f t="shared" si="0"/>
        <v>4.5238095238095237</v>
      </c>
      <c r="E30" s="41">
        <f t="shared" si="1"/>
        <v>0.11904761904761904</v>
      </c>
      <c r="F30" s="41" t="s">
        <v>392</v>
      </c>
      <c r="G30" s="2" t="s">
        <v>44</v>
      </c>
      <c r="H30" s="18">
        <v>190</v>
      </c>
      <c r="J30" s="41" t="s">
        <v>15</v>
      </c>
      <c r="K30" s="42">
        <v>126</v>
      </c>
      <c r="L30" s="55">
        <v>24</v>
      </c>
      <c r="M30" s="41">
        <f t="shared" si="2"/>
        <v>4.412698412698413</v>
      </c>
      <c r="N30" s="41">
        <f t="shared" si="3"/>
        <v>0.19047619047619047</v>
      </c>
      <c r="O30" s="41">
        <v>2</v>
      </c>
      <c r="P30" s="3" t="s">
        <v>46</v>
      </c>
      <c r="Q30" s="18">
        <v>556</v>
      </c>
      <c r="T30" t="s">
        <v>147</v>
      </c>
      <c r="U30">
        <v>5</v>
      </c>
      <c r="V30">
        <v>0</v>
      </c>
      <c r="W30">
        <v>4.4000000000000004</v>
      </c>
      <c r="X30">
        <f t="shared" si="4"/>
        <v>0</v>
      </c>
      <c r="Z30" s="41" t="s">
        <v>15</v>
      </c>
      <c r="AA30" s="41">
        <v>126</v>
      </c>
      <c r="AB30" s="41">
        <f t="shared" si="5"/>
        <v>54</v>
      </c>
      <c r="AC30" s="50">
        <v>24</v>
      </c>
      <c r="AD30" s="41">
        <f t="shared" si="6"/>
        <v>8</v>
      </c>
      <c r="AE30" s="41">
        <f t="shared" si="7"/>
        <v>4.412698412698413</v>
      </c>
      <c r="AF30" s="41">
        <f t="shared" si="8"/>
        <v>0.19047619047619047</v>
      </c>
      <c r="AG30" s="3" t="s">
        <v>221</v>
      </c>
      <c r="AH30" s="18">
        <v>556</v>
      </c>
      <c r="AJ30" t="s">
        <v>15</v>
      </c>
      <c r="AK30">
        <v>72</v>
      </c>
      <c r="AL30">
        <v>16</v>
      </c>
      <c r="AM30">
        <v>4.0999999999999996</v>
      </c>
      <c r="AN30">
        <f t="shared" si="9"/>
        <v>0.22222222222222221</v>
      </c>
      <c r="AP30" s="41" t="s">
        <v>15</v>
      </c>
      <c r="AQ30" s="42">
        <v>126</v>
      </c>
      <c r="AR30" s="55">
        <v>24</v>
      </c>
    </row>
    <row r="31" spans="1:44" x14ac:dyDescent="0.35">
      <c r="A31" s="41" t="s">
        <v>115</v>
      </c>
      <c r="B31" s="42">
        <v>15</v>
      </c>
      <c r="C31" s="41">
        <v>0</v>
      </c>
      <c r="D31" s="41">
        <f t="shared" si="0"/>
        <v>4.5333333333333332</v>
      </c>
      <c r="E31" s="41">
        <f t="shared" si="1"/>
        <v>0</v>
      </c>
      <c r="F31" s="41" t="s">
        <v>392</v>
      </c>
      <c r="G31" s="3" t="s">
        <v>54</v>
      </c>
      <c r="H31" s="18">
        <v>68</v>
      </c>
      <c r="J31" s="41" t="s">
        <v>8</v>
      </c>
      <c r="K31" s="41">
        <v>42</v>
      </c>
      <c r="L31" s="41">
        <v>5</v>
      </c>
      <c r="M31" s="41">
        <f t="shared" si="2"/>
        <v>4.5238095238095237</v>
      </c>
      <c r="N31" s="41">
        <f t="shared" si="3"/>
        <v>0.11904761904761904</v>
      </c>
      <c r="O31" s="41" t="s">
        <v>392</v>
      </c>
      <c r="P31" s="3" t="s">
        <v>46</v>
      </c>
      <c r="Q31" s="18">
        <v>190</v>
      </c>
      <c r="T31" t="s">
        <v>36</v>
      </c>
      <c r="U31">
        <v>5</v>
      </c>
      <c r="V31">
        <v>0</v>
      </c>
      <c r="W31">
        <v>4.4000000000000004</v>
      </c>
      <c r="X31">
        <f t="shared" si="4"/>
        <v>0</v>
      </c>
      <c r="Z31" s="41" t="s">
        <v>8</v>
      </c>
      <c r="AA31" s="41">
        <v>42</v>
      </c>
      <c r="AB31" s="41">
        <f t="shared" si="5"/>
        <v>11</v>
      </c>
      <c r="AC31" s="41">
        <v>5</v>
      </c>
      <c r="AD31" s="41">
        <f t="shared" si="6"/>
        <v>0</v>
      </c>
      <c r="AE31" s="41">
        <f t="shared" si="7"/>
        <v>4.5238095238095237</v>
      </c>
      <c r="AF31" s="41">
        <f t="shared" si="8"/>
        <v>0.11904761904761904</v>
      </c>
      <c r="AG31" s="3" t="s">
        <v>144</v>
      </c>
      <c r="AH31" s="18">
        <v>190</v>
      </c>
      <c r="AJ31" t="s">
        <v>8</v>
      </c>
      <c r="AK31">
        <v>31</v>
      </c>
      <c r="AL31">
        <v>5</v>
      </c>
      <c r="AM31">
        <v>4.2300000000000004</v>
      </c>
      <c r="AN31">
        <f t="shared" si="9"/>
        <v>0.16129032258064516</v>
      </c>
      <c r="AP31" s="41" t="s">
        <v>8</v>
      </c>
      <c r="AQ31" s="41">
        <v>42</v>
      </c>
      <c r="AR31" s="41">
        <v>5</v>
      </c>
    </row>
    <row r="32" spans="1:44" x14ac:dyDescent="0.35">
      <c r="A32" s="41" t="s">
        <v>24</v>
      </c>
      <c r="B32" s="41">
        <v>71</v>
      </c>
      <c r="C32" s="41">
        <v>9</v>
      </c>
      <c r="D32" s="41">
        <f t="shared" si="0"/>
        <v>4.535211267605634</v>
      </c>
      <c r="E32" s="41">
        <f t="shared" si="1"/>
        <v>0.12676056338028169</v>
      </c>
      <c r="F32" s="41" t="s">
        <v>392</v>
      </c>
      <c r="H32" s="18">
        <v>322</v>
      </c>
      <c r="J32" s="41" t="s">
        <v>24</v>
      </c>
      <c r="K32" s="41">
        <v>71</v>
      </c>
      <c r="L32" s="41">
        <v>9</v>
      </c>
      <c r="M32" s="41">
        <f t="shared" si="2"/>
        <v>4.535211267605634</v>
      </c>
      <c r="N32" s="41">
        <f t="shared" si="3"/>
        <v>0.12676056338028169</v>
      </c>
      <c r="O32" s="41" t="s">
        <v>392</v>
      </c>
      <c r="Q32" s="18">
        <v>322</v>
      </c>
      <c r="T32" t="s">
        <v>29</v>
      </c>
      <c r="U32">
        <v>20</v>
      </c>
      <c r="V32">
        <v>1</v>
      </c>
      <c r="W32">
        <v>4.4000000000000004</v>
      </c>
      <c r="X32">
        <f t="shared" si="4"/>
        <v>0.05</v>
      </c>
      <c r="Z32" s="41" t="s">
        <v>24</v>
      </c>
      <c r="AA32" s="41">
        <v>71</v>
      </c>
      <c r="AB32" s="41">
        <f t="shared" si="5"/>
        <v>30</v>
      </c>
      <c r="AC32" s="41">
        <v>9</v>
      </c>
      <c r="AD32" s="41">
        <f t="shared" si="6"/>
        <v>4</v>
      </c>
      <c r="AE32" s="41">
        <f t="shared" si="7"/>
        <v>4.535211267605634</v>
      </c>
      <c r="AF32" s="41">
        <f t="shared" si="8"/>
        <v>0.12676056338028169</v>
      </c>
      <c r="AG32" s="2" t="s">
        <v>44</v>
      </c>
      <c r="AH32" s="18">
        <v>322</v>
      </c>
      <c r="AJ32" t="s">
        <v>24</v>
      </c>
      <c r="AK32">
        <v>41</v>
      </c>
      <c r="AL32">
        <v>5</v>
      </c>
      <c r="AM32">
        <v>4.41</v>
      </c>
      <c r="AN32">
        <f t="shared" si="9"/>
        <v>0.12195121951219512</v>
      </c>
      <c r="AP32" s="41" t="s">
        <v>24</v>
      </c>
      <c r="AQ32" s="41">
        <v>71</v>
      </c>
      <c r="AR32" s="41">
        <v>9</v>
      </c>
    </row>
    <row r="33" spans="1:44" x14ac:dyDescent="0.35">
      <c r="A33" s="41" t="s">
        <v>27</v>
      </c>
      <c r="B33" s="41">
        <v>24</v>
      </c>
      <c r="C33" s="41">
        <v>1</v>
      </c>
      <c r="D33" s="41">
        <f t="shared" si="0"/>
        <v>4.541666666666667</v>
      </c>
      <c r="E33" s="41">
        <f t="shared" si="1"/>
        <v>4.1666666666666664E-2</v>
      </c>
      <c r="F33" s="41" t="s">
        <v>392</v>
      </c>
      <c r="H33" s="18">
        <v>109</v>
      </c>
      <c r="J33" s="41" t="s">
        <v>27</v>
      </c>
      <c r="K33" s="41">
        <v>24</v>
      </c>
      <c r="L33" s="41">
        <v>1</v>
      </c>
      <c r="M33" s="41">
        <f t="shared" si="2"/>
        <v>4.541666666666667</v>
      </c>
      <c r="N33" s="41">
        <f t="shared" si="3"/>
        <v>4.1666666666666664E-2</v>
      </c>
      <c r="O33" s="41" t="s">
        <v>392</v>
      </c>
      <c r="Q33" s="18">
        <v>109</v>
      </c>
      <c r="T33" t="s">
        <v>24</v>
      </c>
      <c r="U33">
        <v>41</v>
      </c>
      <c r="V33">
        <v>5</v>
      </c>
      <c r="W33">
        <v>4.41</v>
      </c>
      <c r="X33">
        <f t="shared" si="4"/>
        <v>0.12195121951219512</v>
      </c>
      <c r="Z33" s="41" t="s">
        <v>27</v>
      </c>
      <c r="AA33" s="41">
        <v>24</v>
      </c>
      <c r="AB33" s="41">
        <f t="shared" si="5"/>
        <v>7</v>
      </c>
      <c r="AC33" s="41">
        <v>1</v>
      </c>
      <c r="AD33" s="41">
        <f t="shared" si="6"/>
        <v>0</v>
      </c>
      <c r="AE33" s="41">
        <f t="shared" si="7"/>
        <v>4.541666666666667</v>
      </c>
      <c r="AF33" s="41">
        <f t="shared" si="8"/>
        <v>4.1666666666666664E-2</v>
      </c>
      <c r="AG33" s="3" t="s">
        <v>448</v>
      </c>
      <c r="AH33" s="18">
        <v>109</v>
      </c>
      <c r="AJ33" t="s">
        <v>27</v>
      </c>
      <c r="AK33">
        <v>17</v>
      </c>
      <c r="AL33">
        <v>1</v>
      </c>
      <c r="AM33">
        <v>4</v>
      </c>
      <c r="AN33">
        <f t="shared" si="9"/>
        <v>5.8823529411764705E-2</v>
      </c>
      <c r="AP33" s="41" t="s">
        <v>27</v>
      </c>
      <c r="AQ33" s="41">
        <v>24</v>
      </c>
      <c r="AR33" s="41">
        <v>1</v>
      </c>
    </row>
    <row r="34" spans="1:44" x14ac:dyDescent="0.35">
      <c r="A34" s="41" t="s">
        <v>404</v>
      </c>
      <c r="B34" s="41">
        <v>11</v>
      </c>
      <c r="C34" s="41">
        <v>2</v>
      </c>
      <c r="D34" s="41">
        <f t="shared" ref="D34:D65" si="10">H34/B34</f>
        <v>4.5454545454545459</v>
      </c>
      <c r="E34" s="41">
        <f t="shared" ref="E34:E65" si="11">C34/B34</f>
        <v>0.18181818181818182</v>
      </c>
      <c r="F34" s="41" t="s">
        <v>392</v>
      </c>
      <c r="H34" s="18">
        <v>50</v>
      </c>
      <c r="J34" s="41" t="s">
        <v>13</v>
      </c>
      <c r="K34" s="42">
        <v>31</v>
      </c>
      <c r="L34" s="41">
        <v>2</v>
      </c>
      <c r="M34" s="41">
        <f t="shared" ref="M34:M65" si="12">Q34/K34</f>
        <v>4.645161290322581</v>
      </c>
      <c r="N34" s="41">
        <f t="shared" ref="N34:N65" si="13">L34/K34</f>
        <v>6.4516129032258063E-2</v>
      </c>
      <c r="O34" s="41" t="s">
        <v>392</v>
      </c>
      <c r="P34" s="2" t="s">
        <v>44</v>
      </c>
      <c r="Q34" s="18">
        <v>144</v>
      </c>
      <c r="T34" t="s">
        <v>7</v>
      </c>
      <c r="U34">
        <v>9</v>
      </c>
      <c r="V34">
        <v>2</v>
      </c>
      <c r="W34">
        <v>4.4400000000000004</v>
      </c>
      <c r="X34">
        <f t="shared" ref="X34:X65" si="14">V34/U34</f>
        <v>0.22222222222222221</v>
      </c>
      <c r="Z34" s="41" t="s">
        <v>13</v>
      </c>
      <c r="AA34" s="41">
        <v>31</v>
      </c>
      <c r="AB34" s="41">
        <f t="shared" ref="AB34:AB65" si="15">AQ34-AK34</f>
        <v>11</v>
      </c>
      <c r="AC34" s="41">
        <v>2</v>
      </c>
      <c r="AD34" s="41">
        <f t="shared" ref="AD34:AD65" si="16">AR34-AL34</f>
        <v>1</v>
      </c>
      <c r="AE34" s="41">
        <f t="shared" ref="AE34:AE65" si="17">AH34/AA34</f>
        <v>4.645161290322581</v>
      </c>
      <c r="AF34" s="41">
        <f t="shared" ref="AF34:AF65" si="18">AC34/AA34</f>
        <v>6.4516129032258063E-2</v>
      </c>
      <c r="AG34" s="2" t="s">
        <v>441</v>
      </c>
      <c r="AH34" s="18">
        <v>144</v>
      </c>
      <c r="AJ34" t="s">
        <v>13</v>
      </c>
      <c r="AK34">
        <v>20</v>
      </c>
      <c r="AL34">
        <v>1</v>
      </c>
      <c r="AM34">
        <v>4.95</v>
      </c>
      <c r="AN34">
        <f t="shared" ref="AN34:AN65" si="19">AL34/AK34</f>
        <v>0.05</v>
      </c>
      <c r="AP34" s="41" t="s">
        <v>13</v>
      </c>
      <c r="AQ34" s="42">
        <v>31</v>
      </c>
      <c r="AR34" s="41">
        <v>2</v>
      </c>
    </row>
    <row r="35" spans="1:44" x14ac:dyDescent="0.35">
      <c r="A35" s="41" t="s">
        <v>13</v>
      </c>
      <c r="B35" s="41">
        <v>30</v>
      </c>
      <c r="C35" s="41">
        <v>2</v>
      </c>
      <c r="D35" s="41">
        <f t="shared" si="10"/>
        <v>4.6333333333333337</v>
      </c>
      <c r="E35" s="41">
        <f t="shared" si="11"/>
        <v>6.6666666666666666E-2</v>
      </c>
      <c r="F35" s="41" t="s">
        <v>392</v>
      </c>
      <c r="G35" s="2" t="s">
        <v>47</v>
      </c>
      <c r="H35" s="18">
        <v>139</v>
      </c>
      <c r="J35" s="41" t="s">
        <v>428</v>
      </c>
      <c r="K35" s="41">
        <v>20</v>
      </c>
      <c r="L35" s="41">
        <v>0</v>
      </c>
      <c r="M35" s="41">
        <f t="shared" si="12"/>
        <v>4.6500000000000004</v>
      </c>
      <c r="N35" s="41">
        <f t="shared" si="13"/>
        <v>0</v>
      </c>
      <c r="O35" s="41" t="s">
        <v>392</v>
      </c>
      <c r="P35" s="2" t="s">
        <v>47</v>
      </c>
      <c r="Q35" s="18">
        <v>93</v>
      </c>
      <c r="T35" t="s">
        <v>14</v>
      </c>
      <c r="U35">
        <v>41</v>
      </c>
      <c r="V35">
        <v>3</v>
      </c>
      <c r="W35">
        <v>4.46</v>
      </c>
      <c r="X35">
        <f t="shared" si="14"/>
        <v>7.3170731707317069E-2</v>
      </c>
      <c r="Z35" s="41" t="s">
        <v>428</v>
      </c>
      <c r="AA35" s="41">
        <v>20</v>
      </c>
      <c r="AB35" s="41">
        <f t="shared" si="15"/>
        <v>7</v>
      </c>
      <c r="AC35" s="41">
        <v>0</v>
      </c>
      <c r="AD35" s="41">
        <f t="shared" si="16"/>
        <v>0</v>
      </c>
      <c r="AE35" s="41">
        <f t="shared" si="17"/>
        <v>4.6500000000000004</v>
      </c>
      <c r="AF35" s="41">
        <f t="shared" si="18"/>
        <v>0</v>
      </c>
      <c r="AG35" s="2" t="s">
        <v>44</v>
      </c>
      <c r="AH35" s="18">
        <v>93</v>
      </c>
      <c r="AJ35" t="s">
        <v>23</v>
      </c>
      <c r="AK35">
        <v>13</v>
      </c>
      <c r="AL35">
        <v>0</v>
      </c>
      <c r="AM35">
        <v>4.54</v>
      </c>
      <c r="AN35">
        <f t="shared" si="19"/>
        <v>0</v>
      </c>
      <c r="AP35" s="41" t="s">
        <v>428</v>
      </c>
      <c r="AQ35" s="41">
        <v>20</v>
      </c>
      <c r="AR35" s="41">
        <v>0</v>
      </c>
    </row>
    <row r="36" spans="1:44" x14ac:dyDescent="0.35">
      <c r="A36" s="41" t="s">
        <v>1</v>
      </c>
      <c r="B36" s="42">
        <v>41</v>
      </c>
      <c r="C36" s="41">
        <v>3</v>
      </c>
      <c r="D36" s="41">
        <f t="shared" si="10"/>
        <v>4.6341463414634143</v>
      </c>
      <c r="E36" s="41">
        <f t="shared" si="11"/>
        <v>7.3170731707317069E-2</v>
      </c>
      <c r="F36" s="41" t="s">
        <v>392</v>
      </c>
      <c r="H36" s="18">
        <v>190</v>
      </c>
      <c r="J36" s="41" t="s">
        <v>1</v>
      </c>
      <c r="K36" s="42">
        <v>43</v>
      </c>
      <c r="L36" s="41">
        <v>3</v>
      </c>
      <c r="M36" s="41">
        <f t="shared" si="12"/>
        <v>4.6744186046511631</v>
      </c>
      <c r="N36" s="41">
        <f t="shared" si="13"/>
        <v>6.9767441860465115E-2</v>
      </c>
      <c r="O36" s="41" t="s">
        <v>392</v>
      </c>
      <c r="Q36" s="18">
        <v>201</v>
      </c>
      <c r="T36" t="s">
        <v>23</v>
      </c>
      <c r="U36">
        <v>13</v>
      </c>
      <c r="V36">
        <v>0</v>
      </c>
      <c r="W36">
        <v>4.54</v>
      </c>
      <c r="X36">
        <f t="shared" si="14"/>
        <v>0</v>
      </c>
      <c r="Z36" s="41" t="s">
        <v>1</v>
      </c>
      <c r="AA36" s="41">
        <v>43</v>
      </c>
      <c r="AB36" s="41">
        <f t="shared" si="15"/>
        <v>18</v>
      </c>
      <c r="AC36" s="41">
        <v>3</v>
      </c>
      <c r="AD36" s="41">
        <f t="shared" si="16"/>
        <v>2</v>
      </c>
      <c r="AE36" s="41">
        <f t="shared" si="17"/>
        <v>4.6744186046511631</v>
      </c>
      <c r="AF36" s="41">
        <f t="shared" si="18"/>
        <v>6.9767441860465115E-2</v>
      </c>
      <c r="AG36" s="2" t="s">
        <v>445</v>
      </c>
      <c r="AH36" s="18">
        <v>201</v>
      </c>
      <c r="AJ36" t="s">
        <v>1</v>
      </c>
      <c r="AK36">
        <v>25</v>
      </c>
      <c r="AL36">
        <v>1</v>
      </c>
      <c r="AM36">
        <v>5.2</v>
      </c>
      <c r="AN36">
        <f t="shared" si="19"/>
        <v>0.04</v>
      </c>
      <c r="AP36" s="41" t="s">
        <v>1</v>
      </c>
      <c r="AQ36" s="42">
        <v>43</v>
      </c>
      <c r="AR36" s="41">
        <v>3</v>
      </c>
    </row>
    <row r="37" spans="1:44" x14ac:dyDescent="0.35">
      <c r="A37" s="41" t="s">
        <v>428</v>
      </c>
      <c r="B37" s="42">
        <v>20</v>
      </c>
      <c r="C37" s="41">
        <v>0</v>
      </c>
      <c r="D37" s="41">
        <f t="shared" si="10"/>
        <v>4.6500000000000004</v>
      </c>
      <c r="E37" s="41">
        <f t="shared" si="11"/>
        <v>0</v>
      </c>
      <c r="F37" s="41" t="s">
        <v>392</v>
      </c>
      <c r="G37" s="3" t="s">
        <v>69</v>
      </c>
      <c r="H37" s="18">
        <v>93</v>
      </c>
      <c r="J37" s="41" t="s">
        <v>50</v>
      </c>
      <c r="K37" s="41">
        <v>13</v>
      </c>
      <c r="L37" s="41">
        <v>0</v>
      </c>
      <c r="M37" s="41">
        <f t="shared" si="12"/>
        <v>4.6923076923076925</v>
      </c>
      <c r="N37" s="41">
        <f t="shared" si="13"/>
        <v>0</v>
      </c>
      <c r="O37" s="41" t="s">
        <v>392</v>
      </c>
      <c r="P37" s="2" t="s">
        <v>44</v>
      </c>
      <c r="Q37" s="18">
        <v>61</v>
      </c>
      <c r="T37" t="s">
        <v>115</v>
      </c>
      <c r="U37">
        <v>7</v>
      </c>
      <c r="V37">
        <v>0</v>
      </c>
      <c r="W37">
        <v>4.57</v>
      </c>
      <c r="X37">
        <f t="shared" si="14"/>
        <v>0</v>
      </c>
      <c r="Z37" s="41" t="s">
        <v>50</v>
      </c>
      <c r="AA37" s="41">
        <v>13</v>
      </c>
      <c r="AB37" s="41">
        <f t="shared" si="15"/>
        <v>3</v>
      </c>
      <c r="AC37" s="41">
        <v>0</v>
      </c>
      <c r="AD37" s="41">
        <f t="shared" si="16"/>
        <v>0</v>
      </c>
      <c r="AE37" s="41">
        <f t="shared" si="17"/>
        <v>4.6923076923076925</v>
      </c>
      <c r="AF37" s="41">
        <f t="shared" si="18"/>
        <v>0</v>
      </c>
      <c r="AG37" s="2" t="s">
        <v>44</v>
      </c>
      <c r="AH37" s="18">
        <v>61</v>
      </c>
      <c r="AJ37" t="s">
        <v>50</v>
      </c>
      <c r="AK37">
        <v>10</v>
      </c>
      <c r="AL37">
        <v>0</v>
      </c>
      <c r="AM37">
        <v>4.5999999999999996</v>
      </c>
      <c r="AN37">
        <f t="shared" si="19"/>
        <v>0</v>
      </c>
      <c r="AP37" s="41" t="s">
        <v>50</v>
      </c>
      <c r="AQ37" s="41">
        <v>13</v>
      </c>
      <c r="AR37" s="41">
        <v>0</v>
      </c>
    </row>
    <row r="38" spans="1:44" x14ac:dyDescent="0.35">
      <c r="A38" s="41" t="s">
        <v>50</v>
      </c>
      <c r="B38" s="41">
        <v>13</v>
      </c>
      <c r="C38" s="41">
        <v>0</v>
      </c>
      <c r="D38" s="41">
        <f t="shared" si="10"/>
        <v>4.6923076923076925</v>
      </c>
      <c r="E38" s="41">
        <f t="shared" si="11"/>
        <v>0</v>
      </c>
      <c r="F38" s="41" t="s">
        <v>392</v>
      </c>
      <c r="G38" s="2" t="s">
        <v>44</v>
      </c>
      <c r="H38" s="18">
        <v>61</v>
      </c>
      <c r="J38" s="41" t="s">
        <v>87</v>
      </c>
      <c r="K38" s="41">
        <v>10</v>
      </c>
      <c r="L38" s="41">
        <v>1</v>
      </c>
      <c r="M38" s="41">
        <f t="shared" si="12"/>
        <v>4.7</v>
      </c>
      <c r="N38" s="41">
        <f t="shared" si="13"/>
        <v>0.1</v>
      </c>
      <c r="O38" s="41" t="s">
        <v>392</v>
      </c>
      <c r="P38" s="2" t="s">
        <v>44</v>
      </c>
      <c r="Q38" s="18">
        <v>47</v>
      </c>
      <c r="T38" t="s">
        <v>50</v>
      </c>
      <c r="U38">
        <v>10</v>
      </c>
      <c r="V38">
        <v>0</v>
      </c>
      <c r="W38">
        <v>4.5999999999999996</v>
      </c>
      <c r="X38">
        <f t="shared" si="14"/>
        <v>0</v>
      </c>
      <c r="Z38" s="41" t="s">
        <v>87</v>
      </c>
      <c r="AA38" s="41">
        <v>10</v>
      </c>
      <c r="AB38" s="41">
        <f t="shared" si="15"/>
        <v>5</v>
      </c>
      <c r="AC38" s="41">
        <v>1</v>
      </c>
      <c r="AD38" s="41">
        <f t="shared" si="16"/>
        <v>1</v>
      </c>
      <c r="AE38" s="41">
        <f t="shared" si="17"/>
        <v>4.7</v>
      </c>
      <c r="AF38" s="41">
        <f t="shared" si="18"/>
        <v>0.1</v>
      </c>
      <c r="AG38" s="2" t="s">
        <v>437</v>
      </c>
      <c r="AH38" s="18">
        <v>47</v>
      </c>
      <c r="AJ38" t="s">
        <v>87</v>
      </c>
      <c r="AK38">
        <v>5</v>
      </c>
      <c r="AL38">
        <v>0</v>
      </c>
      <c r="AM38">
        <v>5.2</v>
      </c>
      <c r="AN38">
        <f t="shared" si="19"/>
        <v>0</v>
      </c>
      <c r="AP38" s="41" t="s">
        <v>87</v>
      </c>
      <c r="AQ38" s="41">
        <v>10</v>
      </c>
      <c r="AR38" s="41">
        <v>1</v>
      </c>
    </row>
    <row r="39" spans="1:44" x14ac:dyDescent="0.35">
      <c r="A39" s="41" t="s">
        <v>87</v>
      </c>
      <c r="B39" s="41">
        <v>10</v>
      </c>
      <c r="C39" s="41">
        <v>1</v>
      </c>
      <c r="D39" s="41">
        <f t="shared" si="10"/>
        <v>4.7</v>
      </c>
      <c r="E39" s="41">
        <f t="shared" si="11"/>
        <v>0.1</v>
      </c>
      <c r="F39" s="41" t="s">
        <v>392</v>
      </c>
      <c r="G39" s="2" t="s">
        <v>44</v>
      </c>
      <c r="H39" s="18">
        <v>47</v>
      </c>
      <c r="J39" s="41" t="s">
        <v>5</v>
      </c>
      <c r="K39" s="42">
        <v>10</v>
      </c>
      <c r="L39" s="41">
        <v>0</v>
      </c>
      <c r="M39" s="41">
        <f t="shared" si="12"/>
        <v>4.7</v>
      </c>
      <c r="N39" s="41">
        <f t="shared" si="13"/>
        <v>0</v>
      </c>
      <c r="O39" s="41" t="s">
        <v>392</v>
      </c>
      <c r="P39" s="2" t="s">
        <v>434</v>
      </c>
      <c r="Q39" s="18">
        <v>47</v>
      </c>
      <c r="T39" t="s">
        <v>21</v>
      </c>
      <c r="U39">
        <v>10</v>
      </c>
      <c r="V39">
        <v>0</v>
      </c>
      <c r="W39">
        <v>4.5999999999999996</v>
      </c>
      <c r="X39">
        <f t="shared" si="14"/>
        <v>0</v>
      </c>
      <c r="Z39" s="41" t="s">
        <v>5</v>
      </c>
      <c r="AA39" s="41">
        <v>10</v>
      </c>
      <c r="AB39" s="41">
        <f t="shared" si="15"/>
        <v>3</v>
      </c>
      <c r="AC39" s="41">
        <v>0</v>
      </c>
      <c r="AD39" s="41">
        <f t="shared" si="16"/>
        <v>0</v>
      </c>
      <c r="AE39" s="41">
        <f t="shared" si="17"/>
        <v>4.7</v>
      </c>
      <c r="AF39" s="41">
        <f t="shared" si="18"/>
        <v>0</v>
      </c>
      <c r="AG39" s="2" t="s">
        <v>161</v>
      </c>
      <c r="AH39" s="18">
        <v>47</v>
      </c>
      <c r="AJ39" t="s">
        <v>5</v>
      </c>
      <c r="AK39">
        <v>7</v>
      </c>
      <c r="AL39">
        <v>0</v>
      </c>
      <c r="AM39">
        <v>4.71</v>
      </c>
      <c r="AN39">
        <f t="shared" si="19"/>
        <v>0</v>
      </c>
      <c r="AP39" s="41" t="s">
        <v>5</v>
      </c>
      <c r="AQ39" s="42">
        <v>10</v>
      </c>
      <c r="AR39" s="41">
        <v>0</v>
      </c>
    </row>
    <row r="40" spans="1:44" x14ac:dyDescent="0.35">
      <c r="A40" s="41" t="s">
        <v>230</v>
      </c>
      <c r="B40" s="41">
        <v>10</v>
      </c>
      <c r="C40" s="41">
        <v>1</v>
      </c>
      <c r="D40" s="41">
        <f t="shared" si="10"/>
        <v>4.7</v>
      </c>
      <c r="E40" s="41">
        <f t="shared" si="11"/>
        <v>0.1</v>
      </c>
      <c r="F40" s="41" t="s">
        <v>392</v>
      </c>
      <c r="G40" s="2" t="s">
        <v>44</v>
      </c>
      <c r="H40" s="18">
        <v>47</v>
      </c>
      <c r="J40" s="41" t="s">
        <v>230</v>
      </c>
      <c r="K40" s="41">
        <v>10</v>
      </c>
      <c r="L40" s="41">
        <v>1</v>
      </c>
      <c r="M40" s="41">
        <f t="shared" si="12"/>
        <v>4.7</v>
      </c>
      <c r="N40" s="41">
        <f t="shared" si="13"/>
        <v>0.1</v>
      </c>
      <c r="O40" s="41" t="s">
        <v>392</v>
      </c>
      <c r="Q40" s="18">
        <v>47</v>
      </c>
      <c r="T40" t="s">
        <v>81</v>
      </c>
      <c r="U40">
        <v>8</v>
      </c>
      <c r="V40">
        <v>1</v>
      </c>
      <c r="W40">
        <v>4.63</v>
      </c>
      <c r="X40">
        <f t="shared" si="14"/>
        <v>0.125</v>
      </c>
      <c r="Z40" s="41" t="s">
        <v>230</v>
      </c>
      <c r="AA40" s="41">
        <v>10</v>
      </c>
      <c r="AB40" s="41">
        <f t="shared" si="15"/>
        <v>5</v>
      </c>
      <c r="AC40" s="41">
        <v>1</v>
      </c>
      <c r="AD40" s="41">
        <f t="shared" si="16"/>
        <v>0</v>
      </c>
      <c r="AE40" s="41">
        <f t="shared" si="17"/>
        <v>4.7</v>
      </c>
      <c r="AF40" s="41">
        <f t="shared" si="18"/>
        <v>0.1</v>
      </c>
      <c r="AG40" s="2" t="s">
        <v>132</v>
      </c>
      <c r="AH40" s="18">
        <v>47</v>
      </c>
      <c r="AJ40" t="s">
        <v>230</v>
      </c>
      <c r="AK40">
        <v>5</v>
      </c>
      <c r="AL40">
        <v>1</v>
      </c>
      <c r="AM40">
        <v>4.8</v>
      </c>
      <c r="AN40">
        <f t="shared" si="19"/>
        <v>0.2</v>
      </c>
      <c r="AP40" s="41" t="s">
        <v>230</v>
      </c>
      <c r="AQ40" s="41">
        <v>10</v>
      </c>
      <c r="AR40" s="41">
        <v>1</v>
      </c>
    </row>
    <row r="41" spans="1:44" x14ac:dyDescent="0.35">
      <c r="A41" s="41" t="s">
        <v>14</v>
      </c>
      <c r="B41" s="41">
        <v>45</v>
      </c>
      <c r="C41" s="41">
        <v>3</v>
      </c>
      <c r="D41" s="41">
        <f t="shared" si="10"/>
        <v>4.7111111111111112</v>
      </c>
      <c r="E41" s="41">
        <f t="shared" si="11"/>
        <v>6.6666666666666666E-2</v>
      </c>
      <c r="F41" s="41" t="s">
        <v>392</v>
      </c>
      <c r="G41" s="2" t="s">
        <v>44</v>
      </c>
      <c r="H41" s="18">
        <v>212</v>
      </c>
      <c r="J41" s="41" t="s">
        <v>14</v>
      </c>
      <c r="K41" s="41">
        <v>45</v>
      </c>
      <c r="L41" s="41">
        <v>3</v>
      </c>
      <c r="M41" s="41">
        <f t="shared" si="12"/>
        <v>4.7111111111111112</v>
      </c>
      <c r="N41" s="41">
        <f t="shared" si="13"/>
        <v>6.6666666666666666E-2</v>
      </c>
      <c r="O41" s="41" t="s">
        <v>392</v>
      </c>
      <c r="Q41" s="18">
        <v>212</v>
      </c>
      <c r="T41" t="s">
        <v>3</v>
      </c>
      <c r="U41">
        <v>14</v>
      </c>
      <c r="V41">
        <v>2</v>
      </c>
      <c r="W41">
        <v>4.6399999999999997</v>
      </c>
      <c r="X41">
        <f t="shared" si="14"/>
        <v>0.14285714285714285</v>
      </c>
      <c r="Z41" s="41" t="s">
        <v>14</v>
      </c>
      <c r="AA41" s="41">
        <v>45</v>
      </c>
      <c r="AB41" s="41">
        <f t="shared" si="15"/>
        <v>4</v>
      </c>
      <c r="AC41" s="41">
        <v>3</v>
      </c>
      <c r="AD41" s="41">
        <f t="shared" si="16"/>
        <v>0</v>
      </c>
      <c r="AE41" s="41">
        <f t="shared" si="17"/>
        <v>4.7111111111111112</v>
      </c>
      <c r="AF41" s="41">
        <f t="shared" si="18"/>
        <v>6.6666666666666666E-2</v>
      </c>
      <c r="AG41" s="3" t="s">
        <v>195</v>
      </c>
      <c r="AH41" s="18">
        <v>212</v>
      </c>
      <c r="AJ41" t="s">
        <v>14</v>
      </c>
      <c r="AK41">
        <v>41</v>
      </c>
      <c r="AL41">
        <v>3</v>
      </c>
      <c r="AM41">
        <v>4.46</v>
      </c>
      <c r="AN41">
        <f t="shared" si="19"/>
        <v>7.3170731707317069E-2</v>
      </c>
      <c r="AP41" s="41" t="s">
        <v>14</v>
      </c>
      <c r="AQ41" s="41">
        <v>45</v>
      </c>
      <c r="AR41" s="41">
        <v>3</v>
      </c>
    </row>
    <row r="42" spans="1:44" x14ac:dyDescent="0.35">
      <c r="A42" s="41" t="s">
        <v>3</v>
      </c>
      <c r="B42" s="41">
        <v>21</v>
      </c>
      <c r="C42" s="41">
        <v>3</v>
      </c>
      <c r="D42" s="41">
        <f t="shared" si="10"/>
        <v>4.7142857142857144</v>
      </c>
      <c r="E42" s="41">
        <f t="shared" si="11"/>
        <v>0.14285714285714285</v>
      </c>
      <c r="F42" s="41" t="s">
        <v>392</v>
      </c>
      <c r="G42" s="2" t="s">
        <v>44</v>
      </c>
      <c r="H42" s="18">
        <v>99</v>
      </c>
      <c r="J42" s="41" t="s">
        <v>3</v>
      </c>
      <c r="K42" s="41">
        <v>21</v>
      </c>
      <c r="L42" s="41">
        <v>3</v>
      </c>
      <c r="M42" s="41">
        <f t="shared" si="12"/>
        <v>4.7142857142857144</v>
      </c>
      <c r="N42" s="41">
        <f t="shared" si="13"/>
        <v>0.14285714285714285</v>
      </c>
      <c r="O42" s="41" t="s">
        <v>392</v>
      </c>
      <c r="Q42" s="18">
        <v>99</v>
      </c>
      <c r="T42" t="s">
        <v>99</v>
      </c>
      <c r="U42">
        <v>10</v>
      </c>
      <c r="V42">
        <v>2</v>
      </c>
      <c r="W42">
        <v>4.7</v>
      </c>
      <c r="X42">
        <f t="shared" si="14"/>
        <v>0.2</v>
      </c>
      <c r="Z42" s="41" t="s">
        <v>3</v>
      </c>
      <c r="AA42" s="41">
        <v>21</v>
      </c>
      <c r="AB42" s="41">
        <f t="shared" si="15"/>
        <v>7</v>
      </c>
      <c r="AC42" s="41">
        <v>3</v>
      </c>
      <c r="AD42" s="41">
        <f t="shared" si="16"/>
        <v>1</v>
      </c>
      <c r="AE42" s="41">
        <f t="shared" si="17"/>
        <v>4.7142857142857144</v>
      </c>
      <c r="AF42" s="41">
        <f t="shared" si="18"/>
        <v>0.14285714285714285</v>
      </c>
      <c r="AG42" s="3" t="s">
        <v>46</v>
      </c>
      <c r="AH42" s="18">
        <v>99</v>
      </c>
      <c r="AJ42" t="s">
        <v>3</v>
      </c>
      <c r="AK42">
        <v>14</v>
      </c>
      <c r="AL42">
        <v>2</v>
      </c>
      <c r="AM42">
        <v>4.6399999999999997</v>
      </c>
      <c r="AN42">
        <f t="shared" si="19"/>
        <v>0.14285714285714285</v>
      </c>
      <c r="AP42" s="41" t="s">
        <v>3</v>
      </c>
      <c r="AQ42" s="41">
        <v>21</v>
      </c>
      <c r="AR42" s="41">
        <v>3</v>
      </c>
    </row>
    <row r="43" spans="1:44" x14ac:dyDescent="0.35">
      <c r="A43" s="41" t="s">
        <v>26</v>
      </c>
      <c r="B43" s="42">
        <v>16</v>
      </c>
      <c r="C43" s="41">
        <v>2</v>
      </c>
      <c r="D43" s="41">
        <f t="shared" si="10"/>
        <v>4.75</v>
      </c>
      <c r="E43" s="41">
        <f t="shared" si="11"/>
        <v>0.125</v>
      </c>
      <c r="F43" s="41" t="s">
        <v>392</v>
      </c>
      <c r="G43" s="3" t="s">
        <v>381</v>
      </c>
      <c r="H43" s="18">
        <v>76</v>
      </c>
      <c r="J43" s="41" t="s">
        <v>26</v>
      </c>
      <c r="K43" s="41">
        <v>16</v>
      </c>
      <c r="L43" s="41">
        <v>2</v>
      </c>
      <c r="M43" s="41">
        <f t="shared" si="12"/>
        <v>4.75</v>
      </c>
      <c r="N43" s="41">
        <f t="shared" si="13"/>
        <v>0.125</v>
      </c>
      <c r="O43" s="41" t="s">
        <v>392</v>
      </c>
      <c r="Q43" s="18">
        <v>76</v>
      </c>
      <c r="T43" t="s">
        <v>78</v>
      </c>
      <c r="U43">
        <v>7</v>
      </c>
      <c r="V43">
        <v>1</v>
      </c>
      <c r="W43">
        <v>4.71</v>
      </c>
      <c r="X43">
        <f t="shared" si="14"/>
        <v>0.14285714285714285</v>
      </c>
      <c r="Z43" s="41" t="s">
        <v>26</v>
      </c>
      <c r="AA43" s="41">
        <v>16</v>
      </c>
      <c r="AB43" s="41">
        <f t="shared" si="15"/>
        <v>6</v>
      </c>
      <c r="AC43" s="41">
        <v>2</v>
      </c>
      <c r="AD43" s="41">
        <f t="shared" si="16"/>
        <v>0</v>
      </c>
      <c r="AE43" s="41">
        <f t="shared" si="17"/>
        <v>4.75</v>
      </c>
      <c r="AF43" s="41">
        <f t="shared" si="18"/>
        <v>0.125</v>
      </c>
      <c r="AG43" s="3" t="s">
        <v>449</v>
      </c>
      <c r="AH43" s="18">
        <v>76</v>
      </c>
      <c r="AJ43" t="s">
        <v>26</v>
      </c>
      <c r="AK43">
        <v>10</v>
      </c>
      <c r="AL43">
        <v>2</v>
      </c>
      <c r="AM43">
        <v>4</v>
      </c>
      <c r="AN43">
        <f t="shared" si="19"/>
        <v>0.2</v>
      </c>
      <c r="AP43" s="41" t="s">
        <v>26</v>
      </c>
      <c r="AQ43" s="41">
        <v>16</v>
      </c>
      <c r="AR43" s="41">
        <v>2</v>
      </c>
    </row>
    <row r="44" spans="1:44" x14ac:dyDescent="0.35">
      <c r="A44" s="41" t="s">
        <v>37</v>
      </c>
      <c r="B44" s="41">
        <v>19</v>
      </c>
      <c r="C44" s="41">
        <v>2</v>
      </c>
      <c r="D44" s="41">
        <f t="shared" si="10"/>
        <v>4.7894736842105265</v>
      </c>
      <c r="E44" s="41">
        <f t="shared" si="11"/>
        <v>0.10526315789473684</v>
      </c>
      <c r="F44" s="41" t="s">
        <v>392</v>
      </c>
      <c r="H44" s="18">
        <v>91</v>
      </c>
      <c r="J44" s="41" t="s">
        <v>37</v>
      </c>
      <c r="K44" s="41">
        <v>19</v>
      </c>
      <c r="L44" s="41">
        <v>2</v>
      </c>
      <c r="M44" s="41">
        <f t="shared" si="12"/>
        <v>4.7894736842105265</v>
      </c>
      <c r="N44" s="41">
        <f t="shared" si="13"/>
        <v>0.10526315789473684</v>
      </c>
      <c r="O44" s="41" t="s">
        <v>392</v>
      </c>
      <c r="Q44" s="18">
        <v>91</v>
      </c>
      <c r="T44" t="s">
        <v>116</v>
      </c>
      <c r="U44">
        <v>7</v>
      </c>
      <c r="V44">
        <v>0</v>
      </c>
      <c r="W44">
        <v>4.71</v>
      </c>
      <c r="X44">
        <f t="shared" si="14"/>
        <v>0</v>
      </c>
      <c r="Z44" s="41" t="s">
        <v>37</v>
      </c>
      <c r="AA44" s="41">
        <v>19</v>
      </c>
      <c r="AB44" s="41">
        <f t="shared" si="15"/>
        <v>5</v>
      </c>
      <c r="AC44" s="41">
        <v>2</v>
      </c>
      <c r="AD44" s="41">
        <f t="shared" si="16"/>
        <v>0</v>
      </c>
      <c r="AE44" s="41">
        <f t="shared" si="17"/>
        <v>4.7894736842105265</v>
      </c>
      <c r="AF44" s="41">
        <f t="shared" si="18"/>
        <v>0.10526315789473684</v>
      </c>
      <c r="AG44" s="2" t="s">
        <v>47</v>
      </c>
      <c r="AH44" s="18">
        <v>91</v>
      </c>
      <c r="AJ44" t="s">
        <v>37</v>
      </c>
      <c r="AK44">
        <v>14</v>
      </c>
      <c r="AL44">
        <v>2</v>
      </c>
      <c r="AM44">
        <v>4.79</v>
      </c>
      <c r="AN44">
        <f t="shared" si="19"/>
        <v>0.14285714285714285</v>
      </c>
      <c r="AP44" s="41" t="s">
        <v>37</v>
      </c>
      <c r="AQ44" s="41">
        <v>19</v>
      </c>
      <c r="AR44" s="41">
        <v>2</v>
      </c>
    </row>
    <row r="45" spans="1:44" x14ac:dyDescent="0.35">
      <c r="A45" s="43" t="s">
        <v>81</v>
      </c>
      <c r="B45" s="44">
        <v>26</v>
      </c>
      <c r="C45" s="43">
        <v>2</v>
      </c>
      <c r="D45" s="43">
        <f t="shared" si="10"/>
        <v>4.8076923076923075</v>
      </c>
      <c r="E45" s="43">
        <f t="shared" si="11"/>
        <v>7.6923076923076927E-2</v>
      </c>
      <c r="F45" s="43" t="s">
        <v>392</v>
      </c>
      <c r="H45" s="18">
        <v>125</v>
      </c>
      <c r="J45" s="43" t="s">
        <v>81</v>
      </c>
      <c r="K45" s="43">
        <v>26</v>
      </c>
      <c r="L45" s="43">
        <v>2</v>
      </c>
      <c r="M45" s="43">
        <f t="shared" si="12"/>
        <v>4.8076923076923075</v>
      </c>
      <c r="N45" s="43">
        <f t="shared" si="13"/>
        <v>7.6923076923076927E-2</v>
      </c>
      <c r="O45" s="43" t="s">
        <v>392</v>
      </c>
      <c r="Q45" s="18">
        <v>125</v>
      </c>
      <c r="T45" t="s">
        <v>5</v>
      </c>
      <c r="U45">
        <v>7</v>
      </c>
      <c r="V45">
        <v>0</v>
      </c>
      <c r="W45">
        <v>4.71</v>
      </c>
      <c r="X45">
        <f t="shared" si="14"/>
        <v>0</v>
      </c>
      <c r="Z45" s="43" t="s">
        <v>81</v>
      </c>
      <c r="AA45" s="43">
        <v>26</v>
      </c>
      <c r="AB45" s="43">
        <f t="shared" si="15"/>
        <v>18</v>
      </c>
      <c r="AC45" s="43">
        <v>2</v>
      </c>
      <c r="AD45" s="43">
        <f t="shared" si="16"/>
        <v>1</v>
      </c>
      <c r="AE45" s="43">
        <f t="shared" si="17"/>
        <v>4.8076923076923075</v>
      </c>
      <c r="AF45" s="43">
        <f t="shared" si="18"/>
        <v>7.6923076923076927E-2</v>
      </c>
      <c r="AG45" s="3" t="s">
        <v>381</v>
      </c>
      <c r="AH45" s="18">
        <v>125</v>
      </c>
      <c r="AJ45" t="s">
        <v>81</v>
      </c>
      <c r="AK45">
        <v>8</v>
      </c>
      <c r="AL45">
        <v>1</v>
      </c>
      <c r="AM45">
        <v>4.63</v>
      </c>
      <c r="AN45">
        <f t="shared" si="19"/>
        <v>0.125</v>
      </c>
      <c r="AP45" s="43" t="s">
        <v>81</v>
      </c>
      <c r="AQ45" s="43">
        <v>26</v>
      </c>
      <c r="AR45" s="43">
        <v>2</v>
      </c>
    </row>
    <row r="46" spans="1:44" x14ac:dyDescent="0.35">
      <c r="A46" s="43" t="s">
        <v>30</v>
      </c>
      <c r="B46" s="43">
        <v>17</v>
      </c>
      <c r="C46" s="43">
        <v>3</v>
      </c>
      <c r="D46" s="43">
        <f t="shared" si="10"/>
        <v>4.882352941176471</v>
      </c>
      <c r="E46" s="43">
        <f t="shared" si="11"/>
        <v>0.17647058823529413</v>
      </c>
      <c r="F46" s="43" t="s">
        <v>392</v>
      </c>
      <c r="H46" s="18">
        <v>83</v>
      </c>
      <c r="J46" s="43" t="s">
        <v>404</v>
      </c>
      <c r="K46" s="44">
        <v>12</v>
      </c>
      <c r="L46" s="43">
        <v>2</v>
      </c>
      <c r="M46" s="43">
        <f t="shared" si="12"/>
        <v>4.833333333333333</v>
      </c>
      <c r="N46" s="43">
        <f t="shared" si="13"/>
        <v>0.16666666666666666</v>
      </c>
      <c r="O46" s="43" t="s">
        <v>392</v>
      </c>
      <c r="P46" s="3" t="s">
        <v>152</v>
      </c>
      <c r="Q46" s="18">
        <v>58</v>
      </c>
      <c r="T46" t="s">
        <v>37</v>
      </c>
      <c r="U46">
        <v>14</v>
      </c>
      <c r="V46">
        <v>2</v>
      </c>
      <c r="W46">
        <v>4.79</v>
      </c>
      <c r="X46">
        <f t="shared" si="14"/>
        <v>0.14285714285714285</v>
      </c>
      <c r="Z46" s="43" t="s">
        <v>404</v>
      </c>
      <c r="AA46" s="43">
        <v>12</v>
      </c>
      <c r="AB46" s="43">
        <f t="shared" si="15"/>
        <v>5</v>
      </c>
      <c r="AC46" s="43">
        <v>2</v>
      </c>
      <c r="AD46" s="43">
        <f t="shared" si="16"/>
        <v>1</v>
      </c>
      <c r="AE46" s="43">
        <f t="shared" si="17"/>
        <v>4.833333333333333</v>
      </c>
      <c r="AF46" s="43">
        <f t="shared" si="18"/>
        <v>0.16666666666666666</v>
      </c>
      <c r="AG46" s="2" t="s">
        <v>443</v>
      </c>
      <c r="AH46" s="18">
        <v>58</v>
      </c>
      <c r="AJ46" t="s">
        <v>16</v>
      </c>
      <c r="AK46">
        <v>7</v>
      </c>
      <c r="AL46">
        <v>1</v>
      </c>
      <c r="AM46">
        <v>5</v>
      </c>
      <c r="AN46">
        <f t="shared" si="19"/>
        <v>0.14285714285714285</v>
      </c>
      <c r="AP46" s="43" t="s">
        <v>404</v>
      </c>
      <c r="AQ46" s="44">
        <v>12</v>
      </c>
      <c r="AR46" s="43">
        <v>2</v>
      </c>
    </row>
    <row r="47" spans="1:44" x14ac:dyDescent="0.35">
      <c r="A47" s="43" t="s">
        <v>414</v>
      </c>
      <c r="B47" s="43">
        <v>11</v>
      </c>
      <c r="C47" s="43">
        <v>1</v>
      </c>
      <c r="D47" s="43">
        <f t="shared" si="10"/>
        <v>5</v>
      </c>
      <c r="E47" s="43">
        <f t="shared" si="11"/>
        <v>9.0909090909090912E-2</v>
      </c>
      <c r="F47" s="43" t="s">
        <v>392</v>
      </c>
      <c r="G47" s="2" t="s">
        <v>44</v>
      </c>
      <c r="H47" s="18">
        <v>55</v>
      </c>
      <c r="J47" s="43" t="s">
        <v>30</v>
      </c>
      <c r="K47" s="43">
        <v>17</v>
      </c>
      <c r="L47" s="43">
        <v>3</v>
      </c>
      <c r="M47" s="43">
        <f t="shared" si="12"/>
        <v>4.882352941176471</v>
      </c>
      <c r="N47" s="43">
        <f t="shared" si="13"/>
        <v>0.17647058823529413</v>
      </c>
      <c r="O47" s="43" t="s">
        <v>392</v>
      </c>
      <c r="P47" s="3" t="s">
        <v>46</v>
      </c>
      <c r="Q47" s="18">
        <v>83</v>
      </c>
      <c r="T47" t="s">
        <v>230</v>
      </c>
      <c r="U47">
        <v>5</v>
      </c>
      <c r="V47">
        <v>1</v>
      </c>
      <c r="W47">
        <v>4.8</v>
      </c>
      <c r="X47">
        <f t="shared" si="14"/>
        <v>0.2</v>
      </c>
      <c r="Z47" s="43" t="s">
        <v>30</v>
      </c>
      <c r="AA47" s="43">
        <v>17</v>
      </c>
      <c r="AB47" s="43">
        <f t="shared" si="15"/>
        <v>6</v>
      </c>
      <c r="AC47" s="43">
        <v>3</v>
      </c>
      <c r="AD47" s="43">
        <f t="shared" si="16"/>
        <v>1</v>
      </c>
      <c r="AE47" s="43">
        <f t="shared" si="17"/>
        <v>4.882352941176471</v>
      </c>
      <c r="AF47" s="43">
        <f t="shared" si="18"/>
        <v>0.17647058823529413</v>
      </c>
      <c r="AG47" s="2" t="s">
        <v>44</v>
      </c>
      <c r="AH47" s="18">
        <v>83</v>
      </c>
      <c r="AJ47" t="s">
        <v>30</v>
      </c>
      <c r="AK47">
        <v>11</v>
      </c>
      <c r="AL47">
        <v>2</v>
      </c>
      <c r="AM47">
        <v>4.82</v>
      </c>
      <c r="AN47">
        <f t="shared" si="19"/>
        <v>0.18181818181818182</v>
      </c>
      <c r="AP47" s="43" t="s">
        <v>30</v>
      </c>
      <c r="AQ47" s="43">
        <v>17</v>
      </c>
      <c r="AR47" s="43">
        <v>3</v>
      </c>
    </row>
    <row r="48" spans="1:44" x14ac:dyDescent="0.35">
      <c r="A48" s="43" t="s">
        <v>197</v>
      </c>
      <c r="B48" s="44">
        <v>10</v>
      </c>
      <c r="C48" s="43">
        <v>0</v>
      </c>
      <c r="D48" s="43">
        <f t="shared" si="10"/>
        <v>5</v>
      </c>
      <c r="E48" s="43">
        <f t="shared" si="11"/>
        <v>0</v>
      </c>
      <c r="F48" s="43" t="s">
        <v>392</v>
      </c>
      <c r="G48" s="52" t="s">
        <v>432</v>
      </c>
      <c r="H48" s="18">
        <v>50</v>
      </c>
      <c r="J48" s="43" t="s">
        <v>414</v>
      </c>
      <c r="K48" s="43">
        <v>11</v>
      </c>
      <c r="L48" s="43">
        <v>1</v>
      </c>
      <c r="M48" s="43">
        <f t="shared" si="12"/>
        <v>5</v>
      </c>
      <c r="N48" s="43">
        <f t="shared" si="13"/>
        <v>9.0909090909090912E-2</v>
      </c>
      <c r="O48" s="43" t="s">
        <v>392</v>
      </c>
      <c r="P48" s="3" t="s">
        <v>46</v>
      </c>
      <c r="Q48" s="18">
        <v>55</v>
      </c>
      <c r="T48" t="s">
        <v>30</v>
      </c>
      <c r="U48">
        <v>11</v>
      </c>
      <c r="V48">
        <v>2</v>
      </c>
      <c r="W48">
        <v>4.82</v>
      </c>
      <c r="X48">
        <f t="shared" si="14"/>
        <v>0.18181818181818182</v>
      </c>
      <c r="Z48" s="43" t="s">
        <v>414</v>
      </c>
      <c r="AA48" s="43">
        <v>11</v>
      </c>
      <c r="AB48" s="43">
        <f t="shared" si="15"/>
        <v>4</v>
      </c>
      <c r="AC48" s="43">
        <v>1</v>
      </c>
      <c r="AD48" s="43">
        <f t="shared" si="16"/>
        <v>0</v>
      </c>
      <c r="AE48" s="43">
        <f t="shared" si="17"/>
        <v>5</v>
      </c>
      <c r="AF48" s="43">
        <f t="shared" si="18"/>
        <v>9.0909090909090912E-2</v>
      </c>
      <c r="AG48" s="3" t="s">
        <v>381</v>
      </c>
      <c r="AH48" s="18">
        <v>55</v>
      </c>
      <c r="AJ48" t="s">
        <v>78</v>
      </c>
      <c r="AK48">
        <v>7</v>
      </c>
      <c r="AL48">
        <v>1</v>
      </c>
      <c r="AM48">
        <v>4.71</v>
      </c>
      <c r="AN48">
        <f t="shared" si="19"/>
        <v>0.14285714285714285</v>
      </c>
      <c r="AP48" s="43" t="s">
        <v>414</v>
      </c>
      <c r="AQ48" s="43">
        <v>11</v>
      </c>
      <c r="AR48" s="43">
        <v>1</v>
      </c>
    </row>
    <row r="49" spans="1:44" x14ac:dyDescent="0.35">
      <c r="A49" s="43" t="s">
        <v>12</v>
      </c>
      <c r="B49" s="43">
        <v>13</v>
      </c>
      <c r="C49" s="43">
        <v>0</v>
      </c>
      <c r="D49" s="43">
        <f t="shared" si="10"/>
        <v>5</v>
      </c>
      <c r="E49" s="43">
        <f t="shared" si="11"/>
        <v>0</v>
      </c>
      <c r="F49" s="43" t="s">
        <v>392</v>
      </c>
      <c r="H49" s="18">
        <v>65</v>
      </c>
      <c r="J49" s="43" t="s">
        <v>197</v>
      </c>
      <c r="K49" s="43">
        <v>10</v>
      </c>
      <c r="L49" s="43">
        <v>0</v>
      </c>
      <c r="M49" s="43">
        <f t="shared" si="12"/>
        <v>5</v>
      </c>
      <c r="N49" s="43">
        <f t="shared" si="13"/>
        <v>0</v>
      </c>
      <c r="O49" s="43" t="s">
        <v>392</v>
      </c>
      <c r="P49" s="3" t="s">
        <v>46</v>
      </c>
      <c r="Q49" s="18">
        <v>50</v>
      </c>
      <c r="T49" t="s">
        <v>13</v>
      </c>
      <c r="U49">
        <v>20</v>
      </c>
      <c r="V49">
        <v>1</v>
      </c>
      <c r="W49">
        <v>4.95</v>
      </c>
      <c r="X49">
        <f t="shared" si="14"/>
        <v>0.05</v>
      </c>
      <c r="Z49" s="43" t="s">
        <v>197</v>
      </c>
      <c r="AA49" s="43">
        <v>10</v>
      </c>
      <c r="AB49" s="43">
        <f t="shared" si="15"/>
        <v>2</v>
      </c>
      <c r="AC49" s="43">
        <v>0</v>
      </c>
      <c r="AD49" s="43">
        <f t="shared" si="16"/>
        <v>0</v>
      </c>
      <c r="AE49" s="43">
        <f t="shared" si="17"/>
        <v>5</v>
      </c>
      <c r="AF49" s="43">
        <f t="shared" si="18"/>
        <v>0</v>
      </c>
      <c r="AG49" s="2" t="s">
        <v>370</v>
      </c>
      <c r="AH49" s="18">
        <v>50</v>
      </c>
      <c r="AJ49" t="s">
        <v>197</v>
      </c>
      <c r="AK49">
        <v>8</v>
      </c>
      <c r="AL49">
        <v>0</v>
      </c>
      <c r="AM49">
        <v>5</v>
      </c>
      <c r="AN49">
        <f t="shared" si="19"/>
        <v>0</v>
      </c>
      <c r="AP49" s="43" t="s">
        <v>197</v>
      </c>
      <c r="AQ49" s="43">
        <v>10</v>
      </c>
      <c r="AR49" s="43">
        <v>0</v>
      </c>
    </row>
    <row r="50" spans="1:44" x14ac:dyDescent="0.35">
      <c r="A50" s="43" t="s">
        <v>31</v>
      </c>
      <c r="B50" s="44">
        <v>45</v>
      </c>
      <c r="C50" s="44">
        <v>3</v>
      </c>
      <c r="D50" s="43">
        <f t="shared" si="10"/>
        <v>5.0666666666666664</v>
      </c>
      <c r="E50" s="43">
        <f t="shared" si="11"/>
        <v>6.6666666666666666E-2</v>
      </c>
      <c r="F50" s="43" t="s">
        <v>392</v>
      </c>
      <c r="G50" s="2" t="s">
        <v>370</v>
      </c>
      <c r="H50" s="18">
        <v>228</v>
      </c>
      <c r="J50" s="43" t="s">
        <v>12</v>
      </c>
      <c r="K50" s="43">
        <v>13</v>
      </c>
      <c r="L50" s="43">
        <v>0</v>
      </c>
      <c r="M50" s="43">
        <f t="shared" si="12"/>
        <v>5</v>
      </c>
      <c r="N50" s="43">
        <f t="shared" si="13"/>
        <v>0</v>
      </c>
      <c r="O50" s="43" t="s">
        <v>392</v>
      </c>
      <c r="P50" s="3" t="s">
        <v>46</v>
      </c>
      <c r="Q50" s="18">
        <v>65</v>
      </c>
      <c r="T50" t="s">
        <v>125</v>
      </c>
      <c r="U50">
        <v>7</v>
      </c>
      <c r="V50">
        <v>0</v>
      </c>
      <c r="W50">
        <v>5</v>
      </c>
      <c r="X50">
        <f t="shared" si="14"/>
        <v>0</v>
      </c>
      <c r="Z50" s="43" t="s">
        <v>12</v>
      </c>
      <c r="AA50" s="43">
        <v>13</v>
      </c>
      <c r="AB50" s="43">
        <f t="shared" si="15"/>
        <v>5</v>
      </c>
      <c r="AC50" s="43">
        <v>0</v>
      </c>
      <c r="AD50" s="43">
        <f t="shared" si="16"/>
        <v>0</v>
      </c>
      <c r="AE50" s="43">
        <f t="shared" si="17"/>
        <v>5</v>
      </c>
      <c r="AF50" s="43">
        <f t="shared" si="18"/>
        <v>0</v>
      </c>
      <c r="AG50" s="2" t="s">
        <v>438</v>
      </c>
      <c r="AH50" s="18">
        <v>65</v>
      </c>
      <c r="AJ50" t="s">
        <v>12</v>
      </c>
      <c r="AK50">
        <v>8</v>
      </c>
      <c r="AL50">
        <v>0</v>
      </c>
      <c r="AM50">
        <v>5.63</v>
      </c>
      <c r="AN50">
        <f t="shared" si="19"/>
        <v>0</v>
      </c>
      <c r="AP50" s="43" t="s">
        <v>12</v>
      </c>
      <c r="AQ50" s="43">
        <v>13</v>
      </c>
      <c r="AR50" s="43">
        <v>0</v>
      </c>
    </row>
    <row r="51" spans="1:44" x14ac:dyDescent="0.35">
      <c r="A51" s="43" t="s">
        <v>56</v>
      </c>
      <c r="B51" s="43">
        <v>13</v>
      </c>
      <c r="C51" s="43">
        <v>0</v>
      </c>
      <c r="D51" s="43">
        <f t="shared" si="10"/>
        <v>5.0769230769230766</v>
      </c>
      <c r="E51" s="43">
        <f t="shared" si="11"/>
        <v>0</v>
      </c>
      <c r="F51" s="43" t="s">
        <v>392</v>
      </c>
      <c r="G51" s="3" t="s">
        <v>46</v>
      </c>
      <c r="H51" s="18">
        <v>66</v>
      </c>
      <c r="J51" s="43" t="s">
        <v>56</v>
      </c>
      <c r="K51" s="43">
        <v>13</v>
      </c>
      <c r="L51" s="43">
        <v>0</v>
      </c>
      <c r="M51" s="43">
        <f t="shared" si="12"/>
        <v>5.0769230769230766</v>
      </c>
      <c r="N51" s="43">
        <f t="shared" si="13"/>
        <v>0</v>
      </c>
      <c r="O51" s="43" t="s">
        <v>392</v>
      </c>
      <c r="Q51" s="18">
        <v>66</v>
      </c>
      <c r="T51" t="s">
        <v>25</v>
      </c>
      <c r="U51">
        <v>42</v>
      </c>
      <c r="V51">
        <v>3</v>
      </c>
      <c r="W51">
        <v>5</v>
      </c>
      <c r="X51">
        <f t="shared" si="14"/>
        <v>7.1428571428571425E-2</v>
      </c>
      <c r="Z51" s="43" t="s">
        <v>56</v>
      </c>
      <c r="AA51" s="43">
        <v>13</v>
      </c>
      <c r="AB51" s="43">
        <f t="shared" si="15"/>
        <v>7</v>
      </c>
      <c r="AC51" s="43">
        <v>0</v>
      </c>
      <c r="AD51" s="43">
        <f t="shared" si="16"/>
        <v>0</v>
      </c>
      <c r="AE51" s="43">
        <f t="shared" si="17"/>
        <v>5.0769230769230766</v>
      </c>
      <c r="AF51" s="43">
        <f t="shared" si="18"/>
        <v>0</v>
      </c>
      <c r="AG51" s="2" t="s">
        <v>438</v>
      </c>
      <c r="AH51" s="18">
        <v>66</v>
      </c>
      <c r="AJ51" t="s">
        <v>56</v>
      </c>
      <c r="AK51">
        <v>6</v>
      </c>
      <c r="AL51">
        <v>0</v>
      </c>
      <c r="AM51">
        <v>5.67</v>
      </c>
      <c r="AN51">
        <f t="shared" si="19"/>
        <v>0</v>
      </c>
      <c r="AP51" s="43" t="s">
        <v>56</v>
      </c>
      <c r="AQ51" s="43">
        <v>13</v>
      </c>
      <c r="AR51" s="43">
        <v>0</v>
      </c>
    </row>
    <row r="52" spans="1:44" x14ac:dyDescent="0.35">
      <c r="A52" s="43" t="s">
        <v>51</v>
      </c>
      <c r="B52" s="43">
        <v>21</v>
      </c>
      <c r="C52" s="43">
        <v>1</v>
      </c>
      <c r="D52" s="43">
        <f t="shared" si="10"/>
        <v>5.0952380952380949</v>
      </c>
      <c r="E52" s="43">
        <f t="shared" si="11"/>
        <v>4.7619047619047616E-2</v>
      </c>
      <c r="F52" s="43" t="s">
        <v>392</v>
      </c>
      <c r="G52" s="3" t="s">
        <v>46</v>
      </c>
      <c r="H52" s="18">
        <v>107</v>
      </c>
      <c r="J52" s="43" t="s">
        <v>51</v>
      </c>
      <c r="K52" s="43">
        <v>21</v>
      </c>
      <c r="L52" s="43">
        <v>1</v>
      </c>
      <c r="M52" s="43">
        <f t="shared" si="12"/>
        <v>5.0952380952380949</v>
      </c>
      <c r="N52" s="43">
        <f t="shared" si="13"/>
        <v>4.7619047619047616E-2</v>
      </c>
      <c r="O52" s="43" t="s">
        <v>392</v>
      </c>
      <c r="Q52" s="18">
        <v>107</v>
      </c>
      <c r="T52" t="s">
        <v>34</v>
      </c>
      <c r="U52">
        <v>5</v>
      </c>
      <c r="V52">
        <v>1</v>
      </c>
      <c r="W52">
        <v>5</v>
      </c>
      <c r="X52">
        <f t="shared" si="14"/>
        <v>0.2</v>
      </c>
      <c r="Z52" s="43" t="s">
        <v>51</v>
      </c>
      <c r="AA52" s="43">
        <v>21</v>
      </c>
      <c r="AB52" s="43">
        <f t="shared" si="15"/>
        <v>2</v>
      </c>
      <c r="AC52" s="43">
        <v>1</v>
      </c>
      <c r="AD52" s="43">
        <f t="shared" si="16"/>
        <v>0</v>
      </c>
      <c r="AE52" s="43">
        <f t="shared" si="17"/>
        <v>5.0952380952380949</v>
      </c>
      <c r="AF52" s="43">
        <f t="shared" si="18"/>
        <v>4.7619047619047616E-2</v>
      </c>
      <c r="AG52" s="2" t="s">
        <v>370</v>
      </c>
      <c r="AH52" s="18">
        <v>107</v>
      </c>
      <c r="AJ52" t="s">
        <v>51</v>
      </c>
      <c r="AK52">
        <v>19</v>
      </c>
      <c r="AL52">
        <v>1</v>
      </c>
      <c r="AM52">
        <v>5.05</v>
      </c>
      <c r="AN52">
        <f t="shared" si="19"/>
        <v>5.2631578947368418E-2</v>
      </c>
      <c r="AP52" s="43" t="s">
        <v>51</v>
      </c>
      <c r="AQ52" s="43">
        <v>21</v>
      </c>
      <c r="AR52" s="43">
        <v>1</v>
      </c>
    </row>
    <row r="53" spans="1:44" x14ac:dyDescent="0.35">
      <c r="A53" s="43" t="s">
        <v>25</v>
      </c>
      <c r="B53" s="43">
        <v>58</v>
      </c>
      <c r="C53" s="43">
        <v>4</v>
      </c>
      <c r="D53" s="43">
        <f t="shared" si="10"/>
        <v>5.1379310344827589</v>
      </c>
      <c r="E53" s="43">
        <f t="shared" si="11"/>
        <v>6.8965517241379309E-2</v>
      </c>
      <c r="F53" s="43" t="s">
        <v>392</v>
      </c>
      <c r="G53" s="3" t="s">
        <v>46</v>
      </c>
      <c r="H53" s="18">
        <v>298</v>
      </c>
      <c r="J53" s="43" t="s">
        <v>31</v>
      </c>
      <c r="K53" s="44">
        <v>47</v>
      </c>
      <c r="L53" s="43">
        <v>3</v>
      </c>
      <c r="M53" s="43">
        <f t="shared" si="12"/>
        <v>5.1063829787234045</v>
      </c>
      <c r="N53" s="43">
        <f t="shared" si="13"/>
        <v>6.3829787234042548E-2</v>
      </c>
      <c r="O53" s="43" t="s">
        <v>392</v>
      </c>
      <c r="P53" s="3" t="s">
        <v>54</v>
      </c>
      <c r="Q53" s="18">
        <v>240</v>
      </c>
      <c r="T53" t="s">
        <v>175</v>
      </c>
      <c r="U53">
        <v>5</v>
      </c>
      <c r="V53">
        <v>0</v>
      </c>
      <c r="W53">
        <v>5</v>
      </c>
      <c r="X53">
        <f t="shared" si="14"/>
        <v>0</v>
      </c>
      <c r="Z53" s="43" t="s">
        <v>31</v>
      </c>
      <c r="AA53" s="43">
        <v>47</v>
      </c>
      <c r="AB53" s="43">
        <f t="shared" si="15"/>
        <v>38</v>
      </c>
      <c r="AC53" s="43">
        <v>3</v>
      </c>
      <c r="AD53" s="43">
        <f t="shared" si="16"/>
        <v>3</v>
      </c>
      <c r="AE53" s="43">
        <f t="shared" si="17"/>
        <v>5.1063829787234045</v>
      </c>
      <c r="AF53" s="43">
        <f t="shared" si="18"/>
        <v>6.3829787234042548E-2</v>
      </c>
      <c r="AG53" s="2" t="s">
        <v>443</v>
      </c>
      <c r="AH53" s="18">
        <v>240</v>
      </c>
      <c r="AJ53" t="s">
        <v>31</v>
      </c>
      <c r="AK53">
        <v>9</v>
      </c>
      <c r="AL53">
        <v>0</v>
      </c>
      <c r="AM53">
        <v>5.33</v>
      </c>
      <c r="AN53">
        <f t="shared" si="19"/>
        <v>0</v>
      </c>
      <c r="AP53" s="43" t="s">
        <v>31</v>
      </c>
      <c r="AQ53" s="44">
        <v>47</v>
      </c>
      <c r="AR53" s="43">
        <v>3</v>
      </c>
    </row>
    <row r="54" spans="1:44" x14ac:dyDescent="0.35">
      <c r="A54" s="43" t="s">
        <v>117</v>
      </c>
      <c r="B54" s="44">
        <v>14</v>
      </c>
      <c r="C54" s="43">
        <v>2</v>
      </c>
      <c r="D54" s="43">
        <f t="shared" si="10"/>
        <v>5.1428571428571432</v>
      </c>
      <c r="E54" s="43">
        <f t="shared" si="11"/>
        <v>0.14285714285714285</v>
      </c>
      <c r="F54" s="43" t="s">
        <v>392</v>
      </c>
      <c r="G54" s="3" t="s">
        <v>69</v>
      </c>
      <c r="H54" s="18">
        <v>72</v>
      </c>
      <c r="J54" s="43" t="s">
        <v>25</v>
      </c>
      <c r="K54" s="43">
        <v>58</v>
      </c>
      <c r="L54" s="43">
        <v>4</v>
      </c>
      <c r="M54" s="43">
        <f t="shared" si="12"/>
        <v>5.1379310344827589</v>
      </c>
      <c r="N54" s="43">
        <f t="shared" si="13"/>
        <v>6.8965517241379309E-2</v>
      </c>
      <c r="O54" s="43" t="s">
        <v>392</v>
      </c>
      <c r="P54" s="3" t="s">
        <v>46</v>
      </c>
      <c r="Q54" s="18">
        <v>298</v>
      </c>
      <c r="T54" t="s">
        <v>197</v>
      </c>
      <c r="U54">
        <v>8</v>
      </c>
      <c r="V54">
        <v>0</v>
      </c>
      <c r="W54">
        <v>5</v>
      </c>
      <c r="X54">
        <f t="shared" si="14"/>
        <v>0</v>
      </c>
      <c r="Z54" s="43" t="s">
        <v>25</v>
      </c>
      <c r="AA54" s="43">
        <v>58</v>
      </c>
      <c r="AB54" s="43">
        <f t="shared" si="15"/>
        <v>16</v>
      </c>
      <c r="AC54" s="43">
        <v>4</v>
      </c>
      <c r="AD54" s="43">
        <f t="shared" si="16"/>
        <v>1</v>
      </c>
      <c r="AE54" s="43">
        <f t="shared" si="17"/>
        <v>5.1379310344827589</v>
      </c>
      <c r="AF54" s="43">
        <f t="shared" si="18"/>
        <v>6.8965517241379309E-2</v>
      </c>
      <c r="AG54" s="3" t="s">
        <v>54</v>
      </c>
      <c r="AH54" s="18">
        <v>298</v>
      </c>
      <c r="AJ54" t="s">
        <v>25</v>
      </c>
      <c r="AK54">
        <v>42</v>
      </c>
      <c r="AL54">
        <v>3</v>
      </c>
      <c r="AM54">
        <v>5</v>
      </c>
      <c r="AN54">
        <f t="shared" si="19"/>
        <v>7.1428571428571425E-2</v>
      </c>
      <c r="AP54" s="43" t="s">
        <v>25</v>
      </c>
      <c r="AQ54" s="43">
        <v>58</v>
      </c>
      <c r="AR54" s="43">
        <v>4</v>
      </c>
    </row>
    <row r="55" spans="1:44" x14ac:dyDescent="0.35">
      <c r="A55" s="43" t="s">
        <v>19</v>
      </c>
      <c r="B55" s="44">
        <v>12</v>
      </c>
      <c r="C55" s="43">
        <v>1</v>
      </c>
      <c r="D55" s="43">
        <f t="shared" si="10"/>
        <v>5.166666666666667</v>
      </c>
      <c r="E55" s="43">
        <f t="shared" si="11"/>
        <v>8.3333333333333329E-2</v>
      </c>
      <c r="F55" s="43" t="s">
        <v>392</v>
      </c>
      <c r="G55" s="3" t="s">
        <v>46</v>
      </c>
      <c r="H55" s="18">
        <v>62</v>
      </c>
      <c r="J55" s="43" t="s">
        <v>117</v>
      </c>
      <c r="K55" s="43">
        <v>14</v>
      </c>
      <c r="L55" s="43">
        <v>2</v>
      </c>
      <c r="M55" s="43">
        <f t="shared" si="12"/>
        <v>5.1428571428571432</v>
      </c>
      <c r="N55" s="43">
        <f t="shared" si="13"/>
        <v>0.14285714285714285</v>
      </c>
      <c r="O55" s="43" t="s">
        <v>392</v>
      </c>
      <c r="P55" s="3" t="s">
        <v>46</v>
      </c>
      <c r="Q55" s="18">
        <v>72</v>
      </c>
      <c r="T55" t="s">
        <v>123</v>
      </c>
      <c r="U55">
        <v>6</v>
      </c>
      <c r="V55">
        <v>0</v>
      </c>
      <c r="W55">
        <v>5</v>
      </c>
      <c r="X55">
        <f t="shared" si="14"/>
        <v>0</v>
      </c>
      <c r="Z55" s="43" t="s">
        <v>117</v>
      </c>
      <c r="AA55" s="43">
        <v>14</v>
      </c>
      <c r="AB55" s="43">
        <f t="shared" si="15"/>
        <v>5</v>
      </c>
      <c r="AC55" s="43">
        <v>2</v>
      </c>
      <c r="AD55" s="43">
        <f t="shared" si="16"/>
        <v>0</v>
      </c>
      <c r="AE55" s="43">
        <f t="shared" si="17"/>
        <v>5.1428571428571432</v>
      </c>
      <c r="AF55" s="43">
        <f t="shared" si="18"/>
        <v>0.14285714285714285</v>
      </c>
      <c r="AG55" s="3" t="s">
        <v>450</v>
      </c>
      <c r="AH55" s="18">
        <v>72</v>
      </c>
      <c r="AJ55" t="s">
        <v>117</v>
      </c>
      <c r="AK55">
        <v>9</v>
      </c>
      <c r="AL55">
        <v>2</v>
      </c>
      <c r="AM55">
        <v>4.2</v>
      </c>
      <c r="AN55">
        <f t="shared" si="19"/>
        <v>0.22222222222222221</v>
      </c>
      <c r="AP55" s="43" t="s">
        <v>117</v>
      </c>
      <c r="AQ55" s="43">
        <v>14</v>
      </c>
      <c r="AR55" s="43">
        <v>2</v>
      </c>
    </row>
    <row r="56" spans="1:44" x14ac:dyDescent="0.35">
      <c r="A56" s="43" t="s">
        <v>61</v>
      </c>
      <c r="B56" s="43">
        <v>10</v>
      </c>
      <c r="C56" s="43">
        <v>2</v>
      </c>
      <c r="D56" s="43">
        <f t="shared" si="10"/>
        <v>5.2</v>
      </c>
      <c r="E56" s="43">
        <f t="shared" si="11"/>
        <v>0.2</v>
      </c>
      <c r="F56" s="43" t="s">
        <v>392</v>
      </c>
      <c r="H56" s="18">
        <v>52</v>
      </c>
      <c r="J56" s="43" t="s">
        <v>19</v>
      </c>
      <c r="K56" s="43">
        <v>12</v>
      </c>
      <c r="L56" s="43">
        <v>1</v>
      </c>
      <c r="M56" s="43">
        <f t="shared" si="12"/>
        <v>5.166666666666667</v>
      </c>
      <c r="N56" s="43">
        <f t="shared" si="13"/>
        <v>8.3333333333333329E-2</v>
      </c>
      <c r="O56" s="43" t="s">
        <v>392</v>
      </c>
      <c r="P56" s="3" t="s">
        <v>46</v>
      </c>
      <c r="Q56" s="18">
        <v>62</v>
      </c>
      <c r="T56" t="s">
        <v>16</v>
      </c>
      <c r="U56">
        <v>7</v>
      </c>
      <c r="V56">
        <v>1</v>
      </c>
      <c r="W56">
        <v>5</v>
      </c>
      <c r="X56">
        <f t="shared" si="14"/>
        <v>0.14285714285714285</v>
      </c>
      <c r="Z56" s="43" t="s">
        <v>19</v>
      </c>
      <c r="AA56" s="43">
        <v>12</v>
      </c>
      <c r="AB56" s="43">
        <f t="shared" si="15"/>
        <v>4</v>
      </c>
      <c r="AC56" s="43">
        <v>1</v>
      </c>
      <c r="AD56" s="43">
        <f t="shared" si="16"/>
        <v>0</v>
      </c>
      <c r="AE56" s="43">
        <f t="shared" si="17"/>
        <v>5.166666666666667</v>
      </c>
      <c r="AF56" s="43">
        <f t="shared" si="18"/>
        <v>8.3333333333333329E-2</v>
      </c>
      <c r="AG56" s="2" t="s">
        <v>194</v>
      </c>
      <c r="AH56" s="18">
        <v>62</v>
      </c>
      <c r="AJ56" t="s">
        <v>19</v>
      </c>
      <c r="AK56">
        <v>8</v>
      </c>
      <c r="AL56">
        <v>1</v>
      </c>
      <c r="AM56">
        <v>5.5</v>
      </c>
      <c r="AN56">
        <f t="shared" si="19"/>
        <v>0.125</v>
      </c>
      <c r="AP56" s="43" t="s">
        <v>19</v>
      </c>
      <c r="AQ56" s="43">
        <v>12</v>
      </c>
      <c r="AR56" s="43">
        <v>1</v>
      </c>
    </row>
    <row r="57" spans="1:44" x14ac:dyDescent="0.35">
      <c r="A57" s="43" t="s">
        <v>79</v>
      </c>
      <c r="B57" s="43">
        <v>22</v>
      </c>
      <c r="C57" s="43">
        <v>0</v>
      </c>
      <c r="D57" s="43">
        <f t="shared" si="10"/>
        <v>5.2272727272727275</v>
      </c>
      <c r="E57" s="43">
        <f t="shared" si="11"/>
        <v>0</v>
      </c>
      <c r="F57" s="43" t="s">
        <v>392</v>
      </c>
      <c r="H57" s="18">
        <v>115</v>
      </c>
      <c r="J57" s="43" t="s">
        <v>61</v>
      </c>
      <c r="K57" s="43">
        <v>10</v>
      </c>
      <c r="L57" s="43">
        <v>2</v>
      </c>
      <c r="M57" s="43">
        <f t="shared" si="12"/>
        <v>5.2</v>
      </c>
      <c r="N57" s="43">
        <f t="shared" si="13"/>
        <v>0.2</v>
      </c>
      <c r="O57" s="43" t="s">
        <v>392</v>
      </c>
      <c r="P57" s="3" t="s">
        <v>46</v>
      </c>
      <c r="Q57" s="18">
        <v>52</v>
      </c>
      <c r="T57" t="s">
        <v>51</v>
      </c>
      <c r="U57">
        <v>19</v>
      </c>
      <c r="V57">
        <v>1</v>
      </c>
      <c r="W57">
        <v>5.05</v>
      </c>
      <c r="X57">
        <f t="shared" si="14"/>
        <v>5.2631578947368418E-2</v>
      </c>
      <c r="Z57" s="43" t="s">
        <v>61</v>
      </c>
      <c r="AA57" s="43">
        <v>10</v>
      </c>
      <c r="AB57" s="43">
        <f t="shared" si="15"/>
        <v>5</v>
      </c>
      <c r="AC57" s="43">
        <v>2</v>
      </c>
      <c r="AD57" s="43">
        <f t="shared" si="16"/>
        <v>1</v>
      </c>
      <c r="AE57" s="43">
        <f t="shared" si="17"/>
        <v>5.2</v>
      </c>
      <c r="AF57" s="43">
        <f t="shared" si="18"/>
        <v>0.2</v>
      </c>
      <c r="AG57" s="3" t="s">
        <v>451</v>
      </c>
      <c r="AH57" s="18">
        <v>52</v>
      </c>
      <c r="AJ57" t="s">
        <v>361</v>
      </c>
      <c r="AK57">
        <v>5</v>
      </c>
      <c r="AL57">
        <v>1</v>
      </c>
      <c r="AM57">
        <v>4</v>
      </c>
      <c r="AN57">
        <f t="shared" si="19"/>
        <v>0.2</v>
      </c>
      <c r="AP57" s="43" t="s">
        <v>61</v>
      </c>
      <c r="AQ57" s="43">
        <v>10</v>
      </c>
      <c r="AR57" s="43">
        <v>2</v>
      </c>
    </row>
    <row r="58" spans="1:44" x14ac:dyDescent="0.35">
      <c r="A58" s="43" t="s">
        <v>99</v>
      </c>
      <c r="B58" s="44">
        <v>16</v>
      </c>
      <c r="C58" s="43">
        <v>2</v>
      </c>
      <c r="D58" s="43">
        <f t="shared" si="10"/>
        <v>5.25</v>
      </c>
      <c r="E58" s="43">
        <f t="shared" si="11"/>
        <v>0.125</v>
      </c>
      <c r="F58" s="43" t="s">
        <v>392</v>
      </c>
      <c r="G58" s="3" t="s">
        <v>381</v>
      </c>
      <c r="H58" s="18">
        <v>84</v>
      </c>
      <c r="J58" s="43" t="s">
        <v>79</v>
      </c>
      <c r="K58" s="43">
        <v>22</v>
      </c>
      <c r="L58" s="43">
        <v>0</v>
      </c>
      <c r="M58" s="43">
        <f t="shared" si="12"/>
        <v>5.2272727272727275</v>
      </c>
      <c r="N58" s="43">
        <f t="shared" si="13"/>
        <v>0</v>
      </c>
      <c r="O58" s="43" t="s">
        <v>392</v>
      </c>
      <c r="P58" s="3" t="s">
        <v>46</v>
      </c>
      <c r="Q58" s="18">
        <v>115</v>
      </c>
      <c r="T58" t="s">
        <v>49</v>
      </c>
      <c r="U58">
        <v>7</v>
      </c>
      <c r="V58">
        <v>1</v>
      </c>
      <c r="W58">
        <v>5.14</v>
      </c>
      <c r="X58">
        <f t="shared" si="14"/>
        <v>0.14285714285714285</v>
      </c>
      <c r="Z58" s="43" t="s">
        <v>79</v>
      </c>
      <c r="AA58" s="43">
        <v>22</v>
      </c>
      <c r="AB58" s="43">
        <f t="shared" si="15"/>
        <v>7</v>
      </c>
      <c r="AC58" s="43">
        <v>0</v>
      </c>
      <c r="AD58" s="43">
        <f t="shared" si="16"/>
        <v>0</v>
      </c>
      <c r="AE58" s="43">
        <f t="shared" si="17"/>
        <v>5.2272727272727275</v>
      </c>
      <c r="AF58" s="43">
        <f t="shared" si="18"/>
        <v>0</v>
      </c>
      <c r="AG58" s="2" t="s">
        <v>161</v>
      </c>
      <c r="AH58" s="18">
        <v>115</v>
      </c>
      <c r="AJ58" t="s">
        <v>79</v>
      </c>
      <c r="AK58">
        <v>15</v>
      </c>
      <c r="AL58">
        <v>0</v>
      </c>
      <c r="AM58">
        <v>5.33</v>
      </c>
      <c r="AN58">
        <f t="shared" si="19"/>
        <v>0</v>
      </c>
      <c r="AP58" s="43" t="s">
        <v>79</v>
      </c>
      <c r="AQ58" s="43">
        <v>22</v>
      </c>
      <c r="AR58" s="43">
        <v>0</v>
      </c>
    </row>
    <row r="59" spans="1:44" x14ac:dyDescent="0.35">
      <c r="A59" s="43" t="s">
        <v>6</v>
      </c>
      <c r="B59" s="43">
        <v>40</v>
      </c>
      <c r="C59" s="43">
        <v>3</v>
      </c>
      <c r="D59" s="43">
        <f t="shared" si="10"/>
        <v>5.3250000000000002</v>
      </c>
      <c r="E59" s="43">
        <f t="shared" si="11"/>
        <v>7.4999999999999997E-2</v>
      </c>
      <c r="F59" s="43" t="s">
        <v>392</v>
      </c>
      <c r="H59" s="18">
        <v>213</v>
      </c>
      <c r="J59" s="43" t="s">
        <v>6</v>
      </c>
      <c r="K59" s="44">
        <v>41</v>
      </c>
      <c r="L59" s="43">
        <v>3</v>
      </c>
      <c r="M59" s="43">
        <f t="shared" si="12"/>
        <v>5.2439024390243905</v>
      </c>
      <c r="N59" s="43">
        <f t="shared" si="13"/>
        <v>7.3170731707317069E-2</v>
      </c>
      <c r="O59" s="43" t="s">
        <v>392</v>
      </c>
      <c r="Q59" s="18">
        <v>215</v>
      </c>
      <c r="T59" t="s">
        <v>17</v>
      </c>
      <c r="U59">
        <v>6</v>
      </c>
      <c r="V59">
        <v>1</v>
      </c>
      <c r="W59">
        <v>5.17</v>
      </c>
      <c r="X59">
        <f t="shared" si="14"/>
        <v>0.16666666666666666</v>
      </c>
      <c r="Z59" s="43" t="s">
        <v>6</v>
      </c>
      <c r="AA59" s="43">
        <v>41</v>
      </c>
      <c r="AB59" s="43">
        <f t="shared" si="15"/>
        <v>3</v>
      </c>
      <c r="AC59" s="43">
        <v>3</v>
      </c>
      <c r="AD59" s="43">
        <f t="shared" si="16"/>
        <v>0</v>
      </c>
      <c r="AE59" s="43">
        <f t="shared" si="17"/>
        <v>5.2439024390243905</v>
      </c>
      <c r="AF59" s="43">
        <f t="shared" si="18"/>
        <v>7.3170731707317069E-2</v>
      </c>
      <c r="AG59" s="2" t="s">
        <v>132</v>
      </c>
      <c r="AH59" s="18">
        <v>215</v>
      </c>
      <c r="AJ59" t="s">
        <v>6</v>
      </c>
      <c r="AK59">
        <v>38</v>
      </c>
      <c r="AL59">
        <v>3</v>
      </c>
      <c r="AM59">
        <v>5.42</v>
      </c>
      <c r="AN59">
        <f t="shared" si="19"/>
        <v>7.8947368421052627E-2</v>
      </c>
      <c r="AP59" s="43" t="s">
        <v>6</v>
      </c>
      <c r="AQ59" s="44">
        <v>41</v>
      </c>
      <c r="AR59" s="43">
        <v>3</v>
      </c>
    </row>
    <row r="60" spans="1:44" x14ac:dyDescent="0.35">
      <c r="A60" s="43" t="s">
        <v>34</v>
      </c>
      <c r="B60" s="43">
        <v>12</v>
      </c>
      <c r="C60" s="43">
        <v>1</v>
      </c>
      <c r="D60" s="43">
        <f t="shared" si="10"/>
        <v>5.333333333333333</v>
      </c>
      <c r="E60" s="43">
        <f t="shared" si="11"/>
        <v>8.3333333333333329E-2</v>
      </c>
      <c r="F60" s="43" t="s">
        <v>392</v>
      </c>
      <c r="H60" s="18">
        <v>64</v>
      </c>
      <c r="J60" s="43" t="s">
        <v>99</v>
      </c>
      <c r="K60" s="43">
        <v>16</v>
      </c>
      <c r="L60" s="43">
        <v>2</v>
      </c>
      <c r="M60" s="43">
        <f t="shared" si="12"/>
        <v>5.25</v>
      </c>
      <c r="N60" s="43">
        <f t="shared" si="13"/>
        <v>0.125</v>
      </c>
      <c r="O60" s="43" t="s">
        <v>392</v>
      </c>
      <c r="P60" s="3" t="s">
        <v>45</v>
      </c>
      <c r="Q60" s="18">
        <v>84</v>
      </c>
      <c r="T60" t="s">
        <v>110</v>
      </c>
      <c r="U60">
        <v>6</v>
      </c>
      <c r="V60">
        <v>0</v>
      </c>
      <c r="W60">
        <v>5.17</v>
      </c>
      <c r="X60">
        <f t="shared" si="14"/>
        <v>0</v>
      </c>
      <c r="Z60" s="43" t="s">
        <v>99</v>
      </c>
      <c r="AA60" s="43">
        <v>16</v>
      </c>
      <c r="AB60" s="43">
        <f t="shared" si="15"/>
        <v>6</v>
      </c>
      <c r="AC60" s="43">
        <v>2</v>
      </c>
      <c r="AD60" s="43">
        <f t="shared" si="16"/>
        <v>0</v>
      </c>
      <c r="AE60" s="43">
        <f t="shared" si="17"/>
        <v>5.25</v>
      </c>
      <c r="AF60" s="43">
        <f t="shared" si="18"/>
        <v>0.125</v>
      </c>
      <c r="AG60" s="3" t="s">
        <v>187</v>
      </c>
      <c r="AH60" s="18">
        <v>84</v>
      </c>
      <c r="AJ60" t="s">
        <v>99</v>
      </c>
      <c r="AK60">
        <v>10</v>
      </c>
      <c r="AL60">
        <v>2</v>
      </c>
      <c r="AM60">
        <v>4.7</v>
      </c>
      <c r="AN60">
        <f t="shared" si="19"/>
        <v>0.2</v>
      </c>
      <c r="AP60" s="43" t="s">
        <v>99</v>
      </c>
      <c r="AQ60" s="43">
        <v>16</v>
      </c>
      <c r="AR60" s="43">
        <v>2</v>
      </c>
    </row>
    <row r="61" spans="1:44" x14ac:dyDescent="0.35">
      <c r="A61" s="43" t="s">
        <v>105</v>
      </c>
      <c r="B61" s="43">
        <v>11</v>
      </c>
      <c r="C61" s="43">
        <v>0</v>
      </c>
      <c r="D61" s="43">
        <f t="shared" si="10"/>
        <v>5.3636363636363633</v>
      </c>
      <c r="E61" s="43">
        <f t="shared" si="11"/>
        <v>0</v>
      </c>
      <c r="F61" s="43" t="s">
        <v>392</v>
      </c>
      <c r="H61" s="18">
        <v>59</v>
      </c>
      <c r="J61" s="43" t="s">
        <v>34</v>
      </c>
      <c r="K61" s="43">
        <v>12</v>
      </c>
      <c r="L61" s="43">
        <v>1</v>
      </c>
      <c r="M61" s="43">
        <f t="shared" si="12"/>
        <v>5.333333333333333</v>
      </c>
      <c r="N61" s="43">
        <f t="shared" si="13"/>
        <v>8.3333333333333329E-2</v>
      </c>
      <c r="O61" s="43" t="s">
        <v>392</v>
      </c>
      <c r="P61" s="3" t="s">
        <v>46</v>
      </c>
      <c r="Q61" s="18">
        <v>64</v>
      </c>
      <c r="T61" t="s">
        <v>87</v>
      </c>
      <c r="U61">
        <v>5</v>
      </c>
      <c r="V61">
        <v>0</v>
      </c>
      <c r="W61">
        <v>5.2</v>
      </c>
      <c r="X61">
        <f t="shared" si="14"/>
        <v>0</v>
      </c>
      <c r="Z61" s="43" t="s">
        <v>34</v>
      </c>
      <c r="AA61" s="43">
        <v>12</v>
      </c>
      <c r="AB61" s="43">
        <f t="shared" si="15"/>
        <v>7</v>
      </c>
      <c r="AC61" s="43">
        <v>1</v>
      </c>
      <c r="AD61" s="43">
        <f t="shared" si="16"/>
        <v>0</v>
      </c>
      <c r="AE61" s="43">
        <f t="shared" si="17"/>
        <v>5.333333333333333</v>
      </c>
      <c r="AF61" s="43">
        <f t="shared" si="18"/>
        <v>8.3333333333333329E-2</v>
      </c>
      <c r="AG61" s="3" t="s">
        <v>84</v>
      </c>
      <c r="AH61" s="18">
        <v>64</v>
      </c>
      <c r="AJ61" t="s">
        <v>34</v>
      </c>
      <c r="AK61">
        <v>5</v>
      </c>
      <c r="AL61">
        <v>1</v>
      </c>
      <c r="AM61">
        <v>5</v>
      </c>
      <c r="AN61">
        <f t="shared" si="19"/>
        <v>0.2</v>
      </c>
      <c r="AP61" s="43" t="s">
        <v>34</v>
      </c>
      <c r="AQ61" s="43">
        <v>12</v>
      </c>
      <c r="AR61" s="43">
        <v>1</v>
      </c>
    </row>
    <row r="62" spans="1:44" x14ac:dyDescent="0.35">
      <c r="A62" s="45" t="s">
        <v>90</v>
      </c>
      <c r="B62" s="46">
        <v>27</v>
      </c>
      <c r="C62" s="45">
        <v>3</v>
      </c>
      <c r="D62" s="45">
        <f t="shared" si="10"/>
        <v>5.4074074074074074</v>
      </c>
      <c r="E62" s="45">
        <f t="shared" si="11"/>
        <v>0.1111111111111111</v>
      </c>
      <c r="F62" s="45" t="s">
        <v>392</v>
      </c>
      <c r="G62" s="3" t="s">
        <v>55</v>
      </c>
      <c r="H62" s="18">
        <v>146</v>
      </c>
      <c r="J62" s="43" t="s">
        <v>105</v>
      </c>
      <c r="K62" s="43">
        <v>11</v>
      </c>
      <c r="L62" s="43">
        <v>0</v>
      </c>
      <c r="M62" s="43">
        <f t="shared" si="12"/>
        <v>5.3636363636363633</v>
      </c>
      <c r="N62" s="43">
        <f t="shared" si="13"/>
        <v>0</v>
      </c>
      <c r="O62" s="43" t="s">
        <v>392</v>
      </c>
      <c r="P62" s="3" t="s">
        <v>46</v>
      </c>
      <c r="Q62" s="18">
        <v>59</v>
      </c>
      <c r="T62" t="s">
        <v>1</v>
      </c>
      <c r="U62">
        <v>25</v>
      </c>
      <c r="V62">
        <v>1</v>
      </c>
      <c r="W62">
        <v>5.2</v>
      </c>
      <c r="X62">
        <f t="shared" si="14"/>
        <v>0.04</v>
      </c>
      <c r="Z62" s="43" t="s">
        <v>105</v>
      </c>
      <c r="AA62" s="43">
        <v>11</v>
      </c>
      <c r="AB62" s="43">
        <f t="shared" si="15"/>
        <v>6</v>
      </c>
      <c r="AC62" s="43">
        <v>0</v>
      </c>
      <c r="AD62" s="43">
        <f t="shared" si="16"/>
        <v>0</v>
      </c>
      <c r="AE62" s="43">
        <f t="shared" si="17"/>
        <v>5.3636363636363633</v>
      </c>
      <c r="AF62" s="43">
        <f t="shared" si="18"/>
        <v>0</v>
      </c>
      <c r="AG62" s="2" t="s">
        <v>132</v>
      </c>
      <c r="AH62" s="18">
        <v>59</v>
      </c>
      <c r="AJ62" t="s">
        <v>105</v>
      </c>
      <c r="AK62">
        <v>5</v>
      </c>
      <c r="AL62">
        <v>0</v>
      </c>
      <c r="AM62">
        <v>5.6</v>
      </c>
      <c r="AN62">
        <f t="shared" si="19"/>
        <v>0</v>
      </c>
      <c r="AP62" s="43" t="s">
        <v>105</v>
      </c>
      <c r="AQ62" s="43">
        <v>11</v>
      </c>
      <c r="AR62" s="43">
        <v>0</v>
      </c>
    </row>
    <row r="63" spans="1:44" x14ac:dyDescent="0.35">
      <c r="A63" s="45" t="s">
        <v>82</v>
      </c>
      <c r="B63" s="45">
        <v>12</v>
      </c>
      <c r="C63" s="45">
        <v>0</v>
      </c>
      <c r="D63" s="45">
        <f t="shared" si="10"/>
        <v>5.416666666666667</v>
      </c>
      <c r="E63" s="45">
        <f t="shared" si="11"/>
        <v>0</v>
      </c>
      <c r="F63" s="45" t="s">
        <v>392</v>
      </c>
      <c r="G63" s="3" t="s">
        <v>46</v>
      </c>
      <c r="H63" s="18">
        <v>65</v>
      </c>
      <c r="J63" s="53" t="s">
        <v>90</v>
      </c>
      <c r="K63" s="53">
        <v>27</v>
      </c>
      <c r="L63" s="53">
        <v>3</v>
      </c>
      <c r="M63" s="53">
        <f t="shared" si="12"/>
        <v>5.4074074074074074</v>
      </c>
      <c r="N63" s="53">
        <f t="shared" si="13"/>
        <v>0.1111111111111111</v>
      </c>
      <c r="O63" s="53" t="s">
        <v>392</v>
      </c>
      <c r="P63" s="3" t="s">
        <v>46</v>
      </c>
      <c r="Q63" s="18">
        <v>146</v>
      </c>
      <c r="T63" t="s">
        <v>31</v>
      </c>
      <c r="U63">
        <v>9</v>
      </c>
      <c r="V63">
        <v>0</v>
      </c>
      <c r="W63">
        <v>5.33</v>
      </c>
      <c r="X63">
        <f t="shared" si="14"/>
        <v>0</v>
      </c>
      <c r="Z63" s="53" t="s">
        <v>90</v>
      </c>
      <c r="AA63" s="53">
        <v>27</v>
      </c>
      <c r="AB63" s="53">
        <f t="shared" si="15"/>
        <v>16</v>
      </c>
      <c r="AC63" s="53">
        <v>3</v>
      </c>
      <c r="AD63" s="53">
        <f t="shared" si="16"/>
        <v>2</v>
      </c>
      <c r="AE63" s="53">
        <f t="shared" si="17"/>
        <v>5.4074074074074074</v>
      </c>
      <c r="AF63" s="53">
        <f t="shared" si="18"/>
        <v>0.1111111111111111</v>
      </c>
      <c r="AG63" s="2" t="s">
        <v>441</v>
      </c>
      <c r="AH63" s="18">
        <v>146</v>
      </c>
      <c r="AJ63" t="s">
        <v>90</v>
      </c>
      <c r="AK63">
        <v>11</v>
      </c>
      <c r="AL63">
        <v>1</v>
      </c>
      <c r="AM63">
        <v>6.45</v>
      </c>
      <c r="AN63">
        <f t="shared" si="19"/>
        <v>9.0909090909090912E-2</v>
      </c>
      <c r="AP63" s="53" t="s">
        <v>90</v>
      </c>
      <c r="AQ63" s="53">
        <v>27</v>
      </c>
      <c r="AR63" s="53">
        <v>3</v>
      </c>
    </row>
    <row r="64" spans="1:44" x14ac:dyDescent="0.35">
      <c r="A64" s="45" t="s">
        <v>49</v>
      </c>
      <c r="B64" s="46">
        <v>19</v>
      </c>
      <c r="C64" s="45">
        <v>2</v>
      </c>
      <c r="D64" s="45">
        <f t="shared" si="10"/>
        <v>5.4210526315789478</v>
      </c>
      <c r="E64" s="45">
        <f t="shared" si="11"/>
        <v>0.10526315789473684</v>
      </c>
      <c r="F64" s="45" t="s">
        <v>392</v>
      </c>
      <c r="H64" s="18">
        <v>103</v>
      </c>
      <c r="J64" s="53" t="s">
        <v>82</v>
      </c>
      <c r="K64" s="53">
        <v>12</v>
      </c>
      <c r="L64" s="53">
        <v>0</v>
      </c>
      <c r="M64" s="53">
        <f t="shared" si="12"/>
        <v>5.416666666666667</v>
      </c>
      <c r="N64" s="53">
        <f t="shared" si="13"/>
        <v>0</v>
      </c>
      <c r="O64" s="53" t="s">
        <v>392</v>
      </c>
      <c r="P64" s="3" t="s">
        <v>46</v>
      </c>
      <c r="Q64" s="18">
        <v>65</v>
      </c>
      <c r="T64" t="s">
        <v>79</v>
      </c>
      <c r="U64">
        <v>15</v>
      </c>
      <c r="V64">
        <v>0</v>
      </c>
      <c r="W64">
        <v>5.33</v>
      </c>
      <c r="X64">
        <f t="shared" si="14"/>
        <v>0</v>
      </c>
      <c r="Z64" s="53" t="s">
        <v>82</v>
      </c>
      <c r="AA64" s="53">
        <v>12</v>
      </c>
      <c r="AB64" s="53">
        <f t="shared" si="15"/>
        <v>6</v>
      </c>
      <c r="AC64" s="53">
        <v>0</v>
      </c>
      <c r="AD64" s="53">
        <f t="shared" si="16"/>
        <v>0</v>
      </c>
      <c r="AE64" s="53">
        <f t="shared" si="17"/>
        <v>5.416666666666667</v>
      </c>
      <c r="AF64" s="53">
        <f t="shared" si="18"/>
        <v>0</v>
      </c>
      <c r="AG64" s="2" t="s">
        <v>194</v>
      </c>
      <c r="AH64" s="18">
        <v>65</v>
      </c>
      <c r="AJ64" t="s">
        <v>82</v>
      </c>
      <c r="AK64">
        <v>6</v>
      </c>
      <c r="AL64">
        <v>0</v>
      </c>
      <c r="AM64">
        <v>6</v>
      </c>
      <c r="AN64">
        <f t="shared" si="19"/>
        <v>0</v>
      </c>
      <c r="AP64" s="53" t="s">
        <v>82</v>
      </c>
      <c r="AQ64" s="53">
        <v>12</v>
      </c>
      <c r="AR64" s="53">
        <v>0</v>
      </c>
    </row>
    <row r="65" spans="1:44" x14ac:dyDescent="0.35">
      <c r="A65" s="45" t="s">
        <v>33</v>
      </c>
      <c r="B65" s="46">
        <v>25</v>
      </c>
      <c r="C65" s="45">
        <v>1</v>
      </c>
      <c r="D65" s="45">
        <f t="shared" si="10"/>
        <v>5.48</v>
      </c>
      <c r="E65" s="45">
        <f t="shared" si="11"/>
        <v>0.04</v>
      </c>
      <c r="F65" s="45" t="s">
        <v>392</v>
      </c>
      <c r="G65" s="3" t="s">
        <v>430</v>
      </c>
      <c r="H65" s="18">
        <v>137</v>
      </c>
      <c r="J65" s="53" t="s">
        <v>49</v>
      </c>
      <c r="K65" s="54">
        <v>20</v>
      </c>
      <c r="L65" s="53">
        <v>2</v>
      </c>
      <c r="M65" s="53">
        <f t="shared" si="12"/>
        <v>5.45</v>
      </c>
      <c r="N65" s="53">
        <f t="shared" si="13"/>
        <v>0.1</v>
      </c>
      <c r="O65" s="53" t="s">
        <v>392</v>
      </c>
      <c r="P65" s="3" t="s">
        <v>46</v>
      </c>
      <c r="Q65" s="18">
        <v>109</v>
      </c>
      <c r="T65" t="s">
        <v>137</v>
      </c>
      <c r="U65">
        <v>6</v>
      </c>
      <c r="V65">
        <v>0</v>
      </c>
      <c r="W65">
        <v>5.33</v>
      </c>
      <c r="X65">
        <f t="shared" si="14"/>
        <v>0</v>
      </c>
      <c r="Z65" s="53" t="s">
        <v>49</v>
      </c>
      <c r="AA65" s="53">
        <v>20</v>
      </c>
      <c r="AB65" s="53">
        <f t="shared" si="15"/>
        <v>13</v>
      </c>
      <c r="AC65" s="53">
        <v>2</v>
      </c>
      <c r="AD65" s="53">
        <f t="shared" si="16"/>
        <v>1</v>
      </c>
      <c r="AE65" s="53">
        <f t="shared" si="17"/>
        <v>5.45</v>
      </c>
      <c r="AF65" s="53">
        <f t="shared" si="18"/>
        <v>0.1</v>
      </c>
      <c r="AG65" s="3" t="s">
        <v>69</v>
      </c>
      <c r="AH65" s="18">
        <v>109</v>
      </c>
      <c r="AJ65" t="s">
        <v>49</v>
      </c>
      <c r="AK65">
        <v>7</v>
      </c>
      <c r="AL65">
        <v>1</v>
      </c>
      <c r="AM65">
        <v>5.14</v>
      </c>
      <c r="AN65">
        <f t="shared" si="19"/>
        <v>0.14285714285714285</v>
      </c>
      <c r="AP65" s="53" t="s">
        <v>49</v>
      </c>
      <c r="AQ65" s="54">
        <v>20</v>
      </c>
      <c r="AR65" s="53">
        <v>2</v>
      </c>
    </row>
    <row r="66" spans="1:44" x14ac:dyDescent="0.35">
      <c r="A66" s="45" t="s">
        <v>28</v>
      </c>
      <c r="B66" s="45">
        <v>13</v>
      </c>
      <c r="C66" s="45">
        <v>0</v>
      </c>
      <c r="D66" s="45">
        <f t="shared" ref="D66:D71" si="20">H66/B66</f>
        <v>5.5384615384615383</v>
      </c>
      <c r="E66" s="45">
        <f t="shared" ref="E66:E71" si="21">C66/B66</f>
        <v>0</v>
      </c>
      <c r="F66" s="45" t="s">
        <v>392</v>
      </c>
      <c r="G66" s="3" t="s">
        <v>46</v>
      </c>
      <c r="H66" s="18">
        <v>72</v>
      </c>
      <c r="J66" s="53" t="s">
        <v>33</v>
      </c>
      <c r="K66" s="53">
        <v>25</v>
      </c>
      <c r="L66" s="53">
        <v>1</v>
      </c>
      <c r="M66" s="53">
        <f t="shared" ref="M66:M73" si="22">Q66/K66</f>
        <v>5.48</v>
      </c>
      <c r="N66" s="53">
        <f t="shared" ref="N66:N73" si="23">L66/K66</f>
        <v>0.04</v>
      </c>
      <c r="O66" s="53" t="s">
        <v>392</v>
      </c>
      <c r="P66" s="3" t="s">
        <v>426</v>
      </c>
      <c r="Q66" s="18">
        <v>137</v>
      </c>
      <c r="T66" t="s">
        <v>6</v>
      </c>
      <c r="U66">
        <v>38</v>
      </c>
      <c r="V66">
        <v>3</v>
      </c>
      <c r="W66">
        <v>5.42</v>
      </c>
      <c r="X66">
        <f t="shared" ref="X66:X78" si="24">V66/U66</f>
        <v>7.8947368421052627E-2</v>
      </c>
      <c r="Z66" s="53" t="s">
        <v>33</v>
      </c>
      <c r="AA66" s="53">
        <v>25</v>
      </c>
      <c r="AB66" s="53">
        <f t="shared" ref="AB66:AB73" si="25">AQ66-AK66</f>
        <v>15</v>
      </c>
      <c r="AC66" s="53">
        <v>1</v>
      </c>
      <c r="AD66" s="53">
        <f t="shared" ref="AD66:AD73" si="26">AR66-AL66</f>
        <v>1</v>
      </c>
      <c r="AE66" s="53">
        <f t="shared" ref="AE66:AE73" si="27">AH66/AA66</f>
        <v>5.48</v>
      </c>
      <c r="AF66" s="53">
        <f t="shared" ref="AF66:AF73" si="28">AC66/AA66</f>
        <v>0.04</v>
      </c>
      <c r="AG66" s="2" t="s">
        <v>194</v>
      </c>
      <c r="AH66" s="18">
        <v>137</v>
      </c>
      <c r="AJ66" t="s">
        <v>33</v>
      </c>
      <c r="AK66">
        <v>10</v>
      </c>
      <c r="AL66">
        <v>0</v>
      </c>
      <c r="AM66">
        <v>6.2</v>
      </c>
      <c r="AN66">
        <f t="shared" ref="AN66:AN73" si="29">AL66/AK66</f>
        <v>0</v>
      </c>
      <c r="AP66" s="53" t="s">
        <v>33</v>
      </c>
      <c r="AQ66" s="53">
        <v>25</v>
      </c>
      <c r="AR66" s="53">
        <v>1</v>
      </c>
    </row>
    <row r="67" spans="1:44" x14ac:dyDescent="0.35">
      <c r="A67" s="45" t="s">
        <v>17</v>
      </c>
      <c r="B67" s="46">
        <v>11</v>
      </c>
      <c r="C67" s="45">
        <v>1</v>
      </c>
      <c r="D67" s="45">
        <f t="shared" si="20"/>
        <v>5.5454545454545459</v>
      </c>
      <c r="E67" s="45">
        <f t="shared" si="21"/>
        <v>9.0909090909090912E-2</v>
      </c>
      <c r="F67" s="45" t="s">
        <v>392</v>
      </c>
      <c r="G67" s="52" t="s">
        <v>431</v>
      </c>
      <c r="H67" s="18">
        <v>61</v>
      </c>
      <c r="J67" s="53" t="s">
        <v>28</v>
      </c>
      <c r="K67" s="53">
        <v>13</v>
      </c>
      <c r="L67" s="53">
        <v>0</v>
      </c>
      <c r="M67" s="53">
        <f t="shared" si="22"/>
        <v>5.5384615384615383</v>
      </c>
      <c r="N67" s="53">
        <f t="shared" si="23"/>
        <v>0</v>
      </c>
      <c r="O67" s="53" t="s">
        <v>392</v>
      </c>
      <c r="P67" s="3" t="s">
        <v>46</v>
      </c>
      <c r="Q67" s="18">
        <v>72</v>
      </c>
      <c r="T67" t="s">
        <v>19</v>
      </c>
      <c r="U67">
        <v>8</v>
      </c>
      <c r="V67">
        <v>1</v>
      </c>
      <c r="W67">
        <v>5.5</v>
      </c>
      <c r="X67">
        <f t="shared" si="24"/>
        <v>0.125</v>
      </c>
      <c r="Z67" s="53" t="s">
        <v>28</v>
      </c>
      <c r="AA67" s="53">
        <v>13</v>
      </c>
      <c r="AB67" s="53">
        <f t="shared" si="25"/>
        <v>8</v>
      </c>
      <c r="AC67" s="53">
        <v>0</v>
      </c>
      <c r="AD67" s="53">
        <f t="shared" si="26"/>
        <v>0</v>
      </c>
      <c r="AE67" s="53">
        <f t="shared" si="27"/>
        <v>5.5384615384615383</v>
      </c>
      <c r="AF67" s="53">
        <f t="shared" si="28"/>
        <v>0</v>
      </c>
      <c r="AG67" s="3" t="s">
        <v>452</v>
      </c>
      <c r="AH67" s="18">
        <v>72</v>
      </c>
      <c r="AJ67" t="s">
        <v>28</v>
      </c>
      <c r="AK67">
        <v>5</v>
      </c>
      <c r="AL67">
        <v>0</v>
      </c>
      <c r="AM67">
        <v>4.2</v>
      </c>
      <c r="AN67">
        <f t="shared" si="29"/>
        <v>0</v>
      </c>
      <c r="AP67" s="53" t="s">
        <v>28</v>
      </c>
      <c r="AQ67" s="53">
        <v>13</v>
      </c>
      <c r="AR67" s="53">
        <v>0</v>
      </c>
    </row>
    <row r="68" spans="1:44" x14ac:dyDescent="0.35">
      <c r="A68" s="45" t="s">
        <v>110</v>
      </c>
      <c r="B68" s="45">
        <v>11</v>
      </c>
      <c r="C68" s="45">
        <v>0</v>
      </c>
      <c r="D68" s="45">
        <f t="shared" si="20"/>
        <v>5.5454545454545459</v>
      </c>
      <c r="E68" s="45">
        <f t="shared" si="21"/>
        <v>0</v>
      </c>
      <c r="F68" s="45" t="s">
        <v>392</v>
      </c>
      <c r="G68" s="3" t="s">
        <v>45</v>
      </c>
      <c r="H68" s="18">
        <v>61</v>
      </c>
      <c r="J68" s="53" t="s">
        <v>17</v>
      </c>
      <c r="K68" s="53">
        <v>11</v>
      </c>
      <c r="L68" s="53">
        <v>1</v>
      </c>
      <c r="M68" s="53">
        <f t="shared" si="22"/>
        <v>5.5454545454545459</v>
      </c>
      <c r="N68" s="53">
        <f t="shared" si="23"/>
        <v>9.0909090909090912E-2</v>
      </c>
      <c r="O68" s="53" t="s">
        <v>392</v>
      </c>
      <c r="P68" s="3" t="s">
        <v>46</v>
      </c>
      <c r="Q68" s="18">
        <v>61</v>
      </c>
      <c r="T68" t="s">
        <v>124</v>
      </c>
      <c r="U68">
        <v>6</v>
      </c>
      <c r="V68">
        <v>0</v>
      </c>
      <c r="W68">
        <v>5.5</v>
      </c>
      <c r="X68">
        <f t="shared" si="24"/>
        <v>0</v>
      </c>
      <c r="Z68" s="53" t="s">
        <v>17</v>
      </c>
      <c r="AA68" s="53">
        <v>11</v>
      </c>
      <c r="AB68" s="53">
        <f t="shared" si="25"/>
        <v>5</v>
      </c>
      <c r="AC68" s="53">
        <v>1</v>
      </c>
      <c r="AD68" s="53">
        <f t="shared" si="26"/>
        <v>0</v>
      </c>
      <c r="AE68" s="53">
        <f t="shared" si="27"/>
        <v>5.5454545454545459</v>
      </c>
      <c r="AF68" s="53">
        <f t="shared" si="28"/>
        <v>9.0909090909090912E-2</v>
      </c>
      <c r="AG68" s="3" t="s">
        <v>84</v>
      </c>
      <c r="AH68" s="18">
        <v>61</v>
      </c>
      <c r="AJ68" t="s">
        <v>17</v>
      </c>
      <c r="AK68">
        <v>6</v>
      </c>
      <c r="AL68">
        <v>1</v>
      </c>
      <c r="AM68">
        <v>5.17</v>
      </c>
      <c r="AN68">
        <f t="shared" si="29"/>
        <v>0.16666666666666666</v>
      </c>
      <c r="AP68" s="53" t="s">
        <v>17</v>
      </c>
      <c r="AQ68" s="53">
        <v>11</v>
      </c>
      <c r="AR68" s="53">
        <v>1</v>
      </c>
    </row>
    <row r="69" spans="1:44" x14ac:dyDescent="0.35">
      <c r="A69" s="45" t="s">
        <v>20</v>
      </c>
      <c r="B69" s="45">
        <v>15</v>
      </c>
      <c r="C69" s="45">
        <v>1</v>
      </c>
      <c r="D69" s="45">
        <f t="shared" si="20"/>
        <v>5.7333333333333334</v>
      </c>
      <c r="E69" s="45">
        <f t="shared" si="21"/>
        <v>6.6666666666666666E-2</v>
      </c>
      <c r="F69" s="45" t="s">
        <v>392</v>
      </c>
      <c r="G69" s="3" t="s">
        <v>45</v>
      </c>
      <c r="H69" s="18">
        <v>86</v>
      </c>
      <c r="J69" s="53" t="s">
        <v>110</v>
      </c>
      <c r="K69" s="53">
        <v>11</v>
      </c>
      <c r="L69" s="53">
        <v>0</v>
      </c>
      <c r="M69" s="53">
        <f t="shared" si="22"/>
        <v>5.5454545454545459</v>
      </c>
      <c r="N69" s="53">
        <f t="shared" si="23"/>
        <v>0</v>
      </c>
      <c r="O69" s="53" t="s">
        <v>392</v>
      </c>
      <c r="P69" s="3" t="s">
        <v>46</v>
      </c>
      <c r="Q69" s="18">
        <v>61</v>
      </c>
      <c r="T69" t="s">
        <v>105</v>
      </c>
      <c r="U69">
        <v>5</v>
      </c>
      <c r="V69">
        <v>0</v>
      </c>
      <c r="W69">
        <v>5.6</v>
      </c>
      <c r="X69">
        <f t="shared" si="24"/>
        <v>0</v>
      </c>
      <c r="Z69" s="53" t="s">
        <v>110</v>
      </c>
      <c r="AA69" s="53">
        <v>11</v>
      </c>
      <c r="AB69" s="53">
        <f t="shared" si="25"/>
        <v>5</v>
      </c>
      <c r="AC69" s="53">
        <v>0</v>
      </c>
      <c r="AD69" s="53">
        <f t="shared" si="26"/>
        <v>0</v>
      </c>
      <c r="AE69" s="53">
        <f t="shared" si="27"/>
        <v>5.5454545454545459</v>
      </c>
      <c r="AF69" s="53">
        <f t="shared" si="28"/>
        <v>0</v>
      </c>
      <c r="AG69" s="3" t="s">
        <v>84</v>
      </c>
      <c r="AH69" s="18">
        <v>61</v>
      </c>
      <c r="AJ69" t="s">
        <v>110</v>
      </c>
      <c r="AK69">
        <v>6</v>
      </c>
      <c r="AL69">
        <v>0</v>
      </c>
      <c r="AM69">
        <v>5.17</v>
      </c>
      <c r="AN69">
        <f t="shared" si="29"/>
        <v>0</v>
      </c>
      <c r="AP69" s="53" t="s">
        <v>110</v>
      </c>
      <c r="AQ69" s="53">
        <v>11</v>
      </c>
      <c r="AR69" s="53">
        <v>0</v>
      </c>
    </row>
    <row r="70" spans="1:44" x14ac:dyDescent="0.35">
      <c r="A70" s="45" t="s">
        <v>4</v>
      </c>
      <c r="B70" s="45">
        <v>15</v>
      </c>
      <c r="C70" s="45">
        <v>0</v>
      </c>
      <c r="D70" s="45">
        <f t="shared" si="20"/>
        <v>5.8</v>
      </c>
      <c r="E70" s="45">
        <f t="shared" si="21"/>
        <v>0</v>
      </c>
      <c r="F70" s="45" t="s">
        <v>392</v>
      </c>
      <c r="G70" s="3" t="s">
        <v>45</v>
      </c>
      <c r="H70" s="18">
        <v>87</v>
      </c>
      <c r="J70" s="53" t="s">
        <v>124</v>
      </c>
      <c r="K70" s="54">
        <v>10</v>
      </c>
      <c r="L70" s="53">
        <v>0</v>
      </c>
      <c r="M70" s="53">
        <f t="shared" si="22"/>
        <v>5.7</v>
      </c>
      <c r="N70" s="53">
        <f t="shared" si="23"/>
        <v>0</v>
      </c>
      <c r="O70" s="53" t="s">
        <v>392</v>
      </c>
      <c r="P70" s="3" t="s">
        <v>433</v>
      </c>
      <c r="Q70" s="18">
        <v>57</v>
      </c>
      <c r="T70" t="s">
        <v>12</v>
      </c>
      <c r="U70">
        <v>8</v>
      </c>
      <c r="V70">
        <v>0</v>
      </c>
      <c r="W70">
        <v>5.63</v>
      </c>
      <c r="X70">
        <f t="shared" si="24"/>
        <v>0</v>
      </c>
      <c r="Z70" s="53" t="s">
        <v>124</v>
      </c>
      <c r="AA70" s="53">
        <v>10</v>
      </c>
      <c r="AB70" s="53">
        <f t="shared" si="25"/>
        <v>4</v>
      </c>
      <c r="AC70" s="53">
        <v>0</v>
      </c>
      <c r="AD70" s="53">
        <f t="shared" si="26"/>
        <v>0</v>
      </c>
      <c r="AE70" s="53">
        <f t="shared" si="27"/>
        <v>5.7</v>
      </c>
      <c r="AF70" s="53">
        <f t="shared" si="28"/>
        <v>0</v>
      </c>
      <c r="AG70" s="3" t="s">
        <v>45</v>
      </c>
      <c r="AH70" s="18">
        <v>57</v>
      </c>
      <c r="AJ70" t="s">
        <v>124</v>
      </c>
      <c r="AK70">
        <v>6</v>
      </c>
      <c r="AL70">
        <v>0</v>
      </c>
      <c r="AM70">
        <v>5.5</v>
      </c>
      <c r="AN70">
        <f t="shared" si="29"/>
        <v>0</v>
      </c>
      <c r="AP70" s="53" t="s">
        <v>124</v>
      </c>
      <c r="AQ70" s="54">
        <v>10</v>
      </c>
      <c r="AR70" s="53">
        <v>0</v>
      </c>
    </row>
    <row r="71" spans="1:44" x14ac:dyDescent="0.35">
      <c r="A71" s="45" t="s">
        <v>401</v>
      </c>
      <c r="B71" s="45">
        <v>23</v>
      </c>
      <c r="C71" s="45">
        <v>1</v>
      </c>
      <c r="D71" s="45">
        <f t="shared" si="20"/>
        <v>5.9565217391304346</v>
      </c>
      <c r="E71" s="45">
        <f t="shared" si="21"/>
        <v>4.3478260869565216E-2</v>
      </c>
      <c r="F71" s="45" t="s">
        <v>392</v>
      </c>
      <c r="G71" s="3" t="s">
        <v>45</v>
      </c>
      <c r="H71" s="18">
        <v>137</v>
      </c>
      <c r="J71" s="53" t="s">
        <v>20</v>
      </c>
      <c r="K71" s="53">
        <v>15</v>
      </c>
      <c r="L71" s="53">
        <v>1</v>
      </c>
      <c r="M71" s="53">
        <f t="shared" si="22"/>
        <v>5.7333333333333334</v>
      </c>
      <c r="N71" s="53">
        <f t="shared" si="23"/>
        <v>6.6666666666666666E-2</v>
      </c>
      <c r="O71" s="53" t="s">
        <v>392</v>
      </c>
      <c r="P71" s="3" t="s">
        <v>45</v>
      </c>
      <c r="Q71" s="18">
        <v>86</v>
      </c>
      <c r="T71" t="s">
        <v>56</v>
      </c>
      <c r="U71">
        <v>6</v>
      </c>
      <c r="V71">
        <v>0</v>
      </c>
      <c r="W71">
        <v>5.67</v>
      </c>
      <c r="X71">
        <f t="shared" si="24"/>
        <v>0</v>
      </c>
      <c r="Z71" s="53" t="s">
        <v>20</v>
      </c>
      <c r="AA71" s="53">
        <v>15</v>
      </c>
      <c r="AB71" s="53">
        <f t="shared" si="25"/>
        <v>4</v>
      </c>
      <c r="AC71" s="53">
        <v>1</v>
      </c>
      <c r="AD71" s="53">
        <f t="shared" si="26"/>
        <v>0</v>
      </c>
      <c r="AE71" s="53">
        <f t="shared" si="27"/>
        <v>5.7333333333333334</v>
      </c>
      <c r="AF71" s="53">
        <f t="shared" si="28"/>
        <v>6.6666666666666666E-2</v>
      </c>
      <c r="AG71" s="2" t="s">
        <v>47</v>
      </c>
      <c r="AH71" s="18">
        <v>86</v>
      </c>
      <c r="AJ71" t="s">
        <v>20</v>
      </c>
      <c r="AK71">
        <v>11</v>
      </c>
      <c r="AL71">
        <v>1</v>
      </c>
      <c r="AM71">
        <v>5.82</v>
      </c>
      <c r="AN71">
        <f t="shared" si="29"/>
        <v>9.0909090909090912E-2</v>
      </c>
      <c r="AP71" s="53" t="s">
        <v>20</v>
      </c>
      <c r="AQ71" s="53">
        <v>15</v>
      </c>
      <c r="AR71" s="53">
        <v>1</v>
      </c>
    </row>
    <row r="72" spans="1:44" x14ac:dyDescent="0.35">
      <c r="J72" s="53" t="s">
        <v>4</v>
      </c>
      <c r="K72" s="53">
        <v>15</v>
      </c>
      <c r="L72" s="53">
        <v>0</v>
      </c>
      <c r="M72" s="53">
        <f t="shared" si="22"/>
        <v>5.8</v>
      </c>
      <c r="N72" s="53">
        <f t="shared" si="23"/>
        <v>0</v>
      </c>
      <c r="O72" s="53" t="s">
        <v>392</v>
      </c>
      <c r="P72" s="3" t="s">
        <v>45</v>
      </c>
      <c r="Q72" s="18">
        <v>87</v>
      </c>
      <c r="T72" t="s">
        <v>89</v>
      </c>
      <c r="U72">
        <v>6</v>
      </c>
      <c r="V72">
        <v>0</v>
      </c>
      <c r="W72">
        <v>5.67</v>
      </c>
      <c r="X72">
        <f t="shared" si="24"/>
        <v>0</v>
      </c>
      <c r="Z72" s="53" t="s">
        <v>4</v>
      </c>
      <c r="AA72" s="53">
        <v>15</v>
      </c>
      <c r="AB72" s="53">
        <f t="shared" si="25"/>
        <v>6</v>
      </c>
      <c r="AC72" s="53">
        <v>0</v>
      </c>
      <c r="AD72" s="53">
        <f t="shared" si="26"/>
        <v>0</v>
      </c>
      <c r="AE72" s="53">
        <f t="shared" si="27"/>
        <v>5.8</v>
      </c>
      <c r="AF72" s="53">
        <f t="shared" si="28"/>
        <v>0</v>
      </c>
      <c r="AG72" s="2" t="s">
        <v>133</v>
      </c>
      <c r="AH72" s="18">
        <v>87</v>
      </c>
      <c r="AJ72" t="s">
        <v>4</v>
      </c>
      <c r="AK72">
        <v>9</v>
      </c>
      <c r="AL72">
        <v>0</v>
      </c>
      <c r="AM72">
        <v>6.11</v>
      </c>
      <c r="AN72">
        <f t="shared" si="29"/>
        <v>0</v>
      </c>
      <c r="AP72" s="53" t="s">
        <v>4</v>
      </c>
      <c r="AQ72" s="53">
        <v>15</v>
      </c>
      <c r="AR72" s="53">
        <v>0</v>
      </c>
    </row>
    <row r="73" spans="1:44" x14ac:dyDescent="0.35">
      <c r="J73" s="53" t="s">
        <v>401</v>
      </c>
      <c r="K73" s="53">
        <v>23</v>
      </c>
      <c r="L73" s="53">
        <v>1</v>
      </c>
      <c r="M73" s="53">
        <f t="shared" si="22"/>
        <v>5.9565217391304346</v>
      </c>
      <c r="N73" s="53">
        <f t="shared" si="23"/>
        <v>4.3478260869565216E-2</v>
      </c>
      <c r="O73" s="53" t="s">
        <v>392</v>
      </c>
      <c r="P73" s="3" t="s">
        <v>45</v>
      </c>
      <c r="Q73" s="18">
        <v>137</v>
      </c>
      <c r="T73" t="s">
        <v>20</v>
      </c>
      <c r="U73">
        <v>11</v>
      </c>
      <c r="V73">
        <v>1</v>
      </c>
      <c r="W73">
        <v>5.82</v>
      </c>
      <c r="X73">
        <f t="shared" si="24"/>
        <v>9.0909090909090912E-2</v>
      </c>
      <c r="Z73" s="53" t="s">
        <v>401</v>
      </c>
      <c r="AA73" s="53">
        <v>23</v>
      </c>
      <c r="AB73" s="53">
        <f t="shared" si="25"/>
        <v>11</v>
      </c>
      <c r="AC73" s="53">
        <v>1</v>
      </c>
      <c r="AD73" s="53">
        <f t="shared" si="26"/>
        <v>0</v>
      </c>
      <c r="AE73" s="53">
        <f t="shared" si="27"/>
        <v>5.9565217391304346</v>
      </c>
      <c r="AF73" s="53">
        <f t="shared" si="28"/>
        <v>4.3478260869565216E-2</v>
      </c>
      <c r="AG73" s="2" t="s">
        <v>44</v>
      </c>
      <c r="AH73" s="18">
        <v>137</v>
      </c>
      <c r="AJ73" t="s">
        <v>32</v>
      </c>
      <c r="AK73">
        <v>12</v>
      </c>
      <c r="AL73">
        <v>1</v>
      </c>
      <c r="AM73">
        <v>5.83</v>
      </c>
      <c r="AN73">
        <f t="shared" si="29"/>
        <v>8.3333333333333329E-2</v>
      </c>
      <c r="AP73" s="53" t="s">
        <v>401</v>
      </c>
      <c r="AQ73" s="53">
        <v>23</v>
      </c>
      <c r="AR73" s="53">
        <v>1</v>
      </c>
    </row>
    <row r="74" spans="1:44" x14ac:dyDescent="0.35">
      <c r="T74" t="s">
        <v>32</v>
      </c>
      <c r="U74">
        <v>12</v>
      </c>
      <c r="V74">
        <v>1</v>
      </c>
      <c r="W74">
        <v>5.83</v>
      </c>
      <c r="X74">
        <f t="shared" si="24"/>
        <v>8.3333333333333329E-2</v>
      </c>
    </row>
    <row r="75" spans="1:44" x14ac:dyDescent="0.35">
      <c r="T75" t="s">
        <v>82</v>
      </c>
      <c r="U75">
        <v>6</v>
      </c>
      <c r="V75">
        <v>0</v>
      </c>
      <c r="W75">
        <v>6</v>
      </c>
      <c r="X75">
        <f t="shared" si="24"/>
        <v>0</v>
      </c>
    </row>
    <row r="76" spans="1:44" x14ac:dyDescent="0.35">
      <c r="T76" t="s">
        <v>4</v>
      </c>
      <c r="U76">
        <v>9</v>
      </c>
      <c r="V76">
        <v>0</v>
      </c>
      <c r="W76">
        <v>6.11</v>
      </c>
      <c r="X76">
        <f t="shared" si="24"/>
        <v>0</v>
      </c>
    </row>
    <row r="77" spans="1:44" x14ac:dyDescent="0.35">
      <c r="T77" t="s">
        <v>33</v>
      </c>
      <c r="U77">
        <v>10</v>
      </c>
      <c r="V77">
        <v>0</v>
      </c>
      <c r="W77">
        <v>6.2</v>
      </c>
      <c r="X77">
        <f t="shared" si="24"/>
        <v>0</v>
      </c>
    </row>
    <row r="78" spans="1:44" x14ac:dyDescent="0.35">
      <c r="T78" t="s">
        <v>90</v>
      </c>
      <c r="U78">
        <v>11</v>
      </c>
      <c r="V78">
        <v>1</v>
      </c>
      <c r="W78">
        <v>6.45</v>
      </c>
      <c r="X78">
        <f t="shared" si="24"/>
        <v>9.0909090909090912E-2</v>
      </c>
    </row>
    <row r="81" spans="29:31" x14ac:dyDescent="0.35">
      <c r="AC81" s="4"/>
      <c r="AD81" s="4"/>
      <c r="AE81" s="4"/>
    </row>
    <row r="86" spans="29:31" x14ac:dyDescent="0.35">
      <c r="AD86" s="7"/>
    </row>
    <row r="1048576" spans="16:33" x14ac:dyDescent="0.35">
      <c r="P1048576" s="3"/>
      <c r="AG1048576" s="3"/>
    </row>
  </sheetData>
  <sortState ref="Z2:AR73">
    <sortCondition ref="AE2:AE73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7"/>
  <sheetViews>
    <sheetView zoomScaleNormal="100" workbookViewId="0">
      <selection activeCell="G109" sqref="G108:G109"/>
    </sheetView>
  </sheetViews>
  <sheetFormatPr defaultRowHeight="14.5" x14ac:dyDescent="0.35"/>
  <cols>
    <col min="1" max="1" width="17.7265625" bestFit="1" customWidth="1"/>
    <col min="2" max="2" width="17.26953125" bestFit="1" customWidth="1"/>
    <col min="3" max="3" width="13.54296875" bestFit="1" customWidth="1"/>
    <col min="4" max="4" width="15.1796875" bestFit="1" customWidth="1"/>
    <col min="5" max="5" width="13.54296875" bestFit="1" customWidth="1"/>
    <col min="6" max="6" width="12" bestFit="1" customWidth="1"/>
    <col min="7" max="7" width="17.7265625" bestFit="1" customWidth="1"/>
    <col min="8" max="8" width="12.26953125" bestFit="1" customWidth="1"/>
    <col min="9" max="9" width="11.81640625" bestFit="1" customWidth="1"/>
    <col min="10" max="10" width="9.7265625" bestFit="1" customWidth="1"/>
    <col min="11" max="11" width="10.81640625" bestFit="1" customWidth="1"/>
    <col min="12" max="12" width="11.81640625" bestFit="1" customWidth="1"/>
    <col min="13" max="13" width="11.7265625" bestFit="1" customWidth="1"/>
    <col min="14" max="14" width="12" bestFit="1" customWidth="1"/>
    <col min="15" max="15" width="11.26953125" bestFit="1" customWidth="1"/>
    <col min="16" max="16" width="12" bestFit="1" customWidth="1"/>
  </cols>
  <sheetData>
    <row r="1" spans="1:19 16384:16384" x14ac:dyDescent="0.35">
      <c r="A1" s="1">
        <v>46019</v>
      </c>
      <c r="B1" s="1">
        <v>46019</v>
      </c>
      <c r="C1" s="1">
        <v>45658</v>
      </c>
      <c r="D1" s="1">
        <v>45658</v>
      </c>
      <c r="E1" s="1">
        <v>45658</v>
      </c>
      <c r="F1" s="1">
        <v>45658</v>
      </c>
      <c r="G1" s="1">
        <v>45658</v>
      </c>
      <c r="H1" s="1">
        <v>45658</v>
      </c>
      <c r="I1" s="1">
        <v>45658</v>
      </c>
      <c r="J1" s="1">
        <v>45658</v>
      </c>
      <c r="XFD1" s="1"/>
    </row>
    <row r="2" spans="1:19 16384:16384" x14ac:dyDescent="0.35">
      <c r="A2" t="s">
        <v>1</v>
      </c>
      <c r="B2" t="s">
        <v>552</v>
      </c>
      <c r="C2" t="s">
        <v>34</v>
      </c>
      <c r="D2" t="s">
        <v>139</v>
      </c>
      <c r="E2" t="s">
        <v>147</v>
      </c>
      <c r="F2" t="s">
        <v>25</v>
      </c>
      <c r="G2" t="s">
        <v>230</v>
      </c>
      <c r="H2" t="s">
        <v>21</v>
      </c>
      <c r="I2" t="s">
        <v>232</v>
      </c>
      <c r="J2" t="s">
        <v>26</v>
      </c>
    </row>
    <row r="3" spans="1:19 16384:16384" x14ac:dyDescent="0.35">
      <c r="A3" t="s">
        <v>122</v>
      </c>
      <c r="B3" t="s">
        <v>232</v>
      </c>
      <c r="C3" t="s">
        <v>21</v>
      </c>
      <c r="D3" t="s">
        <v>232</v>
      </c>
      <c r="E3" t="s">
        <v>139</v>
      </c>
      <c r="F3" t="s">
        <v>147</v>
      </c>
      <c r="G3" t="s">
        <v>81</v>
      </c>
      <c r="H3" t="s">
        <v>29</v>
      </c>
      <c r="I3" t="s">
        <v>230</v>
      </c>
      <c r="J3" t="s">
        <v>124</v>
      </c>
    </row>
    <row r="4" spans="1:19 16384:16384" x14ac:dyDescent="0.35">
      <c r="A4" t="s">
        <v>232</v>
      </c>
      <c r="B4" t="s">
        <v>553</v>
      </c>
      <c r="C4" t="s">
        <v>31</v>
      </c>
      <c r="D4" t="s">
        <v>124</v>
      </c>
      <c r="E4" t="s">
        <v>1</v>
      </c>
      <c r="F4" t="s">
        <v>1</v>
      </c>
      <c r="G4" t="s">
        <v>124</v>
      </c>
      <c r="H4" t="s">
        <v>26</v>
      </c>
      <c r="I4" t="s">
        <v>361</v>
      </c>
      <c r="J4" t="s">
        <v>232</v>
      </c>
    </row>
    <row r="5" spans="1:19 16384:16384" x14ac:dyDescent="0.35">
      <c r="A5" t="s">
        <v>148</v>
      </c>
      <c r="B5" t="s">
        <v>148</v>
      </c>
      <c r="C5" t="s">
        <v>25</v>
      </c>
      <c r="D5" t="s">
        <v>122</v>
      </c>
      <c r="E5" t="s">
        <v>87</v>
      </c>
      <c r="F5" t="s">
        <v>139</v>
      </c>
      <c r="G5" t="s">
        <v>104</v>
      </c>
      <c r="H5" t="s">
        <v>49</v>
      </c>
      <c r="I5" t="s">
        <v>29</v>
      </c>
      <c r="J5" t="s">
        <v>29</v>
      </c>
    </row>
    <row r="6" spans="1:19 16384:16384" x14ac:dyDescent="0.35">
      <c r="A6" t="s">
        <v>175</v>
      </c>
      <c r="B6" t="s">
        <v>87</v>
      </c>
      <c r="C6" t="s">
        <v>139</v>
      </c>
      <c r="D6" t="s">
        <v>87</v>
      </c>
      <c r="E6" t="s">
        <v>21</v>
      </c>
      <c r="F6" t="s">
        <v>122</v>
      </c>
      <c r="G6" t="s">
        <v>49</v>
      </c>
      <c r="H6" t="s">
        <v>30</v>
      </c>
      <c r="I6" t="s">
        <v>49</v>
      </c>
      <c r="J6" t="s">
        <v>554</v>
      </c>
    </row>
    <row r="7" spans="1:19 16384:16384" x14ac:dyDescent="0.35">
      <c r="A7" t="s">
        <v>25</v>
      </c>
      <c r="B7" t="s">
        <v>124</v>
      </c>
      <c r="C7" t="s">
        <v>122</v>
      </c>
      <c r="D7" t="s">
        <v>128</v>
      </c>
      <c r="E7" t="s">
        <v>31</v>
      </c>
      <c r="F7" t="s">
        <v>87</v>
      </c>
      <c r="G7" t="s">
        <v>30</v>
      </c>
      <c r="H7" t="s">
        <v>104</v>
      </c>
      <c r="I7" t="s">
        <v>26</v>
      </c>
      <c r="J7" t="s">
        <v>24</v>
      </c>
    </row>
    <row r="8" spans="1:19 16384:16384" x14ac:dyDescent="0.35">
      <c r="A8" t="s">
        <v>31</v>
      </c>
      <c r="B8" t="s">
        <v>31</v>
      </c>
      <c r="C8" t="s">
        <v>87</v>
      </c>
      <c r="D8" t="s">
        <v>25</v>
      </c>
      <c r="E8" t="s">
        <v>122</v>
      </c>
      <c r="F8" t="s">
        <v>21</v>
      </c>
      <c r="G8" t="s">
        <v>26</v>
      </c>
      <c r="H8" t="s">
        <v>81</v>
      </c>
      <c r="I8" t="s">
        <v>253</v>
      </c>
      <c r="J8" t="s">
        <v>253</v>
      </c>
    </row>
    <row r="9" spans="1:19 16384:16384" x14ac:dyDescent="0.35">
      <c r="A9" t="s">
        <v>87</v>
      </c>
      <c r="B9" t="s">
        <v>25</v>
      </c>
      <c r="C9" t="s">
        <v>124</v>
      </c>
      <c r="D9" t="s">
        <v>31</v>
      </c>
      <c r="E9" t="s">
        <v>25</v>
      </c>
      <c r="F9" t="s">
        <v>31</v>
      </c>
      <c r="G9" t="s">
        <v>232</v>
      </c>
      <c r="H9" t="s">
        <v>124</v>
      </c>
      <c r="I9" t="s">
        <v>24</v>
      </c>
      <c r="J9" t="s">
        <v>34</v>
      </c>
    </row>
    <row r="12" spans="1:19 16384:16384" x14ac:dyDescent="0.35">
      <c r="A12" t="s">
        <v>42</v>
      </c>
      <c r="B12" t="s">
        <v>38</v>
      </c>
      <c r="C12" t="s">
        <v>39</v>
      </c>
      <c r="D12" t="s">
        <v>40</v>
      </c>
      <c r="E12" t="s">
        <v>43</v>
      </c>
      <c r="F12" t="s">
        <v>111</v>
      </c>
      <c r="G12" t="s">
        <v>275</v>
      </c>
      <c r="I12" s="4" t="s">
        <v>42</v>
      </c>
      <c r="J12" s="4" t="s">
        <v>38</v>
      </c>
      <c r="K12" s="4" t="s">
        <v>39</v>
      </c>
      <c r="L12" s="4" t="s">
        <v>40</v>
      </c>
      <c r="N12" s="4" t="s">
        <v>111</v>
      </c>
      <c r="S12" s="4" t="s">
        <v>391</v>
      </c>
    </row>
    <row r="13" spans="1:19 16384:16384" x14ac:dyDescent="0.35">
      <c r="A13" t="s">
        <v>125</v>
      </c>
      <c r="B13">
        <v>24</v>
      </c>
      <c r="C13">
        <v>2</v>
      </c>
      <c r="D13">
        <f t="shared" ref="D13:D72" si="0">E13/B13</f>
        <v>4.083333333333333</v>
      </c>
      <c r="E13">
        <v>98</v>
      </c>
      <c r="F13">
        <f t="shared" ref="F13:F72" si="1">C13/B13</f>
        <v>8.3333333333333329E-2</v>
      </c>
      <c r="G13" s="32">
        <v>2.3664319132398401</v>
      </c>
      <c r="I13" s="18" t="s">
        <v>125</v>
      </c>
      <c r="J13" s="18">
        <v>24</v>
      </c>
      <c r="K13" s="18">
        <v>2</v>
      </c>
      <c r="L13" s="18">
        <f t="shared" ref="L13:L15" si="2">M13/J13</f>
        <v>4.083333333333333</v>
      </c>
      <c r="M13" s="18">
        <v>98</v>
      </c>
      <c r="N13" s="18">
        <f t="shared" ref="N13:N15" si="3">K13/J13</f>
        <v>8.3333333333333329E-2</v>
      </c>
    </row>
    <row r="14" spans="1:19 16384:16384" x14ac:dyDescent="0.35">
      <c r="A14" s="18" t="s">
        <v>104</v>
      </c>
      <c r="B14" s="18">
        <v>95</v>
      </c>
      <c r="C14" s="18">
        <v>6</v>
      </c>
      <c r="D14" s="18">
        <f t="shared" si="0"/>
        <v>4.2842105263157899</v>
      </c>
      <c r="E14" s="18">
        <v>407</v>
      </c>
      <c r="F14" s="18">
        <f t="shared" si="1"/>
        <v>6.3157894736842107E-2</v>
      </c>
      <c r="G14" s="32">
        <v>2.3273733406281498</v>
      </c>
      <c r="I14" s="18" t="s">
        <v>104</v>
      </c>
      <c r="J14" s="18">
        <v>95</v>
      </c>
      <c r="K14" s="18">
        <v>6</v>
      </c>
      <c r="L14" s="18">
        <f t="shared" si="2"/>
        <v>4.2842105263157899</v>
      </c>
      <c r="M14" s="18">
        <v>407</v>
      </c>
      <c r="N14" s="18">
        <f t="shared" si="3"/>
        <v>6.3157894736842107E-2</v>
      </c>
      <c r="S14" s="18" t="s">
        <v>392</v>
      </c>
    </row>
    <row r="15" spans="1:19 16384:16384" x14ac:dyDescent="0.35">
      <c r="A15" s="18" t="s">
        <v>31</v>
      </c>
      <c r="B15" s="18">
        <v>175</v>
      </c>
      <c r="C15" s="18">
        <v>12</v>
      </c>
      <c r="D15" s="18">
        <f t="shared" si="0"/>
        <v>5.32</v>
      </c>
      <c r="E15" s="18">
        <v>931</v>
      </c>
      <c r="F15" s="18">
        <f t="shared" si="1"/>
        <v>6.8571428571428575E-2</v>
      </c>
      <c r="G15" s="32">
        <v>1.87082869338697</v>
      </c>
      <c r="I15" s="18" t="s">
        <v>31</v>
      </c>
      <c r="J15" s="18">
        <v>175</v>
      </c>
      <c r="K15" s="18">
        <v>12</v>
      </c>
      <c r="L15" s="18">
        <f t="shared" si="2"/>
        <v>5.32</v>
      </c>
      <c r="M15" s="18">
        <v>931</v>
      </c>
      <c r="N15" s="18">
        <f t="shared" si="3"/>
        <v>6.8571428571428575E-2</v>
      </c>
      <c r="S15" s="18" t="s">
        <v>392</v>
      </c>
    </row>
    <row r="16" spans="1:19 16384:16384" x14ac:dyDescent="0.35">
      <c r="A16" t="s">
        <v>105</v>
      </c>
      <c r="B16">
        <v>22</v>
      </c>
      <c r="C16">
        <v>1</v>
      </c>
      <c r="D16">
        <f t="shared" si="0"/>
        <v>4.9090909090909092</v>
      </c>
      <c r="E16">
        <v>108</v>
      </c>
      <c r="F16">
        <f t="shared" si="1"/>
        <v>4.5454545454545456E-2</v>
      </c>
      <c r="G16" s="32">
        <v>1.8165902124584901</v>
      </c>
      <c r="I16" s="18" t="s">
        <v>105</v>
      </c>
      <c r="J16" s="18">
        <v>22</v>
      </c>
      <c r="K16" s="18">
        <v>1</v>
      </c>
      <c r="L16" s="18">
        <f t="shared" ref="L16:L17" si="4">M16/J16</f>
        <v>4.9090909090909092</v>
      </c>
      <c r="M16" s="18">
        <v>108</v>
      </c>
      <c r="N16" s="18">
        <f t="shared" ref="N16:N17" si="5">K16/J16</f>
        <v>4.5454545454545456E-2</v>
      </c>
    </row>
    <row r="17" spans="1:27" x14ac:dyDescent="0.35">
      <c r="A17" s="18" t="s">
        <v>128</v>
      </c>
      <c r="B17" s="18">
        <v>101</v>
      </c>
      <c r="C17" s="18">
        <v>31</v>
      </c>
      <c r="D17" s="18">
        <f t="shared" si="0"/>
        <v>3.2574257425742572</v>
      </c>
      <c r="E17" s="18">
        <v>329</v>
      </c>
      <c r="F17" s="18">
        <f t="shared" si="1"/>
        <v>0.30693069306930693</v>
      </c>
      <c r="G17" s="32">
        <v>2.03049835952651</v>
      </c>
      <c r="I17" s="18" t="s">
        <v>128</v>
      </c>
      <c r="J17" s="18">
        <v>101</v>
      </c>
      <c r="K17" s="18">
        <v>31</v>
      </c>
      <c r="L17" s="18">
        <f t="shared" si="4"/>
        <v>3.2574257425742572</v>
      </c>
      <c r="M17" s="18">
        <v>329</v>
      </c>
      <c r="N17" s="18">
        <f t="shared" si="5"/>
        <v>0.30693069306930693</v>
      </c>
      <c r="S17" s="18" t="s">
        <v>392</v>
      </c>
    </row>
    <row r="18" spans="1:27" x14ac:dyDescent="0.35">
      <c r="A18" s="18" t="s">
        <v>8</v>
      </c>
      <c r="B18" s="18">
        <v>46</v>
      </c>
      <c r="C18" s="18">
        <v>5</v>
      </c>
      <c r="D18" s="18">
        <f t="shared" si="0"/>
        <v>4.4782608695652177</v>
      </c>
      <c r="E18" s="18">
        <v>206</v>
      </c>
      <c r="F18" s="18">
        <f t="shared" si="1"/>
        <v>0.10869565217391304</v>
      </c>
      <c r="G18" s="32">
        <v>2.4994623077688098</v>
      </c>
      <c r="I18" s="18" t="s">
        <v>8</v>
      </c>
      <c r="J18" s="18">
        <v>46</v>
      </c>
      <c r="K18" s="18">
        <v>5</v>
      </c>
      <c r="L18" s="18">
        <f t="shared" ref="L18:L25" si="6">M18/J18</f>
        <v>4.4782608695652177</v>
      </c>
      <c r="M18" s="18">
        <v>206</v>
      </c>
      <c r="N18" s="18">
        <f t="shared" ref="N18:N25" si="7">K18/J18</f>
        <v>0.10869565217391304</v>
      </c>
      <c r="S18" s="18" t="s">
        <v>392</v>
      </c>
    </row>
    <row r="19" spans="1:27" x14ac:dyDescent="0.35">
      <c r="A19" s="18" t="s">
        <v>37</v>
      </c>
      <c r="B19" s="18">
        <v>22</v>
      </c>
      <c r="C19" s="18">
        <v>2</v>
      </c>
      <c r="D19" s="18">
        <f t="shared" si="0"/>
        <v>4.9090909090909092</v>
      </c>
      <c r="E19" s="18">
        <v>108</v>
      </c>
      <c r="F19" s="18">
        <f t="shared" si="1"/>
        <v>9.0909090909090912E-2</v>
      </c>
      <c r="G19" s="32">
        <v>2.4235565546581199</v>
      </c>
      <c r="I19" s="18" t="s">
        <v>37</v>
      </c>
      <c r="J19" s="18">
        <v>22</v>
      </c>
      <c r="K19" s="18">
        <v>2</v>
      </c>
      <c r="L19" s="18">
        <f t="shared" si="6"/>
        <v>4.9090909090909092</v>
      </c>
      <c r="M19" s="18">
        <v>108</v>
      </c>
      <c r="N19" s="18">
        <f t="shared" si="7"/>
        <v>9.0909090909090912E-2</v>
      </c>
      <c r="S19" s="18" t="s">
        <v>392</v>
      </c>
    </row>
    <row r="20" spans="1:27" x14ac:dyDescent="0.35">
      <c r="A20" s="18" t="s">
        <v>14</v>
      </c>
      <c r="B20" s="18">
        <v>45</v>
      </c>
      <c r="C20" s="18">
        <v>3</v>
      </c>
      <c r="D20" s="18">
        <f t="shared" si="0"/>
        <v>4.7111111111111112</v>
      </c>
      <c r="E20" s="18">
        <v>212</v>
      </c>
      <c r="F20" s="18">
        <f t="shared" si="1"/>
        <v>6.6666666666666666E-2</v>
      </c>
      <c r="G20" s="32">
        <v>2.1805682857412299</v>
      </c>
      <c r="I20" t="s">
        <v>14</v>
      </c>
      <c r="J20">
        <v>45</v>
      </c>
      <c r="K20">
        <v>3</v>
      </c>
      <c r="L20">
        <f t="shared" si="6"/>
        <v>4.7111111111111112</v>
      </c>
      <c r="M20">
        <v>212</v>
      </c>
      <c r="N20">
        <f t="shared" si="7"/>
        <v>6.6666666666666666E-2</v>
      </c>
      <c r="S20" s="18" t="s">
        <v>392</v>
      </c>
    </row>
    <row r="21" spans="1:27" x14ac:dyDescent="0.35">
      <c r="A21" t="s">
        <v>90</v>
      </c>
      <c r="B21">
        <v>27</v>
      </c>
      <c r="C21">
        <v>3</v>
      </c>
      <c r="D21">
        <f t="shared" si="0"/>
        <v>5.4074074074074074</v>
      </c>
      <c r="E21">
        <v>146</v>
      </c>
      <c r="F21">
        <f t="shared" si="1"/>
        <v>0.1111111111111111</v>
      </c>
      <c r="G21" s="32">
        <v>2.2962419891481902</v>
      </c>
      <c r="I21" t="s">
        <v>90</v>
      </c>
      <c r="J21">
        <v>27</v>
      </c>
      <c r="K21">
        <v>3</v>
      </c>
      <c r="L21">
        <f t="shared" si="6"/>
        <v>5.4074074074074074</v>
      </c>
      <c r="M21">
        <v>146</v>
      </c>
      <c r="N21">
        <f t="shared" si="7"/>
        <v>0.1111111111111111</v>
      </c>
      <c r="S21" s="18" t="s">
        <v>392</v>
      </c>
    </row>
    <row r="22" spans="1:27" x14ac:dyDescent="0.35">
      <c r="A22" s="18" t="s">
        <v>6</v>
      </c>
      <c r="B22" s="18">
        <v>45</v>
      </c>
      <c r="C22" s="18">
        <v>3</v>
      </c>
      <c r="D22" s="18">
        <f t="shared" si="0"/>
        <v>5.3555555555555552</v>
      </c>
      <c r="E22" s="18">
        <v>241</v>
      </c>
      <c r="F22" s="18">
        <f t="shared" si="1"/>
        <v>6.6666666666666666E-2</v>
      </c>
      <c r="G22" s="32">
        <v>2.1514492783133501</v>
      </c>
      <c r="I22" s="18" t="s">
        <v>6</v>
      </c>
      <c r="J22" s="18">
        <v>45</v>
      </c>
      <c r="K22" s="18">
        <v>3</v>
      </c>
      <c r="L22" s="18">
        <f t="shared" si="6"/>
        <v>5.3555555555555552</v>
      </c>
      <c r="M22" s="18">
        <v>241</v>
      </c>
      <c r="N22" s="18">
        <f t="shared" si="7"/>
        <v>6.6666666666666666E-2</v>
      </c>
      <c r="S22" s="18" t="s">
        <v>392</v>
      </c>
      <c r="V22" s="18"/>
      <c r="W22" s="18"/>
      <c r="X22" s="18"/>
      <c r="Y22" s="18"/>
      <c r="Z22" s="18"/>
      <c r="AA22" s="18"/>
    </row>
    <row r="23" spans="1:27" x14ac:dyDescent="0.35">
      <c r="A23" t="s">
        <v>19</v>
      </c>
      <c r="B23">
        <v>27</v>
      </c>
      <c r="C23">
        <v>3</v>
      </c>
      <c r="D23">
        <f t="shared" si="0"/>
        <v>5.0370370370370372</v>
      </c>
      <c r="E23">
        <v>136</v>
      </c>
      <c r="F23">
        <f t="shared" si="1"/>
        <v>0.1111111111111111</v>
      </c>
      <c r="G23" s="32">
        <v>2.3299294900428702</v>
      </c>
      <c r="I23" s="18" t="s">
        <v>56</v>
      </c>
      <c r="J23" s="18">
        <v>23</v>
      </c>
      <c r="K23" s="18">
        <v>0</v>
      </c>
      <c r="L23" s="18">
        <f t="shared" si="6"/>
        <v>5.2608695652173916</v>
      </c>
      <c r="M23" s="18">
        <v>121</v>
      </c>
      <c r="N23" s="18">
        <f t="shared" si="7"/>
        <v>0</v>
      </c>
    </row>
    <row r="24" spans="1:27" x14ac:dyDescent="0.35">
      <c r="A24" s="18" t="s">
        <v>56</v>
      </c>
      <c r="B24" s="18">
        <v>23</v>
      </c>
      <c r="C24" s="18">
        <v>0</v>
      </c>
      <c r="D24" s="18">
        <f t="shared" si="0"/>
        <v>5.2608695652173916</v>
      </c>
      <c r="E24" s="18">
        <v>121</v>
      </c>
      <c r="F24" s="18">
        <f t="shared" si="1"/>
        <v>0</v>
      </c>
      <c r="G24" s="32">
        <v>2.0655911179772799</v>
      </c>
      <c r="I24" s="18" t="s">
        <v>19</v>
      </c>
      <c r="J24" s="18">
        <v>27</v>
      </c>
      <c r="K24" s="18">
        <v>3</v>
      </c>
      <c r="L24" s="18">
        <f t="shared" si="6"/>
        <v>5.0370370370370372</v>
      </c>
      <c r="M24" s="18">
        <v>136</v>
      </c>
      <c r="N24" s="18">
        <f t="shared" si="7"/>
        <v>0.1111111111111111</v>
      </c>
    </row>
    <row r="25" spans="1:27" x14ac:dyDescent="0.35">
      <c r="A25" t="s">
        <v>52</v>
      </c>
      <c r="B25">
        <v>22</v>
      </c>
      <c r="C25">
        <v>2</v>
      </c>
      <c r="D25">
        <f t="shared" si="0"/>
        <v>3.6363636363636362</v>
      </c>
      <c r="E25">
        <v>80</v>
      </c>
      <c r="F25">
        <f t="shared" si="1"/>
        <v>9.0909090909090912E-2</v>
      </c>
      <c r="G25" s="32">
        <v>2.1794494717703299</v>
      </c>
      <c r="I25" s="18" t="s">
        <v>52</v>
      </c>
      <c r="J25" s="18">
        <v>22</v>
      </c>
      <c r="K25" s="18">
        <v>2</v>
      </c>
      <c r="L25" s="18">
        <f t="shared" si="6"/>
        <v>3.6363636363636362</v>
      </c>
      <c r="M25" s="18">
        <v>80</v>
      </c>
      <c r="N25" s="18">
        <f t="shared" si="7"/>
        <v>9.0909090909090912E-2</v>
      </c>
    </row>
    <row r="26" spans="1:27" x14ac:dyDescent="0.35">
      <c r="A26" t="s">
        <v>20</v>
      </c>
      <c r="B26">
        <v>22</v>
      </c>
      <c r="C26">
        <v>2</v>
      </c>
      <c r="D26">
        <f t="shared" si="0"/>
        <v>5.1818181818181817</v>
      </c>
      <c r="E26">
        <v>114</v>
      </c>
      <c r="F26">
        <f t="shared" si="1"/>
        <v>9.0909090909090912E-2</v>
      </c>
      <c r="G26" s="32">
        <v>2.3159525823376299</v>
      </c>
      <c r="I26" s="18" t="s">
        <v>20</v>
      </c>
      <c r="J26" s="18">
        <v>22</v>
      </c>
      <c r="K26" s="18">
        <v>2</v>
      </c>
      <c r="L26" s="18">
        <f>M26/J26</f>
        <v>5.1818181818181817</v>
      </c>
      <c r="M26" s="18">
        <v>114</v>
      </c>
      <c r="N26" s="18">
        <f>K26/J26</f>
        <v>9.0909090909090912E-2</v>
      </c>
    </row>
    <row r="27" spans="1:27" x14ac:dyDescent="0.35">
      <c r="A27" s="18" t="s">
        <v>25</v>
      </c>
      <c r="B27" s="18">
        <v>142</v>
      </c>
      <c r="C27" s="18">
        <v>12</v>
      </c>
      <c r="D27" s="18">
        <f t="shared" si="0"/>
        <v>5.0140845070422539</v>
      </c>
      <c r="E27" s="18">
        <v>712</v>
      </c>
      <c r="F27" s="18">
        <f t="shared" si="1"/>
        <v>8.4507042253521125E-2</v>
      </c>
      <c r="G27" s="32">
        <v>2.1609054109613202</v>
      </c>
      <c r="I27" s="18" t="s">
        <v>25</v>
      </c>
      <c r="J27" s="18">
        <v>142</v>
      </c>
      <c r="K27" s="18">
        <v>12</v>
      </c>
      <c r="L27" s="18">
        <f t="shared" ref="L27:L28" si="8">M27/J27</f>
        <v>5.0140845070422539</v>
      </c>
      <c r="M27" s="18">
        <v>712</v>
      </c>
      <c r="N27" s="18">
        <f t="shared" ref="N27:N28" si="9">K27/J27</f>
        <v>8.4507042253521125E-2</v>
      </c>
      <c r="S27" s="18" t="s">
        <v>392</v>
      </c>
    </row>
    <row r="28" spans="1:27" x14ac:dyDescent="0.35">
      <c r="A28" t="s">
        <v>34</v>
      </c>
      <c r="B28">
        <v>21</v>
      </c>
      <c r="C28">
        <v>2</v>
      </c>
      <c r="D28">
        <f t="shared" si="0"/>
        <v>5.666666666666667</v>
      </c>
      <c r="E28">
        <v>119</v>
      </c>
      <c r="F28">
        <f t="shared" si="1"/>
        <v>9.5238095238095233E-2</v>
      </c>
      <c r="G28" s="32">
        <v>2.2360679774997898</v>
      </c>
      <c r="I28" s="18" t="s">
        <v>34</v>
      </c>
      <c r="J28" s="18">
        <v>21</v>
      </c>
      <c r="K28" s="18">
        <v>2</v>
      </c>
      <c r="L28" s="18">
        <f t="shared" si="8"/>
        <v>5.666666666666667</v>
      </c>
      <c r="M28" s="18">
        <v>119</v>
      </c>
      <c r="N28" s="18">
        <f t="shared" si="9"/>
        <v>9.5238095238095233E-2</v>
      </c>
    </row>
    <row r="29" spans="1:27" x14ac:dyDescent="0.35">
      <c r="A29" s="18" t="s">
        <v>147</v>
      </c>
      <c r="B29" s="18">
        <v>110</v>
      </c>
      <c r="C29" s="18">
        <v>21</v>
      </c>
      <c r="D29" s="18">
        <f t="shared" si="0"/>
        <v>3.6909090909090909</v>
      </c>
      <c r="E29" s="18">
        <v>406</v>
      </c>
      <c r="F29" s="18">
        <f t="shared" si="1"/>
        <v>0.19090909090909092</v>
      </c>
      <c r="G29" s="32">
        <v>1.94935886896179</v>
      </c>
      <c r="I29" s="18" t="s">
        <v>147</v>
      </c>
      <c r="J29" s="18">
        <v>110</v>
      </c>
      <c r="K29" s="18">
        <v>21</v>
      </c>
      <c r="L29" s="18">
        <f t="shared" ref="L29:L30" si="10">M29/J29</f>
        <v>3.6909090909090909</v>
      </c>
      <c r="M29" s="18">
        <v>406</v>
      </c>
      <c r="N29" s="18">
        <f t="shared" ref="N29:N30" si="11">K29/J29</f>
        <v>0.19090909090909092</v>
      </c>
      <c r="S29" s="18" t="s">
        <v>392</v>
      </c>
    </row>
    <row r="30" spans="1:27" x14ac:dyDescent="0.35">
      <c r="A30" s="18" t="s">
        <v>87</v>
      </c>
      <c r="B30" s="18">
        <v>102</v>
      </c>
      <c r="C30" s="18">
        <v>14</v>
      </c>
      <c r="D30" s="18">
        <f t="shared" si="0"/>
        <v>4.8529411764705879</v>
      </c>
      <c r="E30" s="18">
        <v>495</v>
      </c>
      <c r="F30" s="18">
        <f t="shared" si="1"/>
        <v>0.13725490196078433</v>
      </c>
      <c r="G30" s="32">
        <v>1.7888543819998299</v>
      </c>
      <c r="I30" s="18" t="s">
        <v>87</v>
      </c>
      <c r="J30" s="18">
        <v>102</v>
      </c>
      <c r="K30" s="18">
        <v>14</v>
      </c>
      <c r="L30" s="18">
        <f t="shared" si="10"/>
        <v>4.8529411764705879</v>
      </c>
      <c r="M30" s="18">
        <v>495</v>
      </c>
      <c r="N30" s="18">
        <f t="shared" si="11"/>
        <v>0.13725490196078433</v>
      </c>
    </row>
    <row r="31" spans="1:27" x14ac:dyDescent="0.35">
      <c r="A31" t="s">
        <v>50</v>
      </c>
      <c r="B31">
        <v>20</v>
      </c>
      <c r="C31">
        <v>1</v>
      </c>
      <c r="D31">
        <f t="shared" si="0"/>
        <v>4.25</v>
      </c>
      <c r="E31">
        <v>85</v>
      </c>
      <c r="F31">
        <f t="shared" si="1"/>
        <v>0.05</v>
      </c>
      <c r="G31" s="32">
        <v>2.2360679774997898</v>
      </c>
      <c r="I31" s="18" t="s">
        <v>50</v>
      </c>
      <c r="J31" s="18">
        <v>20</v>
      </c>
      <c r="K31" s="18">
        <v>1</v>
      </c>
      <c r="L31" s="18">
        <f t="shared" ref="L31:L32" si="12">M31/J31</f>
        <v>4.25</v>
      </c>
      <c r="M31" s="18">
        <v>85</v>
      </c>
      <c r="N31" s="18">
        <f t="shared" ref="N31:N32" si="13">K31/J31</f>
        <v>0.05</v>
      </c>
    </row>
    <row r="32" spans="1:27" x14ac:dyDescent="0.35">
      <c r="A32" s="18" t="s">
        <v>81</v>
      </c>
      <c r="B32" s="18">
        <v>63</v>
      </c>
      <c r="C32" s="18">
        <v>4</v>
      </c>
      <c r="D32" s="18">
        <f t="shared" si="0"/>
        <v>5.0634920634920633</v>
      </c>
      <c r="E32" s="18">
        <v>319</v>
      </c>
      <c r="F32" s="18">
        <f t="shared" si="1"/>
        <v>6.3492063492063489E-2</v>
      </c>
      <c r="G32" s="32">
        <v>1.76776695296636</v>
      </c>
      <c r="I32" s="18" t="s">
        <v>81</v>
      </c>
      <c r="J32" s="18">
        <v>63</v>
      </c>
      <c r="K32" s="18">
        <v>4</v>
      </c>
      <c r="L32" s="18">
        <f t="shared" si="12"/>
        <v>5.0634920634920633</v>
      </c>
      <c r="M32" s="18">
        <v>319</v>
      </c>
      <c r="N32" s="18">
        <f t="shared" si="13"/>
        <v>6.3492063492063489E-2</v>
      </c>
      <c r="S32" s="18" t="s">
        <v>392</v>
      </c>
    </row>
    <row r="33" spans="1:19" x14ac:dyDescent="0.35">
      <c r="A33" t="s">
        <v>36</v>
      </c>
      <c r="B33">
        <v>20</v>
      </c>
      <c r="C33">
        <v>0</v>
      </c>
      <c r="D33">
        <f t="shared" si="0"/>
        <v>4.5</v>
      </c>
      <c r="E33">
        <v>90</v>
      </c>
      <c r="F33">
        <f t="shared" si="1"/>
        <v>0</v>
      </c>
      <c r="G33" s="32">
        <v>2.6076809620810502</v>
      </c>
      <c r="I33" s="18" t="s">
        <v>36</v>
      </c>
      <c r="J33" s="18">
        <v>20</v>
      </c>
      <c r="K33" s="18">
        <v>0</v>
      </c>
      <c r="L33" s="18">
        <f t="shared" ref="L33" si="14">M33/J33</f>
        <v>4.5</v>
      </c>
      <c r="M33" s="18">
        <v>90</v>
      </c>
      <c r="N33" s="18">
        <f t="shared" ref="N33" si="15">K33/J33</f>
        <v>0</v>
      </c>
    </row>
    <row r="34" spans="1:19" x14ac:dyDescent="0.35">
      <c r="A34" t="s">
        <v>112</v>
      </c>
      <c r="B34">
        <v>26</v>
      </c>
      <c r="C34">
        <v>5</v>
      </c>
      <c r="D34">
        <f t="shared" si="0"/>
        <v>4.2307692307692308</v>
      </c>
      <c r="E34">
        <v>110</v>
      </c>
      <c r="F34">
        <f t="shared" si="1"/>
        <v>0.19230769230769232</v>
      </c>
      <c r="G34" s="32">
        <v>2.71006354989037</v>
      </c>
      <c r="I34" s="18" t="s">
        <v>112</v>
      </c>
      <c r="J34" s="18">
        <v>26</v>
      </c>
      <c r="K34" s="18">
        <v>5</v>
      </c>
      <c r="L34" s="18">
        <f>M34/J34</f>
        <v>4.2307692307692308</v>
      </c>
      <c r="M34" s="18">
        <v>110</v>
      </c>
      <c r="N34" s="18">
        <f>K34/J34</f>
        <v>0.19230769230769232</v>
      </c>
      <c r="S34" s="18" t="s">
        <v>392</v>
      </c>
    </row>
    <row r="35" spans="1:19" x14ac:dyDescent="0.35">
      <c r="A35" s="18" t="s">
        <v>27</v>
      </c>
      <c r="B35" s="18">
        <v>36</v>
      </c>
      <c r="C35" s="18">
        <v>3</v>
      </c>
      <c r="D35" s="18">
        <f t="shared" si="0"/>
        <v>4.4444444444444446</v>
      </c>
      <c r="E35" s="18">
        <v>160</v>
      </c>
      <c r="F35" s="18">
        <f t="shared" si="1"/>
        <v>8.3333333333333329E-2</v>
      </c>
      <c r="G35" s="32">
        <v>2.54950975679639</v>
      </c>
      <c r="I35" s="18" t="s">
        <v>27</v>
      </c>
      <c r="J35" s="18">
        <v>36</v>
      </c>
      <c r="K35" s="18">
        <v>3</v>
      </c>
      <c r="L35" s="18">
        <f>M35/J35</f>
        <v>4.4444444444444446</v>
      </c>
      <c r="M35" s="18">
        <v>160</v>
      </c>
      <c r="N35" s="18">
        <f>K35/J35</f>
        <v>8.3333333333333329E-2</v>
      </c>
      <c r="S35" s="18" t="s">
        <v>392</v>
      </c>
    </row>
    <row r="36" spans="1:19" x14ac:dyDescent="0.35">
      <c r="A36" t="s">
        <v>117</v>
      </c>
      <c r="B36">
        <v>21</v>
      </c>
      <c r="C36">
        <v>3</v>
      </c>
      <c r="D36">
        <f t="shared" si="0"/>
        <v>4.2857142857142856</v>
      </c>
      <c r="E36">
        <v>90</v>
      </c>
      <c r="F36">
        <f t="shared" si="1"/>
        <v>0.14285714285714285</v>
      </c>
      <c r="G36" s="32">
        <v>2.7284509239574799</v>
      </c>
      <c r="I36" s="18" t="s">
        <v>117</v>
      </c>
      <c r="J36" s="18">
        <v>21</v>
      </c>
      <c r="K36" s="18">
        <v>3</v>
      </c>
      <c r="L36" s="18">
        <f t="shared" ref="L36:L38" si="16">M36/J36</f>
        <v>4.2857142857142856</v>
      </c>
      <c r="M36" s="18">
        <v>90</v>
      </c>
      <c r="N36" s="18">
        <f t="shared" ref="N36:N38" si="17">K36/J36</f>
        <v>0.14285714285714285</v>
      </c>
    </row>
    <row r="37" spans="1:19" x14ac:dyDescent="0.35">
      <c r="A37" t="s">
        <v>141</v>
      </c>
      <c r="B37">
        <v>9</v>
      </c>
      <c r="C37">
        <v>1</v>
      </c>
      <c r="D37">
        <f t="shared" si="0"/>
        <v>3.4444444444444446</v>
      </c>
      <c r="E37">
        <v>31</v>
      </c>
      <c r="F37">
        <f t="shared" si="1"/>
        <v>0.1111111111111111</v>
      </c>
      <c r="G37" s="32">
        <v>2.0736441353327701</v>
      </c>
      <c r="I37" s="18" t="s">
        <v>401</v>
      </c>
      <c r="J37" s="18">
        <v>59</v>
      </c>
      <c r="K37" s="18">
        <v>3</v>
      </c>
      <c r="L37" s="18">
        <f t="shared" si="16"/>
        <v>5.6271186440677967</v>
      </c>
      <c r="M37" s="18">
        <v>332</v>
      </c>
      <c r="N37" s="18">
        <f t="shared" si="17"/>
        <v>5.0847457627118647E-2</v>
      </c>
      <c r="S37">
        <v>2</v>
      </c>
    </row>
    <row r="38" spans="1:19" x14ac:dyDescent="0.35">
      <c r="A38" s="18" t="s">
        <v>401</v>
      </c>
      <c r="B38" s="18">
        <v>59</v>
      </c>
      <c r="C38" s="18">
        <v>3</v>
      </c>
      <c r="D38" s="18">
        <f t="shared" si="0"/>
        <v>5.6271186440677967</v>
      </c>
      <c r="E38" s="18">
        <v>332</v>
      </c>
      <c r="F38" s="18">
        <f t="shared" si="1"/>
        <v>5.0847457627118647E-2</v>
      </c>
      <c r="G38" s="32">
        <v>2.1248885888797799</v>
      </c>
      <c r="I38" s="18" t="s">
        <v>15</v>
      </c>
      <c r="J38" s="18">
        <v>226</v>
      </c>
      <c r="K38" s="18">
        <v>35</v>
      </c>
      <c r="L38" s="18">
        <f t="shared" si="16"/>
        <v>4.5309734513274336</v>
      </c>
      <c r="M38" s="18">
        <v>1024</v>
      </c>
      <c r="N38" s="18">
        <f t="shared" si="17"/>
        <v>0.15486725663716813</v>
      </c>
      <c r="S38" s="18" t="s">
        <v>392</v>
      </c>
    </row>
    <row r="39" spans="1:19" x14ac:dyDescent="0.35">
      <c r="A39" s="18" t="s">
        <v>15</v>
      </c>
      <c r="B39" s="18">
        <v>226</v>
      </c>
      <c r="C39" s="18">
        <v>35</v>
      </c>
      <c r="D39" s="18">
        <f t="shared" si="0"/>
        <v>4.5309734513274336</v>
      </c>
      <c r="E39" s="18">
        <v>1024</v>
      </c>
      <c r="F39" s="18">
        <f t="shared" si="1"/>
        <v>0.15486725663716813</v>
      </c>
      <c r="G39" s="32">
        <v>2.3694389634605302</v>
      </c>
      <c r="I39" s="18" t="s">
        <v>13</v>
      </c>
      <c r="J39" s="18">
        <v>36</v>
      </c>
      <c r="K39" s="18">
        <v>2</v>
      </c>
      <c r="L39" s="18">
        <f t="shared" ref="L39:L41" si="18">M39/J39</f>
        <v>4.7222222222222223</v>
      </c>
      <c r="M39" s="18">
        <v>170</v>
      </c>
      <c r="N39" s="18">
        <f t="shared" ref="N39:N41" si="19">K39/J39</f>
        <v>5.5555555555555552E-2</v>
      </c>
      <c r="S39" s="18" t="s">
        <v>392</v>
      </c>
    </row>
    <row r="40" spans="1:19" x14ac:dyDescent="0.35">
      <c r="A40" s="18" t="s">
        <v>13</v>
      </c>
      <c r="B40" s="18">
        <v>36</v>
      </c>
      <c r="C40" s="18">
        <v>2</v>
      </c>
      <c r="D40" s="18">
        <f t="shared" si="0"/>
        <v>4.7222222222222223</v>
      </c>
      <c r="E40" s="18">
        <v>170</v>
      </c>
      <c r="F40" s="18">
        <f t="shared" si="1"/>
        <v>5.5555555555555552E-2</v>
      </c>
      <c r="G40" s="32">
        <v>2.1392325234704299</v>
      </c>
      <c r="I40" s="18" t="s">
        <v>10</v>
      </c>
      <c r="J40" s="18">
        <v>66</v>
      </c>
      <c r="K40" s="18">
        <v>13</v>
      </c>
      <c r="L40" s="18">
        <f t="shared" si="18"/>
        <v>3.8787878787878789</v>
      </c>
      <c r="M40" s="18">
        <v>256</v>
      </c>
      <c r="N40" s="18">
        <f t="shared" si="19"/>
        <v>0.19696969696969696</v>
      </c>
    </row>
    <row r="41" spans="1:19" x14ac:dyDescent="0.35">
      <c r="A41" s="18" t="s">
        <v>10</v>
      </c>
      <c r="B41" s="18">
        <v>66</v>
      </c>
      <c r="C41" s="18">
        <v>13</v>
      </c>
      <c r="D41" s="18">
        <f t="shared" si="0"/>
        <v>3.8787878787878789</v>
      </c>
      <c r="E41" s="18">
        <v>256</v>
      </c>
      <c r="F41" s="18">
        <f t="shared" si="1"/>
        <v>0.19696969696969696</v>
      </c>
      <c r="G41" s="32">
        <v>2.2086889501029501</v>
      </c>
      <c r="I41" s="18" t="s">
        <v>63</v>
      </c>
      <c r="J41" s="18">
        <v>21</v>
      </c>
      <c r="K41" s="18">
        <v>3</v>
      </c>
      <c r="L41" s="18">
        <f t="shared" si="18"/>
        <v>4.2380952380952381</v>
      </c>
      <c r="M41" s="18">
        <v>89</v>
      </c>
      <c r="N41" s="18">
        <f t="shared" si="19"/>
        <v>0.14285714285714285</v>
      </c>
    </row>
    <row r="42" spans="1:19" x14ac:dyDescent="0.35">
      <c r="A42" s="18" t="s">
        <v>63</v>
      </c>
      <c r="B42" s="18">
        <v>21</v>
      </c>
      <c r="C42" s="18">
        <v>3</v>
      </c>
      <c r="D42" s="18">
        <f t="shared" si="0"/>
        <v>4.2380952380952381</v>
      </c>
      <c r="E42" s="18">
        <v>89</v>
      </c>
      <c r="F42" s="18">
        <f t="shared" si="1"/>
        <v>0.14285714285714285</v>
      </c>
      <c r="G42" s="32">
        <v>2.6394443859772201</v>
      </c>
      <c r="I42" s="18" t="s">
        <v>4</v>
      </c>
      <c r="J42" s="18">
        <v>20</v>
      </c>
      <c r="K42" s="18">
        <v>3</v>
      </c>
      <c r="L42" s="18">
        <f t="shared" ref="L42:L47" si="20">M42/J42</f>
        <v>4.95</v>
      </c>
      <c r="M42" s="18">
        <v>99</v>
      </c>
      <c r="N42" s="18">
        <f t="shared" ref="N42:N47" si="21">K42/J42</f>
        <v>0.15</v>
      </c>
    </row>
    <row r="43" spans="1:19" x14ac:dyDescent="0.35">
      <c r="A43" s="18" t="s">
        <v>4</v>
      </c>
      <c r="B43" s="18">
        <v>20</v>
      </c>
      <c r="C43" s="18">
        <v>3</v>
      </c>
      <c r="D43" s="18">
        <f t="shared" si="0"/>
        <v>4.95</v>
      </c>
      <c r="E43" s="18">
        <v>99</v>
      </c>
      <c r="F43" s="18">
        <f t="shared" si="1"/>
        <v>0.15</v>
      </c>
      <c r="G43" s="32">
        <v>2.08832734769027</v>
      </c>
      <c r="I43" s="18" t="s">
        <v>121</v>
      </c>
      <c r="J43" s="18">
        <v>84</v>
      </c>
      <c r="K43" s="18">
        <v>19</v>
      </c>
      <c r="L43" s="18">
        <f t="shared" si="20"/>
        <v>3.9166666666666665</v>
      </c>
      <c r="M43" s="18">
        <v>329</v>
      </c>
      <c r="N43" s="18">
        <f t="shared" si="21"/>
        <v>0.22619047619047619</v>
      </c>
      <c r="S43" s="18" t="s">
        <v>392</v>
      </c>
    </row>
    <row r="44" spans="1:19" x14ac:dyDescent="0.35">
      <c r="A44" s="18" t="s">
        <v>121</v>
      </c>
      <c r="B44" s="18">
        <v>84</v>
      </c>
      <c r="C44" s="18">
        <v>19</v>
      </c>
      <c r="D44" s="18">
        <f t="shared" si="0"/>
        <v>3.9166666666666665</v>
      </c>
      <c r="E44" s="18">
        <v>329</v>
      </c>
      <c r="F44" s="18">
        <f t="shared" si="1"/>
        <v>0.22619047619047619</v>
      </c>
      <c r="G44" s="32">
        <v>2.2233267457082899</v>
      </c>
      <c r="I44" s="18" t="s">
        <v>232</v>
      </c>
      <c r="J44" s="18">
        <v>94</v>
      </c>
      <c r="K44" s="18">
        <v>18</v>
      </c>
      <c r="L44" s="18">
        <f t="shared" si="20"/>
        <v>3.9361702127659575</v>
      </c>
      <c r="M44" s="18">
        <v>370</v>
      </c>
      <c r="N44" s="18">
        <f t="shared" si="21"/>
        <v>0.19148936170212766</v>
      </c>
      <c r="S44">
        <v>1</v>
      </c>
    </row>
    <row r="45" spans="1:19" x14ac:dyDescent="0.35">
      <c r="A45" s="18" t="s">
        <v>232</v>
      </c>
      <c r="B45" s="18">
        <v>94</v>
      </c>
      <c r="C45" s="18">
        <v>18</v>
      </c>
      <c r="D45" s="18">
        <f t="shared" si="0"/>
        <v>3.9361702127659575</v>
      </c>
      <c r="E45" s="18">
        <v>370</v>
      </c>
      <c r="F45" s="18">
        <f t="shared" si="1"/>
        <v>0.19148936170212766</v>
      </c>
      <c r="G45" s="32">
        <v>2.2509257354845502</v>
      </c>
      <c r="I45" s="18" t="s">
        <v>21</v>
      </c>
      <c r="J45" s="18">
        <v>145</v>
      </c>
      <c r="K45" s="18">
        <v>22</v>
      </c>
      <c r="L45" s="18">
        <f t="shared" si="20"/>
        <v>4.3724137931034486</v>
      </c>
      <c r="M45" s="18">
        <v>634</v>
      </c>
      <c r="N45" s="18">
        <f t="shared" si="21"/>
        <v>0.15172413793103448</v>
      </c>
      <c r="S45" s="18" t="s">
        <v>392</v>
      </c>
    </row>
    <row r="46" spans="1:19" x14ac:dyDescent="0.35">
      <c r="A46" s="18" t="s">
        <v>21</v>
      </c>
      <c r="B46" s="18">
        <v>145</v>
      </c>
      <c r="C46" s="18">
        <v>22</v>
      </c>
      <c r="D46" s="18">
        <f t="shared" si="0"/>
        <v>4.3724137931034486</v>
      </c>
      <c r="E46" s="18">
        <v>634</v>
      </c>
      <c r="F46" s="18">
        <f t="shared" si="1"/>
        <v>0.15172413793103448</v>
      </c>
      <c r="G46" s="32">
        <v>2.0655911179772799</v>
      </c>
      <c r="I46" s="18" t="s">
        <v>51</v>
      </c>
      <c r="J46" s="18">
        <v>37</v>
      </c>
      <c r="K46" s="18">
        <v>3</v>
      </c>
      <c r="L46" s="18">
        <f t="shared" si="20"/>
        <v>4.9189189189189193</v>
      </c>
      <c r="M46" s="18">
        <v>182</v>
      </c>
      <c r="N46" s="18">
        <f t="shared" si="21"/>
        <v>8.1081081081081086E-2</v>
      </c>
      <c r="S46" s="18" t="s">
        <v>392</v>
      </c>
    </row>
    <row r="47" spans="1:19" x14ac:dyDescent="0.35">
      <c r="A47" s="18" t="s">
        <v>51</v>
      </c>
      <c r="B47" s="18">
        <v>37</v>
      </c>
      <c r="C47" s="18">
        <v>3</v>
      </c>
      <c r="D47" s="18">
        <f t="shared" si="0"/>
        <v>4.9189189189189193</v>
      </c>
      <c r="E47" s="18">
        <v>182</v>
      </c>
      <c r="F47" s="18">
        <f t="shared" si="1"/>
        <v>8.1081081081081086E-2</v>
      </c>
      <c r="G47" s="32">
        <v>2.2967049878400898</v>
      </c>
      <c r="I47" s="18" t="s">
        <v>414</v>
      </c>
      <c r="J47" s="18">
        <v>21</v>
      </c>
      <c r="K47" s="18">
        <v>2</v>
      </c>
      <c r="L47" s="18">
        <f t="shared" si="20"/>
        <v>4.7619047619047619</v>
      </c>
      <c r="M47" s="18">
        <v>100</v>
      </c>
      <c r="N47" s="18">
        <f t="shared" si="21"/>
        <v>9.5238095238095233E-2</v>
      </c>
    </row>
    <row r="48" spans="1:19" x14ac:dyDescent="0.35">
      <c r="A48" s="18" t="s">
        <v>414</v>
      </c>
      <c r="B48" s="18">
        <v>21</v>
      </c>
      <c r="C48" s="18">
        <v>2</v>
      </c>
      <c r="D48" s="18">
        <f t="shared" si="0"/>
        <v>4.7619047619047619</v>
      </c>
      <c r="E48" s="18">
        <v>100</v>
      </c>
      <c r="F48" s="18">
        <f t="shared" si="1"/>
        <v>9.5238095238095233E-2</v>
      </c>
      <c r="G48" s="32">
        <v>2.8702082220799299</v>
      </c>
      <c r="I48" s="18" t="s">
        <v>0</v>
      </c>
      <c r="J48" s="18">
        <v>84</v>
      </c>
      <c r="K48" s="18">
        <v>14</v>
      </c>
      <c r="L48" s="18">
        <f>M48/J48</f>
        <v>4.1547619047619051</v>
      </c>
      <c r="M48" s="18">
        <v>349</v>
      </c>
      <c r="N48" s="18">
        <f>K48/J48</f>
        <v>0.16666666666666666</v>
      </c>
      <c r="S48" s="18" t="s">
        <v>392</v>
      </c>
    </row>
    <row r="49" spans="1:26" x14ac:dyDescent="0.35">
      <c r="A49" s="18" t="s">
        <v>0</v>
      </c>
      <c r="B49" s="18">
        <v>84</v>
      </c>
      <c r="C49" s="18">
        <v>14</v>
      </c>
      <c r="D49" s="18">
        <f t="shared" si="0"/>
        <v>4.1547619047619051</v>
      </c>
      <c r="E49" s="18">
        <v>349</v>
      </c>
      <c r="F49" s="18">
        <f t="shared" si="1"/>
        <v>0.16666666666666666</v>
      </c>
      <c r="G49" s="32">
        <v>2.16465107712866</v>
      </c>
      <c r="I49" s="18" t="s">
        <v>1</v>
      </c>
      <c r="J49" s="18">
        <v>97</v>
      </c>
      <c r="K49" s="18">
        <v>5</v>
      </c>
      <c r="L49" s="18">
        <f t="shared" ref="L49" si="22">M49/J49</f>
        <v>4.5773195876288657</v>
      </c>
      <c r="M49" s="18">
        <v>444</v>
      </c>
      <c r="N49" s="18">
        <f t="shared" ref="N49" si="23">K49/J49</f>
        <v>5.1546391752577317E-2</v>
      </c>
      <c r="S49" s="18" t="s">
        <v>392</v>
      </c>
    </row>
    <row r="50" spans="1:26" x14ac:dyDescent="0.35">
      <c r="A50" s="18" t="s">
        <v>1</v>
      </c>
      <c r="B50" s="18">
        <v>97</v>
      </c>
      <c r="C50" s="18">
        <v>5</v>
      </c>
      <c r="D50" s="18">
        <f t="shared" si="0"/>
        <v>4.5773195876288657</v>
      </c>
      <c r="E50" s="18">
        <v>444</v>
      </c>
      <c r="F50" s="18">
        <f t="shared" si="1"/>
        <v>5.1546391752577317E-2</v>
      </c>
      <c r="G50" s="32">
        <v>2.0412414523193099</v>
      </c>
      <c r="I50" s="18" t="s">
        <v>28</v>
      </c>
      <c r="J50" s="18">
        <v>20</v>
      </c>
      <c r="K50" s="18">
        <v>0</v>
      </c>
      <c r="L50" s="18">
        <f t="shared" ref="L50:L53" si="24">M50/J50</f>
        <v>5.65</v>
      </c>
      <c r="M50" s="18">
        <v>113</v>
      </c>
      <c r="N50" s="18">
        <f t="shared" ref="N50:N52" si="25">K50/J50</f>
        <v>0</v>
      </c>
    </row>
    <row r="51" spans="1:26" x14ac:dyDescent="0.35">
      <c r="A51" s="18" t="s">
        <v>28</v>
      </c>
      <c r="B51" s="18">
        <v>20</v>
      </c>
      <c r="C51" s="18">
        <v>0</v>
      </c>
      <c r="D51" s="18">
        <f t="shared" si="0"/>
        <v>5.65</v>
      </c>
      <c r="E51" s="18">
        <v>113</v>
      </c>
      <c r="F51" s="18">
        <f t="shared" si="1"/>
        <v>0</v>
      </c>
      <c r="G51" s="32">
        <v>1.30384048104052</v>
      </c>
      <c r="I51" s="18" t="s">
        <v>253</v>
      </c>
      <c r="J51" s="18">
        <v>32</v>
      </c>
      <c r="K51" s="18">
        <v>1</v>
      </c>
      <c r="L51" s="18">
        <f t="shared" si="24"/>
        <v>5.4375</v>
      </c>
      <c r="M51" s="18">
        <v>174</v>
      </c>
      <c r="N51" s="18">
        <f t="shared" si="25"/>
        <v>3.125E-2</v>
      </c>
    </row>
    <row r="52" spans="1:26" x14ac:dyDescent="0.35">
      <c r="A52" s="18" t="s">
        <v>253</v>
      </c>
      <c r="B52" s="18">
        <v>32</v>
      </c>
      <c r="C52" s="18">
        <v>1</v>
      </c>
      <c r="D52" s="18">
        <f t="shared" si="0"/>
        <v>5.4375</v>
      </c>
      <c r="E52" s="18">
        <v>174</v>
      </c>
      <c r="F52" s="18">
        <f t="shared" si="1"/>
        <v>3.125E-2</v>
      </c>
      <c r="G52" s="32"/>
      <c r="I52" s="18" t="s">
        <v>175</v>
      </c>
      <c r="J52" s="18">
        <v>38</v>
      </c>
      <c r="K52" s="18">
        <v>9</v>
      </c>
      <c r="L52" s="18">
        <f t="shared" si="24"/>
        <v>3.236842105263158</v>
      </c>
      <c r="M52" s="18">
        <v>123</v>
      </c>
      <c r="N52" s="18">
        <f t="shared" si="25"/>
        <v>0.23684210526315788</v>
      </c>
    </row>
    <row r="53" spans="1:26" x14ac:dyDescent="0.35">
      <c r="A53" s="18" t="s">
        <v>175</v>
      </c>
      <c r="B53" s="18">
        <v>38</v>
      </c>
      <c r="C53" s="18">
        <v>9</v>
      </c>
      <c r="D53" s="18">
        <f t="shared" si="0"/>
        <v>3.236842105263158</v>
      </c>
      <c r="E53" s="18">
        <v>123</v>
      </c>
      <c r="F53" s="18">
        <f t="shared" si="1"/>
        <v>0.23684210526315788</v>
      </c>
      <c r="G53" s="32">
        <v>2</v>
      </c>
      <c r="I53" s="18" t="s">
        <v>61</v>
      </c>
      <c r="J53" s="18">
        <v>34</v>
      </c>
      <c r="K53" s="18">
        <v>7</v>
      </c>
      <c r="L53" s="18">
        <f t="shared" si="24"/>
        <v>4.6764705882352944</v>
      </c>
      <c r="M53" s="18">
        <v>159</v>
      </c>
      <c r="N53" s="18">
        <f>K53/J53</f>
        <v>0.20588235294117646</v>
      </c>
    </row>
    <row r="54" spans="1:26" x14ac:dyDescent="0.35">
      <c r="A54" s="18" t="s">
        <v>61</v>
      </c>
      <c r="B54" s="18">
        <v>34</v>
      </c>
      <c r="C54" s="18">
        <v>7</v>
      </c>
      <c r="D54" s="18">
        <f t="shared" si="0"/>
        <v>4.6764705882352944</v>
      </c>
      <c r="E54" s="18">
        <v>159</v>
      </c>
      <c r="F54" s="18">
        <f>C54/B54</f>
        <v>0.20588235294117646</v>
      </c>
      <c r="G54" s="32">
        <v>3.2403703492039302</v>
      </c>
      <c r="I54" s="18" t="s">
        <v>115</v>
      </c>
      <c r="J54" s="18">
        <v>39</v>
      </c>
      <c r="K54" s="18">
        <v>3</v>
      </c>
      <c r="L54" s="18">
        <f t="shared" ref="L54:L55" si="26">M54/J54</f>
        <v>4.384615384615385</v>
      </c>
      <c r="M54" s="18">
        <v>171</v>
      </c>
      <c r="N54" s="18">
        <f t="shared" ref="N54:N55" si="27">K54/J54</f>
        <v>7.6923076923076927E-2</v>
      </c>
    </row>
    <row r="55" spans="1:26" x14ac:dyDescent="0.35">
      <c r="A55" t="s">
        <v>142</v>
      </c>
      <c r="B55">
        <v>5</v>
      </c>
      <c r="C55">
        <v>0</v>
      </c>
      <c r="D55">
        <f t="shared" si="0"/>
        <v>7</v>
      </c>
      <c r="E55">
        <v>35</v>
      </c>
      <c r="F55">
        <f t="shared" si="1"/>
        <v>0</v>
      </c>
      <c r="G55" s="32">
        <v>0.81649658092772603</v>
      </c>
      <c r="I55" s="18" t="s">
        <v>24</v>
      </c>
      <c r="J55" s="18">
        <v>98</v>
      </c>
      <c r="K55" s="18">
        <v>11</v>
      </c>
      <c r="L55" s="18">
        <f t="shared" si="26"/>
        <v>4.5510204081632653</v>
      </c>
      <c r="M55" s="18">
        <v>446</v>
      </c>
      <c r="N55" s="18">
        <f t="shared" si="27"/>
        <v>0.11224489795918367</v>
      </c>
    </row>
    <row r="56" spans="1:26" x14ac:dyDescent="0.35">
      <c r="A56" s="18" t="s">
        <v>115</v>
      </c>
      <c r="B56" s="18">
        <v>39</v>
      </c>
      <c r="C56" s="18">
        <v>3</v>
      </c>
      <c r="D56" s="18">
        <f t="shared" si="0"/>
        <v>4.384615384615385</v>
      </c>
      <c r="E56" s="18">
        <v>171</v>
      </c>
      <c r="F56" s="18">
        <f t="shared" si="1"/>
        <v>7.6923076923076927E-2</v>
      </c>
      <c r="G56" s="32">
        <v>1.71824938596844</v>
      </c>
      <c r="I56" s="18" t="s">
        <v>116</v>
      </c>
      <c r="J56" s="18">
        <v>20</v>
      </c>
      <c r="K56" s="18">
        <v>4</v>
      </c>
      <c r="L56" s="18">
        <f t="shared" ref="L56:L61" si="28">M56/J56</f>
        <v>4.05</v>
      </c>
      <c r="M56" s="18">
        <v>81</v>
      </c>
      <c r="N56" s="18">
        <f t="shared" ref="N56:N61" si="29">K56/J56</f>
        <v>0.2</v>
      </c>
    </row>
    <row r="57" spans="1:26" x14ac:dyDescent="0.35">
      <c r="A57" s="18" t="s">
        <v>24</v>
      </c>
      <c r="B57" s="18">
        <v>98</v>
      </c>
      <c r="C57" s="18">
        <v>11</v>
      </c>
      <c r="D57" s="18">
        <f t="shared" si="0"/>
        <v>4.5510204081632653</v>
      </c>
      <c r="E57" s="18">
        <v>446</v>
      </c>
      <c r="F57" s="18">
        <f t="shared" si="1"/>
        <v>0.11224489795918367</v>
      </c>
      <c r="G57" s="32">
        <v>2.26909243703399</v>
      </c>
      <c r="I57" s="18" t="s">
        <v>5</v>
      </c>
      <c r="J57" s="18">
        <v>23</v>
      </c>
      <c r="K57" s="18">
        <v>1</v>
      </c>
      <c r="L57" s="18">
        <f t="shared" si="28"/>
        <v>4.6086956521739131</v>
      </c>
      <c r="M57" s="18">
        <v>106</v>
      </c>
      <c r="N57" s="18">
        <f t="shared" si="29"/>
        <v>4.3478260869565216E-2</v>
      </c>
    </row>
    <row r="58" spans="1:26" x14ac:dyDescent="0.35">
      <c r="A58" s="18" t="s">
        <v>116</v>
      </c>
      <c r="B58" s="18">
        <v>20</v>
      </c>
      <c r="C58" s="18">
        <v>4</v>
      </c>
      <c r="D58" s="18">
        <f t="shared" si="0"/>
        <v>4.05</v>
      </c>
      <c r="E58" s="18">
        <v>81</v>
      </c>
      <c r="F58" s="18">
        <f t="shared" si="1"/>
        <v>0.2</v>
      </c>
      <c r="G58" s="32">
        <v>1.7043362064926899</v>
      </c>
      <c r="I58" s="18" t="s">
        <v>58</v>
      </c>
      <c r="J58" s="18">
        <v>24</v>
      </c>
      <c r="K58" s="18">
        <v>4</v>
      </c>
      <c r="L58" s="18">
        <f t="shared" si="28"/>
        <v>3.8333333333333335</v>
      </c>
      <c r="M58" s="18">
        <v>92</v>
      </c>
      <c r="N58" s="18">
        <f t="shared" si="29"/>
        <v>0.16666666666666666</v>
      </c>
    </row>
    <row r="59" spans="1:26" x14ac:dyDescent="0.35">
      <c r="A59" s="18" t="s">
        <v>5</v>
      </c>
      <c r="B59" s="18">
        <v>23</v>
      </c>
      <c r="C59" s="18">
        <v>1</v>
      </c>
      <c r="D59" s="18">
        <f t="shared" si="0"/>
        <v>4.6086956521739131</v>
      </c>
      <c r="E59" s="18">
        <v>106</v>
      </c>
      <c r="F59" s="18">
        <f t="shared" si="1"/>
        <v>4.3478260869565216E-2</v>
      </c>
      <c r="G59" s="32">
        <v>1.8898223650461301</v>
      </c>
      <c r="I59" s="18" t="s">
        <v>30</v>
      </c>
      <c r="J59" s="18">
        <v>50</v>
      </c>
      <c r="K59" s="18">
        <v>3</v>
      </c>
      <c r="L59" s="18">
        <f t="shared" si="28"/>
        <v>5.0999999999999996</v>
      </c>
      <c r="M59" s="18">
        <v>255</v>
      </c>
      <c r="N59" s="18">
        <f t="shared" si="29"/>
        <v>0.06</v>
      </c>
      <c r="S59" s="18" t="s">
        <v>392</v>
      </c>
    </row>
    <row r="60" spans="1:26" x14ac:dyDescent="0.35">
      <c r="A60" s="18" t="s">
        <v>58</v>
      </c>
      <c r="B60" s="18">
        <v>24</v>
      </c>
      <c r="C60" s="18">
        <v>4</v>
      </c>
      <c r="D60" s="18">
        <f t="shared" si="0"/>
        <v>3.8333333333333335</v>
      </c>
      <c r="E60" s="18">
        <v>92</v>
      </c>
      <c r="F60" s="18">
        <f t="shared" si="1"/>
        <v>0.16666666666666666</v>
      </c>
      <c r="G60" s="32">
        <v>2.33809038890002</v>
      </c>
      <c r="I60" s="18" t="s">
        <v>29</v>
      </c>
      <c r="J60" s="18">
        <v>110</v>
      </c>
      <c r="K60" s="18">
        <v>16</v>
      </c>
      <c r="L60" s="18">
        <f t="shared" si="28"/>
        <v>3.9090909090909092</v>
      </c>
      <c r="M60" s="18">
        <v>430</v>
      </c>
      <c r="N60" s="18">
        <f t="shared" si="29"/>
        <v>0.14545454545454545</v>
      </c>
      <c r="S60" s="18">
        <v>1</v>
      </c>
    </row>
    <row r="61" spans="1:26" x14ac:dyDescent="0.35">
      <c r="A61" s="18" t="s">
        <v>30</v>
      </c>
      <c r="B61" s="18">
        <v>50</v>
      </c>
      <c r="C61" s="18">
        <v>3</v>
      </c>
      <c r="D61" s="18">
        <f t="shared" si="0"/>
        <v>5.0999999999999996</v>
      </c>
      <c r="E61" s="18">
        <v>255</v>
      </c>
      <c r="F61" s="18">
        <f t="shared" si="1"/>
        <v>0.06</v>
      </c>
      <c r="G61" s="32">
        <v>2.5226248955475601</v>
      </c>
      <c r="I61" s="18" t="s">
        <v>148</v>
      </c>
      <c r="J61" s="18">
        <v>41</v>
      </c>
      <c r="K61" s="18">
        <v>8</v>
      </c>
      <c r="L61" s="18">
        <f t="shared" si="28"/>
        <v>3.7560975609756095</v>
      </c>
      <c r="M61" s="18">
        <v>154</v>
      </c>
      <c r="N61" s="18">
        <f t="shared" si="29"/>
        <v>0.1951219512195122</v>
      </c>
      <c r="S61" s="18" t="s">
        <v>392</v>
      </c>
      <c r="U61" s="18"/>
      <c r="V61" s="18"/>
      <c r="W61" s="18"/>
      <c r="X61" s="18"/>
      <c r="Y61" s="18"/>
      <c r="Z61" s="18"/>
    </row>
    <row r="62" spans="1:26" x14ac:dyDescent="0.35">
      <c r="A62" s="18" t="s">
        <v>29</v>
      </c>
      <c r="B62" s="18">
        <v>110</v>
      </c>
      <c r="C62" s="18">
        <v>16</v>
      </c>
      <c r="D62" s="18">
        <f t="shared" si="0"/>
        <v>3.9090909090909092</v>
      </c>
      <c r="E62" s="18">
        <v>430</v>
      </c>
      <c r="F62" s="18">
        <f t="shared" si="1"/>
        <v>0.14545454545454545</v>
      </c>
      <c r="G62" s="32">
        <v>2.0875571218153701</v>
      </c>
      <c r="I62" s="18" t="s">
        <v>9</v>
      </c>
      <c r="J62" s="18">
        <v>20</v>
      </c>
      <c r="K62" s="18">
        <v>2</v>
      </c>
      <c r="L62" s="18">
        <f t="shared" ref="L62:L63" si="30">M62/J62</f>
        <v>4.1500000000000004</v>
      </c>
      <c r="M62" s="18">
        <v>83</v>
      </c>
      <c r="N62" s="18">
        <f t="shared" ref="N62:N63" si="31">K62/J62</f>
        <v>0.1</v>
      </c>
    </row>
    <row r="63" spans="1:26" x14ac:dyDescent="0.35">
      <c r="A63" s="18" t="s">
        <v>148</v>
      </c>
      <c r="B63" s="18">
        <v>41</v>
      </c>
      <c r="C63" s="18">
        <v>8</v>
      </c>
      <c r="D63" s="18">
        <f t="shared" si="0"/>
        <v>3.7560975609756095</v>
      </c>
      <c r="E63" s="18">
        <v>154</v>
      </c>
      <c r="F63" s="18">
        <f t="shared" si="1"/>
        <v>0.1951219512195122</v>
      </c>
      <c r="G63" s="32">
        <v>2.0528725518857001</v>
      </c>
      <c r="I63" s="18" t="s">
        <v>139</v>
      </c>
      <c r="J63" s="18">
        <v>24</v>
      </c>
      <c r="K63" s="18">
        <v>3</v>
      </c>
      <c r="L63" s="18">
        <f t="shared" si="30"/>
        <v>4.083333333333333</v>
      </c>
      <c r="M63" s="18">
        <v>98</v>
      </c>
      <c r="N63" s="18">
        <f t="shared" si="31"/>
        <v>0.125</v>
      </c>
    </row>
    <row r="64" spans="1:26" x14ac:dyDescent="0.35">
      <c r="A64" s="18" t="s">
        <v>9</v>
      </c>
      <c r="B64" s="18">
        <v>20</v>
      </c>
      <c r="C64" s="18">
        <v>2</v>
      </c>
      <c r="D64" s="18">
        <f t="shared" si="0"/>
        <v>4.1500000000000004</v>
      </c>
      <c r="E64" s="18">
        <v>83</v>
      </c>
      <c r="F64" s="18">
        <f t="shared" si="1"/>
        <v>0.1</v>
      </c>
      <c r="G64" s="32">
        <v>2.42097317438899</v>
      </c>
      <c r="I64" t="s">
        <v>428</v>
      </c>
      <c r="J64">
        <v>21</v>
      </c>
      <c r="K64">
        <v>0</v>
      </c>
      <c r="L64">
        <f>M64/J64</f>
        <v>4.6190476190476186</v>
      </c>
      <c r="M64">
        <v>97</v>
      </c>
      <c r="N64">
        <f>K64/J64</f>
        <v>0</v>
      </c>
      <c r="S64" s="18" t="s">
        <v>392</v>
      </c>
    </row>
    <row r="65" spans="1:19" x14ac:dyDescent="0.35">
      <c r="A65" s="18" t="s">
        <v>139</v>
      </c>
      <c r="B65" s="18">
        <v>24</v>
      </c>
      <c r="C65" s="18">
        <v>3</v>
      </c>
      <c r="D65" s="18">
        <f t="shared" si="0"/>
        <v>4.083333333333333</v>
      </c>
      <c r="E65" s="18">
        <v>98</v>
      </c>
      <c r="F65" s="18">
        <f t="shared" si="1"/>
        <v>0.125</v>
      </c>
      <c r="G65" s="32">
        <v>1.9944979263017399</v>
      </c>
      <c r="I65" s="18" t="s">
        <v>17</v>
      </c>
      <c r="J65" s="18">
        <v>20</v>
      </c>
      <c r="K65" s="18">
        <v>2</v>
      </c>
      <c r="L65" s="18">
        <f t="shared" ref="L65:L67" si="32">M65/J65</f>
        <v>5.25</v>
      </c>
      <c r="M65" s="18">
        <v>105</v>
      </c>
      <c r="N65" s="18">
        <f t="shared" ref="N65:N67" si="33">K65/J65</f>
        <v>0.1</v>
      </c>
    </row>
    <row r="66" spans="1:19" x14ac:dyDescent="0.35">
      <c r="A66" s="18" t="s">
        <v>428</v>
      </c>
      <c r="B66" s="18">
        <v>21</v>
      </c>
      <c r="C66" s="18">
        <v>0</v>
      </c>
      <c r="D66" s="18">
        <f t="shared" si="0"/>
        <v>4.6190476190476186</v>
      </c>
      <c r="E66" s="18">
        <v>97</v>
      </c>
      <c r="F66" s="18">
        <f t="shared" si="1"/>
        <v>0</v>
      </c>
      <c r="G66" s="32">
        <v>1.9414506867882999</v>
      </c>
      <c r="I66" s="18" t="s">
        <v>79</v>
      </c>
      <c r="J66" s="18">
        <v>54</v>
      </c>
      <c r="K66" s="18">
        <v>6</v>
      </c>
      <c r="L66" s="18">
        <f t="shared" si="32"/>
        <v>4.6296296296296298</v>
      </c>
      <c r="M66" s="18">
        <v>250</v>
      </c>
      <c r="N66" s="18">
        <f t="shared" si="33"/>
        <v>0.1111111111111111</v>
      </c>
      <c r="S66" s="18" t="s">
        <v>392</v>
      </c>
    </row>
    <row r="67" spans="1:19" x14ac:dyDescent="0.35">
      <c r="A67" t="s">
        <v>197</v>
      </c>
      <c r="B67">
        <v>10</v>
      </c>
      <c r="C67">
        <v>0</v>
      </c>
      <c r="D67">
        <f t="shared" si="0"/>
        <v>5</v>
      </c>
      <c r="E67">
        <v>50</v>
      </c>
      <c r="F67">
        <f t="shared" si="1"/>
        <v>0</v>
      </c>
      <c r="G67" s="32">
        <v>2.39045721866878</v>
      </c>
      <c r="I67" s="18" t="s">
        <v>123</v>
      </c>
      <c r="J67" s="18">
        <v>32</v>
      </c>
      <c r="K67" s="18">
        <v>4</v>
      </c>
      <c r="L67" s="18">
        <f t="shared" si="32"/>
        <v>4.59375</v>
      </c>
      <c r="M67" s="18">
        <v>147</v>
      </c>
      <c r="N67" s="18">
        <f t="shared" si="33"/>
        <v>0.125</v>
      </c>
    </row>
    <row r="68" spans="1:19" x14ac:dyDescent="0.35">
      <c r="A68" s="18" t="s">
        <v>17</v>
      </c>
      <c r="B68" s="18">
        <v>20</v>
      </c>
      <c r="C68" s="18">
        <v>2</v>
      </c>
      <c r="D68" s="18">
        <f t="shared" si="0"/>
        <v>5.25</v>
      </c>
      <c r="E68" s="18">
        <v>105</v>
      </c>
      <c r="F68" s="18">
        <f t="shared" si="1"/>
        <v>0.1</v>
      </c>
      <c r="G68" s="32">
        <v>2.4832774042918899</v>
      </c>
      <c r="I68" s="18" t="s">
        <v>12</v>
      </c>
      <c r="J68" s="18">
        <v>20</v>
      </c>
      <c r="K68" s="18">
        <v>0</v>
      </c>
      <c r="L68" s="18">
        <f t="shared" ref="L68" si="34">M68/J68</f>
        <v>4.75</v>
      </c>
      <c r="M68" s="18">
        <v>95</v>
      </c>
      <c r="N68" s="18">
        <f t="shared" ref="N68" si="35">K68/J68</f>
        <v>0</v>
      </c>
    </row>
    <row r="69" spans="1:19" x14ac:dyDescent="0.35">
      <c r="A69" s="18" t="s">
        <v>79</v>
      </c>
      <c r="B69" s="18">
        <v>54</v>
      </c>
      <c r="C69" s="18">
        <v>6</v>
      </c>
      <c r="D69" s="18">
        <f t="shared" si="0"/>
        <v>4.6296296296296298</v>
      </c>
      <c r="E69" s="18">
        <v>250</v>
      </c>
      <c r="F69" s="18">
        <f t="shared" si="1"/>
        <v>0.1111111111111111</v>
      </c>
      <c r="G69" s="32">
        <v>2.05866345916355</v>
      </c>
      <c r="I69" s="18" t="s">
        <v>404</v>
      </c>
      <c r="J69" s="18">
        <v>20</v>
      </c>
      <c r="K69" s="18">
        <v>2</v>
      </c>
      <c r="L69" s="18">
        <f>M69/J69</f>
        <v>5.25</v>
      </c>
      <c r="M69" s="18">
        <v>105</v>
      </c>
      <c r="N69" s="18">
        <f>K69/J69</f>
        <v>0.1</v>
      </c>
    </row>
    <row r="70" spans="1:19" x14ac:dyDescent="0.35">
      <c r="A70" s="18" t="s">
        <v>123</v>
      </c>
      <c r="B70" s="18">
        <v>32</v>
      </c>
      <c r="C70" s="18">
        <v>4</v>
      </c>
      <c r="D70" s="18">
        <f t="shared" si="0"/>
        <v>4.59375</v>
      </c>
      <c r="E70" s="18">
        <v>147</v>
      </c>
      <c r="F70" s="18">
        <f t="shared" si="1"/>
        <v>0.125</v>
      </c>
      <c r="G70" s="32">
        <v>2</v>
      </c>
      <c r="I70" s="18" t="s">
        <v>22</v>
      </c>
      <c r="J70" s="18">
        <v>182</v>
      </c>
      <c r="K70" s="18">
        <v>30</v>
      </c>
      <c r="L70" s="18">
        <f>M70/J70</f>
        <v>4.104395604395604</v>
      </c>
      <c r="M70" s="18">
        <v>747</v>
      </c>
      <c r="N70" s="18">
        <f>K70/J70</f>
        <v>0.16483516483516483</v>
      </c>
      <c r="S70" s="18" t="s">
        <v>392</v>
      </c>
    </row>
    <row r="71" spans="1:19" x14ac:dyDescent="0.35">
      <c r="A71" s="18" t="s">
        <v>12</v>
      </c>
      <c r="B71" s="18">
        <v>20</v>
      </c>
      <c r="C71" s="18">
        <v>0</v>
      </c>
      <c r="D71" s="18">
        <f t="shared" si="0"/>
        <v>4.75</v>
      </c>
      <c r="E71" s="18">
        <v>95</v>
      </c>
      <c r="F71" s="18">
        <f t="shared" si="1"/>
        <v>0</v>
      </c>
      <c r="G71" s="32">
        <v>2.44584195260913</v>
      </c>
      <c r="I71" s="18" t="s">
        <v>33</v>
      </c>
      <c r="J71" s="18">
        <v>64</v>
      </c>
      <c r="K71" s="18">
        <v>4</v>
      </c>
      <c r="L71" s="18">
        <f t="shared" ref="L71" si="36">M71/J71</f>
        <v>5.515625</v>
      </c>
      <c r="M71" s="18">
        <v>353</v>
      </c>
      <c r="N71" s="18">
        <f t="shared" ref="N71" si="37">K71/J71</f>
        <v>6.25E-2</v>
      </c>
      <c r="S71" s="18" t="s">
        <v>392</v>
      </c>
    </row>
    <row r="72" spans="1:19" x14ac:dyDescent="0.35">
      <c r="A72" s="18" t="s">
        <v>404</v>
      </c>
      <c r="B72" s="18">
        <v>20</v>
      </c>
      <c r="C72" s="18">
        <v>2</v>
      </c>
      <c r="D72" s="18">
        <f t="shared" si="0"/>
        <v>5.25</v>
      </c>
      <c r="E72" s="18">
        <v>105</v>
      </c>
      <c r="F72" s="18">
        <f t="shared" si="1"/>
        <v>0.1</v>
      </c>
      <c r="G72" s="32">
        <v>2.3094010767584998</v>
      </c>
      <c r="I72" t="s">
        <v>110</v>
      </c>
      <c r="J72">
        <v>20</v>
      </c>
      <c r="K72">
        <v>1</v>
      </c>
      <c r="L72">
        <f>M72/J72</f>
        <v>5.15</v>
      </c>
      <c r="M72">
        <v>103</v>
      </c>
      <c r="N72">
        <f>K72/J72</f>
        <v>0.05</v>
      </c>
    </row>
    <row r="73" spans="1:19" x14ac:dyDescent="0.35">
      <c r="A73" s="18" t="s">
        <v>22</v>
      </c>
      <c r="B73" s="18">
        <v>182</v>
      </c>
      <c r="C73" s="18">
        <v>30</v>
      </c>
      <c r="D73" s="18">
        <f>E73/B73</f>
        <v>4.104395604395604</v>
      </c>
      <c r="E73" s="18">
        <v>747</v>
      </c>
      <c r="F73" s="18">
        <f>C73/B73</f>
        <v>0.16483516483516483</v>
      </c>
      <c r="G73" s="32">
        <v>2.2045689482796602</v>
      </c>
      <c r="I73" s="18" t="s">
        <v>82</v>
      </c>
      <c r="J73" s="18">
        <v>20</v>
      </c>
      <c r="K73" s="18">
        <v>0</v>
      </c>
      <c r="L73" s="18">
        <f t="shared" ref="L73" si="38">M73/J73</f>
        <v>5.15</v>
      </c>
      <c r="M73" s="18">
        <v>103</v>
      </c>
      <c r="N73" s="18">
        <f>K73/J73</f>
        <v>0</v>
      </c>
    </row>
    <row r="74" spans="1:19" x14ac:dyDescent="0.35">
      <c r="A74" t="s">
        <v>135</v>
      </c>
      <c r="B74">
        <v>8</v>
      </c>
      <c r="C74">
        <v>1</v>
      </c>
      <c r="D74">
        <f>E74/B74</f>
        <v>4.75</v>
      </c>
      <c r="E74">
        <v>38</v>
      </c>
      <c r="F74">
        <f>C74/B74</f>
        <v>0.125</v>
      </c>
      <c r="G74" s="32">
        <v>2.16794833886788</v>
      </c>
      <c r="I74" s="18" t="s">
        <v>99</v>
      </c>
      <c r="J74" s="18">
        <v>20</v>
      </c>
      <c r="K74" s="18">
        <v>2</v>
      </c>
      <c r="L74" s="18">
        <f t="shared" ref="L74" si="39">M74/J74</f>
        <v>5.05</v>
      </c>
      <c r="M74" s="18">
        <v>101</v>
      </c>
      <c r="N74" s="18">
        <f t="shared" ref="N74" si="40">K74/J74</f>
        <v>0.1</v>
      </c>
    </row>
    <row r="75" spans="1:19" x14ac:dyDescent="0.35">
      <c r="A75" s="18" t="s">
        <v>110</v>
      </c>
      <c r="B75" s="18">
        <v>20</v>
      </c>
      <c r="C75" s="18">
        <v>1</v>
      </c>
      <c r="D75" s="18">
        <f>E75/B75</f>
        <v>5.15</v>
      </c>
      <c r="E75" s="18">
        <v>103</v>
      </c>
      <c r="F75" s="18">
        <f>C75/B75</f>
        <v>0.05</v>
      </c>
      <c r="G75" s="32">
        <v>1.9407902170679501</v>
      </c>
      <c r="I75" s="18" t="s">
        <v>7</v>
      </c>
      <c r="J75" s="18">
        <v>20</v>
      </c>
      <c r="K75" s="18">
        <v>4</v>
      </c>
      <c r="L75" s="18">
        <f t="shared" ref="L75" si="41">M75/J75</f>
        <v>4.0999999999999996</v>
      </c>
      <c r="M75" s="18">
        <v>82</v>
      </c>
      <c r="N75" s="18">
        <f t="shared" ref="N75" si="42">K75/J75</f>
        <v>0.2</v>
      </c>
    </row>
    <row r="76" spans="1:19" x14ac:dyDescent="0.35">
      <c r="A76" s="18" t="s">
        <v>82</v>
      </c>
      <c r="B76" s="18">
        <v>20</v>
      </c>
      <c r="C76" s="18">
        <v>0</v>
      </c>
      <c r="D76" s="18">
        <f t="shared" ref="D76:D91" si="43">E76/B76</f>
        <v>5.15</v>
      </c>
      <c r="E76" s="18">
        <v>103</v>
      </c>
      <c r="F76" s="18">
        <f>C76/B76</f>
        <v>0</v>
      </c>
      <c r="G76" s="32">
        <v>2</v>
      </c>
      <c r="I76" t="s">
        <v>129</v>
      </c>
      <c r="J76">
        <v>40</v>
      </c>
      <c r="K76">
        <v>7</v>
      </c>
      <c r="L76">
        <f>M76/J76</f>
        <v>4.45</v>
      </c>
      <c r="M76">
        <v>178</v>
      </c>
      <c r="N76">
        <f>K76/J76</f>
        <v>0.17499999999999999</v>
      </c>
      <c r="S76" s="18" t="s">
        <v>392</v>
      </c>
    </row>
    <row r="77" spans="1:19" x14ac:dyDescent="0.35">
      <c r="A77" s="18" t="s">
        <v>33</v>
      </c>
      <c r="B77" s="18">
        <v>64</v>
      </c>
      <c r="C77" s="18">
        <v>4</v>
      </c>
      <c r="D77" s="18">
        <f t="shared" si="43"/>
        <v>5.515625</v>
      </c>
      <c r="E77" s="18">
        <v>353</v>
      </c>
      <c r="F77" s="18">
        <f t="shared" ref="F77:F91" si="44">C77/B77</f>
        <v>6.25E-2</v>
      </c>
      <c r="G77" s="32">
        <v>2.14993539954627</v>
      </c>
      <c r="I77" s="18" t="s">
        <v>113</v>
      </c>
      <c r="J77" s="18">
        <v>20</v>
      </c>
      <c r="K77" s="18">
        <v>0</v>
      </c>
      <c r="L77" s="18">
        <f t="shared" ref="L77:L83" si="45">M77/J77</f>
        <v>4.3</v>
      </c>
      <c r="M77" s="18">
        <v>86</v>
      </c>
      <c r="N77" s="18">
        <f t="shared" ref="N77:N83" si="46">K77/J77</f>
        <v>0</v>
      </c>
    </row>
    <row r="78" spans="1:19" x14ac:dyDescent="0.35">
      <c r="A78" s="18" t="s">
        <v>99</v>
      </c>
      <c r="B78" s="18">
        <v>20</v>
      </c>
      <c r="C78" s="18">
        <v>2</v>
      </c>
      <c r="D78" s="18">
        <f t="shared" si="43"/>
        <v>5.05</v>
      </c>
      <c r="E78" s="18">
        <v>101</v>
      </c>
      <c r="F78" s="18">
        <f t="shared" si="44"/>
        <v>0.1</v>
      </c>
      <c r="G78" s="32">
        <v>2.6687491868330699</v>
      </c>
      <c r="I78" s="18" t="s">
        <v>35</v>
      </c>
      <c r="J78" s="18">
        <v>148</v>
      </c>
      <c r="K78" s="18">
        <v>38</v>
      </c>
      <c r="L78" s="18">
        <f t="shared" si="45"/>
        <v>3.5405405405405403</v>
      </c>
      <c r="M78" s="18">
        <v>524</v>
      </c>
      <c r="N78" s="18">
        <f t="shared" si="46"/>
        <v>0.25675675675675674</v>
      </c>
      <c r="S78" s="18" t="s">
        <v>392</v>
      </c>
    </row>
    <row r="79" spans="1:19" x14ac:dyDescent="0.35">
      <c r="A79" s="18" t="s">
        <v>7</v>
      </c>
      <c r="B79" s="18">
        <v>20</v>
      </c>
      <c r="C79" s="18">
        <v>4</v>
      </c>
      <c r="D79" s="18">
        <f t="shared" si="43"/>
        <v>4.0999999999999996</v>
      </c>
      <c r="E79" s="18">
        <v>82</v>
      </c>
      <c r="F79" s="18">
        <f t="shared" si="44"/>
        <v>0.2</v>
      </c>
      <c r="G79" s="32">
        <v>2.7888667551135802</v>
      </c>
      <c r="I79" s="18" t="s">
        <v>26</v>
      </c>
      <c r="J79" s="18">
        <v>60</v>
      </c>
      <c r="K79" s="18">
        <v>5</v>
      </c>
      <c r="L79" s="18">
        <f t="shared" si="45"/>
        <v>5.083333333333333</v>
      </c>
      <c r="M79" s="18">
        <v>305</v>
      </c>
      <c r="N79" s="18">
        <f t="shared" si="46"/>
        <v>8.3333333333333329E-2</v>
      </c>
    </row>
    <row r="80" spans="1:19" x14ac:dyDescent="0.35">
      <c r="A80" t="s">
        <v>138</v>
      </c>
      <c r="B80">
        <v>5</v>
      </c>
      <c r="C80">
        <v>1</v>
      </c>
      <c r="D80">
        <f t="shared" si="43"/>
        <v>4</v>
      </c>
      <c r="E80">
        <v>20</v>
      </c>
      <c r="F80">
        <f t="shared" si="44"/>
        <v>0.2</v>
      </c>
      <c r="G80" s="32">
        <v>2.2173557826083399</v>
      </c>
      <c r="I80" s="18" t="s">
        <v>122</v>
      </c>
      <c r="J80" s="18">
        <v>96</v>
      </c>
      <c r="K80" s="18">
        <v>9</v>
      </c>
      <c r="L80" s="18">
        <f t="shared" si="45"/>
        <v>4.270833333333333</v>
      </c>
      <c r="M80" s="18">
        <v>410</v>
      </c>
      <c r="N80" s="18">
        <f t="shared" si="46"/>
        <v>9.375E-2</v>
      </c>
      <c r="S80" s="18" t="s">
        <v>392</v>
      </c>
    </row>
    <row r="81" spans="1:19" x14ac:dyDescent="0.35">
      <c r="A81" t="s">
        <v>137</v>
      </c>
      <c r="B81">
        <v>11</v>
      </c>
      <c r="C81">
        <v>1</v>
      </c>
      <c r="D81">
        <f t="shared" si="43"/>
        <v>4.1818181818181817</v>
      </c>
      <c r="E81">
        <v>46</v>
      </c>
      <c r="F81">
        <f t="shared" si="44"/>
        <v>9.0909090909090912E-2</v>
      </c>
      <c r="G81" s="32">
        <v>1.8618986725025199</v>
      </c>
      <c r="I81" s="18" t="s">
        <v>49</v>
      </c>
      <c r="J81" s="18">
        <v>106</v>
      </c>
      <c r="K81" s="18">
        <v>7</v>
      </c>
      <c r="L81" s="18">
        <f t="shared" si="45"/>
        <v>5.1415094339622645</v>
      </c>
      <c r="M81" s="18">
        <v>545</v>
      </c>
      <c r="N81" s="18">
        <f t="shared" si="46"/>
        <v>6.6037735849056603E-2</v>
      </c>
      <c r="S81" s="18" t="s">
        <v>392</v>
      </c>
    </row>
    <row r="82" spans="1:19" x14ac:dyDescent="0.35">
      <c r="A82" s="18" t="s">
        <v>129</v>
      </c>
      <c r="B82" s="18">
        <v>40</v>
      </c>
      <c r="C82" s="18">
        <v>7</v>
      </c>
      <c r="D82" s="18">
        <f t="shared" si="43"/>
        <v>4.45</v>
      </c>
      <c r="E82" s="18">
        <v>178</v>
      </c>
      <c r="F82" s="18">
        <f t="shared" si="44"/>
        <v>0.17499999999999999</v>
      </c>
      <c r="G82" s="32">
        <v>2.1315096371664199</v>
      </c>
      <c r="I82" s="18" t="s">
        <v>3</v>
      </c>
      <c r="J82" s="18">
        <v>43</v>
      </c>
      <c r="K82" s="18">
        <v>6</v>
      </c>
      <c r="L82" s="18">
        <f t="shared" si="45"/>
        <v>4.1627906976744189</v>
      </c>
      <c r="M82" s="18">
        <v>179</v>
      </c>
      <c r="N82" s="18">
        <f t="shared" si="46"/>
        <v>0.13953488372093023</v>
      </c>
      <c r="S82" s="18" t="s">
        <v>392</v>
      </c>
    </row>
    <row r="83" spans="1:19" x14ac:dyDescent="0.35">
      <c r="A83" s="18" t="s">
        <v>113</v>
      </c>
      <c r="B83" s="18">
        <v>20</v>
      </c>
      <c r="C83" s="18">
        <v>0</v>
      </c>
      <c r="D83" s="18">
        <f t="shared" si="43"/>
        <v>4.3</v>
      </c>
      <c r="E83" s="18">
        <v>86</v>
      </c>
      <c r="F83" s="18">
        <f t="shared" si="44"/>
        <v>0</v>
      </c>
      <c r="G83" s="32">
        <v>2.4899799195977401</v>
      </c>
      <c r="I83" s="18" t="s">
        <v>230</v>
      </c>
      <c r="J83" s="18">
        <v>22</v>
      </c>
      <c r="K83" s="18">
        <v>4</v>
      </c>
      <c r="L83" s="18">
        <f t="shared" si="45"/>
        <v>4.6363636363636367</v>
      </c>
      <c r="M83" s="18">
        <v>102</v>
      </c>
      <c r="N83" s="18">
        <f t="shared" si="46"/>
        <v>0.18181818181818182</v>
      </c>
    </row>
    <row r="84" spans="1:19" x14ac:dyDescent="0.35">
      <c r="A84" s="18" t="s">
        <v>35</v>
      </c>
      <c r="B84" s="18">
        <v>148</v>
      </c>
      <c r="C84" s="18">
        <v>38</v>
      </c>
      <c r="D84" s="18">
        <f t="shared" si="43"/>
        <v>3.5405405405405403</v>
      </c>
      <c r="E84" s="18">
        <v>524</v>
      </c>
      <c r="F84" s="18">
        <f t="shared" si="44"/>
        <v>0.25675675675675674</v>
      </c>
      <c r="G84" s="32">
        <v>2.6214406763289899</v>
      </c>
      <c r="I84" t="s">
        <v>2</v>
      </c>
      <c r="J84">
        <v>28</v>
      </c>
      <c r="K84">
        <v>5</v>
      </c>
      <c r="L84">
        <f>M84/J84</f>
        <v>4.1428571428571432</v>
      </c>
      <c r="M84">
        <v>116</v>
      </c>
      <c r="N84">
        <f>K84/J84</f>
        <v>0.17857142857142858</v>
      </c>
    </row>
    <row r="85" spans="1:19" x14ac:dyDescent="0.35">
      <c r="A85" s="18" t="s">
        <v>26</v>
      </c>
      <c r="B85" s="18">
        <v>60</v>
      </c>
      <c r="C85" s="18">
        <v>5</v>
      </c>
      <c r="D85" s="18">
        <f t="shared" si="43"/>
        <v>5.083333333333333</v>
      </c>
      <c r="E85" s="18">
        <v>305</v>
      </c>
      <c r="F85" s="18">
        <f t="shared" si="44"/>
        <v>8.3333333333333329E-2</v>
      </c>
      <c r="G85" s="32">
        <v>2.4494897427831699</v>
      </c>
      <c r="I85" s="18" t="s">
        <v>124</v>
      </c>
      <c r="J85" s="18">
        <v>22</v>
      </c>
      <c r="K85" s="18">
        <v>0</v>
      </c>
      <c r="L85" s="18">
        <f t="shared" ref="L85" si="47">M85/J85</f>
        <v>5.4545454545454541</v>
      </c>
      <c r="M85" s="18">
        <v>120</v>
      </c>
      <c r="N85" s="18">
        <f t="shared" ref="N85" si="48">K85/J85</f>
        <v>0</v>
      </c>
      <c r="O85" s="18"/>
    </row>
    <row r="86" spans="1:19" x14ac:dyDescent="0.35">
      <c r="A86" s="18" t="s">
        <v>122</v>
      </c>
      <c r="B86" s="18">
        <v>96</v>
      </c>
      <c r="C86" s="18">
        <v>9</v>
      </c>
      <c r="D86" s="18">
        <f t="shared" si="43"/>
        <v>4.270833333333333</v>
      </c>
      <c r="E86" s="18">
        <v>410</v>
      </c>
      <c r="F86" s="18">
        <f t="shared" si="44"/>
        <v>9.375E-2</v>
      </c>
      <c r="G86" s="32">
        <v>1.6329931618554501</v>
      </c>
    </row>
    <row r="87" spans="1:19" x14ac:dyDescent="0.35">
      <c r="A87" s="18" t="s">
        <v>49</v>
      </c>
      <c r="B87" s="18">
        <v>106</v>
      </c>
      <c r="C87" s="18">
        <v>7</v>
      </c>
      <c r="D87" s="18">
        <f t="shared" si="43"/>
        <v>5.1415094339622645</v>
      </c>
      <c r="E87" s="18">
        <v>545</v>
      </c>
      <c r="F87" s="18">
        <f t="shared" si="44"/>
        <v>6.6037735849056603E-2</v>
      </c>
      <c r="G87" s="32">
        <v>2.79455252402308</v>
      </c>
    </row>
    <row r="88" spans="1:19" x14ac:dyDescent="0.35">
      <c r="A88" s="18" t="s">
        <v>3</v>
      </c>
      <c r="B88" s="18">
        <v>43</v>
      </c>
      <c r="C88" s="18">
        <v>6</v>
      </c>
      <c r="D88" s="18">
        <f t="shared" si="43"/>
        <v>4.1627906976744189</v>
      </c>
      <c r="E88" s="18">
        <v>179</v>
      </c>
      <c r="F88" s="18">
        <f t="shared" si="44"/>
        <v>0.13953488372093023</v>
      </c>
      <c r="G88" s="32">
        <v>2.3731557327466102</v>
      </c>
    </row>
    <row r="89" spans="1:19" x14ac:dyDescent="0.35">
      <c r="A89" s="18" t="s">
        <v>230</v>
      </c>
      <c r="B89" s="18">
        <v>22</v>
      </c>
      <c r="C89" s="18">
        <v>4</v>
      </c>
      <c r="D89" s="18">
        <f t="shared" si="43"/>
        <v>4.6363636363636367</v>
      </c>
      <c r="E89" s="18">
        <v>102</v>
      </c>
      <c r="F89" s="18">
        <f t="shared" si="44"/>
        <v>0.18181818181818182</v>
      </c>
      <c r="G89" s="32">
        <v>2.7748873851023199</v>
      </c>
    </row>
    <row r="90" spans="1:19" x14ac:dyDescent="0.35">
      <c r="A90" s="18" t="s">
        <v>2</v>
      </c>
      <c r="B90" s="18">
        <v>28</v>
      </c>
      <c r="C90" s="18">
        <v>5</v>
      </c>
      <c r="D90" s="18">
        <f t="shared" si="43"/>
        <v>4.1428571428571432</v>
      </c>
      <c r="E90" s="18">
        <v>116</v>
      </c>
      <c r="F90" s="18">
        <f t="shared" si="44"/>
        <v>0.17857142857142858</v>
      </c>
      <c r="G90" s="32">
        <v>2.5876449587894599</v>
      </c>
    </row>
    <row r="91" spans="1:19" x14ac:dyDescent="0.35">
      <c r="A91" s="18" t="s">
        <v>124</v>
      </c>
      <c r="B91" s="18">
        <v>22</v>
      </c>
      <c r="C91" s="18">
        <v>0</v>
      </c>
      <c r="D91" s="18">
        <f t="shared" si="43"/>
        <v>5.4545454545454541</v>
      </c>
      <c r="E91" s="18">
        <v>120</v>
      </c>
      <c r="F91" s="18">
        <f t="shared" si="44"/>
        <v>0</v>
      </c>
      <c r="G91" s="32">
        <v>2.16794833886788</v>
      </c>
    </row>
    <row r="96" spans="1:19" x14ac:dyDescent="0.35">
      <c r="A96" t="s">
        <v>89</v>
      </c>
      <c r="B96">
        <v>7</v>
      </c>
      <c r="C96">
        <v>0</v>
      </c>
      <c r="D96">
        <f t="shared" ref="D96:D97" si="49">E96/B96</f>
        <v>6</v>
      </c>
      <c r="E96">
        <v>42</v>
      </c>
      <c r="F96">
        <f t="shared" ref="F96:F97" si="50">C96/B96</f>
        <v>0</v>
      </c>
      <c r="G96" s="32">
        <v>1.96638416050035</v>
      </c>
    </row>
    <row r="97" spans="1:7" x14ac:dyDescent="0.35">
      <c r="A97" s="18" t="s">
        <v>32</v>
      </c>
      <c r="B97" s="18">
        <v>13</v>
      </c>
      <c r="C97" s="18">
        <v>1</v>
      </c>
      <c r="D97" s="18">
        <f t="shared" si="49"/>
        <v>5.8461538461538458</v>
      </c>
      <c r="E97" s="18">
        <v>76</v>
      </c>
      <c r="F97" s="18">
        <f t="shared" si="50"/>
        <v>7.6923076923076927E-2</v>
      </c>
      <c r="G97" s="32">
        <v>2.1248885888797799</v>
      </c>
    </row>
  </sheetData>
  <sortState ref="I14:N53">
    <sortCondition ref="I14:I53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1"/>
  <sheetViews>
    <sheetView zoomScale="90" zoomScaleNormal="90" workbookViewId="0">
      <selection activeCell="I2" sqref="I2"/>
    </sheetView>
  </sheetViews>
  <sheetFormatPr defaultRowHeight="14.5" x14ac:dyDescent="0.35"/>
  <sheetData>
    <row r="1" spans="1:27 16384:16384" x14ac:dyDescent="0.35">
      <c r="A1" s="1">
        <v>46171</v>
      </c>
      <c r="B1" s="1">
        <v>46171</v>
      </c>
      <c r="C1" s="1">
        <v>46177</v>
      </c>
      <c r="D1" s="1">
        <v>46177</v>
      </c>
      <c r="E1" s="1">
        <v>46177</v>
      </c>
      <c r="F1" s="1">
        <v>46177</v>
      </c>
      <c r="G1" s="1">
        <v>46178</v>
      </c>
      <c r="H1" s="1">
        <v>46178</v>
      </c>
      <c r="I1" s="1">
        <v>46179</v>
      </c>
      <c r="J1" s="1">
        <v>46179</v>
      </c>
      <c r="K1" s="1">
        <v>46179</v>
      </c>
      <c r="L1" s="1">
        <v>46179</v>
      </c>
      <c r="M1" s="1">
        <v>46179</v>
      </c>
      <c r="N1" s="1">
        <v>46179</v>
      </c>
      <c r="O1" s="1">
        <v>46179</v>
      </c>
      <c r="Z1" s="1">
        <v>46179</v>
      </c>
      <c r="AA1" s="1">
        <v>46179</v>
      </c>
      <c r="XFD1" s="1"/>
    </row>
    <row r="2" spans="1:27 16384:16384" x14ac:dyDescent="0.35">
      <c r="A2" t="s">
        <v>553</v>
      </c>
      <c r="B2" t="s">
        <v>553</v>
      </c>
      <c r="C2" t="s">
        <v>31</v>
      </c>
      <c r="D2" t="s">
        <v>232</v>
      </c>
      <c r="E2" t="s">
        <v>552</v>
      </c>
      <c r="F2" t="s">
        <v>29</v>
      </c>
    </row>
    <row r="3" spans="1:27 16384:16384" x14ac:dyDescent="0.35">
      <c r="A3" t="s">
        <v>16</v>
      </c>
      <c r="B3" t="s">
        <v>25</v>
      </c>
      <c r="C3" t="s">
        <v>21</v>
      </c>
      <c r="D3" t="s">
        <v>25</v>
      </c>
      <c r="E3" t="s">
        <v>20</v>
      </c>
      <c r="F3" t="s">
        <v>49</v>
      </c>
    </row>
    <row r="4" spans="1:27 16384:16384" x14ac:dyDescent="0.35">
      <c r="A4" t="s">
        <v>113</v>
      </c>
      <c r="B4" t="s">
        <v>28</v>
      </c>
      <c r="C4" t="s">
        <v>28</v>
      </c>
      <c r="D4" t="s">
        <v>31</v>
      </c>
      <c r="E4" t="s">
        <v>29</v>
      </c>
      <c r="F4" t="s">
        <v>587</v>
      </c>
    </row>
    <row r="5" spans="1:27 16384:16384" x14ac:dyDescent="0.35">
      <c r="A5" t="s">
        <v>232</v>
      </c>
      <c r="B5" t="s">
        <v>16</v>
      </c>
      <c r="C5" t="s">
        <v>49</v>
      </c>
      <c r="D5" t="s">
        <v>21</v>
      </c>
      <c r="E5" t="s">
        <v>587</v>
      </c>
      <c r="F5" t="s">
        <v>605</v>
      </c>
    </row>
    <row r="6" spans="1:27 16384:16384" x14ac:dyDescent="0.35">
      <c r="A6" t="s">
        <v>25</v>
      </c>
      <c r="B6" t="s">
        <v>121</v>
      </c>
      <c r="C6" t="s">
        <v>230</v>
      </c>
      <c r="D6" t="s">
        <v>87</v>
      </c>
      <c r="E6" t="s">
        <v>147</v>
      </c>
      <c r="F6" t="s">
        <v>147</v>
      </c>
    </row>
    <row r="7" spans="1:27 16384:16384" x14ac:dyDescent="0.35">
      <c r="A7" t="s">
        <v>121</v>
      </c>
      <c r="B7" t="s">
        <v>232</v>
      </c>
      <c r="C7" t="s">
        <v>591</v>
      </c>
      <c r="D7" t="s">
        <v>230</v>
      </c>
      <c r="E7" t="s">
        <v>605</v>
      </c>
      <c r="F7" t="s">
        <v>574</v>
      </c>
    </row>
    <row r="8" spans="1:27 16384:16384" x14ac:dyDescent="0.35">
      <c r="A8" t="s">
        <v>28</v>
      </c>
      <c r="B8" t="s">
        <v>230</v>
      </c>
      <c r="C8" t="s">
        <v>586</v>
      </c>
      <c r="D8" t="s">
        <v>56</v>
      </c>
      <c r="E8" t="s">
        <v>574</v>
      </c>
      <c r="F8" t="s">
        <v>78</v>
      </c>
    </row>
    <row r="9" spans="1:27 16384:16384" x14ac:dyDescent="0.35">
      <c r="A9" t="s">
        <v>574</v>
      </c>
      <c r="B9" t="s">
        <v>574</v>
      </c>
      <c r="C9" t="s">
        <v>56</v>
      </c>
      <c r="D9" t="s">
        <v>28</v>
      </c>
      <c r="E9" t="s">
        <v>52</v>
      </c>
      <c r="F9" t="s">
        <v>552</v>
      </c>
    </row>
    <row r="12" spans="1:27 16384:16384" x14ac:dyDescent="0.35">
      <c r="A12" t="s">
        <v>42</v>
      </c>
      <c r="B12" t="s">
        <v>38</v>
      </c>
      <c r="C12" t="s">
        <v>39</v>
      </c>
      <c r="D12" t="s">
        <v>40</v>
      </c>
      <c r="E12" t="s">
        <v>43</v>
      </c>
      <c r="F12" t="s">
        <v>111</v>
      </c>
      <c r="G12" t="s">
        <v>275</v>
      </c>
      <c r="I12" s="4" t="s">
        <v>42</v>
      </c>
      <c r="J12" s="4" t="s">
        <v>38</v>
      </c>
      <c r="K12" s="4" t="s">
        <v>39</v>
      </c>
      <c r="L12" s="4" t="s">
        <v>40</v>
      </c>
      <c r="N12" s="4" t="s">
        <v>111</v>
      </c>
    </row>
    <row r="13" spans="1:27 16384:16384" x14ac:dyDescent="0.35">
      <c r="A13" s="18" t="s">
        <v>125</v>
      </c>
      <c r="B13" s="18">
        <v>35</v>
      </c>
      <c r="C13" s="18">
        <v>2</v>
      </c>
      <c r="D13" s="18">
        <f t="shared" ref="D13:D72" si="0">E13/B13</f>
        <v>4.1714285714285717</v>
      </c>
      <c r="E13" s="18">
        <v>146</v>
      </c>
      <c r="F13" s="18">
        <f t="shared" ref="F13:F72" si="1">C13/B13</f>
        <v>5.7142857142857141E-2</v>
      </c>
      <c r="G13" s="32">
        <v>2.3664319132398401</v>
      </c>
      <c r="I13" s="18" t="s">
        <v>125</v>
      </c>
      <c r="J13" s="18">
        <v>35</v>
      </c>
      <c r="K13" s="18">
        <v>2</v>
      </c>
      <c r="L13" s="18">
        <f t="shared" ref="L13:L15" si="2">M13/J13</f>
        <v>4.1714285714285717</v>
      </c>
      <c r="M13" s="18">
        <v>146</v>
      </c>
      <c r="N13" s="18">
        <f t="shared" ref="N13:N15" si="3">K13/J13</f>
        <v>5.7142857142857141E-2</v>
      </c>
    </row>
    <row r="14" spans="1:27 16384:16384" x14ac:dyDescent="0.35">
      <c r="A14" s="18" t="s">
        <v>104</v>
      </c>
      <c r="B14" s="18">
        <v>128</v>
      </c>
      <c r="C14" s="18">
        <v>9</v>
      </c>
      <c r="D14" s="18">
        <f t="shared" si="0"/>
        <v>4.2578125</v>
      </c>
      <c r="E14" s="18">
        <v>545</v>
      </c>
      <c r="F14" s="18">
        <f t="shared" si="1"/>
        <v>7.03125E-2</v>
      </c>
      <c r="G14" s="32">
        <v>2.3273733406281498</v>
      </c>
      <c r="I14" s="18" t="s">
        <v>104</v>
      </c>
      <c r="J14" s="18">
        <v>128</v>
      </c>
      <c r="K14" s="18">
        <v>9</v>
      </c>
      <c r="L14" s="18">
        <f t="shared" si="2"/>
        <v>4.2578125</v>
      </c>
      <c r="M14" s="18">
        <v>545</v>
      </c>
      <c r="N14" s="18">
        <f t="shared" si="3"/>
        <v>7.03125E-2</v>
      </c>
    </row>
    <row r="15" spans="1:27 16384:16384" x14ac:dyDescent="0.35">
      <c r="A15" s="18" t="s">
        <v>31</v>
      </c>
      <c r="B15" s="18">
        <v>257</v>
      </c>
      <c r="C15" s="18">
        <v>19</v>
      </c>
      <c r="D15" s="18">
        <f t="shared" si="0"/>
        <v>5.0700389105058363</v>
      </c>
      <c r="E15" s="18">
        <v>1303</v>
      </c>
      <c r="F15" s="18">
        <f t="shared" si="1"/>
        <v>7.3929961089494164E-2</v>
      </c>
      <c r="G15" s="32">
        <v>1.87082869338697</v>
      </c>
      <c r="I15" s="18" t="s">
        <v>31</v>
      </c>
      <c r="J15" s="18">
        <v>257</v>
      </c>
      <c r="K15" s="18">
        <v>19</v>
      </c>
      <c r="L15" s="18">
        <f t="shared" si="2"/>
        <v>5.0700389105058363</v>
      </c>
      <c r="M15" s="18">
        <v>1303</v>
      </c>
      <c r="N15" s="18">
        <f t="shared" si="3"/>
        <v>7.3929961089494164E-2</v>
      </c>
    </row>
    <row r="16" spans="1:27 16384:16384" x14ac:dyDescent="0.35">
      <c r="A16" s="18" t="s">
        <v>105</v>
      </c>
      <c r="B16" s="18">
        <v>32</v>
      </c>
      <c r="C16" s="18">
        <v>4</v>
      </c>
      <c r="D16" s="18">
        <f t="shared" si="0"/>
        <v>4.78125</v>
      </c>
      <c r="E16" s="18">
        <v>153</v>
      </c>
      <c r="F16" s="18">
        <f t="shared" si="1"/>
        <v>0.125</v>
      </c>
      <c r="G16" s="32">
        <v>1.8165902124584901</v>
      </c>
      <c r="I16" s="18" t="s">
        <v>105</v>
      </c>
      <c r="J16" s="18">
        <v>32</v>
      </c>
      <c r="K16" s="18">
        <v>4</v>
      </c>
      <c r="L16" s="18">
        <f t="shared" ref="L16:L17" si="4">M16/J16</f>
        <v>4.78125</v>
      </c>
      <c r="M16" s="18">
        <v>153</v>
      </c>
      <c r="N16" s="18">
        <f t="shared" ref="N16:N17" si="5">K16/J16</f>
        <v>0.125</v>
      </c>
    </row>
    <row r="17" spans="1:24" x14ac:dyDescent="0.35">
      <c r="A17" s="18" t="s">
        <v>128</v>
      </c>
      <c r="B17" s="18">
        <v>112</v>
      </c>
      <c r="C17" s="18">
        <v>36</v>
      </c>
      <c r="D17" s="18">
        <f t="shared" si="0"/>
        <v>3.1964285714285716</v>
      </c>
      <c r="E17" s="18">
        <v>358</v>
      </c>
      <c r="F17" s="18">
        <f t="shared" si="1"/>
        <v>0.32142857142857145</v>
      </c>
      <c r="G17" s="32">
        <v>2.03049835952651</v>
      </c>
      <c r="I17" s="18" t="s">
        <v>128</v>
      </c>
      <c r="J17" s="18">
        <v>112</v>
      </c>
      <c r="K17" s="18">
        <v>36</v>
      </c>
      <c r="L17" s="18">
        <f t="shared" si="4"/>
        <v>3.1964285714285716</v>
      </c>
      <c r="M17" s="18">
        <v>358</v>
      </c>
      <c r="N17" s="18">
        <f t="shared" si="5"/>
        <v>0.32142857142857145</v>
      </c>
      <c r="S17" s="18"/>
      <c r="T17" s="18"/>
      <c r="U17" s="18"/>
      <c r="V17" s="18"/>
      <c r="W17" s="18"/>
      <c r="X17" s="18"/>
    </row>
    <row r="18" spans="1:24" x14ac:dyDescent="0.35">
      <c r="A18" s="18" t="s">
        <v>8</v>
      </c>
      <c r="B18" s="18">
        <v>49</v>
      </c>
      <c r="C18" s="18">
        <v>6</v>
      </c>
      <c r="D18" s="18">
        <f t="shared" si="0"/>
        <v>4.4285714285714288</v>
      </c>
      <c r="E18" s="18">
        <v>217</v>
      </c>
      <c r="F18" s="18">
        <f t="shared" si="1"/>
        <v>0.12244897959183673</v>
      </c>
      <c r="G18" s="32">
        <v>2.4994623077688098</v>
      </c>
      <c r="I18" s="18" t="s">
        <v>8</v>
      </c>
      <c r="J18" s="18">
        <v>49</v>
      </c>
      <c r="K18" s="18">
        <v>6</v>
      </c>
      <c r="L18" s="18">
        <f t="shared" ref="L18:L19" si="6">M18/J18</f>
        <v>4.4285714285714288</v>
      </c>
      <c r="M18" s="18">
        <v>217</v>
      </c>
      <c r="N18" s="18">
        <f t="shared" ref="N18:N19" si="7">K18/J18</f>
        <v>0.12244897959183673</v>
      </c>
    </row>
    <row r="19" spans="1:24" x14ac:dyDescent="0.35">
      <c r="A19" s="18" t="s">
        <v>37</v>
      </c>
      <c r="B19" s="18">
        <v>30</v>
      </c>
      <c r="C19" s="18">
        <v>2</v>
      </c>
      <c r="D19" s="18">
        <f t="shared" si="0"/>
        <v>5.0666666666666664</v>
      </c>
      <c r="E19" s="18">
        <v>152</v>
      </c>
      <c r="F19" s="18">
        <f t="shared" si="1"/>
        <v>6.6666666666666666E-2</v>
      </c>
      <c r="G19" s="32">
        <v>2.4235565546581199</v>
      </c>
      <c r="I19" s="18" t="s">
        <v>37</v>
      </c>
      <c r="J19" s="18">
        <v>30</v>
      </c>
      <c r="K19" s="18">
        <v>2</v>
      </c>
      <c r="L19" s="18">
        <f t="shared" si="6"/>
        <v>5.0666666666666664</v>
      </c>
      <c r="M19" s="18">
        <v>152</v>
      </c>
      <c r="N19" s="18">
        <f t="shared" si="7"/>
        <v>6.6666666666666666E-2</v>
      </c>
    </row>
    <row r="20" spans="1:24" x14ac:dyDescent="0.35">
      <c r="A20" s="18" t="s">
        <v>14</v>
      </c>
      <c r="B20" s="18">
        <v>45</v>
      </c>
      <c r="C20" s="18">
        <v>3</v>
      </c>
      <c r="D20" s="18">
        <f t="shared" si="0"/>
        <v>4.7111111111111112</v>
      </c>
      <c r="E20" s="18">
        <v>212</v>
      </c>
      <c r="F20" s="18">
        <f t="shared" si="1"/>
        <v>6.6666666666666666E-2</v>
      </c>
      <c r="G20" s="32">
        <v>2.1805682857412299</v>
      </c>
      <c r="I20" t="s">
        <v>14</v>
      </c>
      <c r="J20">
        <v>45</v>
      </c>
      <c r="K20">
        <v>3</v>
      </c>
      <c r="L20">
        <f>M20/J20</f>
        <v>4.7111111111111112</v>
      </c>
      <c r="M20">
        <v>212</v>
      </c>
      <c r="N20">
        <f>K20/J20</f>
        <v>6.6666666666666666E-2</v>
      </c>
    </row>
    <row r="21" spans="1:24" x14ac:dyDescent="0.35">
      <c r="A21" s="73" t="s">
        <v>90</v>
      </c>
      <c r="B21" s="73">
        <v>30</v>
      </c>
      <c r="C21" s="73">
        <v>3</v>
      </c>
      <c r="D21" s="73">
        <f t="shared" si="0"/>
        <v>5.6</v>
      </c>
      <c r="E21" s="73">
        <v>168</v>
      </c>
      <c r="F21" s="73">
        <f t="shared" si="1"/>
        <v>0.1</v>
      </c>
      <c r="G21" s="32">
        <v>2.2962419891481902</v>
      </c>
      <c r="I21" s="73" t="s">
        <v>90</v>
      </c>
      <c r="J21" s="73">
        <v>30</v>
      </c>
      <c r="K21" s="73">
        <v>3</v>
      </c>
      <c r="L21" s="73">
        <f t="shared" ref="L21" si="8">M21/J21</f>
        <v>5.6</v>
      </c>
      <c r="M21" s="73">
        <v>168</v>
      </c>
      <c r="N21" s="73">
        <f t="shared" ref="N21" si="9">K21/J21</f>
        <v>0.1</v>
      </c>
    </row>
    <row r="22" spans="1:24" x14ac:dyDescent="0.35">
      <c r="A22" s="18" t="s">
        <v>6</v>
      </c>
      <c r="B22" s="18">
        <v>45</v>
      </c>
      <c r="C22" s="18">
        <v>3</v>
      </c>
      <c r="D22" s="18">
        <f t="shared" si="0"/>
        <v>5.3555555555555552</v>
      </c>
      <c r="E22" s="18">
        <v>241</v>
      </c>
      <c r="F22" s="18">
        <f t="shared" si="1"/>
        <v>6.6666666666666666E-2</v>
      </c>
      <c r="G22" s="32">
        <v>2.1514492783133501</v>
      </c>
      <c r="I22" s="18" t="s">
        <v>6</v>
      </c>
      <c r="J22" s="18">
        <v>45</v>
      </c>
      <c r="K22" s="18">
        <v>3</v>
      </c>
      <c r="L22" s="18">
        <f>M22/J22</f>
        <v>5.3555555555555552</v>
      </c>
      <c r="M22" s="18">
        <v>241</v>
      </c>
      <c r="N22" s="18">
        <f>K22/J22</f>
        <v>6.6666666666666666E-2</v>
      </c>
    </row>
    <row r="23" spans="1:24" x14ac:dyDescent="0.35">
      <c r="A23" s="18" t="s">
        <v>19</v>
      </c>
      <c r="B23" s="18">
        <v>37</v>
      </c>
      <c r="C23" s="18">
        <v>3</v>
      </c>
      <c r="D23" s="18">
        <f t="shared" si="0"/>
        <v>5.0270270270270272</v>
      </c>
      <c r="E23" s="18">
        <v>186</v>
      </c>
      <c r="F23" s="18">
        <f t="shared" si="1"/>
        <v>8.1081081081081086E-2</v>
      </c>
      <c r="G23" s="32">
        <v>2.3299294900428702</v>
      </c>
      <c r="I23" s="18" t="s">
        <v>19</v>
      </c>
      <c r="J23" s="18">
        <v>37</v>
      </c>
      <c r="K23" s="18">
        <v>3</v>
      </c>
      <c r="L23" s="18">
        <f t="shared" ref="L23:L25" si="10">M23/J23</f>
        <v>5.0270270270270272</v>
      </c>
      <c r="M23" s="18">
        <v>186</v>
      </c>
      <c r="N23" s="18">
        <f t="shared" ref="N23:N25" si="11">K23/J23</f>
        <v>8.1081081081081086E-2</v>
      </c>
    </row>
    <row r="24" spans="1:24" x14ac:dyDescent="0.35">
      <c r="A24" s="18" t="s">
        <v>56</v>
      </c>
      <c r="B24" s="18">
        <v>32</v>
      </c>
      <c r="C24" s="18">
        <v>0</v>
      </c>
      <c r="D24" s="18">
        <f t="shared" si="0"/>
        <v>5.125</v>
      </c>
      <c r="E24" s="18">
        <v>164</v>
      </c>
      <c r="F24" s="18">
        <f t="shared" si="1"/>
        <v>0</v>
      </c>
      <c r="G24" s="32">
        <v>2.0655911179772799</v>
      </c>
      <c r="I24" s="18" t="s">
        <v>56</v>
      </c>
      <c r="J24" s="18">
        <v>32</v>
      </c>
      <c r="K24" s="18">
        <v>0</v>
      </c>
      <c r="L24" s="18">
        <f t="shared" si="10"/>
        <v>5.125</v>
      </c>
      <c r="M24" s="18">
        <v>164</v>
      </c>
      <c r="N24" s="18">
        <f t="shared" si="11"/>
        <v>0</v>
      </c>
    </row>
    <row r="25" spans="1:24" x14ac:dyDescent="0.35">
      <c r="A25" s="18" t="s">
        <v>52</v>
      </c>
      <c r="B25" s="18">
        <v>31</v>
      </c>
      <c r="C25" s="18">
        <v>3</v>
      </c>
      <c r="D25" s="18">
        <f t="shared" si="0"/>
        <v>3.903225806451613</v>
      </c>
      <c r="E25" s="18">
        <v>121</v>
      </c>
      <c r="F25" s="18">
        <f t="shared" si="1"/>
        <v>9.6774193548387094E-2</v>
      </c>
      <c r="G25" s="32">
        <v>2.1794494717703299</v>
      </c>
      <c r="I25" s="18" t="s">
        <v>52</v>
      </c>
      <c r="J25" s="18">
        <v>31</v>
      </c>
      <c r="K25" s="18">
        <v>3</v>
      </c>
      <c r="L25" s="18">
        <f t="shared" si="10"/>
        <v>3.903225806451613</v>
      </c>
      <c r="M25" s="18">
        <v>121</v>
      </c>
      <c r="N25" s="18">
        <f t="shared" si="11"/>
        <v>9.6774193548387094E-2</v>
      </c>
    </row>
    <row r="26" spans="1:24" x14ac:dyDescent="0.35">
      <c r="A26" s="18" t="s">
        <v>20</v>
      </c>
      <c r="B26" s="18">
        <v>31</v>
      </c>
      <c r="C26" s="18">
        <v>2</v>
      </c>
      <c r="D26" s="18">
        <f t="shared" si="0"/>
        <v>5.32258064516129</v>
      </c>
      <c r="E26" s="18">
        <v>165</v>
      </c>
      <c r="F26" s="18">
        <f t="shared" si="1"/>
        <v>6.4516129032258063E-2</v>
      </c>
      <c r="G26" s="32">
        <v>2.3159525823376299</v>
      </c>
      <c r="I26" s="18" t="s">
        <v>20</v>
      </c>
      <c r="J26" s="18">
        <v>31</v>
      </c>
      <c r="K26" s="18">
        <v>2</v>
      </c>
      <c r="L26" s="18">
        <f t="shared" ref="L26" si="12">M26/J26</f>
        <v>5.32258064516129</v>
      </c>
      <c r="M26" s="18">
        <v>165</v>
      </c>
      <c r="N26" s="18">
        <f t="shared" ref="N26" si="13">K26/J26</f>
        <v>6.4516129032258063E-2</v>
      </c>
    </row>
    <row r="27" spans="1:24" x14ac:dyDescent="0.35">
      <c r="A27" s="18" t="s">
        <v>25</v>
      </c>
      <c r="B27" s="18">
        <v>227</v>
      </c>
      <c r="C27" s="18">
        <v>21</v>
      </c>
      <c r="D27" s="18">
        <f t="shared" si="0"/>
        <v>5.0044052863436121</v>
      </c>
      <c r="E27" s="18">
        <v>1136</v>
      </c>
      <c r="F27" s="18">
        <f t="shared" si="1"/>
        <v>9.2511013215859028E-2</v>
      </c>
      <c r="G27" s="32">
        <v>2.1609054109613202</v>
      </c>
      <c r="I27" s="18" t="s">
        <v>25</v>
      </c>
      <c r="J27" s="18">
        <v>227</v>
      </c>
      <c r="K27" s="18">
        <v>21</v>
      </c>
      <c r="L27" s="18">
        <f t="shared" ref="L27" si="14">M27/J27</f>
        <v>5.0044052863436121</v>
      </c>
      <c r="M27" s="18">
        <v>1136</v>
      </c>
      <c r="N27" s="18">
        <f t="shared" ref="N27" si="15">K27/J27</f>
        <v>9.2511013215859028E-2</v>
      </c>
    </row>
    <row r="28" spans="1:24" x14ac:dyDescent="0.35">
      <c r="A28" s="18" t="s">
        <v>34</v>
      </c>
      <c r="B28" s="18">
        <v>30</v>
      </c>
      <c r="C28" s="18">
        <v>2</v>
      </c>
      <c r="D28" s="18">
        <f t="shared" si="0"/>
        <v>5.5333333333333332</v>
      </c>
      <c r="E28" s="18">
        <v>166</v>
      </c>
      <c r="F28" s="18">
        <f t="shared" si="1"/>
        <v>6.6666666666666666E-2</v>
      </c>
      <c r="G28" s="32">
        <v>2.2360679774997898</v>
      </c>
      <c r="I28" s="18" t="s">
        <v>34</v>
      </c>
      <c r="J28" s="18">
        <v>30</v>
      </c>
      <c r="K28" s="18">
        <v>2</v>
      </c>
      <c r="L28" s="18">
        <f t="shared" ref="L28:L30" si="16">M28/J28</f>
        <v>5.5333333333333332</v>
      </c>
      <c r="M28" s="18">
        <v>166</v>
      </c>
      <c r="N28" s="18">
        <f t="shared" ref="N28:N30" si="17">K28/J28</f>
        <v>6.6666666666666666E-2</v>
      </c>
    </row>
    <row r="29" spans="1:24" x14ac:dyDescent="0.35">
      <c r="A29" s="18" t="s">
        <v>147</v>
      </c>
      <c r="B29" s="18">
        <v>135</v>
      </c>
      <c r="C29" s="18">
        <v>27</v>
      </c>
      <c r="D29" s="18">
        <f t="shared" si="0"/>
        <v>3.7407407407407409</v>
      </c>
      <c r="E29" s="18">
        <v>505</v>
      </c>
      <c r="F29" s="18">
        <f t="shared" si="1"/>
        <v>0.2</v>
      </c>
      <c r="G29" s="32">
        <v>1.94935886896179</v>
      </c>
      <c r="I29" s="18" t="s">
        <v>147</v>
      </c>
      <c r="J29" s="18">
        <v>135</v>
      </c>
      <c r="K29" s="18">
        <v>27</v>
      </c>
      <c r="L29" s="18">
        <f t="shared" si="16"/>
        <v>3.7407407407407409</v>
      </c>
      <c r="M29" s="18">
        <v>505</v>
      </c>
      <c r="N29" s="18">
        <f t="shared" si="17"/>
        <v>0.2</v>
      </c>
    </row>
    <row r="30" spans="1:24" x14ac:dyDescent="0.35">
      <c r="A30" s="18" t="s">
        <v>87</v>
      </c>
      <c r="B30" s="18">
        <v>176</v>
      </c>
      <c r="C30" s="18">
        <v>21</v>
      </c>
      <c r="D30" s="18">
        <f t="shared" si="0"/>
        <v>5.0454545454545459</v>
      </c>
      <c r="E30" s="18">
        <v>888</v>
      </c>
      <c r="F30" s="18">
        <f t="shared" si="1"/>
        <v>0.11931818181818182</v>
      </c>
      <c r="G30" s="32">
        <v>1.7888543819998299</v>
      </c>
      <c r="I30" s="18" t="s">
        <v>87</v>
      </c>
      <c r="J30" s="18">
        <v>176</v>
      </c>
      <c r="K30" s="18">
        <v>21</v>
      </c>
      <c r="L30" s="18">
        <f t="shared" si="16"/>
        <v>5.0454545454545459</v>
      </c>
      <c r="M30" s="18">
        <v>888</v>
      </c>
      <c r="N30" s="18">
        <f t="shared" si="17"/>
        <v>0.11931818181818182</v>
      </c>
    </row>
    <row r="31" spans="1:24" x14ac:dyDescent="0.35">
      <c r="A31" s="18" t="s">
        <v>50</v>
      </c>
      <c r="B31" s="18">
        <v>30</v>
      </c>
      <c r="C31" s="18">
        <v>1</v>
      </c>
      <c r="D31" s="18">
        <f t="shared" si="0"/>
        <v>4.3</v>
      </c>
      <c r="E31" s="18">
        <v>129</v>
      </c>
      <c r="F31" s="18">
        <f t="shared" si="1"/>
        <v>3.3333333333333333E-2</v>
      </c>
      <c r="G31" s="32">
        <v>2.2360679774997898</v>
      </c>
      <c r="I31" s="18" t="s">
        <v>50</v>
      </c>
      <c r="J31" s="18">
        <v>30</v>
      </c>
      <c r="K31" s="18">
        <v>1</v>
      </c>
      <c r="L31" s="18">
        <f t="shared" ref="L31:L32" si="18">M31/J31</f>
        <v>4.3</v>
      </c>
      <c r="M31" s="18">
        <v>129</v>
      </c>
      <c r="N31" s="18">
        <f t="shared" ref="N31:N32" si="19">K31/J31</f>
        <v>3.3333333333333333E-2</v>
      </c>
    </row>
    <row r="32" spans="1:24" x14ac:dyDescent="0.35">
      <c r="A32" s="18" t="s">
        <v>81</v>
      </c>
      <c r="B32" s="18">
        <v>83</v>
      </c>
      <c r="C32" s="18">
        <v>6</v>
      </c>
      <c r="D32" s="18">
        <f t="shared" si="0"/>
        <v>5.1084337349397586</v>
      </c>
      <c r="E32" s="18">
        <v>424</v>
      </c>
      <c r="F32" s="18">
        <f t="shared" si="1"/>
        <v>7.2289156626506021E-2</v>
      </c>
      <c r="G32" s="32">
        <v>1.76776695296636</v>
      </c>
      <c r="I32" s="18" t="s">
        <v>81</v>
      </c>
      <c r="J32" s="18">
        <v>83</v>
      </c>
      <c r="K32" s="18">
        <v>6</v>
      </c>
      <c r="L32" s="18">
        <f t="shared" si="18"/>
        <v>5.1084337349397586</v>
      </c>
      <c r="M32" s="18">
        <v>424</v>
      </c>
      <c r="N32" s="18">
        <f t="shared" si="19"/>
        <v>7.2289156626506021E-2</v>
      </c>
    </row>
    <row r="33" spans="1:14" x14ac:dyDescent="0.35">
      <c r="A33" s="18" t="s">
        <v>36</v>
      </c>
      <c r="B33" s="18">
        <v>30</v>
      </c>
      <c r="C33" s="18">
        <v>0</v>
      </c>
      <c r="D33" s="18">
        <f t="shared" si="0"/>
        <v>4.5333333333333332</v>
      </c>
      <c r="E33" s="18">
        <v>136</v>
      </c>
      <c r="F33" s="18">
        <f t="shared" si="1"/>
        <v>0</v>
      </c>
      <c r="G33" s="32">
        <v>2.6076809620810502</v>
      </c>
      <c r="I33" s="18" t="s">
        <v>36</v>
      </c>
      <c r="J33" s="18">
        <v>30</v>
      </c>
      <c r="K33" s="18">
        <v>0</v>
      </c>
      <c r="L33" s="18">
        <f t="shared" ref="L33" si="20">M33/J33</f>
        <v>4.5333333333333332</v>
      </c>
      <c r="M33" s="18">
        <v>136</v>
      </c>
      <c r="N33" s="18">
        <f t="shared" ref="N33" si="21">K33/J33</f>
        <v>0</v>
      </c>
    </row>
    <row r="34" spans="1:14" x14ac:dyDescent="0.35">
      <c r="A34" s="18" t="s">
        <v>112</v>
      </c>
      <c r="B34" s="18">
        <v>30</v>
      </c>
      <c r="C34" s="18">
        <v>6</v>
      </c>
      <c r="D34" s="18">
        <f t="shared" si="0"/>
        <v>4.166666666666667</v>
      </c>
      <c r="E34" s="18">
        <v>125</v>
      </c>
      <c r="F34" s="18">
        <f t="shared" si="1"/>
        <v>0.2</v>
      </c>
      <c r="G34" s="32">
        <v>2.71006354989037</v>
      </c>
      <c r="I34" s="18" t="s">
        <v>112</v>
      </c>
      <c r="J34" s="18">
        <v>30</v>
      </c>
      <c r="K34" s="18">
        <v>6</v>
      </c>
      <c r="L34" s="18">
        <f t="shared" ref="L34" si="22">M34/J34</f>
        <v>4.166666666666667</v>
      </c>
      <c r="M34" s="18">
        <v>125</v>
      </c>
      <c r="N34" s="18">
        <f t="shared" ref="N34" si="23">K34/J34</f>
        <v>0.2</v>
      </c>
    </row>
    <row r="35" spans="1:14" x14ac:dyDescent="0.35">
      <c r="A35" s="18" t="s">
        <v>27</v>
      </c>
      <c r="B35" s="18">
        <v>36</v>
      </c>
      <c r="C35" s="18">
        <v>3</v>
      </c>
      <c r="D35" s="18">
        <f t="shared" si="0"/>
        <v>4.4444444444444446</v>
      </c>
      <c r="E35" s="18">
        <v>160</v>
      </c>
      <c r="F35" s="18">
        <f t="shared" si="1"/>
        <v>8.3333333333333329E-2</v>
      </c>
      <c r="G35" s="32">
        <v>2.54950975679639</v>
      </c>
      <c r="I35" s="18" t="s">
        <v>27</v>
      </c>
      <c r="J35" s="18">
        <v>36</v>
      </c>
      <c r="K35" s="18">
        <v>3</v>
      </c>
      <c r="L35" s="18">
        <f>M35/J35</f>
        <v>4.4444444444444446</v>
      </c>
      <c r="M35" s="18">
        <v>160</v>
      </c>
      <c r="N35" s="18">
        <f>K35/J35</f>
        <v>8.3333333333333329E-2</v>
      </c>
    </row>
    <row r="36" spans="1:14" x14ac:dyDescent="0.35">
      <c r="A36" s="18" t="s">
        <v>117</v>
      </c>
      <c r="B36" s="18">
        <v>33</v>
      </c>
      <c r="C36" s="18">
        <v>6</v>
      </c>
      <c r="D36" s="18">
        <f t="shared" si="0"/>
        <v>4.1818181818181817</v>
      </c>
      <c r="E36" s="18">
        <v>138</v>
      </c>
      <c r="F36" s="18">
        <f t="shared" si="1"/>
        <v>0.18181818181818182</v>
      </c>
      <c r="G36" s="32">
        <v>2.7284509239574799</v>
      </c>
      <c r="I36" s="18" t="s">
        <v>117</v>
      </c>
      <c r="J36" s="18">
        <v>33</v>
      </c>
      <c r="K36" s="18">
        <v>6</v>
      </c>
      <c r="L36" s="18">
        <f t="shared" ref="L36" si="24">M36/J36</f>
        <v>4.1818181818181817</v>
      </c>
      <c r="M36" s="18">
        <v>138</v>
      </c>
      <c r="N36" s="18">
        <f t="shared" ref="N36" si="25">K36/J36</f>
        <v>0.18181818181818182</v>
      </c>
    </row>
    <row r="37" spans="1:14" x14ac:dyDescent="0.35">
      <c r="A37" s="41" t="s">
        <v>141</v>
      </c>
      <c r="B37" s="41">
        <v>9</v>
      </c>
      <c r="C37" s="41">
        <v>1</v>
      </c>
      <c r="D37" s="41">
        <f t="shared" si="0"/>
        <v>3.4444444444444446</v>
      </c>
      <c r="E37" s="41">
        <v>31</v>
      </c>
      <c r="F37" s="41">
        <f t="shared" si="1"/>
        <v>0.1111111111111111</v>
      </c>
      <c r="G37" s="32">
        <v>2.0736441353327701</v>
      </c>
      <c r="I37" s="18" t="s">
        <v>401</v>
      </c>
      <c r="J37" s="18">
        <v>69</v>
      </c>
      <c r="K37" s="18">
        <v>3</v>
      </c>
      <c r="L37" s="18">
        <f t="shared" ref="L37:L38" si="26">M37/J37</f>
        <v>5.3913043478260869</v>
      </c>
      <c r="M37" s="18">
        <v>372</v>
      </c>
      <c r="N37" s="18">
        <f t="shared" ref="N37:N38" si="27">K37/J37</f>
        <v>4.3478260869565216E-2</v>
      </c>
    </row>
    <row r="38" spans="1:14" x14ac:dyDescent="0.35">
      <c r="A38" s="18" t="s">
        <v>401</v>
      </c>
      <c r="B38" s="18">
        <v>69</v>
      </c>
      <c r="C38" s="18">
        <v>3</v>
      </c>
      <c r="D38" s="18">
        <f t="shared" si="0"/>
        <v>5.3913043478260869</v>
      </c>
      <c r="E38" s="18">
        <v>372</v>
      </c>
      <c r="F38" s="18">
        <f t="shared" si="1"/>
        <v>4.3478260869565216E-2</v>
      </c>
      <c r="G38" s="32">
        <v>2.1248885888797799</v>
      </c>
      <c r="I38" s="18" t="s">
        <v>15</v>
      </c>
      <c r="J38" s="18">
        <v>269</v>
      </c>
      <c r="K38" s="18">
        <v>40</v>
      </c>
      <c r="L38" s="18">
        <f t="shared" si="26"/>
        <v>4.6022304832713754</v>
      </c>
      <c r="M38" s="18">
        <v>1238</v>
      </c>
      <c r="N38" s="18">
        <f t="shared" si="27"/>
        <v>0.14869888475836432</v>
      </c>
    </row>
    <row r="39" spans="1:14" x14ac:dyDescent="0.35">
      <c r="A39" s="18" t="s">
        <v>15</v>
      </c>
      <c r="B39" s="18">
        <v>269</v>
      </c>
      <c r="C39" s="18">
        <v>40</v>
      </c>
      <c r="D39" s="18">
        <f t="shared" si="0"/>
        <v>4.6022304832713754</v>
      </c>
      <c r="E39" s="18">
        <v>1238</v>
      </c>
      <c r="F39" s="18">
        <f t="shared" si="1"/>
        <v>0.14869888475836432</v>
      </c>
      <c r="G39" s="32">
        <v>2.3694389634605302</v>
      </c>
      <c r="I39" s="18" t="s">
        <v>13</v>
      </c>
      <c r="J39" s="18">
        <v>36</v>
      </c>
      <c r="K39" s="18">
        <v>2</v>
      </c>
      <c r="L39" s="18">
        <f>M39/J39</f>
        <v>4.7222222222222223</v>
      </c>
      <c r="M39" s="18">
        <v>170</v>
      </c>
      <c r="N39" s="18">
        <f>K39/J39</f>
        <v>5.5555555555555552E-2</v>
      </c>
    </row>
    <row r="40" spans="1:14" x14ac:dyDescent="0.35">
      <c r="A40" s="18" t="s">
        <v>13</v>
      </c>
      <c r="B40" s="18">
        <v>36</v>
      </c>
      <c r="C40" s="18">
        <v>2</v>
      </c>
      <c r="D40" s="18">
        <f t="shared" si="0"/>
        <v>4.7222222222222223</v>
      </c>
      <c r="E40" s="18">
        <v>170</v>
      </c>
      <c r="F40" s="18">
        <f t="shared" si="1"/>
        <v>5.5555555555555552E-2</v>
      </c>
      <c r="G40" s="32">
        <v>2.1392325234704299</v>
      </c>
      <c r="I40" s="18" t="s">
        <v>10</v>
      </c>
      <c r="J40" s="18">
        <v>73</v>
      </c>
      <c r="K40" s="18">
        <v>13</v>
      </c>
      <c r="L40" s="18">
        <f t="shared" ref="L40" si="28">M40/J40</f>
        <v>3.9452054794520546</v>
      </c>
      <c r="M40" s="18">
        <v>288</v>
      </c>
      <c r="N40" s="18">
        <f t="shared" ref="N40" si="29">K40/J40</f>
        <v>0.17808219178082191</v>
      </c>
    </row>
    <row r="41" spans="1:14" x14ac:dyDescent="0.35">
      <c r="A41" s="18" t="s">
        <v>10</v>
      </c>
      <c r="B41" s="18">
        <v>73</v>
      </c>
      <c r="C41" s="18">
        <v>13</v>
      </c>
      <c r="D41" s="18">
        <f t="shared" si="0"/>
        <v>3.9452054794520546</v>
      </c>
      <c r="E41" s="18">
        <v>288</v>
      </c>
      <c r="F41" s="18">
        <f t="shared" si="1"/>
        <v>0.17808219178082191</v>
      </c>
      <c r="G41" s="32">
        <v>2.2086889501029501</v>
      </c>
      <c r="I41" s="18" t="s">
        <v>63</v>
      </c>
      <c r="J41" s="18">
        <v>30</v>
      </c>
      <c r="K41" s="18">
        <v>5</v>
      </c>
      <c r="L41" s="18">
        <f t="shared" ref="L41" si="30">M41/J41</f>
        <v>4.2333333333333334</v>
      </c>
      <c r="M41" s="18">
        <v>127</v>
      </c>
      <c r="N41" s="18">
        <f t="shared" ref="N41" si="31">K41/J41</f>
        <v>0.16666666666666666</v>
      </c>
    </row>
    <row r="42" spans="1:14" x14ac:dyDescent="0.35">
      <c r="A42" s="18" t="s">
        <v>63</v>
      </c>
      <c r="B42" s="18">
        <v>30</v>
      </c>
      <c r="C42" s="18">
        <v>5</v>
      </c>
      <c r="D42" s="18">
        <f t="shared" si="0"/>
        <v>4.2333333333333334</v>
      </c>
      <c r="E42" s="18">
        <v>127</v>
      </c>
      <c r="F42" s="18">
        <f t="shared" si="1"/>
        <v>0.16666666666666666</v>
      </c>
      <c r="G42" s="32">
        <v>2.6394443859772201</v>
      </c>
      <c r="I42" s="18" t="s">
        <v>4</v>
      </c>
      <c r="J42" s="18">
        <v>30</v>
      </c>
      <c r="K42" s="18">
        <v>4</v>
      </c>
      <c r="L42" s="18">
        <f t="shared" ref="L42:L47" si="32">M42/J42</f>
        <v>4.8</v>
      </c>
      <c r="M42" s="18">
        <v>144</v>
      </c>
      <c r="N42" s="18">
        <f t="shared" ref="N42:N47" si="33">K42/J42</f>
        <v>0.13333333333333333</v>
      </c>
    </row>
    <row r="43" spans="1:14" x14ac:dyDescent="0.35">
      <c r="A43" s="18" t="s">
        <v>4</v>
      </c>
      <c r="B43" s="18">
        <v>30</v>
      </c>
      <c r="C43" s="18">
        <v>4</v>
      </c>
      <c r="D43" s="18">
        <f t="shared" si="0"/>
        <v>4.8</v>
      </c>
      <c r="E43" s="18">
        <v>144</v>
      </c>
      <c r="F43" s="18">
        <f t="shared" si="1"/>
        <v>0.13333333333333333</v>
      </c>
      <c r="G43" s="32">
        <v>2.08832734769027</v>
      </c>
      <c r="I43" s="18" t="s">
        <v>121</v>
      </c>
      <c r="J43" s="18">
        <v>105</v>
      </c>
      <c r="K43" s="18">
        <v>23</v>
      </c>
      <c r="L43" s="18">
        <f t="shared" si="32"/>
        <v>3.8666666666666667</v>
      </c>
      <c r="M43" s="18">
        <v>406</v>
      </c>
      <c r="N43" s="18">
        <f t="shared" si="33"/>
        <v>0.21904761904761905</v>
      </c>
    </row>
    <row r="44" spans="1:14" x14ac:dyDescent="0.35">
      <c r="A44" s="18" t="s">
        <v>121</v>
      </c>
      <c r="B44" s="18">
        <v>105</v>
      </c>
      <c r="C44" s="18">
        <v>23</v>
      </c>
      <c r="D44" s="18">
        <f t="shared" si="0"/>
        <v>3.8666666666666667</v>
      </c>
      <c r="E44" s="18">
        <v>406</v>
      </c>
      <c r="F44" s="18">
        <f t="shared" si="1"/>
        <v>0.21904761904761905</v>
      </c>
      <c r="G44" s="32">
        <v>2.2233267457082899</v>
      </c>
      <c r="I44" s="18" t="s">
        <v>232</v>
      </c>
      <c r="J44" s="18">
        <v>162</v>
      </c>
      <c r="K44" s="18">
        <v>35</v>
      </c>
      <c r="L44" s="18">
        <f t="shared" si="32"/>
        <v>3.617283950617284</v>
      </c>
      <c r="M44" s="18">
        <v>586</v>
      </c>
      <c r="N44" s="18">
        <f t="shared" si="33"/>
        <v>0.21604938271604937</v>
      </c>
    </row>
    <row r="45" spans="1:14" x14ac:dyDescent="0.35">
      <c r="A45" s="18" t="s">
        <v>232</v>
      </c>
      <c r="B45" s="18">
        <v>162</v>
      </c>
      <c r="C45" s="18">
        <v>35</v>
      </c>
      <c r="D45" s="18">
        <f t="shared" si="0"/>
        <v>3.617283950617284</v>
      </c>
      <c r="E45" s="18">
        <v>586</v>
      </c>
      <c r="F45" s="18">
        <f t="shared" si="1"/>
        <v>0.21604938271604937</v>
      </c>
      <c r="G45" s="32">
        <v>2.2509257354845502</v>
      </c>
      <c r="I45" s="18" t="s">
        <v>21</v>
      </c>
      <c r="J45" s="18">
        <v>179</v>
      </c>
      <c r="K45" s="18">
        <v>25</v>
      </c>
      <c r="L45" s="18">
        <f t="shared" si="32"/>
        <v>4.3128491620111733</v>
      </c>
      <c r="M45" s="18">
        <v>772</v>
      </c>
      <c r="N45" s="18">
        <f t="shared" si="33"/>
        <v>0.13966480446927373</v>
      </c>
    </row>
    <row r="46" spans="1:14" x14ac:dyDescent="0.35">
      <c r="A46" s="18" t="s">
        <v>21</v>
      </c>
      <c r="B46" s="18">
        <v>179</v>
      </c>
      <c r="C46" s="18">
        <v>25</v>
      </c>
      <c r="D46" s="18">
        <f t="shared" si="0"/>
        <v>4.3128491620111733</v>
      </c>
      <c r="E46" s="18">
        <v>772</v>
      </c>
      <c r="F46" s="18">
        <f t="shared" si="1"/>
        <v>0.13966480446927373</v>
      </c>
      <c r="G46" s="32">
        <v>2.0655911179772799</v>
      </c>
      <c r="I46" s="18" t="s">
        <v>51</v>
      </c>
      <c r="J46" s="18">
        <v>47</v>
      </c>
      <c r="K46" s="18">
        <v>4</v>
      </c>
      <c r="L46" s="18">
        <f t="shared" si="32"/>
        <v>4.8085106382978724</v>
      </c>
      <c r="M46" s="18">
        <v>226</v>
      </c>
      <c r="N46" s="18">
        <f t="shared" si="33"/>
        <v>8.5106382978723402E-2</v>
      </c>
    </row>
    <row r="47" spans="1:14" x14ac:dyDescent="0.35">
      <c r="A47" s="18" t="s">
        <v>51</v>
      </c>
      <c r="B47" s="18">
        <v>47</v>
      </c>
      <c r="C47" s="18">
        <v>4</v>
      </c>
      <c r="D47" s="18">
        <f t="shared" si="0"/>
        <v>4.8085106382978724</v>
      </c>
      <c r="E47" s="18">
        <v>226</v>
      </c>
      <c r="F47" s="18">
        <f t="shared" si="1"/>
        <v>8.5106382978723402E-2</v>
      </c>
      <c r="G47" s="32">
        <v>2.2967049878400898</v>
      </c>
      <c r="I47" s="18" t="s">
        <v>414</v>
      </c>
      <c r="J47" s="18">
        <v>31</v>
      </c>
      <c r="K47" s="18">
        <v>4</v>
      </c>
      <c r="L47" s="18">
        <f t="shared" si="32"/>
        <v>4.709677419354839</v>
      </c>
      <c r="M47" s="18">
        <v>146</v>
      </c>
      <c r="N47" s="18">
        <f t="shared" si="33"/>
        <v>0.12903225806451613</v>
      </c>
    </row>
    <row r="48" spans="1:14" x14ac:dyDescent="0.35">
      <c r="A48" s="18" t="s">
        <v>414</v>
      </c>
      <c r="B48" s="18">
        <v>31</v>
      </c>
      <c r="C48" s="18">
        <v>4</v>
      </c>
      <c r="D48" s="18">
        <f t="shared" si="0"/>
        <v>4.709677419354839</v>
      </c>
      <c r="E48" s="18">
        <v>146</v>
      </c>
      <c r="F48" s="18">
        <f t="shared" si="1"/>
        <v>0.12903225806451613</v>
      </c>
      <c r="G48" s="32">
        <v>2.8702082220799299</v>
      </c>
      <c r="I48" s="18" t="s">
        <v>0</v>
      </c>
      <c r="J48" s="18">
        <v>84</v>
      </c>
      <c r="K48" s="18">
        <v>14</v>
      </c>
      <c r="L48" s="18">
        <f>M48/J48</f>
        <v>4.1547619047619051</v>
      </c>
      <c r="M48" s="18">
        <v>349</v>
      </c>
      <c r="N48" s="18">
        <f>K48/J48</f>
        <v>0.16666666666666666</v>
      </c>
    </row>
    <row r="49" spans="1:14" x14ac:dyDescent="0.35">
      <c r="A49" s="18" t="s">
        <v>0</v>
      </c>
      <c r="B49" s="18">
        <v>84</v>
      </c>
      <c r="C49" s="18">
        <v>14</v>
      </c>
      <c r="D49" s="18">
        <f t="shared" si="0"/>
        <v>4.1547619047619051</v>
      </c>
      <c r="E49" s="18">
        <v>349</v>
      </c>
      <c r="F49" s="18">
        <f t="shared" si="1"/>
        <v>0.16666666666666666</v>
      </c>
      <c r="G49" s="32">
        <v>2.16465107712866</v>
      </c>
      <c r="I49" s="18" t="s">
        <v>1</v>
      </c>
      <c r="J49" s="18">
        <v>115</v>
      </c>
      <c r="K49" s="18">
        <v>6</v>
      </c>
      <c r="L49" s="18">
        <f t="shared" ref="L49:L52" si="34">M49/J49</f>
        <v>4.6260869565217391</v>
      </c>
      <c r="M49" s="18">
        <v>532</v>
      </c>
      <c r="N49" s="18">
        <f t="shared" ref="N49:N52" si="35">K49/J49</f>
        <v>5.2173913043478258E-2</v>
      </c>
    </row>
    <row r="50" spans="1:14" x14ac:dyDescent="0.35">
      <c r="A50" s="18" t="s">
        <v>1</v>
      </c>
      <c r="B50" s="18">
        <v>115</v>
      </c>
      <c r="C50" s="18">
        <v>6</v>
      </c>
      <c r="D50" s="18">
        <f t="shared" si="0"/>
        <v>4.6260869565217391</v>
      </c>
      <c r="E50" s="18">
        <v>532</v>
      </c>
      <c r="F50" s="18">
        <f t="shared" si="1"/>
        <v>5.2173913043478258E-2</v>
      </c>
      <c r="G50" s="32">
        <v>2.0412414523193099</v>
      </c>
      <c r="I50" s="18" t="s">
        <v>28</v>
      </c>
      <c r="J50" s="18">
        <v>79</v>
      </c>
      <c r="K50" s="18">
        <v>4</v>
      </c>
      <c r="L50" s="18">
        <f t="shared" si="34"/>
        <v>5.2784810126582276</v>
      </c>
      <c r="M50" s="18">
        <v>417</v>
      </c>
      <c r="N50" s="18">
        <f t="shared" si="35"/>
        <v>5.0632911392405063E-2</v>
      </c>
    </row>
    <row r="51" spans="1:14" x14ac:dyDescent="0.35">
      <c r="A51" s="18" t="s">
        <v>28</v>
      </c>
      <c r="B51" s="18">
        <v>79</v>
      </c>
      <c r="C51" s="18">
        <v>4</v>
      </c>
      <c r="D51" s="18">
        <f t="shared" si="0"/>
        <v>5.2784810126582276</v>
      </c>
      <c r="E51" s="18">
        <v>417</v>
      </c>
      <c r="F51" s="18">
        <f t="shared" si="1"/>
        <v>5.0632911392405063E-2</v>
      </c>
      <c r="G51" s="32">
        <v>1.30384048104052</v>
      </c>
      <c r="I51" s="18" t="s">
        <v>253</v>
      </c>
      <c r="J51" s="18">
        <v>60</v>
      </c>
      <c r="K51" s="18">
        <v>4</v>
      </c>
      <c r="L51" s="18">
        <f t="shared" si="34"/>
        <v>5.5666666666666664</v>
      </c>
      <c r="M51" s="18">
        <v>334</v>
      </c>
      <c r="N51" s="18">
        <f t="shared" si="35"/>
        <v>6.6666666666666666E-2</v>
      </c>
    </row>
    <row r="52" spans="1:14" x14ac:dyDescent="0.35">
      <c r="A52" s="18" t="s">
        <v>253</v>
      </c>
      <c r="B52" s="18">
        <v>60</v>
      </c>
      <c r="C52" s="18">
        <v>4</v>
      </c>
      <c r="D52" s="18">
        <f t="shared" si="0"/>
        <v>5.5666666666666664</v>
      </c>
      <c r="E52" s="18">
        <v>334</v>
      </c>
      <c r="F52" s="18">
        <f t="shared" si="1"/>
        <v>6.6666666666666666E-2</v>
      </c>
      <c r="G52" s="32"/>
      <c r="I52" s="18" t="s">
        <v>175</v>
      </c>
      <c r="J52" s="18">
        <v>59</v>
      </c>
      <c r="K52" s="18">
        <v>16</v>
      </c>
      <c r="L52" s="18">
        <f t="shared" si="34"/>
        <v>3.3559322033898304</v>
      </c>
      <c r="M52" s="18">
        <v>198</v>
      </c>
      <c r="N52" s="18">
        <f t="shared" si="35"/>
        <v>0.2711864406779661</v>
      </c>
    </row>
    <row r="53" spans="1:14" x14ac:dyDescent="0.35">
      <c r="A53" s="18" t="s">
        <v>175</v>
      </c>
      <c r="B53" s="18">
        <v>59</v>
      </c>
      <c r="C53" s="18">
        <v>16</v>
      </c>
      <c r="D53" s="18">
        <f t="shared" si="0"/>
        <v>3.3559322033898304</v>
      </c>
      <c r="E53" s="18">
        <v>198</v>
      </c>
      <c r="F53" s="18">
        <f t="shared" si="1"/>
        <v>0.2711864406779661</v>
      </c>
      <c r="G53" s="32">
        <v>2</v>
      </c>
      <c r="I53" s="18" t="s">
        <v>61</v>
      </c>
      <c r="J53" s="18">
        <v>63</v>
      </c>
      <c r="K53" s="18">
        <v>13</v>
      </c>
      <c r="L53" s="18">
        <f t="shared" ref="L53" si="36">M53/J53</f>
        <v>4.4285714285714288</v>
      </c>
      <c r="M53" s="18">
        <v>279</v>
      </c>
      <c r="N53" s="18">
        <f>K53/J53</f>
        <v>0.20634920634920634</v>
      </c>
    </row>
    <row r="54" spans="1:14" x14ac:dyDescent="0.35">
      <c r="A54" s="18" t="s">
        <v>61</v>
      </c>
      <c r="B54" s="18">
        <v>63</v>
      </c>
      <c r="C54" s="18">
        <v>13</v>
      </c>
      <c r="D54" s="18">
        <f t="shared" si="0"/>
        <v>4.4285714285714288</v>
      </c>
      <c r="E54" s="18">
        <v>279</v>
      </c>
      <c r="F54" s="18">
        <f>C54/B54</f>
        <v>0.20634920634920634</v>
      </c>
      <c r="G54" s="32">
        <v>3.2403703492039302</v>
      </c>
      <c r="I54" s="18" t="s">
        <v>115</v>
      </c>
      <c r="J54" s="18">
        <v>39</v>
      </c>
      <c r="K54" s="18">
        <v>3</v>
      </c>
      <c r="L54" s="18">
        <f t="shared" ref="L54:L55" si="37">M54/J54</f>
        <v>4.384615384615385</v>
      </c>
      <c r="M54" s="18">
        <v>171</v>
      </c>
      <c r="N54" s="18">
        <f t="shared" ref="N54:N55" si="38">K54/J54</f>
        <v>7.6923076923076927E-2</v>
      </c>
    </row>
    <row r="55" spans="1:14" x14ac:dyDescent="0.35">
      <c r="A55" s="41" t="s">
        <v>142</v>
      </c>
      <c r="B55" s="41">
        <v>5</v>
      </c>
      <c r="C55" s="41">
        <v>0</v>
      </c>
      <c r="D55" s="41">
        <f t="shared" si="0"/>
        <v>7</v>
      </c>
      <c r="E55" s="41">
        <v>35</v>
      </c>
      <c r="F55" s="41">
        <f t="shared" si="1"/>
        <v>0</v>
      </c>
      <c r="G55" s="32">
        <v>0.81649658092772603</v>
      </c>
      <c r="I55" s="18" t="s">
        <v>24</v>
      </c>
      <c r="J55" s="18">
        <v>101</v>
      </c>
      <c r="K55" s="18">
        <v>12</v>
      </c>
      <c r="L55" s="18">
        <f t="shared" si="37"/>
        <v>4.5247524752475243</v>
      </c>
      <c r="M55" s="18">
        <v>457</v>
      </c>
      <c r="N55" s="18">
        <f t="shared" si="38"/>
        <v>0.11881188118811881</v>
      </c>
    </row>
    <row r="56" spans="1:14" x14ac:dyDescent="0.35">
      <c r="A56" s="18" t="s">
        <v>115</v>
      </c>
      <c r="B56" s="18">
        <v>39</v>
      </c>
      <c r="C56" s="18">
        <v>3</v>
      </c>
      <c r="D56" s="18">
        <f t="shared" si="0"/>
        <v>4.384615384615385</v>
      </c>
      <c r="E56" s="18">
        <v>171</v>
      </c>
      <c r="F56" s="18">
        <f t="shared" si="1"/>
        <v>7.6923076923076927E-2</v>
      </c>
      <c r="G56" s="32">
        <v>1.71824938596844</v>
      </c>
      <c r="I56" s="18" t="s">
        <v>116</v>
      </c>
      <c r="J56" s="18">
        <v>30</v>
      </c>
      <c r="K56" s="18">
        <v>5</v>
      </c>
      <c r="L56" s="18">
        <f t="shared" ref="L56" si="39">M56/J56</f>
        <v>4.0666666666666664</v>
      </c>
      <c r="M56" s="18">
        <v>122</v>
      </c>
      <c r="N56" s="18">
        <f t="shared" ref="N56" si="40">K56/J56</f>
        <v>0.16666666666666666</v>
      </c>
    </row>
    <row r="57" spans="1:14" x14ac:dyDescent="0.35">
      <c r="A57" s="18" t="s">
        <v>24</v>
      </c>
      <c r="B57" s="18">
        <v>101</v>
      </c>
      <c r="C57" s="18">
        <v>12</v>
      </c>
      <c r="D57" s="18">
        <f t="shared" si="0"/>
        <v>4.5247524752475243</v>
      </c>
      <c r="E57" s="18">
        <v>457</v>
      </c>
      <c r="F57" s="18">
        <f t="shared" si="1"/>
        <v>0.11881188118811881</v>
      </c>
      <c r="G57" s="32">
        <v>2.26909243703399</v>
      </c>
      <c r="I57" s="18" t="s">
        <v>5</v>
      </c>
      <c r="J57" s="18">
        <v>31</v>
      </c>
      <c r="K57" s="18">
        <v>1</v>
      </c>
      <c r="L57" s="18">
        <f t="shared" ref="L57" si="41">M57/J57</f>
        <v>4.612903225806452</v>
      </c>
      <c r="M57" s="18">
        <v>143</v>
      </c>
      <c r="N57" s="18">
        <f t="shared" ref="N57" si="42">K57/J57</f>
        <v>3.2258064516129031E-2</v>
      </c>
    </row>
    <row r="58" spans="1:14" x14ac:dyDescent="0.35">
      <c r="A58" s="18" t="s">
        <v>116</v>
      </c>
      <c r="B58" s="18">
        <v>30</v>
      </c>
      <c r="C58" s="18">
        <v>5</v>
      </c>
      <c r="D58" s="18">
        <f t="shared" si="0"/>
        <v>4.0666666666666664</v>
      </c>
      <c r="E58" s="18">
        <v>122</v>
      </c>
      <c r="F58" s="18">
        <f t="shared" si="1"/>
        <v>0.16666666666666666</v>
      </c>
      <c r="G58" s="32">
        <v>1.7043362064926899</v>
      </c>
      <c r="I58" s="18" t="s">
        <v>58</v>
      </c>
      <c r="J58" s="18">
        <v>30</v>
      </c>
      <c r="K58" s="18">
        <v>6</v>
      </c>
      <c r="L58" s="18">
        <f t="shared" ref="L58:L60" si="43">M58/J58</f>
        <v>3.7</v>
      </c>
      <c r="M58" s="18">
        <v>111</v>
      </c>
      <c r="N58" s="18">
        <f t="shared" ref="N58:N60" si="44">K58/J58</f>
        <v>0.2</v>
      </c>
    </row>
    <row r="59" spans="1:14" x14ac:dyDescent="0.35">
      <c r="A59" s="18" t="s">
        <v>5</v>
      </c>
      <c r="B59" s="18">
        <v>31</v>
      </c>
      <c r="C59" s="18">
        <v>1</v>
      </c>
      <c r="D59" s="18">
        <f t="shared" si="0"/>
        <v>4.612903225806452</v>
      </c>
      <c r="E59" s="18">
        <v>143</v>
      </c>
      <c r="F59" s="18">
        <f t="shared" si="1"/>
        <v>3.2258064516129031E-2</v>
      </c>
      <c r="G59" s="32">
        <v>1.8898223650461301</v>
      </c>
      <c r="I59" s="18" t="s">
        <v>30</v>
      </c>
      <c r="J59" s="18">
        <v>63</v>
      </c>
      <c r="K59" s="18">
        <v>5</v>
      </c>
      <c r="L59" s="18">
        <f t="shared" si="43"/>
        <v>5.1428571428571432</v>
      </c>
      <c r="M59" s="18">
        <v>324</v>
      </c>
      <c r="N59" s="18">
        <f t="shared" si="44"/>
        <v>7.9365079365079361E-2</v>
      </c>
    </row>
    <row r="60" spans="1:14" x14ac:dyDescent="0.35">
      <c r="A60" s="18" t="s">
        <v>58</v>
      </c>
      <c r="B60" s="18">
        <v>30</v>
      </c>
      <c r="C60" s="18">
        <v>6</v>
      </c>
      <c r="D60" s="18">
        <f t="shared" si="0"/>
        <v>3.7</v>
      </c>
      <c r="E60" s="18">
        <v>111</v>
      </c>
      <c r="F60" s="18">
        <f t="shared" si="1"/>
        <v>0.2</v>
      </c>
      <c r="G60" s="32">
        <v>2.33809038890002</v>
      </c>
      <c r="I60" s="18" t="s">
        <v>29</v>
      </c>
      <c r="J60" s="18">
        <v>132</v>
      </c>
      <c r="K60" s="18">
        <v>19</v>
      </c>
      <c r="L60" s="18">
        <f t="shared" si="43"/>
        <v>3.9848484848484849</v>
      </c>
      <c r="M60" s="18">
        <v>526</v>
      </c>
      <c r="N60" s="18">
        <f t="shared" si="44"/>
        <v>0.14393939393939395</v>
      </c>
    </row>
    <row r="61" spans="1:14" x14ac:dyDescent="0.35">
      <c r="A61" s="18" t="s">
        <v>30</v>
      </c>
      <c r="B61" s="18">
        <v>63</v>
      </c>
      <c r="C61" s="18">
        <v>5</v>
      </c>
      <c r="D61" s="18">
        <f t="shared" si="0"/>
        <v>5.1428571428571432</v>
      </c>
      <c r="E61" s="18">
        <v>324</v>
      </c>
      <c r="F61" s="18">
        <f t="shared" si="1"/>
        <v>7.9365079365079361E-2</v>
      </c>
      <c r="G61" s="32">
        <v>2.5226248955475601</v>
      </c>
      <c r="I61" s="18" t="s">
        <v>148</v>
      </c>
      <c r="J61" s="18">
        <v>42</v>
      </c>
      <c r="K61" s="18">
        <v>8</v>
      </c>
      <c r="L61" s="18">
        <f t="shared" ref="L61" si="45">M61/J61</f>
        <v>3.7380952380952381</v>
      </c>
      <c r="M61" s="18">
        <v>157</v>
      </c>
      <c r="N61" s="18">
        <f t="shared" ref="N61" si="46">K61/J61</f>
        <v>0.19047619047619047</v>
      </c>
    </row>
    <row r="62" spans="1:14" x14ac:dyDescent="0.35">
      <c r="A62" s="18" t="s">
        <v>29</v>
      </c>
      <c r="B62" s="18">
        <v>132</v>
      </c>
      <c r="C62" s="18">
        <v>19</v>
      </c>
      <c r="D62" s="18">
        <f t="shared" si="0"/>
        <v>3.9848484848484849</v>
      </c>
      <c r="E62" s="18">
        <v>526</v>
      </c>
      <c r="F62" s="18">
        <f t="shared" si="1"/>
        <v>0.14393939393939395</v>
      </c>
      <c r="G62" s="32">
        <v>2.0875571218153701</v>
      </c>
      <c r="I62" s="18" t="s">
        <v>9</v>
      </c>
      <c r="J62" s="18">
        <v>30</v>
      </c>
      <c r="K62" s="18">
        <v>3</v>
      </c>
      <c r="L62" s="18">
        <f t="shared" ref="L62" si="47">M62/J62</f>
        <v>3.8</v>
      </c>
      <c r="M62" s="18">
        <v>114</v>
      </c>
      <c r="N62" s="18">
        <f t="shared" ref="N62" si="48">K62/J62</f>
        <v>0.1</v>
      </c>
    </row>
    <row r="63" spans="1:14" x14ac:dyDescent="0.35">
      <c r="A63" s="18" t="s">
        <v>148</v>
      </c>
      <c r="B63" s="18">
        <v>42</v>
      </c>
      <c r="C63" s="18">
        <v>8</v>
      </c>
      <c r="D63" s="18">
        <f t="shared" si="0"/>
        <v>3.7380952380952381</v>
      </c>
      <c r="E63" s="18">
        <v>157</v>
      </c>
      <c r="F63" s="18">
        <f t="shared" si="1"/>
        <v>0.19047619047619047</v>
      </c>
      <c r="G63" s="32">
        <v>2.0528725518857001</v>
      </c>
      <c r="I63" s="18" t="s">
        <v>139</v>
      </c>
      <c r="J63" s="18">
        <v>30</v>
      </c>
      <c r="K63" s="18">
        <v>4</v>
      </c>
      <c r="L63" s="18">
        <f t="shared" ref="L63" si="49">M63/J63</f>
        <v>4.2666666666666666</v>
      </c>
      <c r="M63" s="18">
        <v>128</v>
      </c>
      <c r="N63" s="18">
        <f t="shared" ref="N63" si="50">K63/J63</f>
        <v>0.13333333333333333</v>
      </c>
    </row>
    <row r="64" spans="1:14" x14ac:dyDescent="0.35">
      <c r="A64" s="18" t="s">
        <v>9</v>
      </c>
      <c r="B64" s="18">
        <v>30</v>
      </c>
      <c r="C64" s="18">
        <v>3</v>
      </c>
      <c r="D64" s="18">
        <f t="shared" si="0"/>
        <v>3.8</v>
      </c>
      <c r="E64" s="18">
        <v>114</v>
      </c>
      <c r="F64" s="18">
        <f t="shared" si="1"/>
        <v>0.1</v>
      </c>
      <c r="G64" s="32">
        <v>2.42097317438899</v>
      </c>
      <c r="I64" s="18" t="s">
        <v>428</v>
      </c>
      <c r="J64" s="18">
        <v>31</v>
      </c>
      <c r="K64" s="18">
        <v>5</v>
      </c>
      <c r="L64" s="18">
        <f>M64/J64</f>
        <v>4.096774193548387</v>
      </c>
      <c r="M64" s="18">
        <v>127</v>
      </c>
      <c r="N64" s="18">
        <f>K64/J64</f>
        <v>0.16129032258064516</v>
      </c>
    </row>
    <row r="65" spans="1:14" x14ac:dyDescent="0.35">
      <c r="A65" s="18" t="s">
        <v>139</v>
      </c>
      <c r="B65" s="18">
        <v>30</v>
      </c>
      <c r="C65" s="18">
        <v>4</v>
      </c>
      <c r="D65" s="18">
        <f t="shared" si="0"/>
        <v>4.2666666666666666</v>
      </c>
      <c r="E65" s="18">
        <v>128</v>
      </c>
      <c r="F65" s="18">
        <f t="shared" si="1"/>
        <v>0.13333333333333333</v>
      </c>
      <c r="G65" s="32">
        <v>1.9944979263017399</v>
      </c>
      <c r="I65" s="18" t="s">
        <v>17</v>
      </c>
      <c r="J65" s="18">
        <v>30</v>
      </c>
      <c r="K65" s="18">
        <v>2</v>
      </c>
      <c r="L65" s="18">
        <f t="shared" ref="L65" si="51">M65/J65</f>
        <v>5.0999999999999996</v>
      </c>
      <c r="M65" s="18">
        <v>153</v>
      </c>
      <c r="N65" s="18">
        <f t="shared" ref="N65" si="52">K65/J65</f>
        <v>6.6666666666666666E-2</v>
      </c>
    </row>
    <row r="66" spans="1:14" x14ac:dyDescent="0.35">
      <c r="A66" s="18" t="s">
        <v>428</v>
      </c>
      <c r="B66" s="18">
        <v>31</v>
      </c>
      <c r="C66" s="18">
        <v>5</v>
      </c>
      <c r="D66" s="18">
        <f t="shared" si="0"/>
        <v>4.096774193548387</v>
      </c>
      <c r="E66" s="18">
        <v>127</v>
      </c>
      <c r="F66" s="18">
        <f t="shared" si="1"/>
        <v>0.16129032258064516</v>
      </c>
      <c r="G66" s="32">
        <v>1.9414506867882999</v>
      </c>
      <c r="I66" s="18" t="s">
        <v>79</v>
      </c>
      <c r="J66" s="18">
        <v>54</v>
      </c>
      <c r="K66" s="18">
        <v>6</v>
      </c>
      <c r="L66" s="18">
        <f t="shared" ref="L66:L67" si="53">M66/J66</f>
        <v>4.6296296296296298</v>
      </c>
      <c r="M66" s="18">
        <v>250</v>
      </c>
      <c r="N66" s="18">
        <f t="shared" ref="N66:N67" si="54">K66/J66</f>
        <v>0.1111111111111111</v>
      </c>
    </row>
    <row r="67" spans="1:14" x14ac:dyDescent="0.35">
      <c r="A67" s="41" t="s">
        <v>197</v>
      </c>
      <c r="B67" s="41">
        <v>10</v>
      </c>
      <c r="C67" s="41">
        <v>0</v>
      </c>
      <c r="D67" s="41">
        <f t="shared" si="0"/>
        <v>5</v>
      </c>
      <c r="E67" s="41">
        <v>50</v>
      </c>
      <c r="F67" s="41">
        <f t="shared" si="1"/>
        <v>0</v>
      </c>
      <c r="G67" s="32">
        <v>2.39045721866878</v>
      </c>
      <c r="I67" s="18" t="s">
        <v>123</v>
      </c>
      <c r="J67" s="18">
        <v>41</v>
      </c>
      <c r="K67" s="18">
        <v>6</v>
      </c>
      <c r="L67" s="18">
        <f t="shared" si="53"/>
        <v>4.3414634146341466</v>
      </c>
      <c r="M67" s="18">
        <v>178</v>
      </c>
      <c r="N67" s="18">
        <f t="shared" si="54"/>
        <v>0.14634146341463414</v>
      </c>
    </row>
    <row r="68" spans="1:14" x14ac:dyDescent="0.35">
      <c r="A68" s="18" t="s">
        <v>17</v>
      </c>
      <c r="B68" s="18">
        <v>30</v>
      </c>
      <c r="C68" s="18">
        <v>2</v>
      </c>
      <c r="D68" s="18">
        <f t="shared" si="0"/>
        <v>5.0999999999999996</v>
      </c>
      <c r="E68" s="18">
        <v>153</v>
      </c>
      <c r="F68" s="18">
        <f t="shared" si="1"/>
        <v>6.6666666666666666E-2</v>
      </c>
      <c r="G68" s="32">
        <v>2.4832774042918899</v>
      </c>
      <c r="I68" s="18" t="s">
        <v>12</v>
      </c>
      <c r="J68" s="18">
        <v>30</v>
      </c>
      <c r="K68" s="18">
        <v>1</v>
      </c>
      <c r="L68" s="18">
        <f t="shared" ref="L68:L69" si="55">M68/J68</f>
        <v>4.8666666666666663</v>
      </c>
      <c r="M68" s="18">
        <v>146</v>
      </c>
      <c r="N68" s="18">
        <f t="shared" ref="N68:N69" si="56">K68/J68</f>
        <v>3.3333333333333333E-2</v>
      </c>
    </row>
    <row r="69" spans="1:14" x14ac:dyDescent="0.35">
      <c r="A69" s="18" t="s">
        <v>79</v>
      </c>
      <c r="B69" s="18">
        <v>54</v>
      </c>
      <c r="C69" s="18">
        <v>6</v>
      </c>
      <c r="D69" s="18">
        <f t="shared" si="0"/>
        <v>4.6296296296296298</v>
      </c>
      <c r="E69" s="18">
        <v>250</v>
      </c>
      <c r="F69" s="18">
        <f t="shared" si="1"/>
        <v>0.1111111111111111</v>
      </c>
      <c r="G69" s="32">
        <v>2.05866345916355</v>
      </c>
      <c r="I69" s="18" t="s">
        <v>404</v>
      </c>
      <c r="J69" s="18">
        <v>32</v>
      </c>
      <c r="K69" s="18">
        <v>3</v>
      </c>
      <c r="L69" s="18">
        <f t="shared" si="55"/>
        <v>4.8125</v>
      </c>
      <c r="M69" s="18">
        <v>154</v>
      </c>
      <c r="N69" s="18">
        <f t="shared" si="56"/>
        <v>9.375E-2</v>
      </c>
    </row>
    <row r="70" spans="1:14" x14ac:dyDescent="0.35">
      <c r="A70" s="18" t="s">
        <v>123</v>
      </c>
      <c r="B70" s="18">
        <v>41</v>
      </c>
      <c r="C70" s="18">
        <v>6</v>
      </c>
      <c r="D70" s="18">
        <f t="shared" si="0"/>
        <v>4.3414634146341466</v>
      </c>
      <c r="E70" s="18">
        <v>178</v>
      </c>
      <c r="F70" s="18">
        <f t="shared" si="1"/>
        <v>0.14634146341463414</v>
      </c>
      <c r="G70" s="32">
        <v>2</v>
      </c>
      <c r="I70" s="18" t="s">
        <v>22</v>
      </c>
      <c r="J70" s="18">
        <v>184</v>
      </c>
      <c r="K70" s="18">
        <v>30</v>
      </c>
      <c r="L70" s="18">
        <f>M70/J70</f>
        <v>4.1141304347826084</v>
      </c>
      <c r="M70" s="18">
        <v>757</v>
      </c>
      <c r="N70" s="18">
        <f>K70/J70</f>
        <v>0.16304347826086957</v>
      </c>
    </row>
    <row r="71" spans="1:14" x14ac:dyDescent="0.35">
      <c r="A71" s="18" t="s">
        <v>12</v>
      </c>
      <c r="B71" s="18">
        <v>30</v>
      </c>
      <c r="C71" s="18">
        <v>1</v>
      </c>
      <c r="D71" s="18">
        <f t="shared" si="0"/>
        <v>4.8666666666666663</v>
      </c>
      <c r="E71" s="18">
        <v>146</v>
      </c>
      <c r="F71" s="18">
        <f t="shared" si="1"/>
        <v>3.3333333333333333E-2</v>
      </c>
      <c r="G71" s="32">
        <v>2.44584195260913</v>
      </c>
      <c r="I71" s="18" t="s">
        <v>110</v>
      </c>
      <c r="J71" s="18">
        <v>30</v>
      </c>
      <c r="K71" s="18">
        <v>1</v>
      </c>
      <c r="L71" s="18">
        <f>M71/J71</f>
        <v>5.166666666666667</v>
      </c>
      <c r="M71" s="18">
        <v>155</v>
      </c>
      <c r="N71" s="18">
        <f>K71/J71</f>
        <v>3.3333333333333333E-2</v>
      </c>
    </row>
    <row r="72" spans="1:14" x14ac:dyDescent="0.35">
      <c r="A72" s="18" t="s">
        <v>404</v>
      </c>
      <c r="B72" s="18">
        <v>32</v>
      </c>
      <c r="C72" s="18">
        <v>3</v>
      </c>
      <c r="D72" s="18">
        <f t="shared" si="0"/>
        <v>4.8125</v>
      </c>
      <c r="E72" s="18">
        <v>154</v>
      </c>
      <c r="F72" s="18">
        <f t="shared" si="1"/>
        <v>9.375E-2</v>
      </c>
      <c r="G72" s="32">
        <v>2.3094010767584998</v>
      </c>
      <c r="I72" s="18" t="s">
        <v>82</v>
      </c>
      <c r="J72" s="18">
        <v>30</v>
      </c>
      <c r="K72" s="18">
        <v>1</v>
      </c>
      <c r="L72" s="18">
        <f t="shared" ref="L72" si="57">M72/J72</f>
        <v>5.2</v>
      </c>
      <c r="M72" s="18">
        <v>156</v>
      </c>
      <c r="N72" s="18">
        <f>K72/J72</f>
        <v>3.3333333333333333E-2</v>
      </c>
    </row>
    <row r="73" spans="1:14" x14ac:dyDescent="0.35">
      <c r="A73" s="18" t="s">
        <v>22</v>
      </c>
      <c r="B73" s="18">
        <v>184</v>
      </c>
      <c r="C73" s="18">
        <v>30</v>
      </c>
      <c r="D73" s="18">
        <f>E73/B73</f>
        <v>4.1141304347826084</v>
      </c>
      <c r="E73" s="18">
        <v>757</v>
      </c>
      <c r="F73" s="18">
        <f>C73/B73</f>
        <v>0.16304347826086957</v>
      </c>
      <c r="G73" s="32">
        <v>2.2045689482796602</v>
      </c>
      <c r="I73" s="18" t="s">
        <v>33</v>
      </c>
      <c r="J73" s="18">
        <v>66</v>
      </c>
      <c r="K73" s="18">
        <v>4</v>
      </c>
      <c r="L73" s="18">
        <f>M73/J73</f>
        <v>5.5303030303030303</v>
      </c>
      <c r="M73" s="18">
        <v>365</v>
      </c>
      <c r="N73" s="18">
        <f>K73/J73</f>
        <v>6.0606060606060608E-2</v>
      </c>
    </row>
    <row r="74" spans="1:14" x14ac:dyDescent="0.35">
      <c r="A74" s="41" t="s">
        <v>135</v>
      </c>
      <c r="B74" s="41">
        <v>8</v>
      </c>
      <c r="C74" s="41">
        <v>1</v>
      </c>
      <c r="D74" s="41">
        <f>E74/B74</f>
        <v>4.75</v>
      </c>
      <c r="E74" s="41">
        <v>38</v>
      </c>
      <c r="F74" s="41">
        <f>C74/B74</f>
        <v>0.125</v>
      </c>
      <c r="G74" s="32">
        <v>2.16794833886788</v>
      </c>
      <c r="I74" s="18" t="s">
        <v>99</v>
      </c>
      <c r="J74" s="18">
        <v>30</v>
      </c>
      <c r="K74" s="18">
        <v>2</v>
      </c>
      <c r="L74" s="18">
        <f t="shared" ref="L74" si="58">M74/J74</f>
        <v>5.2</v>
      </c>
      <c r="M74" s="18">
        <v>156</v>
      </c>
      <c r="N74" s="18">
        <f t="shared" ref="N74" si="59">K74/J74</f>
        <v>6.6666666666666666E-2</v>
      </c>
    </row>
    <row r="75" spans="1:14" x14ac:dyDescent="0.35">
      <c r="A75" s="18" t="s">
        <v>110</v>
      </c>
      <c r="B75" s="18">
        <v>30</v>
      </c>
      <c r="C75" s="18">
        <v>1</v>
      </c>
      <c r="D75" s="18">
        <f>E75/B75</f>
        <v>5.166666666666667</v>
      </c>
      <c r="E75" s="18">
        <v>155</v>
      </c>
      <c r="F75" s="18">
        <f>C75/B75</f>
        <v>3.3333333333333333E-2</v>
      </c>
      <c r="G75" s="32">
        <v>1.9407902170679501</v>
      </c>
      <c r="I75" s="18" t="s">
        <v>7</v>
      </c>
      <c r="J75" s="18">
        <v>30</v>
      </c>
      <c r="K75" s="18">
        <v>7</v>
      </c>
      <c r="L75" s="18">
        <f t="shared" ref="L75" si="60">M75/J75</f>
        <v>3.7666666666666666</v>
      </c>
      <c r="M75" s="18">
        <v>113</v>
      </c>
      <c r="N75" s="18">
        <f t="shared" ref="N75" si="61">K75/J75</f>
        <v>0.23333333333333334</v>
      </c>
    </row>
    <row r="76" spans="1:14" x14ac:dyDescent="0.35">
      <c r="A76" s="18" t="s">
        <v>82</v>
      </c>
      <c r="B76" s="18">
        <v>30</v>
      </c>
      <c r="C76" s="18">
        <v>1</v>
      </c>
      <c r="D76" s="18">
        <f t="shared" ref="D76:D91" si="62">E76/B76</f>
        <v>5.2</v>
      </c>
      <c r="E76" s="18">
        <v>156</v>
      </c>
      <c r="F76" s="18">
        <f>C76/B76</f>
        <v>3.3333333333333333E-2</v>
      </c>
      <c r="G76" s="32">
        <v>2</v>
      </c>
      <c r="I76" s="18" t="s">
        <v>129</v>
      </c>
      <c r="J76" s="18">
        <v>46</v>
      </c>
      <c r="K76" s="18">
        <v>8</v>
      </c>
      <c r="L76" s="18">
        <f>M76/J76</f>
        <v>4.5217391304347823</v>
      </c>
      <c r="M76" s="18">
        <v>208</v>
      </c>
      <c r="N76" s="18">
        <f>K76/J76</f>
        <v>0.17391304347826086</v>
      </c>
    </row>
    <row r="77" spans="1:14" x14ac:dyDescent="0.35">
      <c r="A77" s="18" t="s">
        <v>33</v>
      </c>
      <c r="B77" s="18">
        <v>66</v>
      </c>
      <c r="C77" s="18">
        <v>4</v>
      </c>
      <c r="D77" s="18">
        <f t="shared" si="62"/>
        <v>5.5303030303030303</v>
      </c>
      <c r="E77" s="18">
        <v>365</v>
      </c>
      <c r="F77" s="18">
        <f t="shared" ref="F77:F91" si="63">C77/B77</f>
        <v>6.0606060606060608E-2</v>
      </c>
      <c r="G77" s="32">
        <v>2.14993539954627</v>
      </c>
      <c r="I77" s="18" t="s">
        <v>113</v>
      </c>
      <c r="J77" s="18">
        <v>31</v>
      </c>
      <c r="K77" s="18">
        <v>0</v>
      </c>
      <c r="L77" s="18">
        <f t="shared" ref="L77" si="64">M77/J77</f>
        <v>4.225806451612903</v>
      </c>
      <c r="M77" s="18">
        <v>131</v>
      </c>
      <c r="N77" s="18">
        <f t="shared" ref="N77" si="65">K77/J77</f>
        <v>0</v>
      </c>
    </row>
    <row r="78" spans="1:14" x14ac:dyDescent="0.35">
      <c r="A78" s="18" t="s">
        <v>99</v>
      </c>
      <c r="B78" s="18">
        <v>30</v>
      </c>
      <c r="C78" s="18">
        <v>2</v>
      </c>
      <c r="D78" s="18">
        <f t="shared" si="62"/>
        <v>5.2</v>
      </c>
      <c r="E78" s="18">
        <v>156</v>
      </c>
      <c r="F78" s="18">
        <f t="shared" si="63"/>
        <v>6.6666666666666666E-2</v>
      </c>
      <c r="G78" s="32">
        <v>2.6687491868330699</v>
      </c>
      <c r="I78" s="18" t="s">
        <v>35</v>
      </c>
      <c r="J78" s="18">
        <v>185</v>
      </c>
      <c r="K78" s="18">
        <v>44</v>
      </c>
      <c r="L78" s="18">
        <f t="shared" ref="L78" si="66">M78/J78</f>
        <v>3.5945945945945947</v>
      </c>
      <c r="M78" s="18">
        <v>665</v>
      </c>
      <c r="N78" s="18">
        <f t="shared" ref="N78" si="67">K78/J78</f>
        <v>0.23783783783783785</v>
      </c>
    </row>
    <row r="79" spans="1:14" x14ac:dyDescent="0.35">
      <c r="A79" s="18" t="s">
        <v>7</v>
      </c>
      <c r="B79" s="18">
        <v>30</v>
      </c>
      <c r="C79" s="18">
        <v>7</v>
      </c>
      <c r="D79" s="18">
        <f t="shared" si="62"/>
        <v>3.7666666666666666</v>
      </c>
      <c r="E79" s="18">
        <v>113</v>
      </c>
      <c r="F79" s="18">
        <f t="shared" si="63"/>
        <v>0.23333333333333334</v>
      </c>
      <c r="G79" s="32">
        <v>2.7888667551135802</v>
      </c>
      <c r="I79" s="18" t="s">
        <v>26</v>
      </c>
      <c r="J79" s="18">
        <v>102</v>
      </c>
      <c r="K79" s="18">
        <v>6</v>
      </c>
      <c r="L79" s="18">
        <f>M79/J79</f>
        <v>5.215686274509804</v>
      </c>
      <c r="M79" s="18">
        <v>532</v>
      </c>
      <c r="N79" s="18">
        <f>K79/J79</f>
        <v>5.8823529411764705E-2</v>
      </c>
    </row>
    <row r="80" spans="1:14" x14ac:dyDescent="0.35">
      <c r="A80" s="41" t="s">
        <v>138</v>
      </c>
      <c r="B80" s="41">
        <v>5</v>
      </c>
      <c r="C80" s="41">
        <v>1</v>
      </c>
      <c r="D80" s="41">
        <f t="shared" si="62"/>
        <v>4</v>
      </c>
      <c r="E80" s="41">
        <v>20</v>
      </c>
      <c r="F80" s="41">
        <f t="shared" si="63"/>
        <v>0.2</v>
      </c>
      <c r="G80" s="32">
        <v>2.2173557826083399</v>
      </c>
      <c r="I80" s="18" t="s">
        <v>122</v>
      </c>
      <c r="J80" s="18">
        <v>151</v>
      </c>
      <c r="K80" s="18">
        <v>19</v>
      </c>
      <c r="L80" s="18">
        <f t="shared" ref="L80" si="68">M80/J80</f>
        <v>3.9933774834437088</v>
      </c>
      <c r="M80" s="18">
        <v>603</v>
      </c>
      <c r="N80" s="18">
        <f t="shared" ref="N80" si="69">K80/J80</f>
        <v>0.12582781456953643</v>
      </c>
    </row>
    <row r="81" spans="1:14" x14ac:dyDescent="0.35">
      <c r="A81" s="41" t="s">
        <v>137</v>
      </c>
      <c r="B81" s="41">
        <v>11</v>
      </c>
      <c r="C81" s="41">
        <v>1</v>
      </c>
      <c r="D81" s="41">
        <f t="shared" si="62"/>
        <v>4.1818181818181817</v>
      </c>
      <c r="E81" s="41">
        <v>46</v>
      </c>
      <c r="F81" s="41">
        <f t="shared" si="63"/>
        <v>9.0909090909090912E-2</v>
      </c>
      <c r="G81" s="32">
        <v>1.8618986725025199</v>
      </c>
      <c r="I81" s="18" t="s">
        <v>49</v>
      </c>
      <c r="J81" s="18">
        <v>143</v>
      </c>
      <c r="K81" s="18">
        <v>9</v>
      </c>
      <c r="L81" s="18">
        <f t="shared" ref="L81" si="70">M81/J81</f>
        <v>5.0769230769230766</v>
      </c>
      <c r="M81" s="18">
        <v>726</v>
      </c>
      <c r="N81" s="18">
        <f t="shared" ref="N81" si="71">K81/J81</f>
        <v>6.2937062937062943E-2</v>
      </c>
    </row>
    <row r="82" spans="1:14" x14ac:dyDescent="0.35">
      <c r="A82" s="18" t="s">
        <v>129</v>
      </c>
      <c r="B82" s="18">
        <v>46</v>
      </c>
      <c r="C82" s="18">
        <v>8</v>
      </c>
      <c r="D82" s="18">
        <f t="shared" si="62"/>
        <v>4.5217391304347823</v>
      </c>
      <c r="E82" s="18">
        <v>208</v>
      </c>
      <c r="F82" s="18">
        <f t="shared" si="63"/>
        <v>0.17391304347826086</v>
      </c>
      <c r="G82" s="32">
        <v>2.1315096371664199</v>
      </c>
      <c r="I82" s="18" t="s">
        <v>3</v>
      </c>
      <c r="J82" s="18">
        <v>48</v>
      </c>
      <c r="K82" s="18">
        <v>7</v>
      </c>
      <c r="L82" s="18">
        <f>M82/J82</f>
        <v>4.229166666666667</v>
      </c>
      <c r="M82" s="18">
        <v>203</v>
      </c>
      <c r="N82" s="18">
        <f>K82/J82</f>
        <v>0.14583333333333334</v>
      </c>
    </row>
    <row r="83" spans="1:14" x14ac:dyDescent="0.35">
      <c r="A83" s="18" t="s">
        <v>113</v>
      </c>
      <c r="B83" s="18">
        <v>31</v>
      </c>
      <c r="C83" s="18">
        <v>0</v>
      </c>
      <c r="D83" s="18">
        <f t="shared" si="62"/>
        <v>4.225806451612903</v>
      </c>
      <c r="E83" s="18">
        <v>131</v>
      </c>
      <c r="F83" s="18">
        <f t="shared" si="63"/>
        <v>0</v>
      </c>
      <c r="G83" s="32">
        <v>2.4899799195977401</v>
      </c>
      <c r="I83" s="18" t="s">
        <v>2</v>
      </c>
      <c r="J83" s="18">
        <v>30</v>
      </c>
      <c r="K83" s="18">
        <v>6</v>
      </c>
      <c r="L83" s="18">
        <f t="shared" ref="L83" si="72">M83/J83</f>
        <v>3.9666666666666668</v>
      </c>
      <c r="M83" s="18">
        <v>119</v>
      </c>
      <c r="N83" s="18">
        <f t="shared" ref="N83" si="73">K83/J83</f>
        <v>0.2</v>
      </c>
    </row>
    <row r="84" spans="1:14" x14ac:dyDescent="0.35">
      <c r="A84" s="18" t="s">
        <v>35</v>
      </c>
      <c r="B84" s="18">
        <v>185</v>
      </c>
      <c r="C84" s="18">
        <v>44</v>
      </c>
      <c r="D84" s="18">
        <f t="shared" si="62"/>
        <v>3.5945945945945947</v>
      </c>
      <c r="E84" s="18">
        <v>665</v>
      </c>
      <c r="F84" s="18">
        <f t="shared" si="63"/>
        <v>0.23783783783783785</v>
      </c>
      <c r="G84" s="32">
        <v>2.6214406763289899</v>
      </c>
      <c r="I84" s="18" t="s">
        <v>124</v>
      </c>
      <c r="J84" s="18">
        <v>31</v>
      </c>
      <c r="K84" s="18">
        <v>1</v>
      </c>
      <c r="L84" s="18">
        <f>M84/J84</f>
        <v>4.935483870967742</v>
      </c>
      <c r="M84" s="18">
        <v>153</v>
      </c>
      <c r="N84" s="18">
        <f>K84/J84</f>
        <v>3.2258064516129031E-2</v>
      </c>
    </row>
    <row r="85" spans="1:14" x14ac:dyDescent="0.35">
      <c r="A85" s="18" t="s">
        <v>26</v>
      </c>
      <c r="B85" s="18">
        <v>102</v>
      </c>
      <c r="C85" s="18">
        <v>6</v>
      </c>
      <c r="D85" s="18">
        <f t="shared" si="62"/>
        <v>5.215686274509804</v>
      </c>
      <c r="E85" s="18">
        <v>532</v>
      </c>
      <c r="F85" s="18">
        <f t="shared" si="63"/>
        <v>5.8823529411764705E-2</v>
      </c>
      <c r="G85" s="32">
        <v>2.4494897427831699</v>
      </c>
    </row>
    <row r="86" spans="1:14" x14ac:dyDescent="0.35">
      <c r="A86" s="18" t="s">
        <v>122</v>
      </c>
      <c r="B86" s="18">
        <v>151</v>
      </c>
      <c r="C86" s="18">
        <v>19</v>
      </c>
      <c r="D86" s="18">
        <f t="shared" si="62"/>
        <v>3.9933774834437088</v>
      </c>
      <c r="E86" s="18">
        <v>603</v>
      </c>
      <c r="F86" s="18">
        <f t="shared" si="63"/>
        <v>0.12582781456953643</v>
      </c>
      <c r="G86" s="32">
        <v>1.6329931618554501</v>
      </c>
    </row>
    <row r="87" spans="1:14" x14ac:dyDescent="0.35">
      <c r="A87" s="18" t="s">
        <v>49</v>
      </c>
      <c r="B87" s="18">
        <v>143</v>
      </c>
      <c r="C87" s="18">
        <v>9</v>
      </c>
      <c r="D87" s="18">
        <f t="shared" si="62"/>
        <v>5.0769230769230766</v>
      </c>
      <c r="E87" s="18">
        <v>726</v>
      </c>
      <c r="F87" s="18">
        <f t="shared" si="63"/>
        <v>6.2937062937062943E-2</v>
      </c>
      <c r="G87" s="32">
        <v>2.79455252402308</v>
      </c>
    </row>
    <row r="88" spans="1:14" x14ac:dyDescent="0.35">
      <c r="A88" s="18" t="s">
        <v>3</v>
      </c>
      <c r="B88" s="18">
        <v>48</v>
      </c>
      <c r="C88" s="18">
        <v>7</v>
      </c>
      <c r="D88" s="18">
        <f t="shared" si="62"/>
        <v>4.229166666666667</v>
      </c>
      <c r="E88" s="18">
        <v>203</v>
      </c>
      <c r="F88" s="18">
        <f t="shared" si="63"/>
        <v>0.14583333333333334</v>
      </c>
      <c r="G88" s="32">
        <v>2.3731557327466102</v>
      </c>
    </row>
    <row r="89" spans="1:14" x14ac:dyDescent="0.35">
      <c r="A89" t="s">
        <v>230</v>
      </c>
      <c r="B89">
        <v>30</v>
      </c>
      <c r="C89">
        <v>4</v>
      </c>
      <c r="D89">
        <f t="shared" si="62"/>
        <v>4.9666666666666668</v>
      </c>
      <c r="E89">
        <v>149</v>
      </c>
      <c r="F89">
        <f t="shared" si="63"/>
        <v>0.13333333333333333</v>
      </c>
      <c r="G89" s="32">
        <v>2.7748873851023199</v>
      </c>
    </row>
    <row r="90" spans="1:14" x14ac:dyDescent="0.35">
      <c r="A90" s="18" t="s">
        <v>2</v>
      </c>
      <c r="B90" s="18">
        <v>30</v>
      </c>
      <c r="C90" s="18">
        <v>6</v>
      </c>
      <c r="D90" s="18">
        <f t="shared" si="62"/>
        <v>3.9666666666666668</v>
      </c>
      <c r="E90" s="18">
        <v>119</v>
      </c>
      <c r="F90" s="18">
        <f t="shared" si="63"/>
        <v>0.2</v>
      </c>
      <c r="G90" s="32">
        <v>2.5876449587894599</v>
      </c>
    </row>
    <row r="91" spans="1:14" x14ac:dyDescent="0.35">
      <c r="A91" s="18" t="s">
        <v>124</v>
      </c>
      <c r="B91" s="18">
        <v>31</v>
      </c>
      <c r="C91" s="18">
        <v>1</v>
      </c>
      <c r="D91" s="18">
        <f t="shared" si="62"/>
        <v>4.935483870967742</v>
      </c>
      <c r="E91" s="18">
        <v>153</v>
      </c>
      <c r="F91" s="18">
        <f t="shared" si="63"/>
        <v>3.2258064516129031E-2</v>
      </c>
      <c r="G91" s="32">
        <v>2.16794833886788</v>
      </c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zoomScale="70" zoomScaleNormal="70" workbookViewId="0">
      <selection activeCell="L31" sqref="L31"/>
    </sheetView>
  </sheetViews>
  <sheetFormatPr defaultRowHeight="14.5" x14ac:dyDescent="0.35"/>
  <cols>
    <col min="1" max="1" width="22.1796875" bestFit="1" customWidth="1"/>
    <col min="2" max="2" width="7.453125" bestFit="1" customWidth="1"/>
    <col min="3" max="3" width="8.7265625" bestFit="1" customWidth="1"/>
    <col min="4" max="5" width="13" bestFit="1" customWidth="1"/>
    <col min="6" max="6" width="43.81640625" bestFit="1" customWidth="1"/>
    <col min="9" max="9" width="22.1796875" bestFit="1" customWidth="1"/>
    <col min="10" max="10" width="7.453125" customWidth="1"/>
    <col min="11" max="11" width="8.7265625" bestFit="1" customWidth="1"/>
    <col min="12" max="13" width="13" bestFit="1" customWidth="1"/>
    <col min="14" max="14" width="69.54296875" bestFit="1" customWidth="1"/>
  </cols>
  <sheetData>
    <row r="1" spans="1:15" x14ac:dyDescent="0.35">
      <c r="A1" s="4" t="s">
        <v>42</v>
      </c>
      <c r="B1" s="4" t="s">
        <v>38</v>
      </c>
      <c r="C1" s="4" t="s">
        <v>39</v>
      </c>
      <c r="D1" s="4" t="s">
        <v>40</v>
      </c>
      <c r="E1" s="4" t="s">
        <v>111</v>
      </c>
      <c r="I1" s="4" t="s">
        <v>42</v>
      </c>
      <c r="J1" s="4" t="s">
        <v>38</v>
      </c>
      <c r="K1" s="4" t="s">
        <v>39</v>
      </c>
      <c r="L1" s="4" t="s">
        <v>40</v>
      </c>
      <c r="M1" s="4" t="s">
        <v>111</v>
      </c>
    </row>
    <row r="2" spans="1:15" x14ac:dyDescent="0.35">
      <c r="A2" s="60" t="s">
        <v>128</v>
      </c>
      <c r="B2" s="60">
        <v>88</v>
      </c>
      <c r="C2" s="60">
        <v>27</v>
      </c>
      <c r="D2" s="60">
        <f t="shared" ref="D2:D33" si="0">G2/B2</f>
        <v>3.0795454545454546</v>
      </c>
      <c r="E2" s="60">
        <f t="shared" ref="E2:E33" si="1">C2/B2</f>
        <v>0.30681818181818182</v>
      </c>
      <c r="G2" s="18">
        <v>271</v>
      </c>
      <c r="I2" s="60" t="s">
        <v>175</v>
      </c>
      <c r="J2" s="60">
        <v>38</v>
      </c>
      <c r="K2" s="60">
        <v>9</v>
      </c>
      <c r="L2" s="60">
        <f t="shared" ref="L2:L33" si="2">O2/J2</f>
        <v>3.236842105263158</v>
      </c>
      <c r="M2" s="60">
        <f t="shared" ref="M2:M33" si="3">K2/J2</f>
        <v>0.23684210526315788</v>
      </c>
      <c r="N2" s="2" t="s">
        <v>44</v>
      </c>
      <c r="O2" s="18">
        <v>123</v>
      </c>
    </row>
    <row r="3" spans="1:15" x14ac:dyDescent="0.35">
      <c r="A3" s="59" t="s">
        <v>175</v>
      </c>
      <c r="B3" s="59">
        <v>31</v>
      </c>
      <c r="C3" s="59">
        <v>8</v>
      </c>
      <c r="D3" s="59">
        <f t="shared" si="0"/>
        <v>3.3225806451612905</v>
      </c>
      <c r="E3" s="59">
        <f t="shared" si="1"/>
        <v>0.25806451612903225</v>
      </c>
      <c r="G3" s="18">
        <v>103</v>
      </c>
      <c r="I3" s="60" t="s">
        <v>128</v>
      </c>
      <c r="J3" s="60">
        <v>101</v>
      </c>
      <c r="K3" s="60">
        <v>31</v>
      </c>
      <c r="L3" s="60">
        <f t="shared" si="2"/>
        <v>3.2574257425742572</v>
      </c>
      <c r="M3" s="60">
        <f t="shared" si="3"/>
        <v>0.30693069306930693</v>
      </c>
      <c r="N3" s="3" t="s">
        <v>46</v>
      </c>
      <c r="O3" s="18">
        <v>329</v>
      </c>
    </row>
    <row r="4" spans="1:15" x14ac:dyDescent="0.35">
      <c r="A4" s="59" t="s">
        <v>35</v>
      </c>
      <c r="B4" s="59">
        <v>131</v>
      </c>
      <c r="C4" s="59">
        <v>36</v>
      </c>
      <c r="D4" s="59">
        <f t="shared" si="0"/>
        <v>3.5419847328244276</v>
      </c>
      <c r="E4" s="59">
        <f t="shared" si="1"/>
        <v>0.27480916030534353</v>
      </c>
      <c r="G4" s="18">
        <v>464</v>
      </c>
      <c r="I4" s="59" t="s">
        <v>35</v>
      </c>
      <c r="J4" s="59">
        <v>148</v>
      </c>
      <c r="K4" s="59">
        <v>38</v>
      </c>
      <c r="L4" s="59">
        <f t="shared" si="2"/>
        <v>3.5405405405405403</v>
      </c>
      <c r="M4" s="59">
        <f t="shared" si="3"/>
        <v>0.25675675675675674</v>
      </c>
      <c r="O4" s="18">
        <v>524</v>
      </c>
    </row>
    <row r="5" spans="1:15" x14ac:dyDescent="0.35">
      <c r="A5" s="59" t="s">
        <v>147</v>
      </c>
      <c r="B5" s="59">
        <v>88</v>
      </c>
      <c r="C5" s="59">
        <v>18</v>
      </c>
      <c r="D5" s="59">
        <f t="shared" si="0"/>
        <v>3.625</v>
      </c>
      <c r="E5" s="59">
        <f t="shared" si="1"/>
        <v>0.20454545454545456</v>
      </c>
      <c r="F5" s="2" t="s">
        <v>44</v>
      </c>
      <c r="G5" s="18">
        <v>319</v>
      </c>
      <c r="I5" s="59" t="s">
        <v>52</v>
      </c>
      <c r="J5" s="59">
        <v>22</v>
      </c>
      <c r="K5" s="59">
        <v>2</v>
      </c>
      <c r="L5" s="59">
        <f t="shared" si="2"/>
        <v>3.6363636363636362</v>
      </c>
      <c r="M5" s="59">
        <f t="shared" si="3"/>
        <v>9.0909090909090912E-2</v>
      </c>
      <c r="N5" s="2" t="s">
        <v>44</v>
      </c>
      <c r="O5" s="18">
        <v>80</v>
      </c>
    </row>
    <row r="6" spans="1:15" x14ac:dyDescent="0.35">
      <c r="A6" s="59" t="s">
        <v>52</v>
      </c>
      <c r="B6" s="59">
        <v>22</v>
      </c>
      <c r="C6" s="59">
        <v>2</v>
      </c>
      <c r="D6" s="59">
        <f t="shared" si="0"/>
        <v>3.6363636363636362</v>
      </c>
      <c r="E6" s="59">
        <f t="shared" si="1"/>
        <v>9.0909090909090912E-2</v>
      </c>
      <c r="F6" s="3" t="s">
        <v>46</v>
      </c>
      <c r="G6" s="18">
        <v>80</v>
      </c>
      <c r="I6" s="59" t="s">
        <v>147</v>
      </c>
      <c r="J6" s="59">
        <v>110</v>
      </c>
      <c r="K6" s="59">
        <v>21</v>
      </c>
      <c r="L6" s="59">
        <f t="shared" si="2"/>
        <v>3.6909090909090909</v>
      </c>
      <c r="M6" s="59">
        <f t="shared" si="3"/>
        <v>0.19090909090909092</v>
      </c>
      <c r="N6" s="3" t="s">
        <v>46</v>
      </c>
      <c r="O6" s="18">
        <v>406</v>
      </c>
    </row>
    <row r="7" spans="1:15" x14ac:dyDescent="0.35">
      <c r="A7" s="59" t="s">
        <v>148</v>
      </c>
      <c r="B7" s="59">
        <v>37</v>
      </c>
      <c r="C7" s="59">
        <v>8</v>
      </c>
      <c r="D7" s="59">
        <f t="shared" si="0"/>
        <v>3.7297297297297298</v>
      </c>
      <c r="E7" s="59">
        <f t="shared" si="1"/>
        <v>0.21621621621621623</v>
      </c>
      <c r="F7" s="2" t="s">
        <v>378</v>
      </c>
      <c r="G7" s="18">
        <v>138</v>
      </c>
      <c r="I7" s="59" t="s">
        <v>148</v>
      </c>
      <c r="J7" s="59">
        <v>41</v>
      </c>
      <c r="K7" s="59">
        <v>8</v>
      </c>
      <c r="L7" s="59">
        <f t="shared" si="2"/>
        <v>3.7560975609756095</v>
      </c>
      <c r="M7" s="59">
        <f t="shared" si="3"/>
        <v>0.1951219512195122</v>
      </c>
      <c r="O7" s="18">
        <v>154</v>
      </c>
    </row>
    <row r="8" spans="1:15" x14ac:dyDescent="0.35">
      <c r="A8" s="59" t="s">
        <v>29</v>
      </c>
      <c r="B8" s="59">
        <v>98</v>
      </c>
      <c r="C8" s="59">
        <v>14</v>
      </c>
      <c r="D8" s="59">
        <f t="shared" si="0"/>
        <v>3.8367346938775508</v>
      </c>
      <c r="E8" s="59">
        <f t="shared" si="1"/>
        <v>0.14285714285714285</v>
      </c>
      <c r="F8" s="2" t="s">
        <v>44</v>
      </c>
      <c r="G8" s="18">
        <v>376</v>
      </c>
      <c r="I8" s="59" t="s">
        <v>58</v>
      </c>
      <c r="J8" s="59">
        <v>24</v>
      </c>
      <c r="K8" s="59">
        <v>4</v>
      </c>
      <c r="L8" s="59">
        <f t="shared" si="2"/>
        <v>3.8333333333333335</v>
      </c>
      <c r="M8" s="59">
        <f t="shared" si="3"/>
        <v>0.16666666666666666</v>
      </c>
      <c r="N8" s="2" t="s">
        <v>378</v>
      </c>
      <c r="O8" s="18">
        <v>92</v>
      </c>
    </row>
    <row r="9" spans="1:15" x14ac:dyDescent="0.35">
      <c r="A9" s="59" t="s">
        <v>10</v>
      </c>
      <c r="B9" s="59">
        <v>66</v>
      </c>
      <c r="C9" s="59">
        <v>13</v>
      </c>
      <c r="D9" s="59">
        <f t="shared" si="0"/>
        <v>3.8787878787878789</v>
      </c>
      <c r="E9" s="59">
        <f t="shared" si="1"/>
        <v>0.19696969696969696</v>
      </c>
      <c r="F9" s="2" t="s">
        <v>44</v>
      </c>
      <c r="G9" s="18">
        <v>256</v>
      </c>
      <c r="I9" s="59" t="s">
        <v>10</v>
      </c>
      <c r="J9" s="59">
        <v>66</v>
      </c>
      <c r="K9" s="59">
        <v>13</v>
      </c>
      <c r="L9" s="59">
        <f t="shared" si="2"/>
        <v>3.8787878787878789</v>
      </c>
      <c r="M9" s="59">
        <f t="shared" si="3"/>
        <v>0.19696969696969696</v>
      </c>
      <c r="O9" s="18">
        <v>256</v>
      </c>
    </row>
    <row r="10" spans="1:15" x14ac:dyDescent="0.35">
      <c r="A10" s="59" t="s">
        <v>232</v>
      </c>
      <c r="B10" s="59">
        <v>61</v>
      </c>
      <c r="C10" s="59">
        <v>13</v>
      </c>
      <c r="D10" s="59">
        <f t="shared" si="0"/>
        <v>3.918032786885246</v>
      </c>
      <c r="E10" s="59">
        <f t="shared" si="1"/>
        <v>0.21311475409836064</v>
      </c>
      <c r="F10" s="3" t="s">
        <v>45</v>
      </c>
      <c r="G10" s="18">
        <v>239</v>
      </c>
      <c r="I10" s="59" t="s">
        <v>29</v>
      </c>
      <c r="J10" s="59">
        <v>110</v>
      </c>
      <c r="K10" s="59">
        <v>16</v>
      </c>
      <c r="L10" s="59">
        <f t="shared" si="2"/>
        <v>3.9090909090909092</v>
      </c>
      <c r="M10" s="59">
        <f t="shared" si="3"/>
        <v>0.14545454545454545</v>
      </c>
      <c r="N10" s="3" t="s">
        <v>45</v>
      </c>
      <c r="O10" s="18">
        <v>430</v>
      </c>
    </row>
    <row r="11" spans="1:15" x14ac:dyDescent="0.35">
      <c r="A11" s="59" t="s">
        <v>121</v>
      </c>
      <c r="B11" s="59">
        <v>78</v>
      </c>
      <c r="C11" s="59">
        <v>18</v>
      </c>
      <c r="D11" s="59">
        <f t="shared" si="0"/>
        <v>3.9230769230769229</v>
      </c>
      <c r="E11" s="59">
        <f t="shared" si="1"/>
        <v>0.23076923076923078</v>
      </c>
      <c r="F11" s="3" t="s">
        <v>55</v>
      </c>
      <c r="G11" s="18">
        <v>306</v>
      </c>
      <c r="I11" s="59" t="s">
        <v>121</v>
      </c>
      <c r="J11" s="59">
        <v>84</v>
      </c>
      <c r="K11" s="59">
        <v>19</v>
      </c>
      <c r="L11" s="59">
        <f t="shared" si="2"/>
        <v>3.9166666666666665</v>
      </c>
      <c r="M11" s="59">
        <f t="shared" si="3"/>
        <v>0.22619047619047619</v>
      </c>
      <c r="O11" s="18">
        <v>329</v>
      </c>
    </row>
    <row r="12" spans="1:15" x14ac:dyDescent="0.35">
      <c r="A12" s="41" t="s">
        <v>125</v>
      </c>
      <c r="B12" s="41">
        <v>21</v>
      </c>
      <c r="C12" s="41">
        <v>1</v>
      </c>
      <c r="D12" s="41">
        <f t="shared" si="0"/>
        <v>4</v>
      </c>
      <c r="E12" s="41">
        <f t="shared" si="1"/>
        <v>4.7619047619047616E-2</v>
      </c>
      <c r="F12" s="3" t="s">
        <v>46</v>
      </c>
      <c r="G12" s="18">
        <v>84</v>
      </c>
      <c r="I12" s="59" t="s">
        <v>232</v>
      </c>
      <c r="J12" s="59">
        <v>94</v>
      </c>
      <c r="K12" s="59">
        <v>18</v>
      </c>
      <c r="L12" s="59">
        <f t="shared" si="2"/>
        <v>3.9361702127659575</v>
      </c>
      <c r="M12" s="59">
        <f t="shared" si="3"/>
        <v>0.19148936170212766</v>
      </c>
      <c r="N12" s="3" t="s">
        <v>45</v>
      </c>
      <c r="O12" s="18">
        <v>370</v>
      </c>
    </row>
    <row r="13" spans="1:15" x14ac:dyDescent="0.35">
      <c r="A13" s="41" t="s">
        <v>116</v>
      </c>
      <c r="B13" s="41">
        <v>20</v>
      </c>
      <c r="C13" s="41">
        <v>4</v>
      </c>
      <c r="D13" s="41">
        <f t="shared" si="0"/>
        <v>4.05</v>
      </c>
      <c r="E13" s="41">
        <f t="shared" si="1"/>
        <v>0.2</v>
      </c>
      <c r="G13" s="18">
        <v>81</v>
      </c>
      <c r="I13" s="41" t="s">
        <v>116</v>
      </c>
      <c r="J13" s="41">
        <v>20</v>
      </c>
      <c r="K13" s="41">
        <v>4</v>
      </c>
      <c r="L13" s="41">
        <f t="shared" si="2"/>
        <v>4.05</v>
      </c>
      <c r="M13" s="41">
        <f t="shared" si="3"/>
        <v>0.2</v>
      </c>
      <c r="O13" s="18">
        <v>81</v>
      </c>
    </row>
    <row r="14" spans="1:15" x14ac:dyDescent="0.35">
      <c r="A14" s="41" t="s">
        <v>7</v>
      </c>
      <c r="B14" s="41">
        <v>20</v>
      </c>
      <c r="C14" s="41">
        <v>4</v>
      </c>
      <c r="D14" s="41">
        <f t="shared" si="0"/>
        <v>4.0999999999999996</v>
      </c>
      <c r="E14" s="41">
        <f t="shared" si="1"/>
        <v>0.2</v>
      </c>
      <c r="F14" s="2" t="s">
        <v>44</v>
      </c>
      <c r="G14" s="18">
        <v>82</v>
      </c>
      <c r="I14" s="41" t="s">
        <v>125</v>
      </c>
      <c r="J14" s="41">
        <v>24</v>
      </c>
      <c r="K14" s="41">
        <v>2</v>
      </c>
      <c r="L14" s="41">
        <f t="shared" si="2"/>
        <v>4.083333333333333</v>
      </c>
      <c r="M14" s="41">
        <f t="shared" si="3"/>
        <v>8.3333333333333329E-2</v>
      </c>
      <c r="N14" s="3" t="s">
        <v>45</v>
      </c>
      <c r="O14" s="18">
        <v>98</v>
      </c>
    </row>
    <row r="15" spans="1:15" x14ac:dyDescent="0.35">
      <c r="A15" s="41" t="s">
        <v>3</v>
      </c>
      <c r="B15" s="41">
        <v>39</v>
      </c>
      <c r="C15" s="41">
        <v>6</v>
      </c>
      <c r="D15" s="41">
        <f t="shared" si="0"/>
        <v>4.1282051282051286</v>
      </c>
      <c r="E15" s="41">
        <f t="shared" si="1"/>
        <v>0.15384615384615385</v>
      </c>
      <c r="F15" s="3" t="s">
        <v>54</v>
      </c>
      <c r="G15" s="18">
        <v>161</v>
      </c>
      <c r="I15" s="41" t="s">
        <v>139</v>
      </c>
      <c r="J15" s="41">
        <v>24</v>
      </c>
      <c r="K15" s="41">
        <v>3</v>
      </c>
      <c r="L15" s="41">
        <f t="shared" si="2"/>
        <v>4.083333333333333</v>
      </c>
      <c r="M15" s="41">
        <f t="shared" si="3"/>
        <v>0.125</v>
      </c>
      <c r="N15" s="2" t="s">
        <v>194</v>
      </c>
      <c r="O15" s="18">
        <v>98</v>
      </c>
    </row>
    <row r="16" spans="1:15" x14ac:dyDescent="0.35">
      <c r="A16" s="41" t="s">
        <v>2</v>
      </c>
      <c r="B16" s="41">
        <v>28</v>
      </c>
      <c r="C16" s="41">
        <v>5</v>
      </c>
      <c r="D16" s="41">
        <f t="shared" si="0"/>
        <v>4.1428571428571432</v>
      </c>
      <c r="E16" s="41">
        <f t="shared" si="1"/>
        <v>0.17857142857142858</v>
      </c>
      <c r="F16" s="2" t="s">
        <v>44</v>
      </c>
      <c r="G16">
        <v>116</v>
      </c>
      <c r="I16" s="41" t="s">
        <v>7</v>
      </c>
      <c r="J16" s="41">
        <v>20</v>
      </c>
      <c r="K16" s="41">
        <v>4</v>
      </c>
      <c r="L16" s="41">
        <f t="shared" si="2"/>
        <v>4.0999999999999996</v>
      </c>
      <c r="M16" s="41">
        <f t="shared" si="3"/>
        <v>0.2</v>
      </c>
      <c r="N16" s="3" t="s">
        <v>45</v>
      </c>
      <c r="O16" s="18">
        <v>82</v>
      </c>
    </row>
    <row r="17" spans="1:21" x14ac:dyDescent="0.35">
      <c r="A17" s="41" t="s">
        <v>58</v>
      </c>
      <c r="B17" s="41">
        <v>20</v>
      </c>
      <c r="C17" s="41">
        <v>3</v>
      </c>
      <c r="D17" s="41">
        <f t="shared" si="0"/>
        <v>4.1500000000000004</v>
      </c>
      <c r="E17" s="41">
        <f t="shared" si="1"/>
        <v>0.15</v>
      </c>
      <c r="F17" s="2" t="s">
        <v>44</v>
      </c>
      <c r="G17" s="18">
        <v>83</v>
      </c>
      <c r="I17" s="41" t="s">
        <v>22</v>
      </c>
      <c r="J17" s="41">
        <v>182</v>
      </c>
      <c r="K17" s="41">
        <v>30</v>
      </c>
      <c r="L17" s="41">
        <f t="shared" si="2"/>
        <v>4.104395604395604</v>
      </c>
      <c r="M17" s="41">
        <f t="shared" si="3"/>
        <v>0.16483516483516483</v>
      </c>
      <c r="N17" s="2" t="s">
        <v>59</v>
      </c>
      <c r="O17" s="18">
        <v>747</v>
      </c>
    </row>
    <row r="18" spans="1:21" x14ac:dyDescent="0.35">
      <c r="A18" s="41" t="s">
        <v>9</v>
      </c>
      <c r="B18" s="41">
        <v>20</v>
      </c>
      <c r="C18" s="41">
        <v>2</v>
      </c>
      <c r="D18" s="41">
        <f t="shared" si="0"/>
        <v>4.1500000000000004</v>
      </c>
      <c r="E18" s="41">
        <f t="shared" si="1"/>
        <v>0.1</v>
      </c>
      <c r="F18" s="35" t="s">
        <v>490</v>
      </c>
      <c r="G18" s="18">
        <v>83</v>
      </c>
      <c r="I18" s="41" t="s">
        <v>2</v>
      </c>
      <c r="J18" s="41">
        <v>28</v>
      </c>
      <c r="K18" s="41">
        <v>5</v>
      </c>
      <c r="L18" s="41">
        <f t="shared" si="2"/>
        <v>4.1428571428571432</v>
      </c>
      <c r="M18" s="41">
        <f t="shared" si="3"/>
        <v>0.17857142857142858</v>
      </c>
      <c r="N18" s="3" t="s">
        <v>45</v>
      </c>
      <c r="O18">
        <v>116</v>
      </c>
    </row>
    <row r="19" spans="1:21" x14ac:dyDescent="0.35">
      <c r="A19" s="41" t="s">
        <v>0</v>
      </c>
      <c r="B19" s="41">
        <v>82</v>
      </c>
      <c r="C19" s="41">
        <v>14</v>
      </c>
      <c r="D19" s="41">
        <f t="shared" si="0"/>
        <v>4.1585365853658534</v>
      </c>
      <c r="E19" s="41">
        <f t="shared" si="1"/>
        <v>0.17073170731707318</v>
      </c>
      <c r="F19" s="3" t="s">
        <v>494</v>
      </c>
      <c r="G19" s="18">
        <v>341</v>
      </c>
      <c r="I19" s="41" t="s">
        <v>9</v>
      </c>
      <c r="J19" s="41">
        <v>20</v>
      </c>
      <c r="K19" s="41">
        <v>2</v>
      </c>
      <c r="L19" s="41">
        <f t="shared" si="2"/>
        <v>4.1500000000000004</v>
      </c>
      <c r="M19" s="41">
        <f t="shared" si="3"/>
        <v>0.1</v>
      </c>
      <c r="N19" s="3" t="s">
        <v>46</v>
      </c>
      <c r="O19" s="18">
        <v>83</v>
      </c>
    </row>
    <row r="20" spans="1:21" x14ac:dyDescent="0.35">
      <c r="A20" s="41" t="s">
        <v>22</v>
      </c>
      <c r="B20" s="41">
        <v>174</v>
      </c>
      <c r="C20" s="41">
        <v>26</v>
      </c>
      <c r="D20" s="41">
        <f t="shared" si="0"/>
        <v>4.1781609195402298</v>
      </c>
      <c r="E20" s="41">
        <f t="shared" si="1"/>
        <v>0.14942528735632185</v>
      </c>
      <c r="G20" s="18">
        <v>727</v>
      </c>
      <c r="I20" s="41" t="s">
        <v>0</v>
      </c>
      <c r="J20" s="41">
        <v>84</v>
      </c>
      <c r="K20" s="41">
        <v>14</v>
      </c>
      <c r="L20" s="41">
        <f t="shared" si="2"/>
        <v>4.1547619047619051</v>
      </c>
      <c r="M20" s="41">
        <f t="shared" si="3"/>
        <v>0.16666666666666666</v>
      </c>
      <c r="N20" s="3" t="s">
        <v>46</v>
      </c>
      <c r="O20" s="18">
        <v>349</v>
      </c>
    </row>
    <row r="21" spans="1:21" x14ac:dyDescent="0.35">
      <c r="A21" s="41" t="s">
        <v>112</v>
      </c>
      <c r="B21" s="41">
        <v>26</v>
      </c>
      <c r="C21" s="41">
        <v>5</v>
      </c>
      <c r="D21" s="41">
        <f t="shared" si="0"/>
        <v>4.2307692307692308</v>
      </c>
      <c r="E21" s="41">
        <f t="shared" si="1"/>
        <v>0.19230769230769232</v>
      </c>
      <c r="G21" s="18">
        <v>110</v>
      </c>
      <c r="I21" s="41" t="s">
        <v>3</v>
      </c>
      <c r="J21" s="41">
        <v>43</v>
      </c>
      <c r="K21" s="41">
        <v>6</v>
      </c>
      <c r="L21" s="41">
        <f t="shared" si="2"/>
        <v>4.1627906976744189</v>
      </c>
      <c r="M21" s="41">
        <f t="shared" si="3"/>
        <v>0.13953488372093023</v>
      </c>
      <c r="N21" s="3" t="s">
        <v>555</v>
      </c>
      <c r="O21" s="18">
        <v>179</v>
      </c>
    </row>
    <row r="22" spans="1:21" x14ac:dyDescent="0.35">
      <c r="A22" s="41" t="s">
        <v>122</v>
      </c>
      <c r="B22" s="41">
        <v>72</v>
      </c>
      <c r="C22" s="41">
        <v>7</v>
      </c>
      <c r="D22" s="41">
        <f t="shared" si="0"/>
        <v>4.2361111111111107</v>
      </c>
      <c r="E22" s="41">
        <f t="shared" si="1"/>
        <v>9.7222222222222224E-2</v>
      </c>
      <c r="G22" s="18">
        <v>305</v>
      </c>
      <c r="I22" s="41" t="s">
        <v>112</v>
      </c>
      <c r="J22" s="41">
        <v>26</v>
      </c>
      <c r="K22" s="41">
        <v>5</v>
      </c>
      <c r="L22" s="41">
        <f t="shared" si="2"/>
        <v>4.2307692307692308</v>
      </c>
      <c r="M22" s="41">
        <f t="shared" si="3"/>
        <v>0.19230769230769232</v>
      </c>
      <c r="N22" s="3" t="s">
        <v>46</v>
      </c>
      <c r="O22" s="18">
        <v>110</v>
      </c>
    </row>
    <row r="23" spans="1:21" x14ac:dyDescent="0.35">
      <c r="A23" s="41" t="s">
        <v>63</v>
      </c>
      <c r="B23" s="41">
        <v>21</v>
      </c>
      <c r="C23" s="41">
        <v>3</v>
      </c>
      <c r="D23" s="41">
        <f t="shared" si="0"/>
        <v>4.2380952380952381</v>
      </c>
      <c r="E23" s="41">
        <f t="shared" si="1"/>
        <v>0.14285714285714285</v>
      </c>
      <c r="G23" s="18">
        <v>89</v>
      </c>
      <c r="I23" s="41" t="s">
        <v>63</v>
      </c>
      <c r="J23" s="41">
        <v>21</v>
      </c>
      <c r="K23" s="41">
        <v>3</v>
      </c>
      <c r="L23" s="41">
        <f t="shared" si="2"/>
        <v>4.2380952380952381</v>
      </c>
      <c r="M23" s="41">
        <f t="shared" si="3"/>
        <v>0.14285714285714285</v>
      </c>
      <c r="O23" s="18">
        <v>89</v>
      </c>
    </row>
    <row r="24" spans="1:21" x14ac:dyDescent="0.35">
      <c r="A24" s="41" t="s">
        <v>104</v>
      </c>
      <c r="B24" s="41">
        <v>84</v>
      </c>
      <c r="C24" s="41">
        <v>5</v>
      </c>
      <c r="D24" s="41">
        <f t="shared" si="0"/>
        <v>4.25</v>
      </c>
      <c r="E24" s="41">
        <f t="shared" si="1"/>
        <v>5.9523809523809521E-2</v>
      </c>
      <c r="F24" s="2" t="s">
        <v>44</v>
      </c>
      <c r="G24" s="18">
        <v>357</v>
      </c>
      <c r="I24" s="41" t="s">
        <v>50</v>
      </c>
      <c r="J24" s="41">
        <v>20</v>
      </c>
      <c r="K24" s="41">
        <v>1</v>
      </c>
      <c r="L24" s="41">
        <f t="shared" si="2"/>
        <v>4.25</v>
      </c>
      <c r="M24" s="41">
        <f t="shared" si="3"/>
        <v>0.05</v>
      </c>
      <c r="N24" s="2" t="s">
        <v>44</v>
      </c>
      <c r="O24" s="18">
        <v>85</v>
      </c>
    </row>
    <row r="25" spans="1:21" x14ac:dyDescent="0.35">
      <c r="A25" s="41" t="s">
        <v>50</v>
      </c>
      <c r="B25" s="41">
        <v>20</v>
      </c>
      <c r="C25" s="41">
        <v>1</v>
      </c>
      <c r="D25" s="41">
        <f t="shared" si="0"/>
        <v>4.25</v>
      </c>
      <c r="E25" s="41">
        <f t="shared" si="1"/>
        <v>0.05</v>
      </c>
      <c r="F25" s="3" t="s">
        <v>46</v>
      </c>
      <c r="G25" s="18">
        <v>85</v>
      </c>
      <c r="I25" s="41" t="s">
        <v>122</v>
      </c>
      <c r="J25" s="41">
        <v>96</v>
      </c>
      <c r="K25" s="41">
        <v>9</v>
      </c>
      <c r="L25" s="41">
        <f t="shared" si="2"/>
        <v>4.270833333333333</v>
      </c>
      <c r="M25" s="41">
        <f t="shared" si="3"/>
        <v>9.375E-2</v>
      </c>
      <c r="N25" s="3" t="s">
        <v>54</v>
      </c>
      <c r="O25" s="18">
        <v>410</v>
      </c>
    </row>
    <row r="26" spans="1:21" x14ac:dyDescent="0.35">
      <c r="A26" s="41" t="s">
        <v>139</v>
      </c>
      <c r="B26" s="41">
        <v>20</v>
      </c>
      <c r="C26" s="41">
        <v>2</v>
      </c>
      <c r="D26" s="41">
        <f t="shared" si="0"/>
        <v>4.3</v>
      </c>
      <c r="E26" s="41">
        <f t="shared" si="1"/>
        <v>0.1</v>
      </c>
      <c r="G26" s="18">
        <v>86</v>
      </c>
      <c r="I26" s="41" t="s">
        <v>104</v>
      </c>
      <c r="J26" s="41">
        <v>95</v>
      </c>
      <c r="K26" s="41">
        <v>6</v>
      </c>
      <c r="L26" s="41">
        <f t="shared" si="2"/>
        <v>4.2842105263157899</v>
      </c>
      <c r="M26" s="41">
        <f t="shared" si="3"/>
        <v>6.3157894736842107E-2</v>
      </c>
      <c r="N26" s="3" t="s">
        <v>45</v>
      </c>
      <c r="O26" s="18">
        <v>407</v>
      </c>
      <c r="U26" t="s">
        <v>559</v>
      </c>
    </row>
    <row r="27" spans="1:21" x14ac:dyDescent="0.35">
      <c r="A27" s="41" t="s">
        <v>115</v>
      </c>
      <c r="B27" s="41">
        <v>39</v>
      </c>
      <c r="C27" s="41">
        <v>3</v>
      </c>
      <c r="D27" s="41">
        <f t="shared" si="0"/>
        <v>4.384615384615385</v>
      </c>
      <c r="E27" s="41">
        <f t="shared" si="1"/>
        <v>7.6923076923076927E-2</v>
      </c>
      <c r="F27" s="3" t="s">
        <v>296</v>
      </c>
      <c r="G27" s="18">
        <v>171</v>
      </c>
      <c r="I27" s="41" t="s">
        <v>117</v>
      </c>
      <c r="J27" s="41">
        <v>21</v>
      </c>
      <c r="K27" s="41">
        <v>3</v>
      </c>
      <c r="L27" s="41">
        <f t="shared" si="2"/>
        <v>4.2857142857142856</v>
      </c>
      <c r="M27" s="41">
        <f t="shared" si="3"/>
        <v>0.14285714285714285</v>
      </c>
      <c r="N27" s="13" t="s">
        <v>556</v>
      </c>
      <c r="O27" s="18">
        <v>90</v>
      </c>
      <c r="U27" t="s">
        <v>560</v>
      </c>
    </row>
    <row r="28" spans="1:21" x14ac:dyDescent="0.35">
      <c r="A28" s="32" t="s">
        <v>21</v>
      </c>
      <c r="B28" s="32">
        <v>125</v>
      </c>
      <c r="C28" s="32">
        <v>17</v>
      </c>
      <c r="D28" s="32">
        <f t="shared" si="0"/>
        <v>4.4080000000000004</v>
      </c>
      <c r="E28" s="32">
        <f t="shared" si="1"/>
        <v>0.13600000000000001</v>
      </c>
      <c r="F28" s="2" t="s">
        <v>133</v>
      </c>
      <c r="G28" s="18">
        <v>551</v>
      </c>
      <c r="I28" s="41" t="s">
        <v>113</v>
      </c>
      <c r="J28" s="41">
        <v>20</v>
      </c>
      <c r="K28" s="41">
        <v>0</v>
      </c>
      <c r="L28" s="41">
        <f t="shared" si="2"/>
        <v>4.3</v>
      </c>
      <c r="M28" s="41">
        <f t="shared" si="3"/>
        <v>0</v>
      </c>
      <c r="N28" s="11" t="s">
        <v>557</v>
      </c>
      <c r="O28" s="18">
        <v>86</v>
      </c>
    </row>
    <row r="29" spans="1:21" x14ac:dyDescent="0.35">
      <c r="A29" s="32" t="s">
        <v>27</v>
      </c>
      <c r="B29" s="32">
        <v>36</v>
      </c>
      <c r="C29" s="32">
        <v>3</v>
      </c>
      <c r="D29" s="32">
        <f t="shared" si="0"/>
        <v>4.4444444444444446</v>
      </c>
      <c r="E29" s="32">
        <f t="shared" si="1"/>
        <v>8.3333333333333329E-2</v>
      </c>
      <c r="F29" s="3" t="s">
        <v>46</v>
      </c>
      <c r="G29" s="18">
        <v>160</v>
      </c>
      <c r="I29" s="41" t="s">
        <v>21</v>
      </c>
      <c r="J29" s="41">
        <v>145</v>
      </c>
      <c r="K29" s="41">
        <v>22</v>
      </c>
      <c r="L29" s="41">
        <f t="shared" si="2"/>
        <v>4.3724137931034486</v>
      </c>
      <c r="M29" s="41">
        <f t="shared" si="3"/>
        <v>0.15172413793103448</v>
      </c>
      <c r="N29" s="3" t="s">
        <v>558</v>
      </c>
      <c r="O29" s="18">
        <v>634</v>
      </c>
    </row>
    <row r="30" spans="1:21" x14ac:dyDescent="0.35">
      <c r="A30" s="32" t="s">
        <v>129</v>
      </c>
      <c r="B30" s="32">
        <v>40</v>
      </c>
      <c r="C30" s="32">
        <v>7</v>
      </c>
      <c r="D30" s="32">
        <f t="shared" si="0"/>
        <v>4.45</v>
      </c>
      <c r="E30" s="32">
        <f t="shared" si="1"/>
        <v>0.17499999999999999</v>
      </c>
      <c r="F30" s="3" t="s">
        <v>46</v>
      </c>
      <c r="G30">
        <v>178</v>
      </c>
      <c r="I30" s="41" t="s">
        <v>115</v>
      </c>
      <c r="J30" s="41">
        <v>39</v>
      </c>
      <c r="K30" s="41">
        <v>3</v>
      </c>
      <c r="L30" s="41">
        <f t="shared" si="2"/>
        <v>4.384615384615385</v>
      </c>
      <c r="M30" s="41">
        <f t="shared" si="3"/>
        <v>7.6923076923076927E-2</v>
      </c>
      <c r="N30" s="3" t="s">
        <v>54</v>
      </c>
      <c r="O30" s="18">
        <v>171</v>
      </c>
    </row>
    <row r="31" spans="1:21" x14ac:dyDescent="0.35">
      <c r="A31" s="32" t="s">
        <v>8</v>
      </c>
      <c r="B31" s="32">
        <v>46</v>
      </c>
      <c r="C31" s="32">
        <v>5</v>
      </c>
      <c r="D31" s="32">
        <f t="shared" si="0"/>
        <v>4.4782608695652177</v>
      </c>
      <c r="E31" s="32">
        <f t="shared" si="1"/>
        <v>0.10869565217391304</v>
      </c>
      <c r="F31" s="3" t="s">
        <v>46</v>
      </c>
      <c r="G31" s="18">
        <v>206</v>
      </c>
      <c r="I31" s="32" t="s">
        <v>27</v>
      </c>
      <c r="J31" s="32">
        <v>36</v>
      </c>
      <c r="K31" s="32">
        <v>3</v>
      </c>
      <c r="L31" s="32">
        <f t="shared" si="2"/>
        <v>4.4444444444444446</v>
      </c>
      <c r="M31" s="32">
        <f t="shared" si="3"/>
        <v>8.3333333333333329E-2</v>
      </c>
      <c r="N31" s="3" t="s">
        <v>45</v>
      </c>
      <c r="O31" s="18">
        <v>160</v>
      </c>
    </row>
    <row r="32" spans="1:21" x14ac:dyDescent="0.35">
      <c r="A32" s="32" t="s">
        <v>15</v>
      </c>
      <c r="B32" s="32">
        <v>205</v>
      </c>
      <c r="C32" s="32">
        <v>33</v>
      </c>
      <c r="D32" s="32">
        <f t="shared" si="0"/>
        <v>4.5268292682926825</v>
      </c>
      <c r="E32" s="32">
        <f t="shared" si="1"/>
        <v>0.16097560975609757</v>
      </c>
      <c r="F32" s="3" t="s">
        <v>494</v>
      </c>
      <c r="G32" s="18">
        <v>928</v>
      </c>
      <c r="I32" s="32" t="s">
        <v>129</v>
      </c>
      <c r="J32" s="32">
        <v>40</v>
      </c>
      <c r="K32" s="32">
        <v>7</v>
      </c>
      <c r="L32" s="32">
        <f t="shared" si="2"/>
        <v>4.45</v>
      </c>
      <c r="M32" s="32">
        <f t="shared" si="3"/>
        <v>0.17499999999999999</v>
      </c>
      <c r="N32" s="3" t="s">
        <v>45</v>
      </c>
      <c r="O32">
        <v>178</v>
      </c>
    </row>
    <row r="33" spans="1:15" x14ac:dyDescent="0.35">
      <c r="A33" s="32" t="s">
        <v>24</v>
      </c>
      <c r="B33" s="32">
        <v>87</v>
      </c>
      <c r="C33" s="32">
        <v>10</v>
      </c>
      <c r="D33" s="32">
        <f t="shared" si="0"/>
        <v>4.5287356321839081</v>
      </c>
      <c r="E33" s="32">
        <f t="shared" si="1"/>
        <v>0.11494252873563218</v>
      </c>
      <c r="F33" s="3" t="s">
        <v>45</v>
      </c>
      <c r="G33" s="18">
        <v>394</v>
      </c>
      <c r="I33" s="32" t="s">
        <v>8</v>
      </c>
      <c r="J33" s="32">
        <v>46</v>
      </c>
      <c r="K33" s="32">
        <v>5</v>
      </c>
      <c r="L33" s="32">
        <f t="shared" si="2"/>
        <v>4.4782608695652177</v>
      </c>
      <c r="M33" s="32">
        <f t="shared" si="3"/>
        <v>0.10869565217391304</v>
      </c>
      <c r="N33" s="3" t="s">
        <v>45</v>
      </c>
      <c r="O33" s="18">
        <v>206</v>
      </c>
    </row>
    <row r="34" spans="1:15" x14ac:dyDescent="0.35">
      <c r="A34" s="32" t="s">
        <v>1</v>
      </c>
      <c r="B34" s="32">
        <v>88</v>
      </c>
      <c r="C34" s="32">
        <v>4</v>
      </c>
      <c r="D34" s="32">
        <f t="shared" ref="D34:D65" si="4">G34/B34</f>
        <v>4.5681818181818183</v>
      </c>
      <c r="E34" s="32">
        <f t="shared" ref="E34:E65" si="5">C34/B34</f>
        <v>4.5454545454545456E-2</v>
      </c>
      <c r="G34" s="18">
        <v>402</v>
      </c>
      <c r="I34" s="32" t="s">
        <v>36</v>
      </c>
      <c r="J34" s="32">
        <v>20</v>
      </c>
      <c r="K34" s="32">
        <v>0</v>
      </c>
      <c r="L34" s="32">
        <f t="shared" ref="L34:L65" si="6">O34/J34</f>
        <v>4.5</v>
      </c>
      <c r="M34" s="32">
        <f t="shared" ref="M34:M65" si="7">K34/J34</f>
        <v>0</v>
      </c>
      <c r="N34" s="72" t="s">
        <v>561</v>
      </c>
      <c r="O34" s="18">
        <v>90</v>
      </c>
    </row>
    <row r="35" spans="1:15" x14ac:dyDescent="0.35">
      <c r="A35" s="32" t="s">
        <v>79</v>
      </c>
      <c r="B35" s="32">
        <v>46</v>
      </c>
      <c r="C35" s="32">
        <v>6</v>
      </c>
      <c r="D35" s="32">
        <f t="shared" si="4"/>
        <v>4.5869565217391308</v>
      </c>
      <c r="E35" s="32">
        <f t="shared" si="5"/>
        <v>0.13043478260869565</v>
      </c>
      <c r="F35" s="2" t="s">
        <v>359</v>
      </c>
      <c r="G35" s="18">
        <v>211</v>
      </c>
      <c r="I35" s="32" t="s">
        <v>15</v>
      </c>
      <c r="J35" s="32">
        <v>226</v>
      </c>
      <c r="K35" s="32">
        <v>35</v>
      </c>
      <c r="L35" s="32">
        <f t="shared" si="6"/>
        <v>4.5309734513274336</v>
      </c>
      <c r="M35" s="32">
        <f t="shared" si="7"/>
        <v>0.15486725663716813</v>
      </c>
      <c r="N35" s="3" t="s">
        <v>54</v>
      </c>
      <c r="O35" s="18">
        <v>1024</v>
      </c>
    </row>
    <row r="36" spans="1:15" x14ac:dyDescent="0.35">
      <c r="A36" s="32" t="s">
        <v>123</v>
      </c>
      <c r="B36" s="32">
        <v>27</v>
      </c>
      <c r="C36" s="32">
        <v>4</v>
      </c>
      <c r="D36" s="32">
        <f t="shared" si="4"/>
        <v>4.5925925925925926</v>
      </c>
      <c r="E36" s="32">
        <f t="shared" si="5"/>
        <v>0.14814814814814814</v>
      </c>
      <c r="F36" s="3" t="s">
        <v>54</v>
      </c>
      <c r="G36" s="18">
        <v>124</v>
      </c>
      <c r="I36" s="32" t="s">
        <v>24</v>
      </c>
      <c r="J36" s="32">
        <v>98</v>
      </c>
      <c r="K36" s="32">
        <v>11</v>
      </c>
      <c r="L36" s="32">
        <f t="shared" si="6"/>
        <v>4.5510204081632653</v>
      </c>
      <c r="M36" s="32">
        <f t="shared" si="7"/>
        <v>0.11224489795918367</v>
      </c>
      <c r="N36" s="3" t="s">
        <v>54</v>
      </c>
      <c r="O36" s="18">
        <v>446</v>
      </c>
    </row>
    <row r="37" spans="1:15" x14ac:dyDescent="0.35">
      <c r="A37" s="32" t="s">
        <v>428</v>
      </c>
      <c r="B37" s="32">
        <v>21</v>
      </c>
      <c r="C37" s="32">
        <v>0</v>
      </c>
      <c r="D37" s="32">
        <f t="shared" si="4"/>
        <v>4.6190476190476186</v>
      </c>
      <c r="E37" s="32">
        <f t="shared" si="5"/>
        <v>0</v>
      </c>
      <c r="F37" s="3" t="s">
        <v>45</v>
      </c>
      <c r="G37">
        <v>97</v>
      </c>
      <c r="I37" s="32" t="s">
        <v>1</v>
      </c>
      <c r="J37" s="32">
        <v>97</v>
      </c>
      <c r="K37" s="32">
        <v>5</v>
      </c>
      <c r="L37" s="32">
        <f t="shared" si="6"/>
        <v>4.5773195876288657</v>
      </c>
      <c r="M37" s="32">
        <f t="shared" si="7"/>
        <v>5.1546391752577317E-2</v>
      </c>
      <c r="N37" s="3" t="s">
        <v>54</v>
      </c>
      <c r="O37" s="18">
        <v>444</v>
      </c>
    </row>
    <row r="38" spans="1:15" x14ac:dyDescent="0.35">
      <c r="A38" s="32" t="s">
        <v>14</v>
      </c>
      <c r="B38" s="32">
        <v>45</v>
      </c>
      <c r="C38" s="32">
        <v>3</v>
      </c>
      <c r="D38" s="32">
        <f t="shared" si="4"/>
        <v>4.7111111111111112</v>
      </c>
      <c r="E38" s="32">
        <f t="shared" si="5"/>
        <v>6.6666666666666666E-2</v>
      </c>
      <c r="F38" s="3" t="s">
        <v>45</v>
      </c>
      <c r="G38">
        <v>212</v>
      </c>
      <c r="I38" s="32" t="s">
        <v>123</v>
      </c>
      <c r="J38" s="32">
        <v>32</v>
      </c>
      <c r="K38" s="32">
        <v>4</v>
      </c>
      <c r="L38" s="32">
        <f t="shared" si="6"/>
        <v>4.59375</v>
      </c>
      <c r="M38" s="32">
        <f t="shared" si="7"/>
        <v>0.125</v>
      </c>
      <c r="N38" s="3" t="s">
        <v>45</v>
      </c>
      <c r="O38" s="18">
        <v>147</v>
      </c>
    </row>
    <row r="39" spans="1:15" x14ac:dyDescent="0.35">
      <c r="A39" s="32" t="s">
        <v>61</v>
      </c>
      <c r="B39" s="32">
        <v>25</v>
      </c>
      <c r="C39" s="32">
        <v>6</v>
      </c>
      <c r="D39" s="32">
        <f t="shared" si="4"/>
        <v>4.72</v>
      </c>
      <c r="E39" s="32">
        <f t="shared" si="5"/>
        <v>0.24</v>
      </c>
      <c r="F39" s="3" t="s">
        <v>45</v>
      </c>
      <c r="G39" s="18">
        <v>118</v>
      </c>
      <c r="I39" s="32" t="s">
        <v>5</v>
      </c>
      <c r="J39" s="32">
        <v>23</v>
      </c>
      <c r="K39" s="32">
        <v>1</v>
      </c>
      <c r="L39" s="32">
        <f t="shared" si="6"/>
        <v>4.6086956521739131</v>
      </c>
      <c r="M39" s="32">
        <f t="shared" si="7"/>
        <v>4.3478260869565216E-2</v>
      </c>
      <c r="N39" s="3" t="s">
        <v>562</v>
      </c>
      <c r="O39" s="18">
        <v>106</v>
      </c>
    </row>
    <row r="40" spans="1:15" x14ac:dyDescent="0.35">
      <c r="A40" s="32" t="s">
        <v>13</v>
      </c>
      <c r="B40" s="32">
        <v>36</v>
      </c>
      <c r="C40" s="32">
        <v>2</v>
      </c>
      <c r="D40" s="32">
        <f t="shared" si="4"/>
        <v>4.7222222222222223</v>
      </c>
      <c r="E40" s="32">
        <f t="shared" si="5"/>
        <v>5.5555555555555552E-2</v>
      </c>
      <c r="F40" s="3" t="s">
        <v>45</v>
      </c>
      <c r="G40" s="18">
        <v>170</v>
      </c>
      <c r="I40" s="32" t="s">
        <v>428</v>
      </c>
      <c r="J40" s="32">
        <v>21</v>
      </c>
      <c r="K40" s="32">
        <v>0</v>
      </c>
      <c r="L40" s="32">
        <f t="shared" si="6"/>
        <v>4.6190476190476186</v>
      </c>
      <c r="M40" s="32">
        <f t="shared" si="7"/>
        <v>0</v>
      </c>
      <c r="N40" s="3" t="s">
        <v>54</v>
      </c>
      <c r="O40">
        <v>97</v>
      </c>
    </row>
    <row r="41" spans="1:15" x14ac:dyDescent="0.35">
      <c r="A41" s="32" t="s">
        <v>12</v>
      </c>
      <c r="B41" s="32">
        <v>20</v>
      </c>
      <c r="C41" s="32">
        <v>0</v>
      </c>
      <c r="D41" s="32">
        <f t="shared" si="4"/>
        <v>4.75</v>
      </c>
      <c r="E41" s="32">
        <f t="shared" si="5"/>
        <v>0</v>
      </c>
      <c r="F41" s="3" t="s">
        <v>45</v>
      </c>
      <c r="G41" s="18">
        <v>95</v>
      </c>
      <c r="I41" s="32" t="s">
        <v>79</v>
      </c>
      <c r="J41" s="32">
        <v>54</v>
      </c>
      <c r="K41" s="32">
        <v>6</v>
      </c>
      <c r="L41" s="32">
        <f t="shared" si="6"/>
        <v>4.6296296296296298</v>
      </c>
      <c r="M41" s="32">
        <f t="shared" si="7"/>
        <v>0.1111111111111111</v>
      </c>
      <c r="N41" s="3" t="s">
        <v>555</v>
      </c>
      <c r="O41" s="18">
        <v>250</v>
      </c>
    </row>
    <row r="42" spans="1:15" x14ac:dyDescent="0.35">
      <c r="A42" s="38" t="s">
        <v>87</v>
      </c>
      <c r="B42" s="38">
        <v>69</v>
      </c>
      <c r="C42" s="38">
        <v>9</v>
      </c>
      <c r="D42" s="38">
        <f t="shared" si="4"/>
        <v>4.8840579710144931</v>
      </c>
      <c r="E42" s="38">
        <f t="shared" si="5"/>
        <v>0.13043478260869565</v>
      </c>
      <c r="F42" s="3" t="s">
        <v>45</v>
      </c>
      <c r="G42" s="18">
        <v>337</v>
      </c>
      <c r="I42" s="32" t="s">
        <v>230</v>
      </c>
      <c r="J42" s="32">
        <v>22</v>
      </c>
      <c r="K42" s="32">
        <v>4</v>
      </c>
      <c r="L42" s="32">
        <f t="shared" si="6"/>
        <v>4.6363636363636367</v>
      </c>
      <c r="M42" s="32">
        <f t="shared" si="7"/>
        <v>0.18181818181818182</v>
      </c>
      <c r="N42" s="3" t="s">
        <v>563</v>
      </c>
      <c r="O42" s="18">
        <v>102</v>
      </c>
    </row>
    <row r="43" spans="1:15" x14ac:dyDescent="0.35">
      <c r="A43" s="38" t="s">
        <v>37</v>
      </c>
      <c r="B43" s="38">
        <v>22</v>
      </c>
      <c r="C43" s="38">
        <v>2</v>
      </c>
      <c r="D43" s="38">
        <f t="shared" si="4"/>
        <v>4.9090909090909092</v>
      </c>
      <c r="E43" s="38">
        <f t="shared" si="5"/>
        <v>9.0909090909090912E-2</v>
      </c>
      <c r="F43" s="3" t="s">
        <v>45</v>
      </c>
      <c r="G43" s="18">
        <v>108</v>
      </c>
      <c r="I43" s="32" t="s">
        <v>61</v>
      </c>
      <c r="J43" s="32">
        <v>34</v>
      </c>
      <c r="K43" s="32">
        <v>7</v>
      </c>
      <c r="L43" s="32">
        <f t="shared" si="6"/>
        <v>4.6764705882352944</v>
      </c>
      <c r="M43" s="32">
        <f t="shared" si="7"/>
        <v>0.20588235294117646</v>
      </c>
      <c r="N43" s="3" t="s">
        <v>55</v>
      </c>
      <c r="O43" s="18">
        <v>159</v>
      </c>
    </row>
    <row r="44" spans="1:15" x14ac:dyDescent="0.35">
      <c r="A44" s="38" t="s">
        <v>4</v>
      </c>
      <c r="B44" s="38">
        <v>20</v>
      </c>
      <c r="C44" s="38">
        <v>3</v>
      </c>
      <c r="D44" s="38">
        <f t="shared" si="4"/>
        <v>4.95</v>
      </c>
      <c r="E44" s="38">
        <f t="shared" si="5"/>
        <v>0.15</v>
      </c>
      <c r="F44" s="3" t="s">
        <v>45</v>
      </c>
      <c r="G44" s="18">
        <v>99</v>
      </c>
      <c r="I44" s="32" t="s">
        <v>14</v>
      </c>
      <c r="J44" s="32">
        <v>45</v>
      </c>
      <c r="K44" s="32">
        <v>3</v>
      </c>
      <c r="L44" s="32">
        <f t="shared" si="6"/>
        <v>4.7111111111111112</v>
      </c>
      <c r="M44" s="32">
        <f t="shared" si="7"/>
        <v>6.6666666666666666E-2</v>
      </c>
      <c r="N44" s="3" t="s">
        <v>555</v>
      </c>
      <c r="O44">
        <v>212</v>
      </c>
    </row>
    <row r="45" spans="1:15" x14ac:dyDescent="0.35">
      <c r="A45" s="38" t="s">
        <v>81</v>
      </c>
      <c r="B45" s="38">
        <v>53</v>
      </c>
      <c r="C45" s="38">
        <v>2</v>
      </c>
      <c r="D45" s="38">
        <f t="shared" si="4"/>
        <v>5</v>
      </c>
      <c r="E45" s="38">
        <f t="shared" si="5"/>
        <v>3.7735849056603772E-2</v>
      </c>
      <c r="G45" s="18">
        <v>265</v>
      </c>
      <c r="I45" s="32" t="s">
        <v>13</v>
      </c>
      <c r="J45" s="32">
        <v>36</v>
      </c>
      <c r="K45" s="32">
        <v>2</v>
      </c>
      <c r="L45" s="32">
        <f t="shared" si="6"/>
        <v>4.7222222222222223</v>
      </c>
      <c r="M45" s="32">
        <f t="shared" si="7"/>
        <v>5.5555555555555552E-2</v>
      </c>
      <c r="N45" s="3" t="s">
        <v>494</v>
      </c>
      <c r="O45" s="18">
        <v>170</v>
      </c>
    </row>
    <row r="46" spans="1:15" x14ac:dyDescent="0.35">
      <c r="A46" s="38" t="s">
        <v>25</v>
      </c>
      <c r="B46" s="38">
        <v>105</v>
      </c>
      <c r="C46" s="38">
        <v>9</v>
      </c>
      <c r="D46" s="38">
        <f t="shared" si="4"/>
        <v>5.038095238095238</v>
      </c>
      <c r="E46" s="38">
        <f t="shared" si="5"/>
        <v>8.5714285714285715E-2</v>
      </c>
      <c r="F46" s="3" t="s">
        <v>54</v>
      </c>
      <c r="G46" s="18">
        <v>529</v>
      </c>
      <c r="I46" s="32" t="s">
        <v>12</v>
      </c>
      <c r="J46" s="32">
        <v>20</v>
      </c>
      <c r="K46" s="32">
        <v>0</v>
      </c>
      <c r="L46" s="32">
        <f t="shared" si="6"/>
        <v>4.75</v>
      </c>
      <c r="M46" s="32">
        <f t="shared" si="7"/>
        <v>0</v>
      </c>
      <c r="N46" s="3" t="s">
        <v>494</v>
      </c>
      <c r="O46" s="18">
        <v>95</v>
      </c>
    </row>
    <row r="47" spans="1:15" x14ac:dyDescent="0.35">
      <c r="A47" s="38" t="s">
        <v>105</v>
      </c>
      <c r="B47" s="38">
        <v>20</v>
      </c>
      <c r="C47" s="38">
        <v>0</v>
      </c>
      <c r="D47" s="38">
        <f t="shared" si="4"/>
        <v>5.05</v>
      </c>
      <c r="E47" s="38">
        <f t="shared" si="5"/>
        <v>0</v>
      </c>
      <c r="F47" s="3" t="s">
        <v>46</v>
      </c>
      <c r="G47">
        <v>101</v>
      </c>
      <c r="I47" s="32" t="s">
        <v>414</v>
      </c>
      <c r="J47" s="32">
        <v>21</v>
      </c>
      <c r="K47" s="32">
        <v>2</v>
      </c>
      <c r="L47" s="32">
        <f t="shared" si="6"/>
        <v>4.7619047619047619</v>
      </c>
      <c r="M47" s="32">
        <f t="shared" si="7"/>
        <v>9.5238095238095233E-2</v>
      </c>
      <c r="N47" s="3" t="s">
        <v>569</v>
      </c>
      <c r="O47" s="18">
        <v>100</v>
      </c>
    </row>
    <row r="48" spans="1:15" x14ac:dyDescent="0.35">
      <c r="A48" s="38" t="s">
        <v>99</v>
      </c>
      <c r="B48" s="38">
        <v>20</v>
      </c>
      <c r="C48" s="38">
        <v>2</v>
      </c>
      <c r="D48" s="38">
        <f t="shared" si="4"/>
        <v>5.05</v>
      </c>
      <c r="E48" s="38">
        <f t="shared" si="5"/>
        <v>0.1</v>
      </c>
      <c r="F48" s="3" t="s">
        <v>46</v>
      </c>
      <c r="G48" s="18">
        <v>101</v>
      </c>
      <c r="I48" s="38" t="s">
        <v>87</v>
      </c>
      <c r="J48" s="38">
        <v>102</v>
      </c>
      <c r="K48" s="38">
        <v>14</v>
      </c>
      <c r="L48" s="38">
        <f t="shared" si="6"/>
        <v>4.8529411764705879</v>
      </c>
      <c r="M48" s="38">
        <f t="shared" si="7"/>
        <v>0.13725490196078433</v>
      </c>
      <c r="N48" s="3" t="s">
        <v>555</v>
      </c>
      <c r="O48" s="18">
        <v>495</v>
      </c>
    </row>
    <row r="49" spans="1:15" x14ac:dyDescent="0.35">
      <c r="A49" s="38" t="s">
        <v>51</v>
      </c>
      <c r="B49" s="38">
        <v>35</v>
      </c>
      <c r="C49" s="38">
        <v>2</v>
      </c>
      <c r="D49" s="38">
        <f t="shared" si="4"/>
        <v>5.0857142857142854</v>
      </c>
      <c r="E49" s="38">
        <f t="shared" si="5"/>
        <v>5.7142857142857141E-2</v>
      </c>
      <c r="F49" s="3" t="s">
        <v>46</v>
      </c>
      <c r="G49" s="18">
        <v>178</v>
      </c>
      <c r="I49" s="38" t="s">
        <v>105</v>
      </c>
      <c r="J49" s="38">
        <v>22</v>
      </c>
      <c r="K49" s="38">
        <v>1</v>
      </c>
      <c r="L49" s="38">
        <f t="shared" si="6"/>
        <v>4.9090909090909092</v>
      </c>
      <c r="M49" s="38">
        <f t="shared" si="7"/>
        <v>4.5454545454545456E-2</v>
      </c>
      <c r="N49" s="3" t="s">
        <v>45</v>
      </c>
      <c r="O49" s="18">
        <v>108</v>
      </c>
    </row>
    <row r="50" spans="1:15" x14ac:dyDescent="0.35">
      <c r="A50" s="38" t="s">
        <v>82</v>
      </c>
      <c r="B50" s="38">
        <v>20</v>
      </c>
      <c r="C50" s="38">
        <v>0</v>
      </c>
      <c r="D50" s="38">
        <f t="shared" si="4"/>
        <v>5.15</v>
      </c>
      <c r="E50" s="38">
        <f t="shared" si="5"/>
        <v>0</v>
      </c>
      <c r="F50" s="3" t="s">
        <v>491</v>
      </c>
      <c r="G50" s="18">
        <v>103</v>
      </c>
      <c r="I50" s="38" t="s">
        <v>37</v>
      </c>
      <c r="J50" s="38">
        <v>22</v>
      </c>
      <c r="K50" s="38">
        <v>2</v>
      </c>
      <c r="L50" s="38">
        <f t="shared" si="6"/>
        <v>4.9090909090909092</v>
      </c>
      <c r="M50" s="38">
        <f t="shared" si="7"/>
        <v>9.0909090909090912E-2</v>
      </c>
      <c r="N50" s="3" t="s">
        <v>282</v>
      </c>
      <c r="O50" s="18">
        <v>108</v>
      </c>
    </row>
    <row r="51" spans="1:15" x14ac:dyDescent="0.35">
      <c r="A51" s="38" t="s">
        <v>20</v>
      </c>
      <c r="B51" s="38">
        <v>22</v>
      </c>
      <c r="C51" s="38">
        <v>2</v>
      </c>
      <c r="D51" s="38">
        <f t="shared" si="4"/>
        <v>5.1818181818181817</v>
      </c>
      <c r="E51" s="38">
        <f t="shared" si="5"/>
        <v>9.0909090909090912E-2</v>
      </c>
      <c r="F51" s="3" t="s">
        <v>46</v>
      </c>
      <c r="G51" s="18">
        <v>114</v>
      </c>
      <c r="I51" s="38" t="s">
        <v>51</v>
      </c>
      <c r="J51" s="38">
        <v>37</v>
      </c>
      <c r="K51" s="38">
        <v>3</v>
      </c>
      <c r="L51" s="38">
        <f t="shared" si="6"/>
        <v>4.9189189189189193</v>
      </c>
      <c r="M51" s="38">
        <f t="shared" si="7"/>
        <v>8.1081081081081086E-2</v>
      </c>
      <c r="N51" s="3" t="s">
        <v>45</v>
      </c>
      <c r="O51" s="18">
        <v>182</v>
      </c>
    </row>
    <row r="52" spans="1:15" x14ac:dyDescent="0.35">
      <c r="A52" s="38" t="s">
        <v>31</v>
      </c>
      <c r="B52" s="38">
        <v>145</v>
      </c>
      <c r="C52" s="38">
        <v>10</v>
      </c>
      <c r="D52" s="38">
        <f t="shared" si="4"/>
        <v>5.2068965517241379</v>
      </c>
      <c r="E52" s="38">
        <f t="shared" si="5"/>
        <v>6.8965517241379309E-2</v>
      </c>
      <c r="F52" s="3" t="s">
        <v>46</v>
      </c>
      <c r="G52" s="18">
        <v>755</v>
      </c>
      <c r="I52" s="38" t="s">
        <v>4</v>
      </c>
      <c r="J52" s="38">
        <v>20</v>
      </c>
      <c r="K52" s="38">
        <v>3</v>
      </c>
      <c r="L52" s="38">
        <f t="shared" si="6"/>
        <v>4.95</v>
      </c>
      <c r="M52" s="38">
        <f t="shared" si="7"/>
        <v>0.15</v>
      </c>
      <c r="N52" s="3" t="s">
        <v>296</v>
      </c>
      <c r="O52" s="18">
        <v>99</v>
      </c>
    </row>
    <row r="53" spans="1:15" x14ac:dyDescent="0.35">
      <c r="A53" s="38" t="s">
        <v>30</v>
      </c>
      <c r="B53" s="38">
        <v>37</v>
      </c>
      <c r="C53" s="38">
        <v>3</v>
      </c>
      <c r="D53" s="38">
        <f t="shared" si="4"/>
        <v>5.243243243243243</v>
      </c>
      <c r="E53" s="38">
        <f t="shared" si="5"/>
        <v>8.1081081081081086E-2</v>
      </c>
      <c r="F53" s="3" t="s">
        <v>495</v>
      </c>
      <c r="G53" s="18">
        <v>194</v>
      </c>
      <c r="I53" s="38" t="s">
        <v>25</v>
      </c>
      <c r="J53" s="38">
        <v>142</v>
      </c>
      <c r="K53" s="38">
        <v>12</v>
      </c>
      <c r="L53" s="38">
        <f t="shared" si="6"/>
        <v>5.0140845070422539</v>
      </c>
      <c r="M53" s="38">
        <f t="shared" si="7"/>
        <v>8.4507042253521125E-2</v>
      </c>
      <c r="N53" s="3" t="s">
        <v>282</v>
      </c>
      <c r="O53" s="18">
        <v>712</v>
      </c>
    </row>
    <row r="54" spans="1:15" x14ac:dyDescent="0.35">
      <c r="A54" s="38" t="s">
        <v>17</v>
      </c>
      <c r="B54" s="38">
        <v>20</v>
      </c>
      <c r="C54" s="38">
        <v>2</v>
      </c>
      <c r="D54" s="38">
        <f t="shared" si="4"/>
        <v>5.25</v>
      </c>
      <c r="E54" s="38">
        <f t="shared" si="5"/>
        <v>0.1</v>
      </c>
      <c r="F54" s="3" t="s">
        <v>492</v>
      </c>
      <c r="G54" s="18">
        <v>105</v>
      </c>
      <c r="I54" s="38" t="s">
        <v>19</v>
      </c>
      <c r="J54" s="38">
        <v>27</v>
      </c>
      <c r="K54" s="38">
        <v>3</v>
      </c>
      <c r="L54" s="38">
        <f t="shared" si="6"/>
        <v>5.0370370370370372</v>
      </c>
      <c r="M54" s="38">
        <f t="shared" si="7"/>
        <v>0.1111111111111111</v>
      </c>
      <c r="N54" s="2" t="s">
        <v>59</v>
      </c>
      <c r="O54" s="18">
        <v>136</v>
      </c>
    </row>
    <row r="55" spans="1:15" x14ac:dyDescent="0.35">
      <c r="A55" s="38" t="s">
        <v>404</v>
      </c>
      <c r="B55" s="38">
        <v>20</v>
      </c>
      <c r="C55" s="38">
        <v>2</v>
      </c>
      <c r="D55" s="38">
        <f t="shared" si="4"/>
        <v>5.25</v>
      </c>
      <c r="E55" s="38">
        <f t="shared" si="5"/>
        <v>0.1</v>
      </c>
      <c r="F55" s="3" t="s">
        <v>493</v>
      </c>
      <c r="G55" s="18">
        <v>105</v>
      </c>
      <c r="I55" s="38" t="s">
        <v>99</v>
      </c>
      <c r="J55" s="38">
        <v>20</v>
      </c>
      <c r="K55" s="38">
        <v>2</v>
      </c>
      <c r="L55" s="38">
        <f t="shared" si="6"/>
        <v>5.05</v>
      </c>
      <c r="M55" s="38">
        <f t="shared" si="7"/>
        <v>0.1</v>
      </c>
      <c r="N55" s="3" t="s">
        <v>282</v>
      </c>
      <c r="O55" s="18">
        <v>101</v>
      </c>
    </row>
    <row r="56" spans="1:15" x14ac:dyDescent="0.35">
      <c r="A56" s="67" t="s">
        <v>253</v>
      </c>
      <c r="B56" s="67">
        <v>29</v>
      </c>
      <c r="C56" s="67">
        <v>1</v>
      </c>
      <c r="D56" s="67">
        <f t="shared" si="4"/>
        <v>5.3103448275862073</v>
      </c>
      <c r="E56" s="67">
        <f t="shared" si="5"/>
        <v>3.4482758620689655E-2</v>
      </c>
      <c r="F56" s="3" t="s">
        <v>45</v>
      </c>
      <c r="G56" s="18">
        <v>154</v>
      </c>
      <c r="I56" s="38" t="s">
        <v>81</v>
      </c>
      <c r="J56" s="38">
        <v>63</v>
      </c>
      <c r="K56" s="38">
        <v>4</v>
      </c>
      <c r="L56" s="38">
        <f t="shared" si="6"/>
        <v>5.0634920634920633</v>
      </c>
      <c r="M56" s="38">
        <f t="shared" si="7"/>
        <v>6.3492063492063489E-2</v>
      </c>
      <c r="N56" s="3" t="s">
        <v>564</v>
      </c>
      <c r="O56" s="18">
        <v>319</v>
      </c>
    </row>
    <row r="57" spans="1:15" x14ac:dyDescent="0.35">
      <c r="A57" s="67" t="s">
        <v>19</v>
      </c>
      <c r="B57" s="67">
        <v>23</v>
      </c>
      <c r="C57" s="67">
        <v>1</v>
      </c>
      <c r="D57" s="67">
        <f t="shared" si="4"/>
        <v>5.3478260869565215</v>
      </c>
      <c r="E57" s="67">
        <f t="shared" si="5"/>
        <v>4.3478260869565216E-2</v>
      </c>
      <c r="F57" s="3" t="s">
        <v>494</v>
      </c>
      <c r="G57" s="18">
        <v>123</v>
      </c>
      <c r="I57" s="38" t="s">
        <v>26</v>
      </c>
      <c r="J57" s="38">
        <v>60</v>
      </c>
      <c r="K57" s="38">
        <v>5</v>
      </c>
      <c r="L57" s="38">
        <f t="shared" si="6"/>
        <v>5.083333333333333</v>
      </c>
      <c r="M57" s="38">
        <f t="shared" si="7"/>
        <v>8.3333333333333329E-2</v>
      </c>
      <c r="N57" s="2" t="s">
        <v>370</v>
      </c>
      <c r="O57" s="18">
        <v>305</v>
      </c>
    </row>
    <row r="58" spans="1:15" x14ac:dyDescent="0.35">
      <c r="A58" s="67" t="s">
        <v>6</v>
      </c>
      <c r="B58" s="67">
        <v>45</v>
      </c>
      <c r="C58" s="67">
        <v>3</v>
      </c>
      <c r="D58" s="67">
        <f t="shared" si="4"/>
        <v>5.3555555555555552</v>
      </c>
      <c r="E58" s="67">
        <f t="shared" si="5"/>
        <v>6.6666666666666666E-2</v>
      </c>
      <c r="F58" s="3" t="s">
        <v>494</v>
      </c>
      <c r="G58" s="18">
        <v>241</v>
      </c>
      <c r="I58" s="38" t="s">
        <v>30</v>
      </c>
      <c r="J58" s="38">
        <v>50</v>
      </c>
      <c r="K58" s="38">
        <v>3</v>
      </c>
      <c r="L58" s="38">
        <f t="shared" si="6"/>
        <v>5.0999999999999996</v>
      </c>
      <c r="M58" s="38">
        <f t="shared" si="7"/>
        <v>0.06</v>
      </c>
      <c r="N58" s="3" t="s">
        <v>494</v>
      </c>
      <c r="O58" s="18">
        <v>255</v>
      </c>
    </row>
    <row r="59" spans="1:15" x14ac:dyDescent="0.35">
      <c r="A59" s="67" t="s">
        <v>49</v>
      </c>
      <c r="B59" s="67">
        <v>84</v>
      </c>
      <c r="C59" s="67">
        <v>6</v>
      </c>
      <c r="D59" s="67">
        <f t="shared" si="4"/>
        <v>5.3571428571428568</v>
      </c>
      <c r="E59" s="67">
        <f t="shared" si="5"/>
        <v>7.1428571428571425E-2</v>
      </c>
      <c r="F59" s="3" t="s">
        <v>46</v>
      </c>
      <c r="G59" s="18">
        <v>450</v>
      </c>
      <c r="I59" s="38" t="s">
        <v>49</v>
      </c>
      <c r="J59" s="38">
        <v>106</v>
      </c>
      <c r="K59" s="38">
        <v>7</v>
      </c>
      <c r="L59" s="38">
        <f t="shared" si="6"/>
        <v>5.1415094339622645</v>
      </c>
      <c r="M59" s="38">
        <f t="shared" si="7"/>
        <v>6.6037735849056603E-2</v>
      </c>
      <c r="O59" s="18">
        <v>545</v>
      </c>
    </row>
    <row r="60" spans="1:15" x14ac:dyDescent="0.35">
      <c r="A60" s="67" t="s">
        <v>56</v>
      </c>
      <c r="B60" s="67">
        <v>21</v>
      </c>
      <c r="C60" s="67">
        <v>0</v>
      </c>
      <c r="D60" s="67">
        <f t="shared" si="4"/>
        <v>5.3809523809523814</v>
      </c>
      <c r="E60" s="67">
        <f t="shared" si="5"/>
        <v>0</v>
      </c>
      <c r="F60" s="3" t="s">
        <v>55</v>
      </c>
      <c r="G60" s="18">
        <v>113</v>
      </c>
      <c r="I60" s="38" t="s">
        <v>110</v>
      </c>
      <c r="J60" s="38">
        <v>20</v>
      </c>
      <c r="K60" s="38">
        <v>1</v>
      </c>
      <c r="L60" s="38">
        <f t="shared" si="6"/>
        <v>5.15</v>
      </c>
      <c r="M60" s="38">
        <f t="shared" si="7"/>
        <v>0.05</v>
      </c>
      <c r="N60" s="3" t="s">
        <v>565</v>
      </c>
      <c r="O60">
        <v>103</v>
      </c>
    </row>
    <row r="61" spans="1:15" x14ac:dyDescent="0.35">
      <c r="A61" s="67" t="s">
        <v>90</v>
      </c>
      <c r="B61" s="67">
        <v>27</v>
      </c>
      <c r="C61" s="67">
        <v>3</v>
      </c>
      <c r="D61" s="67">
        <f t="shared" si="4"/>
        <v>5.4074074074074074</v>
      </c>
      <c r="E61" s="67">
        <f t="shared" si="5"/>
        <v>0.1111111111111111</v>
      </c>
      <c r="F61" s="3" t="s">
        <v>55</v>
      </c>
      <c r="G61">
        <v>146</v>
      </c>
      <c r="I61" s="38" t="s">
        <v>82</v>
      </c>
      <c r="J61" s="38">
        <v>20</v>
      </c>
      <c r="K61" s="38">
        <v>0</v>
      </c>
      <c r="L61" s="38">
        <f t="shared" si="6"/>
        <v>5.15</v>
      </c>
      <c r="M61" s="38">
        <f t="shared" si="7"/>
        <v>0</v>
      </c>
      <c r="N61" s="3" t="s">
        <v>564</v>
      </c>
      <c r="O61" s="18">
        <v>103</v>
      </c>
    </row>
    <row r="62" spans="1:15" x14ac:dyDescent="0.35">
      <c r="A62" s="67" t="s">
        <v>26</v>
      </c>
      <c r="B62" s="67">
        <v>42</v>
      </c>
      <c r="C62" s="67">
        <v>3</v>
      </c>
      <c r="D62" s="67">
        <f t="shared" si="4"/>
        <v>5.4761904761904763</v>
      </c>
      <c r="E62" s="67">
        <f t="shared" si="5"/>
        <v>7.1428571428571425E-2</v>
      </c>
      <c r="F62" s="3" t="s">
        <v>282</v>
      </c>
      <c r="G62" s="18">
        <v>230</v>
      </c>
      <c r="I62" s="38" t="s">
        <v>20</v>
      </c>
      <c r="J62" s="38">
        <v>22</v>
      </c>
      <c r="K62" s="38">
        <v>2</v>
      </c>
      <c r="L62" s="38">
        <f t="shared" si="6"/>
        <v>5.1818181818181817</v>
      </c>
      <c r="M62" s="38">
        <f t="shared" si="7"/>
        <v>9.0909090909090912E-2</v>
      </c>
      <c r="N62" s="3" t="s">
        <v>564</v>
      </c>
      <c r="O62" s="18">
        <v>114</v>
      </c>
    </row>
    <row r="63" spans="1:15" x14ac:dyDescent="0.35">
      <c r="A63" s="67" t="s">
        <v>33</v>
      </c>
      <c r="B63" s="67">
        <v>64</v>
      </c>
      <c r="C63" s="67">
        <v>4</v>
      </c>
      <c r="D63" s="67">
        <f t="shared" si="4"/>
        <v>5.515625</v>
      </c>
      <c r="E63" s="67">
        <f t="shared" si="5"/>
        <v>6.25E-2</v>
      </c>
      <c r="F63" s="3" t="s">
        <v>55</v>
      </c>
      <c r="G63" s="18">
        <v>353</v>
      </c>
      <c r="I63" s="38" t="s">
        <v>17</v>
      </c>
      <c r="J63" s="38">
        <v>20</v>
      </c>
      <c r="K63" s="38">
        <v>2</v>
      </c>
      <c r="L63" s="38">
        <f t="shared" si="6"/>
        <v>5.25</v>
      </c>
      <c r="M63" s="38">
        <f t="shared" si="7"/>
        <v>0.1</v>
      </c>
      <c r="N63" s="3" t="s">
        <v>495</v>
      </c>
      <c r="O63" s="18">
        <v>105</v>
      </c>
    </row>
    <row r="64" spans="1:15" x14ac:dyDescent="0.35">
      <c r="A64" s="67" t="s">
        <v>28</v>
      </c>
      <c r="B64" s="67">
        <v>20</v>
      </c>
      <c r="C64" s="67">
        <v>0</v>
      </c>
      <c r="D64" s="67">
        <f t="shared" si="4"/>
        <v>5.65</v>
      </c>
      <c r="E64" s="67">
        <f t="shared" si="5"/>
        <v>0</v>
      </c>
      <c r="F64" s="3" t="s">
        <v>55</v>
      </c>
      <c r="G64" s="18">
        <v>113</v>
      </c>
      <c r="I64" s="38" t="s">
        <v>404</v>
      </c>
      <c r="J64" s="38">
        <v>20</v>
      </c>
      <c r="K64" s="38">
        <v>2</v>
      </c>
      <c r="L64" s="38">
        <f t="shared" si="6"/>
        <v>5.25</v>
      </c>
      <c r="M64" s="38">
        <f t="shared" si="7"/>
        <v>0.1</v>
      </c>
      <c r="N64" s="3" t="s">
        <v>495</v>
      </c>
      <c r="O64" s="18">
        <v>105</v>
      </c>
    </row>
    <row r="65" spans="1:15" x14ac:dyDescent="0.35">
      <c r="A65" s="67" t="s">
        <v>401</v>
      </c>
      <c r="B65" s="67">
        <v>53</v>
      </c>
      <c r="C65" s="67">
        <v>2</v>
      </c>
      <c r="D65" s="67">
        <f t="shared" si="4"/>
        <v>5.7358490566037732</v>
      </c>
      <c r="E65" s="67">
        <f t="shared" si="5"/>
        <v>3.7735849056603772E-2</v>
      </c>
      <c r="F65" s="3" t="s">
        <v>55</v>
      </c>
      <c r="G65" s="18">
        <v>304</v>
      </c>
      <c r="I65" s="38" t="s">
        <v>56</v>
      </c>
      <c r="J65" s="38">
        <v>23</v>
      </c>
      <c r="K65" s="38">
        <v>0</v>
      </c>
      <c r="L65" s="38">
        <f t="shared" si="6"/>
        <v>5.2608695652173916</v>
      </c>
      <c r="M65" s="38">
        <f t="shared" si="7"/>
        <v>0</v>
      </c>
      <c r="N65" s="3" t="s">
        <v>494</v>
      </c>
      <c r="O65" s="18">
        <v>121</v>
      </c>
    </row>
    <row r="66" spans="1:15" x14ac:dyDescent="0.35">
      <c r="I66" s="67" t="s">
        <v>31</v>
      </c>
      <c r="J66" s="67">
        <v>175</v>
      </c>
      <c r="K66" s="67">
        <v>12</v>
      </c>
      <c r="L66" s="67">
        <f t="shared" ref="L66:L74" si="8">O66/J66</f>
        <v>5.32</v>
      </c>
      <c r="M66" s="67">
        <f t="shared" ref="M66:M74" si="9">K66/J66</f>
        <v>6.8571428571428575E-2</v>
      </c>
      <c r="N66" s="3" t="s">
        <v>566</v>
      </c>
      <c r="O66" s="18">
        <v>931</v>
      </c>
    </row>
    <row r="67" spans="1:15" x14ac:dyDescent="0.35">
      <c r="I67" s="67" t="s">
        <v>6</v>
      </c>
      <c r="J67" s="67">
        <v>45</v>
      </c>
      <c r="K67" s="67">
        <v>3</v>
      </c>
      <c r="L67" s="67">
        <f t="shared" si="8"/>
        <v>5.3555555555555552</v>
      </c>
      <c r="M67" s="67">
        <f t="shared" si="9"/>
        <v>6.6666666666666666E-2</v>
      </c>
      <c r="N67" s="3" t="s">
        <v>495</v>
      </c>
      <c r="O67" s="18">
        <v>241</v>
      </c>
    </row>
    <row r="68" spans="1:15" x14ac:dyDescent="0.35">
      <c r="I68" s="67" t="s">
        <v>90</v>
      </c>
      <c r="J68" s="67">
        <v>27</v>
      </c>
      <c r="K68" s="67">
        <v>3</v>
      </c>
      <c r="L68" s="67">
        <f t="shared" si="8"/>
        <v>5.4074074074074074</v>
      </c>
      <c r="M68" s="67">
        <f t="shared" si="9"/>
        <v>0.1111111111111111</v>
      </c>
      <c r="N68" s="3" t="s">
        <v>282</v>
      </c>
      <c r="O68">
        <v>146</v>
      </c>
    </row>
    <row r="69" spans="1:15" x14ac:dyDescent="0.35">
      <c r="I69" s="67" t="s">
        <v>253</v>
      </c>
      <c r="J69" s="67">
        <v>32</v>
      </c>
      <c r="K69" s="67">
        <v>1</v>
      </c>
      <c r="L69" s="67">
        <f t="shared" si="8"/>
        <v>5.4375</v>
      </c>
      <c r="M69" s="67">
        <f t="shared" si="9"/>
        <v>3.125E-2</v>
      </c>
      <c r="N69" s="3" t="s">
        <v>567</v>
      </c>
      <c r="O69" s="18">
        <v>174</v>
      </c>
    </row>
    <row r="70" spans="1:15" x14ac:dyDescent="0.35">
      <c r="I70" s="67" t="s">
        <v>124</v>
      </c>
      <c r="J70" s="67">
        <v>22</v>
      </c>
      <c r="K70" s="67">
        <v>0</v>
      </c>
      <c r="L70" s="67">
        <f t="shared" si="8"/>
        <v>5.4545454545454541</v>
      </c>
      <c r="M70" s="67">
        <f t="shared" si="9"/>
        <v>0</v>
      </c>
      <c r="N70" s="3" t="s">
        <v>568</v>
      </c>
      <c r="O70" s="18">
        <v>120</v>
      </c>
    </row>
    <row r="71" spans="1:15" x14ac:dyDescent="0.35">
      <c r="I71" s="67" t="s">
        <v>33</v>
      </c>
      <c r="J71" s="67">
        <v>64</v>
      </c>
      <c r="K71" s="67">
        <v>4</v>
      </c>
      <c r="L71" s="67">
        <f t="shared" si="8"/>
        <v>5.515625</v>
      </c>
      <c r="M71" s="67">
        <f t="shared" si="9"/>
        <v>6.25E-2</v>
      </c>
      <c r="N71" s="3" t="s">
        <v>296</v>
      </c>
      <c r="O71" s="18">
        <v>353</v>
      </c>
    </row>
    <row r="72" spans="1:15" x14ac:dyDescent="0.35">
      <c r="I72" s="67" t="s">
        <v>401</v>
      </c>
      <c r="J72" s="67">
        <v>59</v>
      </c>
      <c r="K72" s="67">
        <v>3</v>
      </c>
      <c r="L72" s="67">
        <f t="shared" si="8"/>
        <v>5.6271186440677967</v>
      </c>
      <c r="M72" s="67">
        <f t="shared" si="9"/>
        <v>5.0847457627118647E-2</v>
      </c>
      <c r="N72" s="3" t="s">
        <v>282</v>
      </c>
      <c r="O72" s="18">
        <v>332</v>
      </c>
    </row>
    <row r="73" spans="1:15" x14ac:dyDescent="0.35">
      <c r="I73" s="67" t="s">
        <v>28</v>
      </c>
      <c r="J73" s="67">
        <v>20</v>
      </c>
      <c r="K73" s="67">
        <v>0</v>
      </c>
      <c r="L73" s="67">
        <f t="shared" si="8"/>
        <v>5.65</v>
      </c>
      <c r="M73" s="67">
        <f t="shared" si="9"/>
        <v>0</v>
      </c>
      <c r="N73" s="3" t="s">
        <v>495</v>
      </c>
      <c r="O73" s="18">
        <v>113</v>
      </c>
    </row>
    <row r="74" spans="1:15" x14ac:dyDescent="0.35">
      <c r="I74" s="67" t="s">
        <v>34</v>
      </c>
      <c r="J74" s="67">
        <v>21</v>
      </c>
      <c r="K74" s="67">
        <v>2</v>
      </c>
      <c r="L74" s="67">
        <f t="shared" si="8"/>
        <v>5.666666666666667</v>
      </c>
      <c r="M74" s="67">
        <f t="shared" si="9"/>
        <v>9.5238095238095233E-2</v>
      </c>
      <c r="N74" s="3" t="s">
        <v>570</v>
      </c>
      <c r="O74" s="18">
        <v>119</v>
      </c>
    </row>
    <row r="1048576" spans="6:6" x14ac:dyDescent="0.35">
      <c r="F1048576" s="3"/>
    </row>
  </sheetData>
  <sortState ref="I2:O74">
    <sortCondition ref="L2:L74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zoomScale="90" zoomScaleNormal="90" workbookViewId="0">
      <selection activeCell="M47" sqref="M47"/>
    </sheetView>
  </sheetViews>
  <sheetFormatPr defaultRowHeight="14.5" x14ac:dyDescent="0.35"/>
  <cols>
    <col min="1" max="1" width="17.7265625" bestFit="1" customWidth="1"/>
    <col min="2" max="2" width="7.1796875" bestFit="1" customWidth="1"/>
    <col min="3" max="3" width="8.7265625" bestFit="1" customWidth="1"/>
    <col min="4" max="4" width="12" bestFit="1" customWidth="1"/>
    <col min="5" max="5" width="11.81640625" customWidth="1"/>
    <col min="8" max="8" width="20.26953125" bestFit="1" customWidth="1"/>
    <col min="9" max="9" width="7.1796875" bestFit="1" customWidth="1"/>
    <col min="10" max="10" width="8.7265625" bestFit="1" customWidth="1"/>
    <col min="11" max="12" width="13.26953125" bestFit="1" customWidth="1"/>
    <col min="13" max="13" width="73.7265625" bestFit="1" customWidth="1"/>
  </cols>
  <sheetData>
    <row r="1" spans="1:14" x14ac:dyDescent="0.35">
      <c r="A1" s="4" t="s">
        <v>42</v>
      </c>
      <c r="B1" s="4" t="s">
        <v>38</v>
      </c>
      <c r="C1" s="4" t="s">
        <v>39</v>
      </c>
      <c r="D1" s="4" t="s">
        <v>40</v>
      </c>
      <c r="E1" s="4" t="s">
        <v>111</v>
      </c>
      <c r="H1" s="4" t="s">
        <v>42</v>
      </c>
      <c r="I1" s="4" t="s">
        <v>38</v>
      </c>
      <c r="J1" s="4" t="s">
        <v>39</v>
      </c>
      <c r="K1" s="4" t="s">
        <v>40</v>
      </c>
      <c r="L1" s="4" t="s">
        <v>111</v>
      </c>
    </row>
    <row r="2" spans="1:14" x14ac:dyDescent="0.35">
      <c r="A2" s="60" t="s">
        <v>175</v>
      </c>
      <c r="B2" s="60">
        <v>48</v>
      </c>
      <c r="C2" s="60">
        <v>13</v>
      </c>
      <c r="D2" s="60">
        <f t="shared" ref="D2:D33" si="0">F2/B2</f>
        <v>3.2083333333333335</v>
      </c>
      <c r="E2" s="60">
        <f t="shared" ref="E2:E33" si="1">C2/B2</f>
        <v>0.27083333333333331</v>
      </c>
      <c r="F2" s="18">
        <v>154</v>
      </c>
      <c r="H2" s="60" t="s">
        <v>128</v>
      </c>
      <c r="I2" s="60">
        <v>109</v>
      </c>
      <c r="J2" s="60">
        <v>34</v>
      </c>
      <c r="K2" s="60">
        <f t="shared" ref="K2:K33" si="2">N2/I2</f>
        <v>3.2201834862385321</v>
      </c>
      <c r="L2" s="60">
        <f t="shared" ref="L2:L33" si="3">J2/I2</f>
        <v>0.31192660550458717</v>
      </c>
      <c r="M2" s="74" t="s">
        <v>594</v>
      </c>
      <c r="N2" s="18">
        <v>351</v>
      </c>
    </row>
    <row r="3" spans="1:14" x14ac:dyDescent="0.35">
      <c r="A3" s="60" t="s">
        <v>128</v>
      </c>
      <c r="B3" s="60">
        <v>106</v>
      </c>
      <c r="C3" s="60">
        <v>32</v>
      </c>
      <c r="D3" s="60">
        <f t="shared" si="0"/>
        <v>3.2169811320754715</v>
      </c>
      <c r="E3" s="60">
        <f t="shared" si="1"/>
        <v>0.30188679245283018</v>
      </c>
      <c r="F3" s="18">
        <v>341</v>
      </c>
      <c r="H3" s="60" t="s">
        <v>175</v>
      </c>
      <c r="I3" s="60">
        <v>50</v>
      </c>
      <c r="J3" s="60">
        <v>13</v>
      </c>
      <c r="K3" s="60">
        <f t="shared" si="2"/>
        <v>3.24</v>
      </c>
      <c r="L3" s="60">
        <f t="shared" si="3"/>
        <v>0.26</v>
      </c>
      <c r="M3" s="3" t="s">
        <v>46</v>
      </c>
      <c r="N3" s="18">
        <v>162</v>
      </c>
    </row>
    <row r="4" spans="1:14" x14ac:dyDescent="0.35">
      <c r="A4" s="59" t="s">
        <v>35</v>
      </c>
      <c r="B4" s="59">
        <v>163</v>
      </c>
      <c r="C4" s="59">
        <v>42</v>
      </c>
      <c r="D4" s="59">
        <f t="shared" si="0"/>
        <v>3.5582822085889569</v>
      </c>
      <c r="E4" s="59">
        <f t="shared" si="1"/>
        <v>0.25766871165644173</v>
      </c>
      <c r="F4" s="18">
        <v>580</v>
      </c>
      <c r="H4" s="59" t="s">
        <v>35</v>
      </c>
      <c r="I4" s="59">
        <v>173</v>
      </c>
      <c r="J4" s="59">
        <v>43</v>
      </c>
      <c r="K4" s="59">
        <f t="shared" si="2"/>
        <v>3.554913294797688</v>
      </c>
      <c r="L4" s="59">
        <f t="shared" si="3"/>
        <v>0.24855491329479767</v>
      </c>
      <c r="M4" s="14" t="s">
        <v>598</v>
      </c>
      <c r="N4" s="18">
        <v>615</v>
      </c>
    </row>
    <row r="5" spans="1:14" x14ac:dyDescent="0.35">
      <c r="A5" s="59" t="s">
        <v>147</v>
      </c>
      <c r="B5" s="59">
        <v>123</v>
      </c>
      <c r="C5" s="59">
        <v>25</v>
      </c>
      <c r="D5" s="59">
        <f t="shared" si="0"/>
        <v>3.6991869918699187</v>
      </c>
      <c r="E5" s="59">
        <f t="shared" si="1"/>
        <v>0.2032520325203252</v>
      </c>
      <c r="F5" s="18">
        <v>455</v>
      </c>
      <c r="H5" s="59" t="s">
        <v>232</v>
      </c>
      <c r="I5" s="59">
        <v>139</v>
      </c>
      <c r="J5" s="59">
        <v>27</v>
      </c>
      <c r="K5" s="59">
        <f t="shared" si="2"/>
        <v>3.6906474820143886</v>
      </c>
      <c r="L5" s="59">
        <f t="shared" si="3"/>
        <v>0.19424460431654678</v>
      </c>
      <c r="M5" s="74" t="s">
        <v>47</v>
      </c>
      <c r="N5" s="18">
        <v>513</v>
      </c>
    </row>
    <row r="6" spans="1:14" x14ac:dyDescent="0.35">
      <c r="A6" s="59" t="s">
        <v>148</v>
      </c>
      <c r="B6" s="59">
        <v>42</v>
      </c>
      <c r="C6" s="59">
        <v>8</v>
      </c>
      <c r="D6" s="59">
        <f t="shared" si="0"/>
        <v>3.7380952380952381</v>
      </c>
      <c r="E6" s="59">
        <f t="shared" si="1"/>
        <v>0.19047619047619047</v>
      </c>
      <c r="F6" s="18">
        <v>157</v>
      </c>
      <c r="H6" s="59" t="s">
        <v>147</v>
      </c>
      <c r="I6" s="59">
        <v>123</v>
      </c>
      <c r="J6" s="59">
        <v>25</v>
      </c>
      <c r="K6" s="59">
        <f t="shared" si="2"/>
        <v>3.6991869918699187</v>
      </c>
      <c r="L6" s="59">
        <f t="shared" si="3"/>
        <v>0.2032520325203252</v>
      </c>
      <c r="M6" s="3" t="s">
        <v>46</v>
      </c>
      <c r="N6" s="18">
        <v>455</v>
      </c>
    </row>
    <row r="7" spans="1:14" x14ac:dyDescent="0.35">
      <c r="A7" s="59" t="s">
        <v>232</v>
      </c>
      <c r="B7" s="59">
        <v>112</v>
      </c>
      <c r="C7" s="59">
        <v>20</v>
      </c>
      <c r="D7" s="59">
        <f t="shared" si="0"/>
        <v>3.8928571428571428</v>
      </c>
      <c r="E7" s="59">
        <f t="shared" si="1"/>
        <v>0.17857142857142858</v>
      </c>
      <c r="F7" s="18">
        <v>436</v>
      </c>
      <c r="H7" s="59" t="s">
        <v>58</v>
      </c>
      <c r="I7" s="59">
        <v>30</v>
      </c>
      <c r="J7" s="59">
        <v>6</v>
      </c>
      <c r="K7" s="59">
        <f t="shared" si="2"/>
        <v>3.7</v>
      </c>
      <c r="L7" s="59">
        <f t="shared" si="3"/>
        <v>0.2</v>
      </c>
      <c r="M7" s="76" t="s">
        <v>596</v>
      </c>
      <c r="N7" s="18">
        <v>111</v>
      </c>
    </row>
    <row r="8" spans="1:14" x14ac:dyDescent="0.35">
      <c r="A8" s="59" t="s">
        <v>121</v>
      </c>
      <c r="B8" s="59">
        <v>94</v>
      </c>
      <c r="C8" s="59">
        <v>21</v>
      </c>
      <c r="D8" s="59">
        <f t="shared" si="0"/>
        <v>3.8936170212765959</v>
      </c>
      <c r="E8" s="59">
        <f t="shared" si="1"/>
        <v>0.22340425531914893</v>
      </c>
      <c r="F8" s="18">
        <v>366</v>
      </c>
      <c r="H8" s="59" t="s">
        <v>148</v>
      </c>
      <c r="I8" s="59">
        <v>42</v>
      </c>
      <c r="J8" s="59">
        <v>8</v>
      </c>
      <c r="K8" s="59">
        <f t="shared" si="2"/>
        <v>3.7380952380952381</v>
      </c>
      <c r="L8" s="59">
        <f t="shared" si="3"/>
        <v>0.19047619047619047</v>
      </c>
      <c r="M8" s="3" t="s">
        <v>45</v>
      </c>
      <c r="N8" s="18">
        <v>157</v>
      </c>
    </row>
    <row r="9" spans="1:14" x14ac:dyDescent="0.35">
      <c r="A9" s="59" t="s">
        <v>10</v>
      </c>
      <c r="B9" s="59">
        <v>67</v>
      </c>
      <c r="C9" s="59">
        <v>13</v>
      </c>
      <c r="D9" s="59">
        <f t="shared" si="0"/>
        <v>3.8955223880597014</v>
      </c>
      <c r="E9" s="59">
        <f t="shared" si="1"/>
        <v>0.19402985074626866</v>
      </c>
      <c r="F9" s="18">
        <v>261</v>
      </c>
      <c r="H9" s="59" t="s">
        <v>9</v>
      </c>
      <c r="I9" s="59">
        <v>30</v>
      </c>
      <c r="J9" s="59">
        <v>3</v>
      </c>
      <c r="K9" s="59">
        <f t="shared" si="2"/>
        <v>3.8</v>
      </c>
      <c r="L9" s="59">
        <f t="shared" si="3"/>
        <v>0.1</v>
      </c>
      <c r="M9" s="77" t="s">
        <v>603</v>
      </c>
      <c r="N9" s="18">
        <v>114</v>
      </c>
    </row>
    <row r="10" spans="1:14" x14ac:dyDescent="0.35">
      <c r="A10" s="59" t="s">
        <v>29</v>
      </c>
      <c r="B10" s="59">
        <v>115</v>
      </c>
      <c r="C10" s="59">
        <v>16</v>
      </c>
      <c r="D10" s="59">
        <f t="shared" si="0"/>
        <v>3.9043478260869566</v>
      </c>
      <c r="E10" s="59">
        <f t="shared" si="1"/>
        <v>0.1391304347826087</v>
      </c>
      <c r="F10" s="18">
        <v>449</v>
      </c>
      <c r="H10" s="59" t="s">
        <v>121</v>
      </c>
      <c r="I10" s="59">
        <v>98</v>
      </c>
      <c r="J10" s="59">
        <v>22</v>
      </c>
      <c r="K10" s="59">
        <f t="shared" si="2"/>
        <v>3.8673469387755102</v>
      </c>
      <c r="L10" s="59">
        <f t="shared" si="3"/>
        <v>0.22448979591836735</v>
      </c>
      <c r="M10" s="3" t="s">
        <v>45</v>
      </c>
      <c r="N10" s="18">
        <v>379</v>
      </c>
    </row>
    <row r="11" spans="1:14" x14ac:dyDescent="0.35">
      <c r="A11" s="41" t="s">
        <v>125</v>
      </c>
      <c r="B11" s="41">
        <v>31</v>
      </c>
      <c r="C11" s="41">
        <v>2</v>
      </c>
      <c r="D11" s="41">
        <f t="shared" si="0"/>
        <v>4</v>
      </c>
      <c r="E11" s="41">
        <f t="shared" si="1"/>
        <v>6.4516129032258063E-2</v>
      </c>
      <c r="F11" s="18">
        <v>124</v>
      </c>
      <c r="H11" s="59" t="s">
        <v>10</v>
      </c>
      <c r="I11" s="59">
        <v>73</v>
      </c>
      <c r="J11" s="59">
        <v>13</v>
      </c>
      <c r="K11" s="59">
        <f t="shared" si="2"/>
        <v>3.9452054794520546</v>
      </c>
      <c r="L11" s="59">
        <f t="shared" si="3"/>
        <v>0.17808219178082191</v>
      </c>
      <c r="M11" s="3" t="s">
        <v>45</v>
      </c>
      <c r="N11" s="18">
        <v>288</v>
      </c>
    </row>
    <row r="12" spans="1:14" x14ac:dyDescent="0.35">
      <c r="A12" s="41" t="s">
        <v>22</v>
      </c>
      <c r="B12" s="41">
        <v>182</v>
      </c>
      <c r="C12" s="41">
        <v>30</v>
      </c>
      <c r="D12" s="41">
        <f t="shared" si="0"/>
        <v>4.104395604395604</v>
      </c>
      <c r="E12" s="41">
        <f t="shared" si="1"/>
        <v>0.16483516483516483</v>
      </c>
      <c r="F12" s="18">
        <v>747</v>
      </c>
      <c r="H12" s="59" t="s">
        <v>122</v>
      </c>
      <c r="I12" s="59">
        <v>133</v>
      </c>
      <c r="J12" s="59">
        <v>17</v>
      </c>
      <c r="K12" s="59">
        <f t="shared" si="2"/>
        <v>3.9849624060150375</v>
      </c>
      <c r="L12" s="59">
        <f t="shared" si="3"/>
        <v>0.12781954887218044</v>
      </c>
      <c r="M12" s="74" t="s">
        <v>44</v>
      </c>
      <c r="N12" s="18">
        <v>530</v>
      </c>
    </row>
    <row r="13" spans="1:14" x14ac:dyDescent="0.35">
      <c r="A13" s="41" t="s">
        <v>122</v>
      </c>
      <c r="B13" s="41">
        <v>116</v>
      </c>
      <c r="C13" s="41">
        <v>14</v>
      </c>
      <c r="D13" s="41">
        <f t="shared" si="0"/>
        <v>4.1120689655172411</v>
      </c>
      <c r="E13" s="41">
        <f t="shared" si="1"/>
        <v>0.1206896551724138</v>
      </c>
      <c r="F13" s="18">
        <v>477</v>
      </c>
      <c r="H13" s="41" t="s">
        <v>29</v>
      </c>
      <c r="I13" s="41">
        <v>127</v>
      </c>
      <c r="J13" s="41">
        <v>18</v>
      </c>
      <c r="K13" s="41">
        <f t="shared" si="2"/>
        <v>4.015748031496063</v>
      </c>
      <c r="L13" s="41">
        <f t="shared" si="3"/>
        <v>0.14173228346456693</v>
      </c>
      <c r="M13" s="3" t="s">
        <v>54</v>
      </c>
      <c r="N13" s="18">
        <v>510</v>
      </c>
    </row>
    <row r="14" spans="1:14" x14ac:dyDescent="0.35">
      <c r="A14" s="41" t="s">
        <v>3</v>
      </c>
      <c r="B14" s="41">
        <v>46</v>
      </c>
      <c r="C14" s="41">
        <v>7</v>
      </c>
      <c r="D14" s="41">
        <f t="shared" si="0"/>
        <v>4.1304347826086953</v>
      </c>
      <c r="E14" s="41">
        <f t="shared" si="1"/>
        <v>0.15217391304347827</v>
      </c>
      <c r="F14" s="18">
        <v>190</v>
      </c>
      <c r="H14" s="41" t="s">
        <v>116</v>
      </c>
      <c r="I14" s="41">
        <v>30</v>
      </c>
      <c r="J14" s="41">
        <v>5</v>
      </c>
      <c r="K14" s="41">
        <f t="shared" si="2"/>
        <v>4.0666666666666664</v>
      </c>
      <c r="L14" s="41">
        <f t="shared" si="3"/>
        <v>0.16666666666666666</v>
      </c>
      <c r="M14" s="78" t="s">
        <v>602</v>
      </c>
      <c r="N14" s="18">
        <v>122</v>
      </c>
    </row>
    <row r="15" spans="1:14" x14ac:dyDescent="0.35">
      <c r="A15" s="41" t="s">
        <v>0</v>
      </c>
      <c r="B15" s="41">
        <v>84</v>
      </c>
      <c r="C15" s="41">
        <v>14</v>
      </c>
      <c r="D15" s="41">
        <f t="shared" si="0"/>
        <v>4.1547619047619051</v>
      </c>
      <c r="E15" s="41">
        <f t="shared" si="1"/>
        <v>0.16666666666666666</v>
      </c>
      <c r="F15" s="18">
        <v>349</v>
      </c>
      <c r="H15" s="41" t="s">
        <v>428</v>
      </c>
      <c r="I15" s="41">
        <v>31</v>
      </c>
      <c r="J15" s="41">
        <v>5</v>
      </c>
      <c r="K15" s="41">
        <f t="shared" si="2"/>
        <v>4.096774193548387</v>
      </c>
      <c r="L15" s="41">
        <f t="shared" si="3"/>
        <v>0.16129032258064516</v>
      </c>
      <c r="M15" s="78" t="s">
        <v>601</v>
      </c>
      <c r="N15" s="18">
        <v>127</v>
      </c>
    </row>
    <row r="16" spans="1:14" x14ac:dyDescent="0.35">
      <c r="A16" s="41" t="s">
        <v>112</v>
      </c>
      <c r="B16" s="41">
        <v>30</v>
      </c>
      <c r="C16" s="41">
        <v>6</v>
      </c>
      <c r="D16" s="41">
        <f t="shared" si="0"/>
        <v>4.166666666666667</v>
      </c>
      <c r="E16" s="41">
        <f t="shared" si="1"/>
        <v>0.2</v>
      </c>
      <c r="F16" s="18">
        <v>125</v>
      </c>
      <c r="H16" s="41" t="s">
        <v>22</v>
      </c>
      <c r="I16" s="41">
        <v>184</v>
      </c>
      <c r="J16" s="41">
        <v>30</v>
      </c>
      <c r="K16" s="41">
        <f t="shared" si="2"/>
        <v>4.1141304347826084</v>
      </c>
      <c r="L16" s="41">
        <f t="shared" si="3"/>
        <v>0.16304347826086957</v>
      </c>
      <c r="M16" s="3" t="s">
        <v>55</v>
      </c>
      <c r="N16" s="18">
        <v>757</v>
      </c>
    </row>
    <row r="17" spans="1:14" x14ac:dyDescent="0.35">
      <c r="A17" s="41" t="s">
        <v>104</v>
      </c>
      <c r="B17" s="41">
        <v>107</v>
      </c>
      <c r="C17" s="41">
        <v>8</v>
      </c>
      <c r="D17" s="41">
        <f t="shared" si="0"/>
        <v>4.2056074766355138</v>
      </c>
      <c r="E17" s="41">
        <f t="shared" si="1"/>
        <v>7.476635514018691E-2</v>
      </c>
      <c r="F17" s="18">
        <v>450</v>
      </c>
      <c r="H17" s="41" t="s">
        <v>3</v>
      </c>
      <c r="I17" s="41">
        <v>46</v>
      </c>
      <c r="J17" s="41">
        <v>7</v>
      </c>
      <c r="K17" s="41">
        <f t="shared" si="2"/>
        <v>4.1304347826086953</v>
      </c>
      <c r="L17" s="41">
        <f t="shared" si="3"/>
        <v>0.15217391304347827</v>
      </c>
      <c r="M17" s="3" t="s">
        <v>54</v>
      </c>
      <c r="N17" s="18">
        <v>190</v>
      </c>
    </row>
    <row r="18" spans="1:14" x14ac:dyDescent="0.35">
      <c r="A18" s="41" t="s">
        <v>21</v>
      </c>
      <c r="B18" s="41">
        <v>160</v>
      </c>
      <c r="C18" s="41">
        <v>24</v>
      </c>
      <c r="D18" s="41">
        <f t="shared" si="0"/>
        <v>4.2937500000000002</v>
      </c>
      <c r="E18" s="41">
        <f t="shared" si="1"/>
        <v>0.15</v>
      </c>
      <c r="F18" s="18">
        <v>687</v>
      </c>
      <c r="H18" s="41" t="s">
        <v>0</v>
      </c>
      <c r="I18" s="41">
        <v>84</v>
      </c>
      <c r="J18" s="41">
        <v>14</v>
      </c>
      <c r="K18" s="41">
        <f t="shared" si="2"/>
        <v>4.1547619047619051</v>
      </c>
      <c r="L18" s="41">
        <f t="shared" si="3"/>
        <v>0.16666666666666666</v>
      </c>
      <c r="M18" s="3" t="s">
        <v>54</v>
      </c>
      <c r="N18" s="18">
        <v>349</v>
      </c>
    </row>
    <row r="19" spans="1:14" x14ac:dyDescent="0.35">
      <c r="A19" s="41" t="s">
        <v>50</v>
      </c>
      <c r="B19" s="41">
        <v>30</v>
      </c>
      <c r="C19" s="41">
        <v>1</v>
      </c>
      <c r="D19" s="41">
        <f t="shared" si="0"/>
        <v>4.3</v>
      </c>
      <c r="E19" s="41">
        <f t="shared" si="1"/>
        <v>3.3333333333333333E-2</v>
      </c>
      <c r="F19" s="18">
        <v>129</v>
      </c>
      <c r="H19" s="41" t="s">
        <v>112</v>
      </c>
      <c r="I19" s="41">
        <v>30</v>
      </c>
      <c r="J19" s="41">
        <v>6</v>
      </c>
      <c r="K19" s="41">
        <f t="shared" si="2"/>
        <v>4.166666666666667</v>
      </c>
      <c r="L19" s="41">
        <f t="shared" si="3"/>
        <v>0.2</v>
      </c>
      <c r="M19" s="3" t="s">
        <v>54</v>
      </c>
      <c r="N19" s="18">
        <v>125</v>
      </c>
    </row>
    <row r="20" spans="1:14" x14ac:dyDescent="0.35">
      <c r="A20" s="41" t="s">
        <v>115</v>
      </c>
      <c r="B20" s="41">
        <v>39</v>
      </c>
      <c r="C20" s="41">
        <v>3</v>
      </c>
      <c r="D20" s="41">
        <f t="shared" si="0"/>
        <v>4.384615384615385</v>
      </c>
      <c r="E20" s="41">
        <f t="shared" si="1"/>
        <v>7.6923076923076927E-2</v>
      </c>
      <c r="F20" s="18">
        <v>171</v>
      </c>
      <c r="H20" s="41" t="s">
        <v>125</v>
      </c>
      <c r="I20" s="41">
        <v>35</v>
      </c>
      <c r="J20" s="41">
        <v>2</v>
      </c>
      <c r="K20" s="41">
        <f t="shared" si="2"/>
        <v>4.1714285714285717</v>
      </c>
      <c r="L20" s="41">
        <f t="shared" si="3"/>
        <v>5.7142857142857141E-2</v>
      </c>
      <c r="M20" s="3" t="s">
        <v>495</v>
      </c>
      <c r="N20" s="18">
        <v>146</v>
      </c>
    </row>
    <row r="21" spans="1:14" x14ac:dyDescent="0.35">
      <c r="A21" s="32" t="s">
        <v>27</v>
      </c>
      <c r="B21" s="32">
        <v>36</v>
      </c>
      <c r="C21" s="32">
        <v>3</v>
      </c>
      <c r="D21" s="32">
        <f t="shared" si="0"/>
        <v>4.4444444444444446</v>
      </c>
      <c r="E21" s="32">
        <f t="shared" si="1"/>
        <v>8.3333333333333329E-2</v>
      </c>
      <c r="F21" s="18">
        <v>160</v>
      </c>
      <c r="H21" s="41" t="s">
        <v>63</v>
      </c>
      <c r="I21" s="41">
        <v>30</v>
      </c>
      <c r="J21" s="41">
        <v>5</v>
      </c>
      <c r="K21" s="41">
        <f t="shared" si="2"/>
        <v>4.2333333333333334</v>
      </c>
      <c r="L21" s="41">
        <f t="shared" si="3"/>
        <v>0.16666666666666666</v>
      </c>
      <c r="M21" s="78" t="s">
        <v>604</v>
      </c>
      <c r="N21" s="18">
        <v>127</v>
      </c>
    </row>
    <row r="22" spans="1:14" x14ac:dyDescent="0.35">
      <c r="A22" s="32" t="s">
        <v>123</v>
      </c>
      <c r="B22" s="32">
        <v>35</v>
      </c>
      <c r="C22" s="32">
        <v>6</v>
      </c>
      <c r="D22" s="32">
        <f t="shared" si="0"/>
        <v>4.4571428571428573</v>
      </c>
      <c r="E22" s="32">
        <f t="shared" si="1"/>
        <v>0.17142857142857143</v>
      </c>
      <c r="F22" s="18">
        <v>156</v>
      </c>
      <c r="H22" s="41" t="s">
        <v>117</v>
      </c>
      <c r="I22" s="41">
        <v>32</v>
      </c>
      <c r="J22" s="41">
        <v>6</v>
      </c>
      <c r="K22" s="41">
        <f t="shared" si="2"/>
        <v>4.25</v>
      </c>
      <c r="L22" s="41">
        <f t="shared" si="3"/>
        <v>0.1875</v>
      </c>
      <c r="M22" s="78" t="s">
        <v>600</v>
      </c>
      <c r="N22" s="18">
        <v>136</v>
      </c>
    </row>
    <row r="23" spans="1:14" x14ac:dyDescent="0.35">
      <c r="A23" s="32" t="s">
        <v>8</v>
      </c>
      <c r="B23" s="32">
        <v>46</v>
      </c>
      <c r="C23" s="32">
        <v>5</v>
      </c>
      <c r="D23" s="32">
        <f t="shared" si="0"/>
        <v>4.4782608695652177</v>
      </c>
      <c r="E23" s="32">
        <f t="shared" si="1"/>
        <v>0.10869565217391304</v>
      </c>
      <c r="F23" s="18">
        <v>206</v>
      </c>
      <c r="H23" s="41" t="s">
        <v>104</v>
      </c>
      <c r="I23" s="41">
        <v>122</v>
      </c>
      <c r="J23" s="41">
        <v>9</v>
      </c>
      <c r="K23" s="41">
        <f t="shared" si="2"/>
        <v>4.2622950819672134</v>
      </c>
      <c r="L23" s="41">
        <f t="shared" si="3"/>
        <v>7.3770491803278687E-2</v>
      </c>
      <c r="M23" s="3" t="s">
        <v>555</v>
      </c>
      <c r="N23" s="18">
        <v>520</v>
      </c>
    </row>
    <row r="24" spans="1:14" x14ac:dyDescent="0.35">
      <c r="A24" s="32" t="s">
        <v>24</v>
      </c>
      <c r="B24" s="32">
        <v>101</v>
      </c>
      <c r="C24" s="32">
        <v>12</v>
      </c>
      <c r="D24" s="32">
        <f t="shared" si="0"/>
        <v>4.5247524752475243</v>
      </c>
      <c r="E24" s="32">
        <f t="shared" si="1"/>
        <v>0.11881188118811881</v>
      </c>
      <c r="F24" s="18">
        <v>457</v>
      </c>
      <c r="H24" s="41" t="s">
        <v>50</v>
      </c>
      <c r="I24" s="41">
        <v>30</v>
      </c>
      <c r="J24" s="41">
        <v>1</v>
      </c>
      <c r="K24" s="41">
        <f t="shared" si="2"/>
        <v>4.3</v>
      </c>
      <c r="L24" s="41">
        <f t="shared" si="3"/>
        <v>3.3333333333333333E-2</v>
      </c>
      <c r="M24" s="3" t="s">
        <v>494</v>
      </c>
      <c r="N24" s="18">
        <v>129</v>
      </c>
    </row>
    <row r="25" spans="1:14" x14ac:dyDescent="0.35">
      <c r="A25" s="32" t="s">
        <v>36</v>
      </c>
      <c r="B25" s="32">
        <v>30</v>
      </c>
      <c r="C25" s="32">
        <v>0</v>
      </c>
      <c r="D25" s="32">
        <f t="shared" si="0"/>
        <v>4.5333333333333332</v>
      </c>
      <c r="E25" s="32">
        <f t="shared" si="1"/>
        <v>0</v>
      </c>
      <c r="F25" s="18">
        <v>136</v>
      </c>
      <c r="H25" s="41" t="s">
        <v>123</v>
      </c>
      <c r="I25" s="41">
        <v>39</v>
      </c>
      <c r="J25" s="41">
        <v>6</v>
      </c>
      <c r="K25" s="41">
        <f t="shared" si="2"/>
        <v>4.3076923076923075</v>
      </c>
      <c r="L25" s="41">
        <f t="shared" si="3"/>
        <v>0.15384615384615385</v>
      </c>
      <c r="M25" s="3" t="s">
        <v>54</v>
      </c>
      <c r="N25" s="18">
        <v>168</v>
      </c>
    </row>
    <row r="26" spans="1:14" x14ac:dyDescent="0.35">
      <c r="A26" s="32" t="s">
        <v>129</v>
      </c>
      <c r="B26" s="32">
        <v>42</v>
      </c>
      <c r="C26" s="32">
        <v>7</v>
      </c>
      <c r="D26" s="32">
        <f t="shared" si="0"/>
        <v>4.5714285714285712</v>
      </c>
      <c r="E26" s="32">
        <f t="shared" si="1"/>
        <v>0.16666666666666666</v>
      </c>
      <c r="F26" s="18">
        <v>192</v>
      </c>
      <c r="H26" s="41" t="s">
        <v>21</v>
      </c>
      <c r="I26" s="41">
        <v>169</v>
      </c>
      <c r="J26" s="41">
        <v>25</v>
      </c>
      <c r="K26" s="41">
        <f t="shared" si="2"/>
        <v>4.3136094674556213</v>
      </c>
      <c r="L26" s="41">
        <f t="shared" si="3"/>
        <v>0.14792899408284024</v>
      </c>
      <c r="M26" s="3" t="s">
        <v>296</v>
      </c>
      <c r="N26" s="18">
        <v>729</v>
      </c>
    </row>
    <row r="27" spans="1:14" x14ac:dyDescent="0.35">
      <c r="A27" s="32" t="s">
        <v>15</v>
      </c>
      <c r="B27" s="32">
        <v>242</v>
      </c>
      <c r="C27" s="32">
        <v>36</v>
      </c>
      <c r="D27" s="32">
        <f t="shared" si="0"/>
        <v>4.5909090909090908</v>
      </c>
      <c r="E27" s="32">
        <f t="shared" si="1"/>
        <v>0.1487603305785124</v>
      </c>
      <c r="F27" s="18">
        <v>1111</v>
      </c>
      <c r="H27" s="41" t="s">
        <v>115</v>
      </c>
      <c r="I27" s="41">
        <v>39</v>
      </c>
      <c r="J27" s="41">
        <v>3</v>
      </c>
      <c r="K27" s="41">
        <f t="shared" si="2"/>
        <v>4.384615384615385</v>
      </c>
      <c r="L27" s="41">
        <f t="shared" si="3"/>
        <v>7.6923076923076927E-2</v>
      </c>
      <c r="M27" s="3" t="s">
        <v>282</v>
      </c>
      <c r="N27" s="18">
        <v>171</v>
      </c>
    </row>
    <row r="28" spans="1:14" x14ac:dyDescent="0.35">
      <c r="A28" s="32" t="s">
        <v>1</v>
      </c>
      <c r="B28" s="32">
        <v>103</v>
      </c>
      <c r="C28" s="32">
        <v>6</v>
      </c>
      <c r="D28" s="32">
        <f t="shared" si="0"/>
        <v>4.6116504854368934</v>
      </c>
      <c r="E28" s="32">
        <f t="shared" si="1"/>
        <v>5.8252427184466021E-2</v>
      </c>
      <c r="F28" s="18">
        <v>475</v>
      </c>
      <c r="H28" s="32" t="s">
        <v>8</v>
      </c>
      <c r="I28" s="32">
        <v>49</v>
      </c>
      <c r="J28" s="32">
        <v>6</v>
      </c>
      <c r="K28" s="32">
        <f t="shared" si="2"/>
        <v>4.4285714285714288</v>
      </c>
      <c r="L28" s="32">
        <f t="shared" si="3"/>
        <v>0.12244897959183673</v>
      </c>
      <c r="M28" s="3" t="s">
        <v>494</v>
      </c>
      <c r="N28" s="18">
        <v>217</v>
      </c>
    </row>
    <row r="29" spans="1:14" x14ac:dyDescent="0.35">
      <c r="A29" s="32" t="s">
        <v>79</v>
      </c>
      <c r="B29" s="32">
        <v>54</v>
      </c>
      <c r="C29" s="32">
        <v>6</v>
      </c>
      <c r="D29" s="32">
        <f t="shared" si="0"/>
        <v>4.6296296296296298</v>
      </c>
      <c r="E29" s="32">
        <f t="shared" si="1"/>
        <v>0.1111111111111111</v>
      </c>
      <c r="F29" s="18">
        <v>250</v>
      </c>
      <c r="H29" s="32" t="s">
        <v>27</v>
      </c>
      <c r="I29" s="32">
        <v>36</v>
      </c>
      <c r="J29" s="32">
        <v>3</v>
      </c>
      <c r="K29" s="32">
        <f t="shared" si="2"/>
        <v>4.4444444444444446</v>
      </c>
      <c r="L29" s="32">
        <f t="shared" si="3"/>
        <v>8.3333333333333329E-2</v>
      </c>
      <c r="M29" s="3" t="s">
        <v>296</v>
      </c>
      <c r="N29" s="18">
        <v>160</v>
      </c>
    </row>
    <row r="30" spans="1:14" x14ac:dyDescent="0.35">
      <c r="A30" s="32" t="s">
        <v>105</v>
      </c>
      <c r="B30" s="32">
        <v>30</v>
      </c>
      <c r="C30" s="32">
        <v>4</v>
      </c>
      <c r="D30" s="32">
        <f t="shared" si="0"/>
        <v>4.6333333333333337</v>
      </c>
      <c r="E30" s="32">
        <f t="shared" si="1"/>
        <v>0.13333333333333333</v>
      </c>
      <c r="F30" s="18">
        <v>139</v>
      </c>
      <c r="H30" s="32" t="s">
        <v>24</v>
      </c>
      <c r="I30" s="32">
        <v>101</v>
      </c>
      <c r="J30" s="32">
        <v>12</v>
      </c>
      <c r="K30" s="32">
        <f t="shared" si="2"/>
        <v>4.5247524752475243</v>
      </c>
      <c r="L30" s="32">
        <f t="shared" si="3"/>
        <v>0.11881188118811881</v>
      </c>
      <c r="M30" s="3" t="s">
        <v>555</v>
      </c>
      <c r="N30" s="18">
        <v>457</v>
      </c>
    </row>
    <row r="31" spans="1:14" x14ac:dyDescent="0.35">
      <c r="A31" s="38" t="s">
        <v>14</v>
      </c>
      <c r="B31" s="38">
        <v>45</v>
      </c>
      <c r="C31" s="38">
        <v>3</v>
      </c>
      <c r="D31" s="38">
        <f t="shared" si="0"/>
        <v>4.7111111111111112</v>
      </c>
      <c r="E31" s="38">
        <f t="shared" si="1"/>
        <v>6.6666666666666666E-2</v>
      </c>
      <c r="F31">
        <v>212</v>
      </c>
      <c r="H31" s="32" t="s">
        <v>36</v>
      </c>
      <c r="I31" s="32">
        <v>30</v>
      </c>
      <c r="J31" s="32">
        <v>0</v>
      </c>
      <c r="K31" s="32">
        <f t="shared" si="2"/>
        <v>4.5333333333333332</v>
      </c>
      <c r="L31" s="32">
        <f t="shared" si="3"/>
        <v>0</v>
      </c>
      <c r="M31" s="3" t="s">
        <v>555</v>
      </c>
      <c r="N31" s="18">
        <v>136</v>
      </c>
    </row>
    <row r="32" spans="1:14" x14ac:dyDescent="0.35">
      <c r="A32" s="38" t="s">
        <v>13</v>
      </c>
      <c r="B32" s="38">
        <v>36</v>
      </c>
      <c r="C32" s="38">
        <v>2</v>
      </c>
      <c r="D32" s="38">
        <f t="shared" si="0"/>
        <v>4.7222222222222223</v>
      </c>
      <c r="E32" s="38">
        <f t="shared" si="1"/>
        <v>5.5555555555555552E-2</v>
      </c>
      <c r="F32" s="18">
        <v>170</v>
      </c>
      <c r="H32" s="32" t="s">
        <v>129</v>
      </c>
      <c r="I32" s="32">
        <v>43</v>
      </c>
      <c r="J32" s="32">
        <v>7</v>
      </c>
      <c r="K32" s="32">
        <f t="shared" si="2"/>
        <v>4.558139534883721</v>
      </c>
      <c r="L32" s="32">
        <f t="shared" si="3"/>
        <v>0.16279069767441862</v>
      </c>
      <c r="M32" s="3" t="s">
        <v>555</v>
      </c>
      <c r="N32" s="18">
        <v>196</v>
      </c>
    </row>
    <row r="33" spans="1:14" x14ac:dyDescent="0.35">
      <c r="A33" s="38" t="s">
        <v>4</v>
      </c>
      <c r="B33" s="38">
        <v>30</v>
      </c>
      <c r="C33" s="38">
        <v>4</v>
      </c>
      <c r="D33" s="38">
        <f t="shared" si="0"/>
        <v>4.8</v>
      </c>
      <c r="E33" s="38">
        <f t="shared" si="1"/>
        <v>0.13333333333333333</v>
      </c>
      <c r="F33" s="18">
        <v>144</v>
      </c>
      <c r="H33" s="32" t="s">
        <v>15</v>
      </c>
      <c r="I33" s="32">
        <v>257</v>
      </c>
      <c r="J33" s="32">
        <v>38</v>
      </c>
      <c r="K33" s="32">
        <f t="shared" si="2"/>
        <v>4.6031128404669257</v>
      </c>
      <c r="L33" s="32">
        <f t="shared" si="3"/>
        <v>0.14785992217898833</v>
      </c>
      <c r="M33" s="3" t="s">
        <v>555</v>
      </c>
      <c r="N33" s="18">
        <v>1183</v>
      </c>
    </row>
    <row r="34" spans="1:14" x14ac:dyDescent="0.35">
      <c r="A34" s="38" t="s">
        <v>87</v>
      </c>
      <c r="B34" s="38">
        <v>128</v>
      </c>
      <c r="C34" s="38">
        <v>16</v>
      </c>
      <c r="D34" s="38">
        <f t="shared" ref="D34:D50" si="4">F34/B34</f>
        <v>4.8125</v>
      </c>
      <c r="E34" s="38">
        <f t="shared" ref="E34:E50" si="5">C34/B34</f>
        <v>0.125</v>
      </c>
      <c r="F34" s="18">
        <v>616</v>
      </c>
      <c r="H34" s="32" t="s">
        <v>1</v>
      </c>
      <c r="I34" s="32">
        <v>113</v>
      </c>
      <c r="J34" s="32">
        <v>6</v>
      </c>
      <c r="K34" s="32">
        <f t="shared" ref="K34:K58" si="6">N34/I34</f>
        <v>4.610619469026549</v>
      </c>
      <c r="L34" s="32">
        <f t="shared" ref="L34:L58" si="7">J34/I34</f>
        <v>5.3097345132743362E-2</v>
      </c>
      <c r="M34" s="3" t="s">
        <v>555</v>
      </c>
      <c r="N34" s="18">
        <v>521</v>
      </c>
    </row>
    <row r="35" spans="1:14" x14ac:dyDescent="0.35">
      <c r="A35" s="38" t="s">
        <v>61</v>
      </c>
      <c r="B35" s="38">
        <v>46</v>
      </c>
      <c r="C35" s="38">
        <v>8</v>
      </c>
      <c r="D35" s="38">
        <f t="shared" si="4"/>
        <v>4.8260869565217392</v>
      </c>
      <c r="E35" s="38">
        <f t="shared" si="5"/>
        <v>0.17391304347826086</v>
      </c>
      <c r="F35" s="18">
        <v>222</v>
      </c>
      <c r="H35" s="32" t="s">
        <v>79</v>
      </c>
      <c r="I35" s="32">
        <v>54</v>
      </c>
      <c r="J35" s="32">
        <v>6</v>
      </c>
      <c r="K35" s="32">
        <f t="shared" si="6"/>
        <v>4.6296296296296298</v>
      </c>
      <c r="L35" s="32">
        <f t="shared" si="7"/>
        <v>0.1111111111111111</v>
      </c>
      <c r="M35" s="3" t="s">
        <v>555</v>
      </c>
      <c r="N35" s="18">
        <v>250</v>
      </c>
    </row>
    <row r="36" spans="1:14" x14ac:dyDescent="0.35">
      <c r="A36" s="38" t="s">
        <v>51</v>
      </c>
      <c r="B36" s="38">
        <v>42</v>
      </c>
      <c r="C36" s="38">
        <v>3</v>
      </c>
      <c r="D36" s="38">
        <f t="shared" si="4"/>
        <v>4.833333333333333</v>
      </c>
      <c r="E36" s="38">
        <f t="shared" si="5"/>
        <v>7.1428571428571425E-2</v>
      </c>
      <c r="F36" s="18">
        <v>203</v>
      </c>
      <c r="H36" s="32" t="s">
        <v>414</v>
      </c>
      <c r="I36" s="32">
        <v>30</v>
      </c>
      <c r="J36" s="32">
        <v>4</v>
      </c>
      <c r="K36" s="32">
        <f t="shared" si="6"/>
        <v>4.6333333333333337</v>
      </c>
      <c r="L36" s="32">
        <f t="shared" si="7"/>
        <v>0.13333333333333333</v>
      </c>
      <c r="M36" s="75" t="s">
        <v>595</v>
      </c>
      <c r="N36" s="18">
        <v>139</v>
      </c>
    </row>
    <row r="37" spans="1:14" x14ac:dyDescent="0.35">
      <c r="A37" s="38" t="s">
        <v>25</v>
      </c>
      <c r="B37" s="38">
        <v>172</v>
      </c>
      <c r="C37" s="38">
        <v>17</v>
      </c>
      <c r="D37" s="38">
        <f t="shared" si="4"/>
        <v>5.0348837209302326</v>
      </c>
      <c r="E37" s="38">
        <f t="shared" si="5"/>
        <v>9.8837209302325577E-2</v>
      </c>
      <c r="F37" s="18">
        <v>866</v>
      </c>
      <c r="H37" s="32" t="s">
        <v>61</v>
      </c>
      <c r="I37" s="32">
        <v>53</v>
      </c>
      <c r="J37" s="32">
        <v>9</v>
      </c>
      <c r="K37" s="32">
        <f t="shared" si="6"/>
        <v>4.6792452830188678</v>
      </c>
      <c r="L37" s="32">
        <f t="shared" si="7"/>
        <v>0.16981132075471697</v>
      </c>
      <c r="M37" s="3" t="s">
        <v>45</v>
      </c>
      <c r="N37" s="18">
        <v>248</v>
      </c>
    </row>
    <row r="38" spans="1:14" x14ac:dyDescent="0.35">
      <c r="A38" s="38" t="s">
        <v>30</v>
      </c>
      <c r="B38" s="38">
        <v>55</v>
      </c>
      <c r="C38" s="38">
        <v>4</v>
      </c>
      <c r="D38" s="38">
        <f t="shared" si="4"/>
        <v>5.0363636363636362</v>
      </c>
      <c r="E38" s="38">
        <f t="shared" si="5"/>
        <v>7.2727272727272724E-2</v>
      </c>
      <c r="F38" s="18">
        <v>277</v>
      </c>
      <c r="H38" s="38" t="s">
        <v>14</v>
      </c>
      <c r="I38" s="38">
        <v>45</v>
      </c>
      <c r="J38" s="38">
        <v>3</v>
      </c>
      <c r="K38" s="38">
        <f t="shared" si="6"/>
        <v>4.7111111111111112</v>
      </c>
      <c r="L38" s="38">
        <f t="shared" si="7"/>
        <v>6.6666666666666666E-2</v>
      </c>
      <c r="M38" s="3" t="s">
        <v>282</v>
      </c>
      <c r="N38">
        <v>212</v>
      </c>
    </row>
    <row r="39" spans="1:14" x14ac:dyDescent="0.35">
      <c r="A39" s="38" t="s">
        <v>49</v>
      </c>
      <c r="B39" s="38">
        <v>122</v>
      </c>
      <c r="C39" s="38">
        <v>7</v>
      </c>
      <c r="D39" s="38">
        <f t="shared" si="4"/>
        <v>5.1475409836065573</v>
      </c>
      <c r="E39" s="38">
        <f t="shared" si="5"/>
        <v>5.737704918032787E-2</v>
      </c>
      <c r="F39" s="18">
        <v>628</v>
      </c>
      <c r="H39" s="38" t="s">
        <v>13</v>
      </c>
      <c r="I39" s="38">
        <v>36</v>
      </c>
      <c r="J39" s="38">
        <v>2</v>
      </c>
      <c r="K39" s="38">
        <f t="shared" si="6"/>
        <v>4.7222222222222223</v>
      </c>
      <c r="L39" s="38">
        <f t="shared" si="7"/>
        <v>5.5555555555555552E-2</v>
      </c>
      <c r="M39" s="3" t="s">
        <v>282</v>
      </c>
      <c r="N39" s="18">
        <v>170</v>
      </c>
    </row>
    <row r="40" spans="1:14" x14ac:dyDescent="0.35">
      <c r="A40" s="38" t="s">
        <v>19</v>
      </c>
      <c r="B40" s="38">
        <v>30</v>
      </c>
      <c r="C40" s="38">
        <v>3</v>
      </c>
      <c r="D40" s="38">
        <f t="shared" si="4"/>
        <v>5.166666666666667</v>
      </c>
      <c r="E40" s="38">
        <f t="shared" si="5"/>
        <v>0.1</v>
      </c>
      <c r="F40" s="18">
        <v>155</v>
      </c>
      <c r="H40" s="38" t="s">
        <v>105</v>
      </c>
      <c r="I40" s="38">
        <v>32</v>
      </c>
      <c r="J40" s="38">
        <v>4</v>
      </c>
      <c r="K40" s="38">
        <f t="shared" si="6"/>
        <v>4.78125</v>
      </c>
      <c r="L40" s="38">
        <f t="shared" si="7"/>
        <v>0.125</v>
      </c>
      <c r="M40" s="3" t="s">
        <v>597</v>
      </c>
      <c r="N40" s="18">
        <v>153</v>
      </c>
    </row>
    <row r="41" spans="1:14" x14ac:dyDescent="0.35">
      <c r="A41" s="38" t="s">
        <v>81</v>
      </c>
      <c r="B41" s="38">
        <v>74</v>
      </c>
      <c r="C41" s="38">
        <v>5</v>
      </c>
      <c r="D41" s="38">
        <f t="shared" si="4"/>
        <v>5.1891891891891895</v>
      </c>
      <c r="E41" s="38">
        <f t="shared" si="5"/>
        <v>6.7567567567567571E-2</v>
      </c>
      <c r="F41" s="18">
        <v>384</v>
      </c>
      <c r="H41" s="38" t="s">
        <v>4</v>
      </c>
      <c r="I41" s="38">
        <v>30</v>
      </c>
      <c r="J41" s="38">
        <v>4</v>
      </c>
      <c r="K41" s="38">
        <f t="shared" si="6"/>
        <v>4.8</v>
      </c>
      <c r="L41" s="38">
        <f t="shared" si="7"/>
        <v>0.13333333333333333</v>
      </c>
      <c r="M41" s="3" t="s">
        <v>296</v>
      </c>
      <c r="N41" s="18">
        <v>144</v>
      </c>
    </row>
    <row r="42" spans="1:14" x14ac:dyDescent="0.35">
      <c r="A42" s="67" t="s">
        <v>26</v>
      </c>
      <c r="B42" s="67">
        <v>78</v>
      </c>
      <c r="C42" s="67">
        <v>5</v>
      </c>
      <c r="D42" s="67">
        <f t="shared" si="4"/>
        <v>5.2307692307692308</v>
      </c>
      <c r="E42" s="67">
        <f t="shared" si="5"/>
        <v>6.4102564102564097E-2</v>
      </c>
      <c r="F42" s="18">
        <v>408</v>
      </c>
      <c r="H42" s="38" t="s">
        <v>124</v>
      </c>
      <c r="I42" s="38">
        <v>31</v>
      </c>
      <c r="J42" s="38">
        <v>1</v>
      </c>
      <c r="K42" s="38">
        <f t="shared" si="6"/>
        <v>4.935483870967742</v>
      </c>
      <c r="L42" s="38">
        <f t="shared" si="7"/>
        <v>3.2258064516129031E-2</v>
      </c>
      <c r="M42" s="57" t="s">
        <v>599</v>
      </c>
      <c r="N42" s="18">
        <v>153</v>
      </c>
    </row>
    <row r="43" spans="1:14" x14ac:dyDescent="0.35">
      <c r="A43" s="67" t="s">
        <v>31</v>
      </c>
      <c r="B43" s="67">
        <v>205</v>
      </c>
      <c r="C43" s="67">
        <v>13</v>
      </c>
      <c r="D43" s="67">
        <f t="shared" si="4"/>
        <v>5.2780487804878051</v>
      </c>
      <c r="E43" s="67">
        <f t="shared" si="5"/>
        <v>6.3414634146341464E-2</v>
      </c>
      <c r="F43" s="18">
        <v>1082</v>
      </c>
      <c r="H43" s="38" t="s">
        <v>51</v>
      </c>
      <c r="I43" s="38">
        <v>44</v>
      </c>
      <c r="J43" s="38">
        <v>3</v>
      </c>
      <c r="K43" s="38">
        <f t="shared" si="6"/>
        <v>4.9772727272727275</v>
      </c>
      <c r="L43" s="38">
        <f t="shared" si="7"/>
        <v>6.8181818181818177E-2</v>
      </c>
      <c r="M43" s="3" t="s">
        <v>282</v>
      </c>
      <c r="N43" s="18">
        <v>219</v>
      </c>
    </row>
    <row r="44" spans="1:14" x14ac:dyDescent="0.35">
      <c r="A44" s="67" t="s">
        <v>6</v>
      </c>
      <c r="B44" s="67">
        <v>45</v>
      </c>
      <c r="C44" s="67">
        <v>3</v>
      </c>
      <c r="D44" s="67">
        <f t="shared" si="4"/>
        <v>5.3555555555555552</v>
      </c>
      <c r="E44" s="67">
        <f t="shared" si="5"/>
        <v>6.6666666666666666E-2</v>
      </c>
      <c r="F44" s="18">
        <v>241</v>
      </c>
      <c r="H44" s="38" t="s">
        <v>87</v>
      </c>
      <c r="I44" s="38">
        <v>155</v>
      </c>
      <c r="J44" s="38">
        <v>17</v>
      </c>
      <c r="K44" s="38">
        <f t="shared" si="6"/>
        <v>5</v>
      </c>
      <c r="L44" s="38">
        <f t="shared" si="7"/>
        <v>0.10967741935483871</v>
      </c>
      <c r="M44" s="3" t="s">
        <v>597</v>
      </c>
      <c r="N44" s="18">
        <v>775</v>
      </c>
    </row>
    <row r="45" spans="1:14" x14ac:dyDescent="0.35">
      <c r="A45" s="67" t="s">
        <v>253</v>
      </c>
      <c r="B45" s="67">
        <v>36</v>
      </c>
      <c r="C45" s="67">
        <v>1</v>
      </c>
      <c r="D45" s="67">
        <f t="shared" si="4"/>
        <v>5.3611111111111107</v>
      </c>
      <c r="E45" s="67">
        <f t="shared" si="5"/>
        <v>2.7777777777777776E-2</v>
      </c>
      <c r="F45" s="18">
        <v>193</v>
      </c>
      <c r="H45" s="38" t="s">
        <v>25</v>
      </c>
      <c r="I45" s="38">
        <v>199</v>
      </c>
      <c r="J45" s="38">
        <v>19</v>
      </c>
      <c r="K45" s="38">
        <f t="shared" si="6"/>
        <v>5.075376884422111</v>
      </c>
      <c r="L45" s="38">
        <f t="shared" si="7"/>
        <v>9.5477386934673364E-2</v>
      </c>
      <c r="M45" s="3" t="s">
        <v>296</v>
      </c>
      <c r="N45" s="18">
        <v>1010</v>
      </c>
    </row>
    <row r="46" spans="1:14" x14ac:dyDescent="0.35">
      <c r="A46" s="67" t="s">
        <v>401</v>
      </c>
      <c r="B46" s="67">
        <v>63</v>
      </c>
      <c r="C46" s="67">
        <v>3</v>
      </c>
      <c r="D46" s="67">
        <f t="shared" si="4"/>
        <v>5.4761904761904763</v>
      </c>
      <c r="E46" s="67">
        <f t="shared" si="5"/>
        <v>4.7619047619047616E-2</v>
      </c>
      <c r="F46" s="18">
        <v>345</v>
      </c>
      <c r="H46" s="38" t="s">
        <v>81</v>
      </c>
      <c r="I46" s="38">
        <v>81</v>
      </c>
      <c r="J46" s="38">
        <v>6</v>
      </c>
      <c r="K46" s="38">
        <f t="shared" si="6"/>
        <v>5.0864197530864201</v>
      </c>
      <c r="L46" s="38">
        <f t="shared" si="7"/>
        <v>7.407407407407407E-2</v>
      </c>
      <c r="M46" s="3" t="s">
        <v>494</v>
      </c>
      <c r="N46" s="18">
        <v>412</v>
      </c>
    </row>
    <row r="47" spans="1:14" x14ac:dyDescent="0.35">
      <c r="A47" s="67" t="s">
        <v>33</v>
      </c>
      <c r="B47" s="67">
        <v>64</v>
      </c>
      <c r="C47" s="67">
        <v>4</v>
      </c>
      <c r="D47" s="67">
        <f t="shared" si="4"/>
        <v>5.515625</v>
      </c>
      <c r="E47" s="67">
        <f t="shared" si="5"/>
        <v>6.25E-2</v>
      </c>
      <c r="F47" s="18">
        <v>353</v>
      </c>
      <c r="H47" s="38" t="s">
        <v>49</v>
      </c>
      <c r="I47" s="38">
        <v>131</v>
      </c>
      <c r="J47" s="38">
        <v>7</v>
      </c>
      <c r="K47" s="38">
        <f t="shared" si="6"/>
        <v>5.1297709923664119</v>
      </c>
      <c r="L47" s="38">
        <f t="shared" si="7"/>
        <v>5.3435114503816793E-2</v>
      </c>
      <c r="M47" s="3" t="s">
        <v>296</v>
      </c>
      <c r="N47" s="18">
        <v>672</v>
      </c>
    </row>
    <row r="48" spans="1:14" x14ac:dyDescent="0.35">
      <c r="A48" s="67" t="s">
        <v>34</v>
      </c>
      <c r="B48" s="67">
        <v>30</v>
      </c>
      <c r="C48" s="67">
        <v>2</v>
      </c>
      <c r="D48" s="67">
        <f t="shared" si="4"/>
        <v>5.5333333333333332</v>
      </c>
      <c r="E48" s="67">
        <f t="shared" si="5"/>
        <v>6.6666666666666666E-2</v>
      </c>
      <c r="F48" s="18">
        <v>166</v>
      </c>
      <c r="H48" s="38" t="s">
        <v>19</v>
      </c>
      <c r="I48" s="38">
        <v>32</v>
      </c>
      <c r="J48" s="38">
        <v>3</v>
      </c>
      <c r="K48" s="38">
        <f t="shared" si="6"/>
        <v>5.15625</v>
      </c>
      <c r="L48" s="38">
        <f t="shared" si="7"/>
        <v>9.375E-2</v>
      </c>
      <c r="M48" s="3" t="s">
        <v>296</v>
      </c>
      <c r="N48" s="18">
        <v>165</v>
      </c>
    </row>
    <row r="49" spans="1:14" x14ac:dyDescent="0.35">
      <c r="A49" s="67" t="s">
        <v>90</v>
      </c>
      <c r="B49" s="67">
        <v>30</v>
      </c>
      <c r="C49" s="67">
        <v>3</v>
      </c>
      <c r="D49" s="67">
        <f t="shared" si="4"/>
        <v>5.6</v>
      </c>
      <c r="E49" s="67">
        <f t="shared" si="5"/>
        <v>0.1</v>
      </c>
      <c r="F49" s="73">
        <v>168</v>
      </c>
      <c r="H49" s="38" t="s">
        <v>31</v>
      </c>
      <c r="I49" s="38">
        <v>235</v>
      </c>
      <c r="J49" s="38">
        <v>18</v>
      </c>
      <c r="K49" s="38">
        <f t="shared" si="6"/>
        <v>5.1617021276595745</v>
      </c>
      <c r="L49" s="38">
        <f t="shared" si="7"/>
        <v>7.6595744680851063E-2</v>
      </c>
      <c r="M49" s="3" t="s">
        <v>555</v>
      </c>
      <c r="N49" s="18">
        <v>1213</v>
      </c>
    </row>
    <row r="50" spans="1:14" x14ac:dyDescent="0.35">
      <c r="A50" s="67" t="s">
        <v>28</v>
      </c>
      <c r="B50" s="67">
        <v>30</v>
      </c>
      <c r="C50" s="67">
        <v>0</v>
      </c>
      <c r="D50" s="67">
        <f t="shared" si="4"/>
        <v>5.833333333333333</v>
      </c>
      <c r="E50" s="67">
        <f t="shared" si="5"/>
        <v>0</v>
      </c>
      <c r="F50" s="18">
        <v>175</v>
      </c>
      <c r="H50" s="38" t="s">
        <v>253</v>
      </c>
      <c r="I50" s="38">
        <v>41</v>
      </c>
      <c r="J50" s="38">
        <v>3</v>
      </c>
      <c r="K50" s="38">
        <f t="shared" si="6"/>
        <v>5.1951219512195124</v>
      </c>
      <c r="L50" s="38">
        <f t="shared" si="7"/>
        <v>7.3170731707317069E-2</v>
      </c>
      <c r="M50" s="3" t="s">
        <v>494</v>
      </c>
      <c r="N50" s="18">
        <v>213</v>
      </c>
    </row>
    <row r="51" spans="1:14" x14ac:dyDescent="0.35">
      <c r="H51" s="67" t="s">
        <v>30</v>
      </c>
      <c r="I51" s="67">
        <v>60</v>
      </c>
      <c r="J51" s="67">
        <v>4</v>
      </c>
      <c r="K51" s="67">
        <f t="shared" si="6"/>
        <v>5.2</v>
      </c>
      <c r="L51" s="67">
        <f t="shared" si="7"/>
        <v>6.6666666666666666E-2</v>
      </c>
      <c r="M51" s="3" t="s">
        <v>567</v>
      </c>
      <c r="N51" s="18">
        <v>312</v>
      </c>
    </row>
    <row r="52" spans="1:14" x14ac:dyDescent="0.35">
      <c r="H52" s="67" t="s">
        <v>26</v>
      </c>
      <c r="I52" s="67">
        <v>95</v>
      </c>
      <c r="J52" s="67">
        <v>6</v>
      </c>
      <c r="K52" s="67">
        <f t="shared" si="6"/>
        <v>5.2210526315789476</v>
      </c>
      <c r="L52" s="67">
        <f t="shared" si="7"/>
        <v>6.3157894736842107E-2</v>
      </c>
      <c r="M52" s="3" t="s">
        <v>597</v>
      </c>
      <c r="N52" s="18">
        <v>496</v>
      </c>
    </row>
    <row r="53" spans="1:14" x14ac:dyDescent="0.35">
      <c r="H53" s="67" t="s">
        <v>6</v>
      </c>
      <c r="I53" s="67">
        <v>45</v>
      </c>
      <c r="J53" s="67">
        <v>3</v>
      </c>
      <c r="K53" s="67">
        <f t="shared" si="6"/>
        <v>5.3555555555555552</v>
      </c>
      <c r="L53" s="67">
        <f t="shared" si="7"/>
        <v>6.6666666666666666E-2</v>
      </c>
      <c r="M53" s="3" t="s">
        <v>495</v>
      </c>
      <c r="N53" s="18">
        <v>241</v>
      </c>
    </row>
    <row r="54" spans="1:14" x14ac:dyDescent="0.35">
      <c r="H54" s="67" t="s">
        <v>401</v>
      </c>
      <c r="I54" s="67">
        <v>67</v>
      </c>
      <c r="J54" s="67">
        <v>3</v>
      </c>
      <c r="K54" s="67">
        <f t="shared" si="6"/>
        <v>5.4776119402985071</v>
      </c>
      <c r="L54" s="67">
        <f t="shared" si="7"/>
        <v>4.4776119402985072E-2</v>
      </c>
      <c r="M54" s="3" t="s">
        <v>296</v>
      </c>
      <c r="N54" s="18">
        <v>367</v>
      </c>
    </row>
    <row r="55" spans="1:14" x14ac:dyDescent="0.35">
      <c r="H55" s="67" t="s">
        <v>28</v>
      </c>
      <c r="I55" s="67">
        <v>59</v>
      </c>
      <c r="J55" s="67">
        <v>1</v>
      </c>
      <c r="K55" s="67">
        <f t="shared" si="6"/>
        <v>5.4915254237288131</v>
      </c>
      <c r="L55" s="67">
        <f t="shared" si="7"/>
        <v>1.6949152542372881E-2</v>
      </c>
      <c r="M55" s="3" t="s">
        <v>494</v>
      </c>
      <c r="N55" s="18">
        <v>324</v>
      </c>
    </row>
    <row r="56" spans="1:14" x14ac:dyDescent="0.35">
      <c r="H56" s="67" t="s">
        <v>33</v>
      </c>
      <c r="I56" s="67">
        <v>66</v>
      </c>
      <c r="J56" s="67">
        <v>4</v>
      </c>
      <c r="K56" s="67">
        <f t="shared" si="6"/>
        <v>5.5303030303030303</v>
      </c>
      <c r="L56" s="67">
        <f t="shared" si="7"/>
        <v>6.0606060606060608E-2</v>
      </c>
      <c r="M56" s="3" t="s">
        <v>495</v>
      </c>
      <c r="N56" s="18">
        <v>365</v>
      </c>
    </row>
    <row r="57" spans="1:14" x14ac:dyDescent="0.35">
      <c r="H57" s="67" t="s">
        <v>34</v>
      </c>
      <c r="I57" s="67">
        <v>30</v>
      </c>
      <c r="J57" s="67">
        <v>2</v>
      </c>
      <c r="K57" s="67">
        <f t="shared" si="6"/>
        <v>5.5333333333333332</v>
      </c>
      <c r="L57" s="67">
        <f t="shared" si="7"/>
        <v>6.6666666666666666E-2</v>
      </c>
      <c r="M57" s="3" t="s">
        <v>495</v>
      </c>
      <c r="N57" s="18">
        <v>166</v>
      </c>
    </row>
    <row r="58" spans="1:14" x14ac:dyDescent="0.35">
      <c r="H58" s="67" t="s">
        <v>90</v>
      </c>
      <c r="I58" s="67">
        <v>30</v>
      </c>
      <c r="J58" s="67">
        <v>3</v>
      </c>
      <c r="K58" s="67">
        <f t="shared" si="6"/>
        <v>5.6</v>
      </c>
      <c r="L58" s="67">
        <f t="shared" si="7"/>
        <v>0.1</v>
      </c>
      <c r="M58" s="3" t="s">
        <v>495</v>
      </c>
      <c r="N58" s="73">
        <v>168</v>
      </c>
    </row>
  </sheetData>
  <sortState ref="H2:N58">
    <sortCondition ref="K2:K5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1"/>
  <sheetViews>
    <sheetView workbookViewId="0">
      <selection activeCell="AB26" sqref="AB26"/>
    </sheetView>
  </sheetViews>
  <sheetFormatPr defaultRowHeight="14.5" x14ac:dyDescent="0.35"/>
  <cols>
    <col min="6" max="6" width="15.1796875" bestFit="1" customWidth="1"/>
  </cols>
  <sheetData>
    <row r="2" spans="1:26" x14ac:dyDescent="0.35">
      <c r="A2">
        <f>ROW(A2)-1</f>
        <v>1</v>
      </c>
      <c r="B2" t="s">
        <v>128</v>
      </c>
      <c r="C2" t="s">
        <v>496</v>
      </c>
      <c r="E2" s="36">
        <f t="shared" ref="E2:E17" si="0">ROW(E2)-1</f>
        <v>1</v>
      </c>
      <c r="F2" s="36" t="s">
        <v>128</v>
      </c>
      <c r="G2" s="36" t="s">
        <v>496</v>
      </c>
      <c r="L2" s="36">
        <v>6</v>
      </c>
      <c r="M2" s="36" t="s">
        <v>125</v>
      </c>
      <c r="N2" s="36" t="s">
        <v>501</v>
      </c>
    </row>
    <row r="3" spans="1:26" x14ac:dyDescent="0.35">
      <c r="A3">
        <f t="shared" ref="A3:A35" si="1">ROW(A3)-1</f>
        <v>2</v>
      </c>
      <c r="B3" t="s">
        <v>175</v>
      </c>
      <c r="E3" s="36">
        <f t="shared" si="0"/>
        <v>2</v>
      </c>
      <c r="F3" s="36" t="s">
        <v>35</v>
      </c>
      <c r="G3" s="36" t="s">
        <v>497</v>
      </c>
      <c r="L3" s="36">
        <v>2</v>
      </c>
      <c r="M3" s="36" t="s">
        <v>35</v>
      </c>
      <c r="N3" s="36" t="s">
        <v>497</v>
      </c>
    </row>
    <row r="4" spans="1:26" x14ac:dyDescent="0.35">
      <c r="A4">
        <f t="shared" si="1"/>
        <v>3</v>
      </c>
      <c r="B4" t="s">
        <v>35</v>
      </c>
      <c r="C4" t="s">
        <v>497</v>
      </c>
      <c r="E4" s="36">
        <f t="shared" si="0"/>
        <v>3</v>
      </c>
      <c r="F4" s="36" t="s">
        <v>147</v>
      </c>
      <c r="G4" s="36" t="s">
        <v>498</v>
      </c>
      <c r="L4" s="36">
        <v>8</v>
      </c>
      <c r="M4" s="36" t="s">
        <v>58</v>
      </c>
      <c r="N4" s="36" t="s">
        <v>503</v>
      </c>
    </row>
    <row r="5" spans="1:26" x14ac:dyDescent="0.35">
      <c r="A5">
        <f t="shared" si="1"/>
        <v>4</v>
      </c>
      <c r="B5" t="s">
        <v>52</v>
      </c>
      <c r="E5" s="36">
        <f t="shared" si="0"/>
        <v>4</v>
      </c>
      <c r="F5" s="36" t="s">
        <v>121</v>
      </c>
      <c r="G5" s="36" t="s">
        <v>499</v>
      </c>
      <c r="L5" s="36">
        <v>7</v>
      </c>
      <c r="M5" s="36" t="s">
        <v>22</v>
      </c>
      <c r="N5" s="36" t="s">
        <v>502</v>
      </c>
    </row>
    <row r="6" spans="1:26" x14ac:dyDescent="0.35">
      <c r="A6">
        <f t="shared" si="1"/>
        <v>5</v>
      </c>
      <c r="B6" t="s">
        <v>147</v>
      </c>
      <c r="C6" t="s">
        <v>498</v>
      </c>
      <c r="E6" s="36">
        <f t="shared" si="0"/>
        <v>5</v>
      </c>
      <c r="F6" s="36" t="s">
        <v>232</v>
      </c>
      <c r="G6" s="36" t="s">
        <v>500</v>
      </c>
      <c r="L6" s="32">
        <v>4</v>
      </c>
      <c r="M6" s="32" t="s">
        <v>121</v>
      </c>
      <c r="N6" s="32" t="s">
        <v>499</v>
      </c>
      <c r="R6" s="36">
        <v>7</v>
      </c>
      <c r="S6" s="36" t="s">
        <v>22</v>
      </c>
      <c r="T6" s="36" t="s">
        <v>502</v>
      </c>
    </row>
    <row r="7" spans="1:26" x14ac:dyDescent="0.35">
      <c r="A7">
        <f t="shared" si="1"/>
        <v>6</v>
      </c>
      <c r="B7" t="s">
        <v>148</v>
      </c>
      <c r="E7" s="36">
        <f t="shared" si="0"/>
        <v>6</v>
      </c>
      <c r="F7" s="36" t="s">
        <v>125</v>
      </c>
      <c r="G7" s="36" t="s">
        <v>501</v>
      </c>
      <c r="L7" s="32">
        <v>1</v>
      </c>
      <c r="M7" s="32" t="s">
        <v>128</v>
      </c>
      <c r="N7" s="32" t="s">
        <v>496</v>
      </c>
      <c r="R7" s="36">
        <v>8</v>
      </c>
      <c r="S7" s="36" t="s">
        <v>58</v>
      </c>
      <c r="T7" s="36" t="s">
        <v>503</v>
      </c>
    </row>
    <row r="8" spans="1:26" x14ac:dyDescent="0.35">
      <c r="A8">
        <f t="shared" si="1"/>
        <v>7</v>
      </c>
      <c r="B8" t="s">
        <v>10</v>
      </c>
      <c r="E8" s="36">
        <f t="shared" si="0"/>
        <v>7</v>
      </c>
      <c r="F8" s="36" t="s">
        <v>22</v>
      </c>
      <c r="G8" s="36" t="s">
        <v>502</v>
      </c>
      <c r="L8" s="32">
        <v>5</v>
      </c>
      <c r="M8" s="32" t="s">
        <v>232</v>
      </c>
      <c r="N8" s="32" t="s">
        <v>500</v>
      </c>
      <c r="R8" s="36">
        <v>2</v>
      </c>
      <c r="S8" s="36" t="s">
        <v>35</v>
      </c>
      <c r="T8" s="36" t="s">
        <v>497</v>
      </c>
    </row>
    <row r="9" spans="1:26" x14ac:dyDescent="0.35">
      <c r="A9">
        <f t="shared" si="1"/>
        <v>8</v>
      </c>
      <c r="B9" t="s">
        <v>29</v>
      </c>
      <c r="E9" s="36">
        <f t="shared" si="0"/>
        <v>8</v>
      </c>
      <c r="F9" s="36" t="s">
        <v>58</v>
      </c>
      <c r="G9" s="36" t="s">
        <v>503</v>
      </c>
      <c r="L9" s="32">
        <v>3</v>
      </c>
      <c r="M9" s="32" t="s">
        <v>147</v>
      </c>
      <c r="N9" s="32" t="s">
        <v>498</v>
      </c>
      <c r="R9" s="36">
        <v>12</v>
      </c>
      <c r="S9" s="36" t="s">
        <v>15</v>
      </c>
      <c r="T9" s="36" t="s">
        <v>507</v>
      </c>
    </row>
    <row r="10" spans="1:26" x14ac:dyDescent="0.35">
      <c r="A10">
        <f t="shared" si="1"/>
        <v>9</v>
      </c>
      <c r="B10" t="s">
        <v>121</v>
      </c>
      <c r="C10" t="s">
        <v>499</v>
      </c>
      <c r="E10" s="36">
        <f t="shared" si="0"/>
        <v>9</v>
      </c>
      <c r="F10" s="36" t="s">
        <v>104</v>
      </c>
      <c r="G10" s="36" t="s">
        <v>504</v>
      </c>
      <c r="L10" s="36">
        <v>13</v>
      </c>
      <c r="M10" s="36" t="s">
        <v>24</v>
      </c>
      <c r="N10" s="36" t="s">
        <v>508</v>
      </c>
      <c r="R10" s="32">
        <v>16</v>
      </c>
      <c r="S10" s="32" t="s">
        <v>25</v>
      </c>
      <c r="T10" s="32" t="s">
        <v>511</v>
      </c>
      <c r="X10" s="36">
        <v>8</v>
      </c>
      <c r="Y10" s="36" t="s">
        <v>58</v>
      </c>
      <c r="Z10" s="36" t="s">
        <v>503</v>
      </c>
    </row>
    <row r="11" spans="1:26" x14ac:dyDescent="0.35">
      <c r="A11">
        <f t="shared" si="1"/>
        <v>10</v>
      </c>
      <c r="B11" t="s">
        <v>232</v>
      </c>
      <c r="C11" t="s">
        <v>500</v>
      </c>
      <c r="E11" s="36">
        <f t="shared" si="0"/>
        <v>10</v>
      </c>
      <c r="F11" s="36" t="s">
        <v>122</v>
      </c>
      <c r="G11" s="36" t="s">
        <v>505</v>
      </c>
      <c r="L11" s="36">
        <v>10</v>
      </c>
      <c r="M11" s="36" t="s">
        <v>122</v>
      </c>
      <c r="N11" s="36" t="s">
        <v>505</v>
      </c>
      <c r="R11" s="32">
        <v>13</v>
      </c>
      <c r="S11" s="32" t="s">
        <v>24</v>
      </c>
      <c r="T11" s="32" t="s">
        <v>508</v>
      </c>
      <c r="X11" s="36">
        <v>2</v>
      </c>
      <c r="Y11" s="36" t="s">
        <v>35</v>
      </c>
      <c r="Z11" s="36" t="s">
        <v>497</v>
      </c>
    </row>
    <row r="12" spans="1:26" x14ac:dyDescent="0.35">
      <c r="A12">
        <f t="shared" si="1"/>
        <v>11</v>
      </c>
      <c r="B12" t="s">
        <v>125</v>
      </c>
      <c r="C12" t="s">
        <v>501</v>
      </c>
      <c r="E12" s="36">
        <f t="shared" si="0"/>
        <v>11</v>
      </c>
      <c r="F12" s="36" t="s">
        <v>21</v>
      </c>
      <c r="G12" s="36" t="s">
        <v>506</v>
      </c>
      <c r="L12" s="36">
        <v>12</v>
      </c>
      <c r="M12" s="36" t="s">
        <v>15</v>
      </c>
      <c r="N12" s="36" t="s">
        <v>507</v>
      </c>
      <c r="R12" s="32">
        <v>6</v>
      </c>
      <c r="S12" s="32" t="s">
        <v>125</v>
      </c>
      <c r="T12" s="32" t="s">
        <v>501</v>
      </c>
      <c r="X12" s="32">
        <v>13</v>
      </c>
      <c r="Y12" s="32" t="s">
        <v>24</v>
      </c>
      <c r="Z12" s="32" t="s">
        <v>508</v>
      </c>
    </row>
    <row r="13" spans="1:26" x14ac:dyDescent="0.35">
      <c r="A13">
        <f t="shared" si="1"/>
        <v>12</v>
      </c>
      <c r="B13" t="s">
        <v>3</v>
      </c>
      <c r="E13" s="36">
        <f t="shared" si="0"/>
        <v>12</v>
      </c>
      <c r="F13" s="36" t="s">
        <v>15</v>
      </c>
      <c r="G13" s="36" t="s">
        <v>507</v>
      </c>
      <c r="L13" s="36">
        <v>16</v>
      </c>
      <c r="M13" s="36" t="s">
        <v>25</v>
      </c>
      <c r="N13" s="36" t="s">
        <v>511</v>
      </c>
      <c r="R13" s="32">
        <v>10</v>
      </c>
      <c r="S13" s="32" t="s">
        <v>122</v>
      </c>
      <c r="T13" s="32" t="s">
        <v>505</v>
      </c>
      <c r="X13" s="36">
        <v>7</v>
      </c>
      <c r="Y13" s="36" t="s">
        <v>22</v>
      </c>
      <c r="Z13" s="36" t="s">
        <v>502</v>
      </c>
    </row>
    <row r="14" spans="1:26" x14ac:dyDescent="0.35">
      <c r="A14">
        <f t="shared" si="1"/>
        <v>13</v>
      </c>
      <c r="B14" t="s">
        <v>116</v>
      </c>
      <c r="E14" s="36">
        <f t="shared" si="0"/>
        <v>13</v>
      </c>
      <c r="F14" s="36" t="s">
        <v>24</v>
      </c>
      <c r="G14" s="36" t="s">
        <v>508</v>
      </c>
      <c r="L14" s="32">
        <v>14</v>
      </c>
      <c r="M14" s="32" t="s">
        <v>78</v>
      </c>
      <c r="N14" s="32" t="s">
        <v>509</v>
      </c>
      <c r="X14" s="32">
        <v>10</v>
      </c>
      <c r="Y14" s="32" t="s">
        <v>122</v>
      </c>
      <c r="Z14" s="32" t="s">
        <v>505</v>
      </c>
    </row>
    <row r="15" spans="1:26" x14ac:dyDescent="0.35">
      <c r="A15">
        <f t="shared" si="1"/>
        <v>14</v>
      </c>
      <c r="B15" t="s">
        <v>7</v>
      </c>
      <c r="E15" s="36">
        <f t="shared" si="0"/>
        <v>14</v>
      </c>
      <c r="F15" s="36" t="s">
        <v>78</v>
      </c>
      <c r="G15" s="36" t="s">
        <v>509</v>
      </c>
      <c r="L15" s="32">
        <v>11</v>
      </c>
      <c r="M15" s="32" t="s">
        <v>21</v>
      </c>
      <c r="N15" s="32" t="s">
        <v>506</v>
      </c>
      <c r="X15" s="32">
        <v>15</v>
      </c>
      <c r="Y15" s="32" t="s">
        <v>87</v>
      </c>
      <c r="Z15" s="32" t="s">
        <v>510</v>
      </c>
    </row>
    <row r="16" spans="1:26" x14ac:dyDescent="0.35">
      <c r="A16">
        <f t="shared" si="1"/>
        <v>15</v>
      </c>
      <c r="B16" t="s">
        <v>22</v>
      </c>
      <c r="C16" t="s">
        <v>502</v>
      </c>
      <c r="E16" s="36">
        <f t="shared" si="0"/>
        <v>15</v>
      </c>
      <c r="F16" s="36" t="s">
        <v>87</v>
      </c>
      <c r="G16" s="36" t="s">
        <v>510</v>
      </c>
      <c r="L16" s="32">
        <v>9</v>
      </c>
      <c r="M16" s="32" t="s">
        <v>104</v>
      </c>
      <c r="N16" s="32" t="s">
        <v>504</v>
      </c>
      <c r="X16" s="36">
        <v>12</v>
      </c>
      <c r="Y16" s="36" t="s">
        <v>15</v>
      </c>
      <c r="Z16" s="36" t="s">
        <v>507</v>
      </c>
    </row>
    <row r="17" spans="1:26" x14ac:dyDescent="0.35">
      <c r="A17">
        <f t="shared" si="1"/>
        <v>16</v>
      </c>
      <c r="B17" t="s">
        <v>2</v>
      </c>
      <c r="E17" s="36">
        <f t="shared" si="0"/>
        <v>16</v>
      </c>
      <c r="F17" s="36" t="s">
        <v>25</v>
      </c>
      <c r="G17" s="36" t="s">
        <v>511</v>
      </c>
      <c r="L17" s="32">
        <v>15</v>
      </c>
      <c r="M17" s="32" t="s">
        <v>87</v>
      </c>
      <c r="N17" s="32" t="s">
        <v>510</v>
      </c>
      <c r="X17" s="32">
        <v>1</v>
      </c>
      <c r="Y17" s="32" t="s">
        <v>128</v>
      </c>
      <c r="Z17" s="32" t="s">
        <v>496</v>
      </c>
    </row>
    <row r="18" spans="1:26" x14ac:dyDescent="0.35">
      <c r="A18">
        <f t="shared" si="1"/>
        <v>17</v>
      </c>
      <c r="B18" t="s">
        <v>58</v>
      </c>
      <c r="C18" t="s">
        <v>503</v>
      </c>
      <c r="U18" s="32">
        <v>1</v>
      </c>
      <c r="V18" s="32" t="s">
        <v>128</v>
      </c>
      <c r="W18" s="32" t="s">
        <v>496</v>
      </c>
    </row>
    <row r="19" spans="1:26" x14ac:dyDescent="0.35">
      <c r="A19">
        <f t="shared" si="1"/>
        <v>18</v>
      </c>
      <c r="B19" t="s">
        <v>9</v>
      </c>
      <c r="U19" s="32">
        <v>10</v>
      </c>
      <c r="V19" s="32" t="s">
        <v>122</v>
      </c>
      <c r="W19" s="32" t="s">
        <v>505</v>
      </c>
    </row>
    <row r="20" spans="1:26" x14ac:dyDescent="0.35">
      <c r="A20">
        <f t="shared" si="1"/>
        <v>19</v>
      </c>
      <c r="B20" t="s">
        <v>0</v>
      </c>
      <c r="U20" s="32">
        <v>15</v>
      </c>
      <c r="V20" s="32" t="s">
        <v>87</v>
      </c>
      <c r="W20" s="32" t="s">
        <v>510</v>
      </c>
    </row>
    <row r="21" spans="1:26" x14ac:dyDescent="0.35">
      <c r="A21">
        <f t="shared" si="1"/>
        <v>20</v>
      </c>
      <c r="B21" t="s">
        <v>112</v>
      </c>
      <c r="U21" s="32">
        <v>13</v>
      </c>
      <c r="V21" s="32" t="s">
        <v>24</v>
      </c>
      <c r="W21" s="32" t="s">
        <v>508</v>
      </c>
    </row>
    <row r="22" spans="1:26" x14ac:dyDescent="0.35">
      <c r="A22">
        <f t="shared" si="1"/>
        <v>21</v>
      </c>
      <c r="B22" t="s">
        <v>63</v>
      </c>
      <c r="R22" s="32">
        <v>1</v>
      </c>
      <c r="S22" s="32" t="s">
        <v>128</v>
      </c>
      <c r="T22" s="32" t="s">
        <v>496</v>
      </c>
      <c r="U22" s="70">
        <v>3</v>
      </c>
      <c r="V22" s="70" t="s">
        <v>147</v>
      </c>
      <c r="W22" s="70" t="s">
        <v>498</v>
      </c>
    </row>
    <row r="23" spans="1:26" x14ac:dyDescent="0.35">
      <c r="A23">
        <f t="shared" si="1"/>
        <v>22</v>
      </c>
      <c r="B23" t="s">
        <v>104</v>
      </c>
      <c r="C23" t="s">
        <v>504</v>
      </c>
      <c r="R23" s="32">
        <v>3</v>
      </c>
      <c r="S23" s="32" t="s">
        <v>147</v>
      </c>
      <c r="T23" s="32" t="s">
        <v>498</v>
      </c>
      <c r="U23" s="70">
        <v>6</v>
      </c>
      <c r="V23" s="70" t="s">
        <v>125</v>
      </c>
      <c r="W23" s="70" t="s">
        <v>501</v>
      </c>
    </row>
    <row r="24" spans="1:26" x14ac:dyDescent="0.35">
      <c r="A24">
        <f t="shared" si="1"/>
        <v>23</v>
      </c>
      <c r="B24" t="s">
        <v>50</v>
      </c>
      <c r="R24" s="32">
        <v>4</v>
      </c>
      <c r="S24" s="32" t="s">
        <v>121</v>
      </c>
      <c r="T24" s="32" t="s">
        <v>499</v>
      </c>
      <c r="U24" s="70">
        <v>4</v>
      </c>
      <c r="V24" s="70" t="s">
        <v>121</v>
      </c>
      <c r="W24" s="70" t="s">
        <v>499</v>
      </c>
    </row>
    <row r="25" spans="1:26" x14ac:dyDescent="0.35">
      <c r="A25">
        <f t="shared" si="1"/>
        <v>24</v>
      </c>
      <c r="B25" t="s">
        <v>139</v>
      </c>
      <c r="R25" s="32">
        <v>15</v>
      </c>
      <c r="S25" s="32" t="s">
        <v>87</v>
      </c>
      <c r="T25" s="32" t="s">
        <v>510</v>
      </c>
      <c r="U25" s="70">
        <v>16</v>
      </c>
      <c r="V25" s="70" t="s">
        <v>25</v>
      </c>
      <c r="W25" s="70" t="s">
        <v>511</v>
      </c>
    </row>
    <row r="26" spans="1:26" x14ac:dyDescent="0.35">
      <c r="A26">
        <f t="shared" si="1"/>
        <v>25</v>
      </c>
      <c r="B26" t="s">
        <v>122</v>
      </c>
      <c r="C26" t="s">
        <v>505</v>
      </c>
      <c r="O26" s="32">
        <v>9</v>
      </c>
      <c r="P26" s="32" t="s">
        <v>104</v>
      </c>
      <c r="Q26" s="32" t="s">
        <v>504</v>
      </c>
      <c r="R26" s="70">
        <v>9</v>
      </c>
      <c r="S26" s="70" t="s">
        <v>104</v>
      </c>
      <c r="T26" s="70" t="s">
        <v>504</v>
      </c>
    </row>
    <row r="27" spans="1:26" x14ac:dyDescent="0.35">
      <c r="A27">
        <f t="shared" si="1"/>
        <v>26</v>
      </c>
      <c r="B27" t="s">
        <v>115</v>
      </c>
      <c r="O27" s="68">
        <v>21</v>
      </c>
      <c r="P27" s="68" t="s">
        <v>30</v>
      </c>
      <c r="Q27" s="68" t="s">
        <v>515</v>
      </c>
      <c r="R27" s="70">
        <v>5</v>
      </c>
      <c r="S27" s="70" t="s">
        <v>232</v>
      </c>
      <c r="T27" s="70" t="s">
        <v>500</v>
      </c>
    </row>
    <row r="28" spans="1:26" x14ac:dyDescent="0.35">
      <c r="A28">
        <f t="shared" si="1"/>
        <v>27</v>
      </c>
      <c r="B28" t="s">
        <v>21</v>
      </c>
      <c r="C28" t="s">
        <v>506</v>
      </c>
      <c r="O28" s="32">
        <v>20</v>
      </c>
      <c r="P28" s="32" t="s">
        <v>110</v>
      </c>
      <c r="Q28" s="32" t="s">
        <v>514</v>
      </c>
      <c r="R28" s="70">
        <v>20</v>
      </c>
      <c r="S28" s="70" t="s">
        <v>110</v>
      </c>
      <c r="T28" s="70" t="s">
        <v>514</v>
      </c>
    </row>
    <row r="29" spans="1:26" x14ac:dyDescent="0.35">
      <c r="A29">
        <f t="shared" si="1"/>
        <v>28</v>
      </c>
      <c r="B29" t="s">
        <v>123</v>
      </c>
      <c r="O29" s="32">
        <v>15</v>
      </c>
      <c r="P29" s="32" t="s">
        <v>87</v>
      </c>
      <c r="Q29" s="32" t="s">
        <v>510</v>
      </c>
      <c r="R29" s="69">
        <v>21</v>
      </c>
      <c r="S29" s="69" t="s">
        <v>30</v>
      </c>
      <c r="T29" s="69" t="s">
        <v>515</v>
      </c>
    </row>
    <row r="30" spans="1:26" x14ac:dyDescent="0.35">
      <c r="A30">
        <f t="shared" si="1"/>
        <v>29</v>
      </c>
      <c r="B30" t="s">
        <v>27</v>
      </c>
      <c r="E30" s="32">
        <v>17</v>
      </c>
      <c r="F30" s="32" t="s">
        <v>81</v>
      </c>
      <c r="G30" s="32" t="s">
        <v>512</v>
      </c>
      <c r="L30" s="32">
        <v>18</v>
      </c>
      <c r="M30" s="32" t="s">
        <v>105</v>
      </c>
      <c r="N30" s="32" t="s">
        <v>33</v>
      </c>
      <c r="O30" s="70">
        <v>14</v>
      </c>
      <c r="P30" s="70" t="s">
        <v>78</v>
      </c>
      <c r="Q30" s="70" t="s">
        <v>509</v>
      </c>
    </row>
    <row r="31" spans="1:26" x14ac:dyDescent="0.35">
      <c r="A31">
        <f t="shared" si="1"/>
        <v>30</v>
      </c>
      <c r="B31" t="s">
        <v>129</v>
      </c>
      <c r="E31" s="32">
        <v>18</v>
      </c>
      <c r="F31" s="32" t="s">
        <v>105</v>
      </c>
      <c r="G31" s="32" t="s">
        <v>33</v>
      </c>
      <c r="L31" s="68">
        <v>21</v>
      </c>
      <c r="M31" s="68" t="s">
        <v>30</v>
      </c>
      <c r="N31" s="68" t="s">
        <v>515</v>
      </c>
      <c r="O31" s="70">
        <v>18</v>
      </c>
      <c r="P31" s="70" t="s">
        <v>105</v>
      </c>
      <c r="Q31" s="70" t="s">
        <v>33</v>
      </c>
    </row>
    <row r="32" spans="1:26" x14ac:dyDescent="0.35">
      <c r="A32">
        <f t="shared" si="1"/>
        <v>31</v>
      </c>
      <c r="B32" t="s">
        <v>8</v>
      </c>
      <c r="E32" s="32">
        <v>19</v>
      </c>
      <c r="F32" s="32" t="s">
        <v>26</v>
      </c>
      <c r="G32" s="32" t="s">
        <v>513</v>
      </c>
      <c r="L32" s="68">
        <v>23</v>
      </c>
      <c r="M32" s="68" t="s">
        <v>49</v>
      </c>
      <c r="N32" s="68" t="s">
        <v>517</v>
      </c>
      <c r="O32" s="70">
        <v>11</v>
      </c>
      <c r="P32" s="70" t="s">
        <v>21</v>
      </c>
      <c r="Q32" s="70" t="s">
        <v>506</v>
      </c>
    </row>
    <row r="33" spans="1:17" x14ac:dyDescent="0.35">
      <c r="A33">
        <f t="shared" si="1"/>
        <v>32</v>
      </c>
      <c r="B33" t="s">
        <v>15</v>
      </c>
      <c r="C33" t="s">
        <v>507</v>
      </c>
      <c r="E33" s="32">
        <v>20</v>
      </c>
      <c r="F33" s="32" t="s">
        <v>110</v>
      </c>
      <c r="G33" s="32" t="s">
        <v>514</v>
      </c>
      <c r="L33" s="32">
        <v>20</v>
      </c>
      <c r="M33" s="32" t="s">
        <v>110</v>
      </c>
      <c r="N33" s="32" t="s">
        <v>514</v>
      </c>
      <c r="O33" s="69">
        <v>23</v>
      </c>
      <c r="P33" s="69" t="s">
        <v>49</v>
      </c>
      <c r="Q33" s="69" t="s">
        <v>517</v>
      </c>
    </row>
    <row r="34" spans="1:17" x14ac:dyDescent="0.35">
      <c r="A34">
        <f t="shared" si="1"/>
        <v>33</v>
      </c>
      <c r="B34" t="s">
        <v>24</v>
      </c>
      <c r="C34" t="s">
        <v>508</v>
      </c>
      <c r="E34" s="32">
        <v>21</v>
      </c>
      <c r="F34" s="68" t="s">
        <v>30</v>
      </c>
      <c r="G34" s="68" t="s">
        <v>515</v>
      </c>
      <c r="I34" s="68">
        <v>24</v>
      </c>
      <c r="J34" s="68" t="s">
        <v>230</v>
      </c>
      <c r="K34" s="68" t="s">
        <v>518</v>
      </c>
      <c r="L34" s="70">
        <v>19</v>
      </c>
      <c r="M34" s="70" t="s">
        <v>26</v>
      </c>
      <c r="N34" s="70" t="s">
        <v>513</v>
      </c>
    </row>
    <row r="35" spans="1:17" x14ac:dyDescent="0.35">
      <c r="A35">
        <f t="shared" si="1"/>
        <v>34</v>
      </c>
      <c r="B35" t="s">
        <v>78</v>
      </c>
      <c r="C35" t="s">
        <v>509</v>
      </c>
      <c r="E35" s="32">
        <v>22</v>
      </c>
      <c r="F35" s="68" t="s">
        <v>31</v>
      </c>
      <c r="G35" s="68" t="s">
        <v>516</v>
      </c>
      <c r="I35" s="68">
        <v>25</v>
      </c>
      <c r="J35" s="68" t="s">
        <v>56</v>
      </c>
      <c r="K35" s="68" t="s">
        <v>519</v>
      </c>
      <c r="L35" s="69">
        <v>25</v>
      </c>
      <c r="M35" s="69" t="s">
        <v>56</v>
      </c>
      <c r="N35" s="69" t="s">
        <v>519</v>
      </c>
    </row>
    <row r="36" spans="1:17" x14ac:dyDescent="0.35">
      <c r="A36">
        <f t="shared" ref="A36:A71" si="2">ROW(A36)-1</f>
        <v>35</v>
      </c>
      <c r="B36" t="s">
        <v>5</v>
      </c>
      <c r="E36" s="32">
        <v>23</v>
      </c>
      <c r="F36" s="68" t="s">
        <v>49</v>
      </c>
      <c r="G36" s="68" t="s">
        <v>517</v>
      </c>
      <c r="I36" s="68">
        <v>23</v>
      </c>
      <c r="J36" s="68" t="s">
        <v>49</v>
      </c>
      <c r="K36" s="68" t="s">
        <v>517</v>
      </c>
      <c r="L36" s="70">
        <v>17</v>
      </c>
      <c r="M36" s="70" t="s">
        <v>81</v>
      </c>
      <c r="N36" s="70" t="s">
        <v>512</v>
      </c>
    </row>
    <row r="37" spans="1:17" x14ac:dyDescent="0.35">
      <c r="A37">
        <f t="shared" si="2"/>
        <v>36</v>
      </c>
      <c r="B37" t="s">
        <v>428</v>
      </c>
      <c r="E37" s="32">
        <v>24</v>
      </c>
      <c r="F37" s="68" t="s">
        <v>230</v>
      </c>
      <c r="G37" s="68" t="s">
        <v>518</v>
      </c>
      <c r="I37" s="68">
        <v>21</v>
      </c>
      <c r="J37" s="68" t="s">
        <v>30</v>
      </c>
      <c r="K37" s="68" t="s">
        <v>515</v>
      </c>
      <c r="L37" s="69">
        <v>24</v>
      </c>
      <c r="M37" s="69" t="s">
        <v>230</v>
      </c>
      <c r="N37" s="69" t="s">
        <v>518</v>
      </c>
    </row>
    <row r="38" spans="1:17" x14ac:dyDescent="0.35">
      <c r="A38">
        <f t="shared" si="2"/>
        <v>37</v>
      </c>
      <c r="B38" t="s">
        <v>79</v>
      </c>
      <c r="E38" s="32">
        <v>25</v>
      </c>
      <c r="F38" s="68" t="s">
        <v>56</v>
      </c>
      <c r="G38" s="68" t="s">
        <v>519</v>
      </c>
      <c r="I38" s="69">
        <v>28</v>
      </c>
      <c r="J38" s="69" t="s">
        <v>401</v>
      </c>
      <c r="K38" s="69" t="s">
        <v>522</v>
      </c>
    </row>
    <row r="39" spans="1:17" x14ac:dyDescent="0.35">
      <c r="A39">
        <f t="shared" si="2"/>
        <v>38</v>
      </c>
      <c r="B39" t="s">
        <v>1</v>
      </c>
      <c r="E39" s="32">
        <v>26</v>
      </c>
      <c r="F39" s="68" t="s">
        <v>124</v>
      </c>
      <c r="G39" s="68" t="s">
        <v>520</v>
      </c>
      <c r="I39" s="69">
        <v>27</v>
      </c>
      <c r="J39" s="69" t="s">
        <v>34</v>
      </c>
      <c r="K39" s="69" t="s">
        <v>521</v>
      </c>
    </row>
    <row r="40" spans="1:17" x14ac:dyDescent="0.35">
      <c r="A40">
        <f t="shared" si="2"/>
        <v>39</v>
      </c>
      <c r="B40" t="s">
        <v>14</v>
      </c>
      <c r="E40" s="32">
        <v>27</v>
      </c>
      <c r="F40" s="68" t="s">
        <v>34</v>
      </c>
      <c r="G40" s="68" t="s">
        <v>521</v>
      </c>
      <c r="I40" s="69">
        <v>22</v>
      </c>
      <c r="J40" s="69" t="s">
        <v>31</v>
      </c>
      <c r="K40" s="69" t="s">
        <v>516</v>
      </c>
    </row>
    <row r="41" spans="1:17" x14ac:dyDescent="0.35">
      <c r="A41">
        <f t="shared" si="2"/>
        <v>40</v>
      </c>
      <c r="B41" t="s">
        <v>13</v>
      </c>
      <c r="E41" s="32">
        <v>28</v>
      </c>
      <c r="F41" s="68" t="s">
        <v>401</v>
      </c>
      <c r="G41" s="68" t="s">
        <v>522</v>
      </c>
      <c r="I41" s="69">
        <v>26</v>
      </c>
      <c r="J41" s="69" t="s">
        <v>124</v>
      </c>
      <c r="K41" s="69" t="s">
        <v>520</v>
      </c>
    </row>
    <row r="42" spans="1:17" x14ac:dyDescent="0.35">
      <c r="A42">
        <f t="shared" si="2"/>
        <v>41</v>
      </c>
      <c r="B42" t="s">
        <v>12</v>
      </c>
    </row>
    <row r="43" spans="1:17" x14ac:dyDescent="0.35">
      <c r="A43">
        <f t="shared" si="2"/>
        <v>42</v>
      </c>
      <c r="B43" t="s">
        <v>87</v>
      </c>
      <c r="C43" t="s">
        <v>510</v>
      </c>
    </row>
    <row r="44" spans="1:17" x14ac:dyDescent="0.35">
      <c r="A44">
        <f t="shared" si="2"/>
        <v>43</v>
      </c>
      <c r="B44" t="s">
        <v>61</v>
      </c>
    </row>
    <row r="45" spans="1:17" x14ac:dyDescent="0.35">
      <c r="A45">
        <f t="shared" si="2"/>
        <v>44</v>
      </c>
      <c r="B45" t="s">
        <v>37</v>
      </c>
    </row>
    <row r="46" spans="1:17" x14ac:dyDescent="0.35">
      <c r="A46">
        <f t="shared" si="2"/>
        <v>45</v>
      </c>
      <c r="B46" t="s">
        <v>51</v>
      </c>
    </row>
    <row r="47" spans="1:17" x14ac:dyDescent="0.35">
      <c r="A47">
        <f t="shared" si="2"/>
        <v>46</v>
      </c>
      <c r="B47" t="s">
        <v>4</v>
      </c>
    </row>
    <row r="48" spans="1:17" x14ac:dyDescent="0.35">
      <c r="A48">
        <f t="shared" si="2"/>
        <v>47</v>
      </c>
      <c r="B48" t="s">
        <v>25</v>
      </c>
      <c r="C48" t="s">
        <v>511</v>
      </c>
    </row>
    <row r="49" spans="1:3" x14ac:dyDescent="0.35">
      <c r="A49">
        <f t="shared" si="2"/>
        <v>48</v>
      </c>
      <c r="B49" t="s">
        <v>81</v>
      </c>
      <c r="C49" t="s">
        <v>512</v>
      </c>
    </row>
    <row r="50" spans="1:3" x14ac:dyDescent="0.35">
      <c r="A50">
        <f t="shared" si="2"/>
        <v>49</v>
      </c>
      <c r="B50" t="s">
        <v>105</v>
      </c>
      <c r="C50" t="s">
        <v>33</v>
      </c>
    </row>
    <row r="51" spans="1:3" x14ac:dyDescent="0.35">
      <c r="A51">
        <f t="shared" si="2"/>
        <v>50</v>
      </c>
      <c r="B51" t="s">
        <v>99</v>
      </c>
    </row>
    <row r="52" spans="1:3" x14ac:dyDescent="0.35">
      <c r="A52">
        <f t="shared" si="2"/>
        <v>51</v>
      </c>
      <c r="B52" t="s">
        <v>82</v>
      </c>
    </row>
    <row r="53" spans="1:3" x14ac:dyDescent="0.35">
      <c r="A53">
        <f t="shared" si="2"/>
        <v>52</v>
      </c>
      <c r="B53" t="s">
        <v>20</v>
      </c>
    </row>
    <row r="54" spans="1:3" x14ac:dyDescent="0.35">
      <c r="A54">
        <f t="shared" si="2"/>
        <v>53</v>
      </c>
      <c r="B54" t="s">
        <v>19</v>
      </c>
    </row>
    <row r="55" spans="1:3" x14ac:dyDescent="0.35">
      <c r="A55">
        <f t="shared" si="2"/>
        <v>54</v>
      </c>
      <c r="B55" t="s">
        <v>26</v>
      </c>
      <c r="C55" t="s">
        <v>513</v>
      </c>
    </row>
    <row r="56" spans="1:3" x14ac:dyDescent="0.35">
      <c r="A56">
        <f t="shared" si="2"/>
        <v>55</v>
      </c>
      <c r="B56" t="s">
        <v>514</v>
      </c>
      <c r="C56" t="s">
        <v>110</v>
      </c>
    </row>
    <row r="57" spans="1:3" x14ac:dyDescent="0.35">
      <c r="A57">
        <f t="shared" si="2"/>
        <v>56</v>
      </c>
      <c r="B57" t="s">
        <v>30</v>
      </c>
      <c r="C57" t="s">
        <v>515</v>
      </c>
    </row>
    <row r="58" spans="1:3" x14ac:dyDescent="0.35">
      <c r="A58">
        <f t="shared" si="2"/>
        <v>57</v>
      </c>
      <c r="B58" t="s">
        <v>17</v>
      </c>
    </row>
    <row r="59" spans="1:3" x14ac:dyDescent="0.35">
      <c r="A59">
        <f t="shared" si="2"/>
        <v>58</v>
      </c>
      <c r="B59" t="s">
        <v>404</v>
      </c>
    </row>
    <row r="60" spans="1:3" x14ac:dyDescent="0.35">
      <c r="A60">
        <f t="shared" si="2"/>
        <v>59</v>
      </c>
      <c r="B60" t="s">
        <v>31</v>
      </c>
      <c r="C60" t="s">
        <v>516</v>
      </c>
    </row>
    <row r="61" spans="1:3" x14ac:dyDescent="0.35">
      <c r="A61">
        <f t="shared" si="2"/>
        <v>60</v>
      </c>
      <c r="B61" t="s">
        <v>49</v>
      </c>
      <c r="C61" t="s">
        <v>517</v>
      </c>
    </row>
    <row r="62" spans="1:3" x14ac:dyDescent="0.35">
      <c r="A62">
        <f t="shared" si="2"/>
        <v>61</v>
      </c>
      <c r="B62" t="s">
        <v>230</v>
      </c>
      <c r="C62" t="s">
        <v>518</v>
      </c>
    </row>
    <row r="63" spans="1:3" x14ac:dyDescent="0.35">
      <c r="A63">
        <f t="shared" si="2"/>
        <v>62</v>
      </c>
      <c r="B63" t="s">
        <v>253</v>
      </c>
    </row>
    <row r="64" spans="1:3" x14ac:dyDescent="0.35">
      <c r="A64">
        <f t="shared" si="2"/>
        <v>63</v>
      </c>
      <c r="B64" t="s">
        <v>6</v>
      </c>
    </row>
    <row r="65" spans="1:3" x14ac:dyDescent="0.35">
      <c r="A65">
        <f t="shared" si="2"/>
        <v>64</v>
      </c>
      <c r="B65" t="s">
        <v>56</v>
      </c>
      <c r="C65" t="s">
        <v>519</v>
      </c>
    </row>
    <row r="66" spans="1:3" x14ac:dyDescent="0.35">
      <c r="A66">
        <f t="shared" si="2"/>
        <v>65</v>
      </c>
      <c r="B66" t="s">
        <v>90</v>
      </c>
    </row>
    <row r="67" spans="1:3" x14ac:dyDescent="0.35">
      <c r="A67">
        <f t="shared" si="2"/>
        <v>66</v>
      </c>
      <c r="B67" t="s">
        <v>124</v>
      </c>
      <c r="C67" t="s">
        <v>520</v>
      </c>
    </row>
    <row r="68" spans="1:3" x14ac:dyDescent="0.35">
      <c r="A68">
        <f t="shared" si="2"/>
        <v>67</v>
      </c>
      <c r="B68" t="s">
        <v>33</v>
      </c>
    </row>
    <row r="69" spans="1:3" x14ac:dyDescent="0.35">
      <c r="A69">
        <f t="shared" si="2"/>
        <v>68</v>
      </c>
      <c r="B69" t="s">
        <v>34</v>
      </c>
      <c r="C69" t="s">
        <v>521</v>
      </c>
    </row>
    <row r="70" spans="1:3" x14ac:dyDescent="0.35">
      <c r="A70">
        <f t="shared" si="2"/>
        <v>69</v>
      </c>
      <c r="B70" t="s">
        <v>28</v>
      </c>
    </row>
    <row r="71" spans="1:3" x14ac:dyDescent="0.35">
      <c r="A71">
        <f t="shared" si="2"/>
        <v>70</v>
      </c>
      <c r="B71" t="s">
        <v>401</v>
      </c>
      <c r="C71" t="s">
        <v>522</v>
      </c>
    </row>
    <row r="74" spans="1:3" x14ac:dyDescent="0.35">
      <c r="A74" t="s">
        <v>523</v>
      </c>
    </row>
    <row r="75" spans="1:3" x14ac:dyDescent="0.35">
      <c r="A75" t="s">
        <v>524</v>
      </c>
    </row>
    <row r="76" spans="1:3" x14ac:dyDescent="0.35">
      <c r="A76" t="s">
        <v>525</v>
      </c>
    </row>
    <row r="77" spans="1:3" x14ac:dyDescent="0.35">
      <c r="A77" t="s">
        <v>526</v>
      </c>
    </row>
    <row r="78" spans="1:3" x14ac:dyDescent="0.35">
      <c r="A78" t="s">
        <v>527</v>
      </c>
    </row>
    <row r="79" spans="1:3" x14ac:dyDescent="0.35">
      <c r="A79" t="s">
        <v>528</v>
      </c>
    </row>
    <row r="80" spans="1:3" x14ac:dyDescent="0.35">
      <c r="A80" t="s">
        <v>529</v>
      </c>
    </row>
    <row r="81" spans="1:1" x14ac:dyDescent="0.35">
      <c r="A81" t="s">
        <v>530</v>
      </c>
    </row>
    <row r="82" spans="1:1" x14ac:dyDescent="0.35">
      <c r="A82" t="s">
        <v>531</v>
      </c>
    </row>
    <row r="83" spans="1:1" x14ac:dyDescent="0.35">
      <c r="A83" t="s">
        <v>532</v>
      </c>
    </row>
    <row r="84" spans="1:1" x14ac:dyDescent="0.35">
      <c r="A84" t="s">
        <v>533</v>
      </c>
    </row>
    <row r="85" spans="1:1" x14ac:dyDescent="0.35">
      <c r="A85" t="s">
        <v>534</v>
      </c>
    </row>
    <row r="86" spans="1:1" x14ac:dyDescent="0.35">
      <c r="A86" t="s">
        <v>535</v>
      </c>
    </row>
    <row r="87" spans="1:1" x14ac:dyDescent="0.35">
      <c r="A87" t="s">
        <v>536</v>
      </c>
    </row>
    <row r="88" spans="1:1" x14ac:dyDescent="0.35">
      <c r="A88" t="s">
        <v>537</v>
      </c>
    </row>
    <row r="89" spans="1:1" x14ac:dyDescent="0.35">
      <c r="A89" t="s">
        <v>538</v>
      </c>
    </row>
    <row r="90" spans="1:1" x14ac:dyDescent="0.35">
      <c r="A90" t="s">
        <v>539</v>
      </c>
    </row>
    <row r="91" spans="1:1" x14ac:dyDescent="0.35">
      <c r="A91" t="s">
        <v>540</v>
      </c>
    </row>
    <row r="92" spans="1:1" x14ac:dyDescent="0.35">
      <c r="A92" t="s">
        <v>541</v>
      </c>
    </row>
    <row r="93" spans="1:1" x14ac:dyDescent="0.35">
      <c r="A93" t="s">
        <v>542</v>
      </c>
    </row>
    <row r="94" spans="1:1" x14ac:dyDescent="0.35">
      <c r="A94" t="s">
        <v>543</v>
      </c>
    </row>
    <row r="95" spans="1:1" x14ac:dyDescent="0.35">
      <c r="A95" t="s">
        <v>544</v>
      </c>
    </row>
    <row r="96" spans="1:1" x14ac:dyDescent="0.35">
      <c r="A96" t="s">
        <v>545</v>
      </c>
    </row>
    <row r="97" spans="1:1" x14ac:dyDescent="0.35">
      <c r="A97" t="s">
        <v>546</v>
      </c>
    </row>
    <row r="98" spans="1:1" x14ac:dyDescent="0.35">
      <c r="A98" t="s">
        <v>547</v>
      </c>
    </row>
    <row r="99" spans="1:1" x14ac:dyDescent="0.35">
      <c r="A99" t="s">
        <v>548</v>
      </c>
    </row>
    <row r="100" spans="1:1" x14ac:dyDescent="0.35">
      <c r="A100" t="s">
        <v>549</v>
      </c>
    </row>
    <row r="101" spans="1:1" x14ac:dyDescent="0.35">
      <c r="A101" t="s">
        <v>550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1"/>
  <sheetViews>
    <sheetView tabSelected="1" workbookViewId="0">
      <selection activeCell="I15" sqref="I15:N15"/>
    </sheetView>
  </sheetViews>
  <sheetFormatPr defaultRowHeight="14.5" x14ac:dyDescent="0.35"/>
  <cols>
    <col min="4" max="4" width="13.54296875" bestFit="1" customWidth="1"/>
    <col min="6" max="6" width="12.54296875" bestFit="1" customWidth="1"/>
  </cols>
  <sheetData>
    <row r="1" spans="1:14 16384:16384" x14ac:dyDescent="0.35">
      <c r="A1" s="1">
        <v>46317</v>
      </c>
      <c r="B1" s="1">
        <v>46317</v>
      </c>
      <c r="C1" s="1">
        <v>46317</v>
      </c>
      <c r="D1" s="1">
        <v>46317</v>
      </c>
      <c r="E1" s="1">
        <v>46318</v>
      </c>
      <c r="F1" s="1">
        <v>46318</v>
      </c>
      <c r="G1" s="1">
        <v>46324</v>
      </c>
      <c r="H1" s="1">
        <v>46324</v>
      </c>
      <c r="I1" s="1">
        <v>46324</v>
      </c>
      <c r="J1" s="1">
        <v>46324</v>
      </c>
      <c r="K1" s="1">
        <v>46325</v>
      </c>
      <c r="L1" s="1">
        <v>46325</v>
      </c>
      <c r="M1" s="1">
        <v>46326</v>
      </c>
      <c r="N1" s="1">
        <v>46326</v>
      </c>
      <c r="XFD1" s="1"/>
    </row>
    <row r="2" spans="1:14 16384:16384" x14ac:dyDescent="0.35">
      <c r="A2" t="s">
        <v>121</v>
      </c>
      <c r="B2" t="s">
        <v>232</v>
      </c>
      <c r="C2" t="s">
        <v>175</v>
      </c>
      <c r="D2" t="s">
        <v>15</v>
      </c>
      <c r="E2" t="s">
        <v>35</v>
      </c>
      <c r="F2" t="s">
        <v>232</v>
      </c>
    </row>
    <row r="3" spans="1:14 16384:16384" x14ac:dyDescent="0.35">
      <c r="A3" t="s">
        <v>21</v>
      </c>
      <c r="B3" t="s">
        <v>49</v>
      </c>
      <c r="C3" t="s">
        <v>104</v>
      </c>
      <c r="D3" t="s">
        <v>51</v>
      </c>
      <c r="E3" t="s">
        <v>4</v>
      </c>
      <c r="F3" t="s">
        <v>33</v>
      </c>
    </row>
    <row r="4" spans="1:14 16384:16384" x14ac:dyDescent="0.35">
      <c r="A4" t="s">
        <v>122</v>
      </c>
      <c r="B4" t="s">
        <v>122</v>
      </c>
      <c r="C4" t="s">
        <v>33</v>
      </c>
      <c r="D4" t="s">
        <v>33</v>
      </c>
      <c r="E4" t="s">
        <v>230</v>
      </c>
      <c r="F4" t="s">
        <v>16</v>
      </c>
    </row>
    <row r="5" spans="1:14 16384:16384" x14ac:dyDescent="0.35">
      <c r="A5" t="s">
        <v>28</v>
      </c>
      <c r="B5" t="s">
        <v>31</v>
      </c>
      <c r="C5" t="s">
        <v>30</v>
      </c>
      <c r="D5" t="s">
        <v>61</v>
      </c>
      <c r="E5" t="s">
        <v>16</v>
      </c>
      <c r="F5" t="s">
        <v>4</v>
      </c>
    </row>
    <row r="6" spans="1:14 16384:16384" x14ac:dyDescent="0.35">
      <c r="A6" t="s">
        <v>82</v>
      </c>
      <c r="B6" t="s">
        <v>21</v>
      </c>
      <c r="C6" t="s">
        <v>17</v>
      </c>
      <c r="D6" t="s">
        <v>125</v>
      </c>
      <c r="E6" t="s">
        <v>31</v>
      </c>
      <c r="F6" t="s">
        <v>10</v>
      </c>
    </row>
    <row r="7" spans="1:14 16384:16384" x14ac:dyDescent="0.35">
      <c r="A7" t="s">
        <v>35</v>
      </c>
      <c r="B7" t="s">
        <v>82</v>
      </c>
      <c r="C7" t="s">
        <v>22</v>
      </c>
      <c r="D7" t="s">
        <v>175</v>
      </c>
      <c r="E7" t="s">
        <v>10</v>
      </c>
      <c r="F7" t="s">
        <v>1</v>
      </c>
    </row>
    <row r="8" spans="1:14 16384:16384" x14ac:dyDescent="0.35">
      <c r="A8" t="s">
        <v>31</v>
      </c>
      <c r="B8" t="s">
        <v>28</v>
      </c>
      <c r="C8" t="s">
        <v>15</v>
      </c>
      <c r="D8" t="s">
        <v>26</v>
      </c>
      <c r="E8" t="s">
        <v>1</v>
      </c>
      <c r="F8" t="s">
        <v>37</v>
      </c>
    </row>
    <row r="9" spans="1:14 16384:16384" x14ac:dyDescent="0.35">
      <c r="A9" t="s">
        <v>49</v>
      </c>
      <c r="B9" t="s">
        <v>8</v>
      </c>
      <c r="C9" t="s">
        <v>61</v>
      </c>
      <c r="D9" t="s">
        <v>17</v>
      </c>
      <c r="E9" t="s">
        <v>33</v>
      </c>
      <c r="F9" t="s">
        <v>31</v>
      </c>
    </row>
    <row r="12" spans="1:14 16384:16384" x14ac:dyDescent="0.35">
      <c r="A12" t="s">
        <v>42</v>
      </c>
      <c r="B12" t="s">
        <v>38</v>
      </c>
      <c r="C12" t="s">
        <v>39</v>
      </c>
      <c r="D12" t="s">
        <v>40</v>
      </c>
      <c r="E12" t="s">
        <v>43</v>
      </c>
      <c r="F12" t="s">
        <v>111</v>
      </c>
      <c r="G12" t="s">
        <v>275</v>
      </c>
      <c r="I12" s="4" t="s">
        <v>42</v>
      </c>
      <c r="J12" s="4" t="s">
        <v>38</v>
      </c>
      <c r="K12" s="4" t="s">
        <v>39</v>
      </c>
      <c r="L12" s="4" t="s">
        <v>40</v>
      </c>
      <c r="N12" s="4" t="s">
        <v>111</v>
      </c>
    </row>
    <row r="13" spans="1:14 16384:16384" x14ac:dyDescent="0.35">
      <c r="A13" s="18" t="s">
        <v>125</v>
      </c>
      <c r="B13" s="18">
        <v>41</v>
      </c>
      <c r="C13" s="18">
        <v>2</v>
      </c>
      <c r="D13" s="18">
        <f t="shared" ref="D13:D72" si="0">E13/B13</f>
        <v>4.3902439024390247</v>
      </c>
      <c r="E13" s="18">
        <v>180</v>
      </c>
      <c r="F13" s="18">
        <f t="shared" ref="F13:F72" si="1">C13/B13</f>
        <v>4.878048780487805E-2</v>
      </c>
      <c r="G13" s="32">
        <v>2.3664319132398401</v>
      </c>
      <c r="I13" s="18" t="s">
        <v>125</v>
      </c>
      <c r="J13" s="18">
        <v>41</v>
      </c>
      <c r="K13" s="18">
        <v>2</v>
      </c>
      <c r="L13" s="18">
        <f t="shared" ref="L13" si="2">M13/J13</f>
        <v>4.3902439024390247</v>
      </c>
      <c r="M13" s="18">
        <v>180</v>
      </c>
      <c r="N13" s="18">
        <f t="shared" ref="N13" si="3">K13/J13</f>
        <v>4.878048780487805E-2</v>
      </c>
    </row>
    <row r="14" spans="1:14 16384:16384" x14ac:dyDescent="0.35">
      <c r="A14" s="18" t="s">
        <v>104</v>
      </c>
      <c r="B14" s="18">
        <v>142</v>
      </c>
      <c r="C14" s="18">
        <v>10</v>
      </c>
      <c r="D14" s="18">
        <f t="shared" si="0"/>
        <v>4.274647887323944</v>
      </c>
      <c r="E14" s="18">
        <v>607</v>
      </c>
      <c r="F14" s="18">
        <f t="shared" si="1"/>
        <v>7.0422535211267609E-2</v>
      </c>
      <c r="G14" s="32">
        <v>2.3273733406281498</v>
      </c>
      <c r="I14" s="18" t="s">
        <v>104</v>
      </c>
      <c r="J14" s="18">
        <v>142</v>
      </c>
      <c r="K14" s="18">
        <v>10</v>
      </c>
      <c r="L14" s="18">
        <f t="shared" ref="L13:L19" si="4">M14/J14</f>
        <v>4.274647887323944</v>
      </c>
      <c r="M14" s="18">
        <v>607</v>
      </c>
      <c r="N14" s="18">
        <f t="shared" ref="N13:N19" si="5">K14/J14</f>
        <v>7.0422535211267609E-2</v>
      </c>
    </row>
    <row r="15" spans="1:14 16384:16384" x14ac:dyDescent="0.35">
      <c r="A15" s="18" t="s">
        <v>31</v>
      </c>
      <c r="B15" s="18">
        <v>310</v>
      </c>
      <c r="C15" s="18">
        <v>26</v>
      </c>
      <c r="D15" s="18">
        <f t="shared" si="0"/>
        <v>5.0677419354838706</v>
      </c>
      <c r="E15" s="18">
        <v>1571</v>
      </c>
      <c r="F15" s="18">
        <f t="shared" si="1"/>
        <v>8.387096774193549E-2</v>
      </c>
      <c r="G15" s="32">
        <v>1.87082869338697</v>
      </c>
      <c r="I15" s="18" t="s">
        <v>31</v>
      </c>
      <c r="J15" s="18">
        <v>310</v>
      </c>
      <c r="K15" s="18">
        <v>26</v>
      </c>
      <c r="L15" s="18">
        <f t="shared" si="4"/>
        <v>5.0677419354838706</v>
      </c>
      <c r="M15" s="18">
        <v>1571</v>
      </c>
      <c r="N15" s="18">
        <f t="shared" si="5"/>
        <v>8.387096774193549E-2</v>
      </c>
    </row>
    <row r="16" spans="1:14 16384:16384" x14ac:dyDescent="0.35">
      <c r="A16" s="18" t="s">
        <v>105</v>
      </c>
      <c r="B16" s="18">
        <v>47</v>
      </c>
      <c r="C16" s="18">
        <v>6</v>
      </c>
      <c r="D16" s="18">
        <f t="shared" si="0"/>
        <v>4.3191489361702127</v>
      </c>
      <c r="E16" s="18">
        <v>203</v>
      </c>
      <c r="F16" s="18">
        <f t="shared" si="1"/>
        <v>0.1276595744680851</v>
      </c>
      <c r="G16" s="32">
        <v>1.8165902124584901</v>
      </c>
      <c r="I16" s="18" t="s">
        <v>105</v>
      </c>
      <c r="J16" s="18">
        <v>47</v>
      </c>
      <c r="K16" s="18">
        <v>6</v>
      </c>
      <c r="L16" s="18">
        <f t="shared" si="4"/>
        <v>4.3191489361702127</v>
      </c>
      <c r="M16" s="18">
        <v>203</v>
      </c>
      <c r="N16" s="18">
        <f t="shared" si="5"/>
        <v>0.1276595744680851</v>
      </c>
    </row>
    <row r="17" spans="1:14" x14ac:dyDescent="0.35">
      <c r="A17" s="18" t="s">
        <v>128</v>
      </c>
      <c r="B17" s="18">
        <v>119</v>
      </c>
      <c r="C17" s="18">
        <v>38</v>
      </c>
      <c r="D17" s="18">
        <f t="shared" si="0"/>
        <v>3.2184873949579833</v>
      </c>
      <c r="E17" s="18">
        <v>383</v>
      </c>
      <c r="F17" s="18">
        <f t="shared" si="1"/>
        <v>0.31932773109243695</v>
      </c>
      <c r="G17" s="32">
        <v>2.03049835952651</v>
      </c>
      <c r="I17" s="18" t="s">
        <v>128</v>
      </c>
      <c r="J17" s="18">
        <v>119</v>
      </c>
      <c r="K17" s="18">
        <v>38</v>
      </c>
      <c r="L17" s="18">
        <f t="shared" si="4"/>
        <v>3.2184873949579833</v>
      </c>
      <c r="M17" s="18">
        <v>383</v>
      </c>
      <c r="N17" s="18">
        <f t="shared" si="5"/>
        <v>0.31932773109243695</v>
      </c>
    </row>
    <row r="18" spans="1:14" x14ac:dyDescent="0.35">
      <c r="A18" s="18" t="s">
        <v>8</v>
      </c>
      <c r="B18" s="18">
        <v>56</v>
      </c>
      <c r="C18" s="18">
        <v>7</v>
      </c>
      <c r="D18" s="18">
        <f t="shared" si="0"/>
        <v>4.4821428571428568</v>
      </c>
      <c r="E18" s="18">
        <v>251</v>
      </c>
      <c r="F18" s="18">
        <f t="shared" si="1"/>
        <v>0.125</v>
      </c>
      <c r="G18" s="32">
        <v>2.4994623077688098</v>
      </c>
      <c r="I18" s="18" t="s">
        <v>8</v>
      </c>
      <c r="J18" s="18">
        <v>56</v>
      </c>
      <c r="K18" s="18">
        <v>7</v>
      </c>
      <c r="L18" s="18">
        <f t="shared" si="4"/>
        <v>4.4821428571428568</v>
      </c>
      <c r="M18" s="18">
        <v>251</v>
      </c>
      <c r="N18" s="18">
        <f t="shared" si="5"/>
        <v>0.125</v>
      </c>
    </row>
    <row r="19" spans="1:14" x14ac:dyDescent="0.35">
      <c r="A19" s="18" t="s">
        <v>37</v>
      </c>
      <c r="B19" s="18">
        <v>43</v>
      </c>
      <c r="C19" s="18">
        <v>2</v>
      </c>
      <c r="D19" s="18">
        <f t="shared" si="0"/>
        <v>5.1395348837209305</v>
      </c>
      <c r="E19" s="18">
        <v>221</v>
      </c>
      <c r="F19" s="18">
        <f t="shared" si="1"/>
        <v>4.6511627906976744E-2</v>
      </c>
      <c r="G19" s="32">
        <v>2.4235565546581199</v>
      </c>
      <c r="I19" s="18" t="s">
        <v>37</v>
      </c>
      <c r="J19" s="18">
        <v>43</v>
      </c>
      <c r="K19" s="18">
        <v>2</v>
      </c>
      <c r="L19" s="18">
        <f t="shared" si="4"/>
        <v>5.1395348837209305</v>
      </c>
      <c r="M19" s="18">
        <v>221</v>
      </c>
      <c r="N19" s="18">
        <f t="shared" si="5"/>
        <v>4.6511627906976744E-2</v>
      </c>
    </row>
    <row r="20" spans="1:14" x14ac:dyDescent="0.35">
      <c r="A20" s="18" t="s">
        <v>14</v>
      </c>
      <c r="B20" s="18">
        <v>45</v>
      </c>
      <c r="C20" s="18">
        <v>3</v>
      </c>
      <c r="D20" s="18">
        <f t="shared" si="0"/>
        <v>4.7111111111111112</v>
      </c>
      <c r="E20" s="18">
        <v>212</v>
      </c>
      <c r="F20" s="18">
        <f t="shared" si="1"/>
        <v>6.6666666666666666E-2</v>
      </c>
      <c r="G20" s="32">
        <v>2.1805682857412299</v>
      </c>
      <c r="I20" s="18" t="s">
        <v>14</v>
      </c>
      <c r="J20" s="18">
        <v>45</v>
      </c>
      <c r="K20" s="18">
        <v>3</v>
      </c>
      <c r="L20" s="18">
        <f t="shared" ref="L20" si="6">M20/J20</f>
        <v>4.7111111111111112</v>
      </c>
      <c r="M20" s="18">
        <v>212</v>
      </c>
      <c r="N20" s="18">
        <f t="shared" ref="N20" si="7">K20/J20</f>
        <v>6.6666666666666666E-2</v>
      </c>
    </row>
    <row r="21" spans="1:14" x14ac:dyDescent="0.35">
      <c r="A21" s="73" t="s">
        <v>90</v>
      </c>
      <c r="B21" s="73">
        <v>40</v>
      </c>
      <c r="C21" s="73">
        <v>3</v>
      </c>
      <c r="D21" s="73">
        <f t="shared" si="0"/>
        <v>5.35</v>
      </c>
      <c r="E21" s="73">
        <v>214</v>
      </c>
      <c r="F21" s="73">
        <f t="shared" si="1"/>
        <v>7.4999999999999997E-2</v>
      </c>
      <c r="G21" s="32">
        <v>2.2962419891481902</v>
      </c>
      <c r="I21" s="73" t="s">
        <v>90</v>
      </c>
      <c r="J21" s="73">
        <v>40</v>
      </c>
      <c r="K21" s="73">
        <v>3</v>
      </c>
      <c r="L21" s="73">
        <f t="shared" ref="L21" si="8">M21/J21</f>
        <v>5.35</v>
      </c>
      <c r="M21" s="73">
        <v>214</v>
      </c>
      <c r="N21" s="73">
        <f t="shared" ref="N21" si="9">K21/J21</f>
        <v>7.4999999999999997E-2</v>
      </c>
    </row>
    <row r="22" spans="1:14" x14ac:dyDescent="0.35">
      <c r="A22" s="18" t="s">
        <v>6</v>
      </c>
      <c r="B22" s="18">
        <v>45</v>
      </c>
      <c r="C22" s="18">
        <v>3</v>
      </c>
      <c r="D22" s="18">
        <f t="shared" si="0"/>
        <v>5.3555555555555552</v>
      </c>
      <c r="E22" s="18">
        <v>241</v>
      </c>
      <c r="F22" s="18">
        <f t="shared" si="1"/>
        <v>6.6666666666666666E-2</v>
      </c>
      <c r="G22" s="32">
        <v>2.1514492783133501</v>
      </c>
      <c r="I22" s="18" t="s">
        <v>6</v>
      </c>
      <c r="J22" s="18">
        <v>45</v>
      </c>
      <c r="K22" s="18">
        <v>3</v>
      </c>
      <c r="L22" s="18">
        <f>M22/J22</f>
        <v>5.3555555555555552</v>
      </c>
      <c r="M22" s="18">
        <v>241</v>
      </c>
      <c r="N22" s="18">
        <f>K22/J22</f>
        <v>6.6666666666666666E-2</v>
      </c>
    </row>
    <row r="23" spans="1:14" x14ac:dyDescent="0.35">
      <c r="A23" t="s">
        <v>19</v>
      </c>
      <c r="B23">
        <v>37</v>
      </c>
      <c r="C23">
        <v>3</v>
      </c>
      <c r="D23">
        <f t="shared" si="0"/>
        <v>5.0270270270270272</v>
      </c>
      <c r="E23">
        <v>186</v>
      </c>
      <c r="F23">
        <f t="shared" si="1"/>
        <v>8.1081081081081086E-2</v>
      </c>
      <c r="G23" s="32">
        <v>2.3299294900428702</v>
      </c>
      <c r="I23" s="18" t="s">
        <v>56</v>
      </c>
      <c r="J23" s="18">
        <v>40</v>
      </c>
      <c r="K23" s="18">
        <v>0</v>
      </c>
      <c r="L23" s="18">
        <f>M23/J23</f>
        <v>5.0750000000000002</v>
      </c>
      <c r="M23" s="18">
        <v>203</v>
      </c>
      <c r="N23" s="18">
        <f>K23/J23</f>
        <v>0</v>
      </c>
    </row>
    <row r="24" spans="1:14" x14ac:dyDescent="0.35">
      <c r="A24" s="18" t="s">
        <v>56</v>
      </c>
      <c r="B24" s="18">
        <v>40</v>
      </c>
      <c r="C24" s="18">
        <v>0</v>
      </c>
      <c r="D24" s="18">
        <f t="shared" si="0"/>
        <v>5.0750000000000002</v>
      </c>
      <c r="E24" s="18">
        <v>203</v>
      </c>
      <c r="F24" s="18">
        <f t="shared" si="1"/>
        <v>0</v>
      </c>
      <c r="G24" s="32">
        <v>2.0655911179772799</v>
      </c>
      <c r="I24" s="18" t="s">
        <v>25</v>
      </c>
      <c r="J24" s="18">
        <v>264</v>
      </c>
      <c r="K24" s="18">
        <v>23</v>
      </c>
      <c r="L24" s="18">
        <f t="shared" ref="L24" si="10">M24/J24</f>
        <v>5.0151515151515156</v>
      </c>
      <c r="M24" s="18">
        <v>1324</v>
      </c>
      <c r="N24" s="18">
        <f t="shared" ref="N24" si="11">K24/J24</f>
        <v>8.7121212121212127E-2</v>
      </c>
    </row>
    <row r="25" spans="1:14" x14ac:dyDescent="0.35">
      <c r="A25" t="s">
        <v>52</v>
      </c>
      <c r="B25">
        <v>39</v>
      </c>
      <c r="C25">
        <v>7</v>
      </c>
      <c r="D25">
        <f t="shared" si="0"/>
        <v>3.7435897435897436</v>
      </c>
      <c r="E25">
        <v>146</v>
      </c>
      <c r="F25">
        <f t="shared" si="1"/>
        <v>0.17948717948717949</v>
      </c>
      <c r="G25" s="32">
        <v>2.1794494717703299</v>
      </c>
      <c r="I25" s="18" t="s">
        <v>34</v>
      </c>
      <c r="J25" s="18">
        <v>41</v>
      </c>
      <c r="K25" s="18">
        <v>3</v>
      </c>
      <c r="L25" s="18">
        <f t="shared" ref="L25" si="12">M25/J25</f>
        <v>5.3170731707317076</v>
      </c>
      <c r="M25" s="18">
        <v>218</v>
      </c>
      <c r="N25" s="18">
        <f t="shared" ref="N25" si="13">K25/J25</f>
        <v>7.3170731707317069E-2</v>
      </c>
    </row>
    <row r="26" spans="1:14" x14ac:dyDescent="0.35">
      <c r="A26" t="s">
        <v>20</v>
      </c>
      <c r="B26">
        <v>39</v>
      </c>
      <c r="C26">
        <v>2</v>
      </c>
      <c r="D26">
        <f t="shared" si="0"/>
        <v>5.2307692307692308</v>
      </c>
      <c r="E26">
        <v>204</v>
      </c>
      <c r="F26">
        <f t="shared" si="1"/>
        <v>5.128205128205128E-2</v>
      </c>
      <c r="G26" s="32">
        <v>2.3159525823376299</v>
      </c>
      <c r="I26" s="18" t="s">
        <v>147</v>
      </c>
      <c r="J26" s="18">
        <v>145</v>
      </c>
      <c r="K26" s="18">
        <v>28</v>
      </c>
      <c r="L26" s="18">
        <f t="shared" ref="L26:L29" si="14">M26/J26</f>
        <v>3.8620689655172415</v>
      </c>
      <c r="M26" s="18">
        <v>560</v>
      </c>
      <c r="N26" s="18">
        <f t="shared" ref="N26:N29" si="15">K26/J26</f>
        <v>0.19310344827586207</v>
      </c>
    </row>
    <row r="27" spans="1:14" x14ac:dyDescent="0.35">
      <c r="A27" s="18" t="s">
        <v>25</v>
      </c>
      <c r="B27" s="18">
        <v>264</v>
      </c>
      <c r="C27" s="18">
        <v>23</v>
      </c>
      <c r="D27" s="18">
        <f t="shared" si="0"/>
        <v>5.0151515151515156</v>
      </c>
      <c r="E27" s="18">
        <v>1324</v>
      </c>
      <c r="F27" s="18">
        <f t="shared" si="1"/>
        <v>8.7121212121212127E-2</v>
      </c>
      <c r="G27" s="32">
        <v>2.1609054109613202</v>
      </c>
      <c r="I27" s="18" t="s">
        <v>87</v>
      </c>
      <c r="J27" s="18">
        <v>213</v>
      </c>
      <c r="K27" s="18">
        <v>25</v>
      </c>
      <c r="L27" s="18">
        <f t="shared" si="14"/>
        <v>5.018779342723005</v>
      </c>
      <c r="M27" s="18">
        <v>1069</v>
      </c>
      <c r="N27" s="18">
        <f t="shared" si="15"/>
        <v>0.11737089201877934</v>
      </c>
    </row>
    <row r="28" spans="1:14" x14ac:dyDescent="0.35">
      <c r="A28" s="18" t="s">
        <v>34</v>
      </c>
      <c r="B28" s="18">
        <v>41</v>
      </c>
      <c r="C28" s="18">
        <v>3</v>
      </c>
      <c r="D28" s="18">
        <f t="shared" si="0"/>
        <v>5.3170731707317076</v>
      </c>
      <c r="E28" s="18">
        <v>218</v>
      </c>
      <c r="F28" s="18">
        <f t="shared" si="1"/>
        <v>7.3170731707317069E-2</v>
      </c>
      <c r="G28" s="32">
        <v>2.2360679774997898</v>
      </c>
      <c r="I28" s="18" t="s">
        <v>50</v>
      </c>
      <c r="J28" s="18">
        <v>41</v>
      </c>
      <c r="K28" s="18">
        <v>4</v>
      </c>
      <c r="L28" s="18">
        <f t="shared" si="14"/>
        <v>4.2682926829268295</v>
      </c>
      <c r="M28" s="18">
        <v>175</v>
      </c>
      <c r="N28" s="18">
        <f t="shared" si="15"/>
        <v>9.7560975609756101E-2</v>
      </c>
    </row>
    <row r="29" spans="1:14" x14ac:dyDescent="0.35">
      <c r="A29" s="18" t="s">
        <v>147</v>
      </c>
      <c r="B29" s="18">
        <v>145</v>
      </c>
      <c r="C29" s="18">
        <v>28</v>
      </c>
      <c r="D29" s="18">
        <f t="shared" si="0"/>
        <v>3.8620689655172415</v>
      </c>
      <c r="E29" s="18">
        <v>560</v>
      </c>
      <c r="F29" s="18">
        <f t="shared" si="1"/>
        <v>0.19310344827586207</v>
      </c>
      <c r="G29" s="32">
        <v>1.94935886896179</v>
      </c>
      <c r="I29" s="18" t="s">
        <v>81</v>
      </c>
      <c r="J29" s="18">
        <v>91</v>
      </c>
      <c r="K29" s="18">
        <v>6</v>
      </c>
      <c r="L29" s="18">
        <f t="shared" si="14"/>
        <v>5.2197802197802199</v>
      </c>
      <c r="M29" s="18">
        <v>475</v>
      </c>
      <c r="N29" s="18">
        <f t="shared" si="15"/>
        <v>6.5934065934065936E-2</v>
      </c>
    </row>
    <row r="30" spans="1:14" x14ac:dyDescent="0.35">
      <c r="A30" s="18" t="s">
        <v>87</v>
      </c>
      <c r="B30" s="18">
        <v>213</v>
      </c>
      <c r="C30" s="18">
        <v>25</v>
      </c>
      <c r="D30" s="18">
        <f t="shared" si="0"/>
        <v>5.018779342723005</v>
      </c>
      <c r="E30" s="18">
        <v>1069</v>
      </c>
      <c r="F30" s="18">
        <f t="shared" si="1"/>
        <v>0.11737089201877934</v>
      </c>
      <c r="G30" s="32">
        <v>1.7888543819998299</v>
      </c>
      <c r="I30" s="18" t="s">
        <v>36</v>
      </c>
      <c r="J30" s="18">
        <v>40</v>
      </c>
      <c r="K30" s="18">
        <v>3</v>
      </c>
      <c r="L30" s="18">
        <f t="shared" ref="L30" si="16">M30/J30</f>
        <v>4.2750000000000004</v>
      </c>
      <c r="M30" s="18">
        <v>171</v>
      </c>
      <c r="N30" s="18">
        <f t="shared" ref="N30" si="17">K30/J30</f>
        <v>7.4999999999999997E-2</v>
      </c>
    </row>
    <row r="31" spans="1:14" x14ac:dyDescent="0.35">
      <c r="A31" s="18" t="s">
        <v>50</v>
      </c>
      <c r="B31" s="18">
        <v>41</v>
      </c>
      <c r="C31" s="18">
        <v>4</v>
      </c>
      <c r="D31" s="18">
        <f t="shared" si="0"/>
        <v>4.2682926829268295</v>
      </c>
      <c r="E31" s="18">
        <v>175</v>
      </c>
      <c r="F31" s="18">
        <f t="shared" si="1"/>
        <v>9.7560975609756101E-2</v>
      </c>
      <c r="G31" s="32">
        <v>2.2360679774997898</v>
      </c>
      <c r="I31" s="18" t="s">
        <v>112</v>
      </c>
      <c r="J31" s="18">
        <v>42</v>
      </c>
      <c r="K31" s="18">
        <v>8</v>
      </c>
      <c r="L31" s="18">
        <f t="shared" ref="L31:L35" si="18">M31/J31</f>
        <v>3.7619047619047619</v>
      </c>
      <c r="M31" s="18">
        <v>158</v>
      </c>
      <c r="N31" s="18">
        <f t="shared" ref="N31:N35" si="19">K31/J31</f>
        <v>0.19047619047619047</v>
      </c>
    </row>
    <row r="32" spans="1:14" x14ac:dyDescent="0.35">
      <c r="A32" s="18" t="s">
        <v>81</v>
      </c>
      <c r="B32" s="18">
        <v>91</v>
      </c>
      <c r="C32" s="18">
        <v>6</v>
      </c>
      <c r="D32" s="18">
        <f t="shared" si="0"/>
        <v>5.2197802197802199</v>
      </c>
      <c r="E32" s="18">
        <v>475</v>
      </c>
      <c r="F32" s="18">
        <f t="shared" si="1"/>
        <v>6.5934065934065936E-2</v>
      </c>
      <c r="G32" s="32">
        <v>1.76776695296636</v>
      </c>
      <c r="I32" s="18" t="s">
        <v>27</v>
      </c>
      <c r="J32" s="18">
        <v>62</v>
      </c>
      <c r="K32" s="18">
        <v>4</v>
      </c>
      <c r="L32" s="18">
        <f t="shared" si="18"/>
        <v>4.5483870967741939</v>
      </c>
      <c r="M32" s="18">
        <v>282</v>
      </c>
      <c r="N32" s="18">
        <f t="shared" si="19"/>
        <v>6.4516129032258063E-2</v>
      </c>
    </row>
    <row r="33" spans="1:14" x14ac:dyDescent="0.35">
      <c r="A33" s="18" t="s">
        <v>36</v>
      </c>
      <c r="B33" s="18">
        <v>40</v>
      </c>
      <c r="C33" s="18">
        <v>3</v>
      </c>
      <c r="D33" s="18">
        <f t="shared" si="0"/>
        <v>4.2750000000000004</v>
      </c>
      <c r="E33" s="18">
        <v>171</v>
      </c>
      <c r="F33" s="18">
        <f t="shared" si="1"/>
        <v>7.4999999999999997E-2</v>
      </c>
      <c r="G33" s="32">
        <v>2.6076809620810502</v>
      </c>
      <c r="I33" s="18" t="s">
        <v>117</v>
      </c>
      <c r="J33" s="18">
        <v>41</v>
      </c>
      <c r="K33" s="18">
        <v>7</v>
      </c>
      <c r="L33" s="18">
        <f t="shared" si="18"/>
        <v>4.2682926829268295</v>
      </c>
      <c r="M33" s="18">
        <v>175</v>
      </c>
      <c r="N33" s="18">
        <f t="shared" si="19"/>
        <v>0.17073170731707318</v>
      </c>
    </row>
    <row r="34" spans="1:14" x14ac:dyDescent="0.35">
      <c r="A34" s="18" t="s">
        <v>112</v>
      </c>
      <c r="B34" s="18">
        <v>42</v>
      </c>
      <c r="C34" s="18">
        <v>8</v>
      </c>
      <c r="D34" s="18">
        <f t="shared" si="0"/>
        <v>3.7619047619047619</v>
      </c>
      <c r="E34" s="18">
        <v>158</v>
      </c>
      <c r="F34" s="18">
        <f t="shared" si="1"/>
        <v>0.19047619047619047</v>
      </c>
      <c r="G34" s="32">
        <v>2.71006354989037</v>
      </c>
      <c r="I34" s="18" t="s">
        <v>401</v>
      </c>
      <c r="J34" s="18">
        <v>72</v>
      </c>
      <c r="K34" s="18">
        <v>4</v>
      </c>
      <c r="L34" s="18">
        <f t="shared" si="18"/>
        <v>5.3055555555555554</v>
      </c>
      <c r="M34" s="18">
        <v>382</v>
      </c>
      <c r="N34" s="18">
        <f t="shared" si="19"/>
        <v>5.5555555555555552E-2</v>
      </c>
    </row>
    <row r="35" spans="1:14" x14ac:dyDescent="0.35">
      <c r="A35" s="18" t="s">
        <v>27</v>
      </c>
      <c r="B35" s="18">
        <v>62</v>
      </c>
      <c r="C35" s="18">
        <v>4</v>
      </c>
      <c r="D35" s="18">
        <f t="shared" si="0"/>
        <v>4.5483870967741939</v>
      </c>
      <c r="E35" s="18">
        <v>282</v>
      </c>
      <c r="F35" s="18">
        <f t="shared" si="1"/>
        <v>6.4516129032258063E-2</v>
      </c>
      <c r="G35" s="32">
        <v>2.54950975679639</v>
      </c>
      <c r="I35" s="18" t="s">
        <v>15</v>
      </c>
      <c r="J35" s="18">
        <v>305</v>
      </c>
      <c r="K35" s="18">
        <v>44</v>
      </c>
      <c r="L35" s="18">
        <f t="shared" si="18"/>
        <v>4.613114754098361</v>
      </c>
      <c r="M35" s="18">
        <v>1407</v>
      </c>
      <c r="N35" s="18">
        <f t="shared" si="19"/>
        <v>0.14426229508196722</v>
      </c>
    </row>
    <row r="36" spans="1:14" x14ac:dyDescent="0.35">
      <c r="A36" s="18" t="s">
        <v>117</v>
      </c>
      <c r="B36" s="18">
        <v>41</v>
      </c>
      <c r="C36" s="18">
        <v>7</v>
      </c>
      <c r="D36" s="18">
        <f t="shared" si="0"/>
        <v>4.2682926829268295</v>
      </c>
      <c r="E36" s="18">
        <v>175</v>
      </c>
      <c r="F36" s="18">
        <f t="shared" si="1"/>
        <v>0.17073170731707318</v>
      </c>
      <c r="G36" s="32">
        <v>2.7284509239574799</v>
      </c>
      <c r="I36" s="18" t="s">
        <v>13</v>
      </c>
      <c r="J36" s="18">
        <v>42</v>
      </c>
      <c r="K36" s="18">
        <v>2</v>
      </c>
      <c r="L36" s="18">
        <f t="shared" ref="L36:L43" si="20">M36/J36</f>
        <v>4.9523809523809526</v>
      </c>
      <c r="M36" s="18">
        <v>208</v>
      </c>
      <c r="N36" s="18">
        <f t="shared" ref="N36:N43" si="21">K36/J36</f>
        <v>4.7619047619047616E-2</v>
      </c>
    </row>
    <row r="37" spans="1:14" x14ac:dyDescent="0.35">
      <c r="A37" s="41" t="s">
        <v>141</v>
      </c>
      <c r="B37" s="41">
        <v>9</v>
      </c>
      <c r="C37" s="41">
        <v>1</v>
      </c>
      <c r="D37" s="41">
        <f t="shared" si="0"/>
        <v>3.4444444444444446</v>
      </c>
      <c r="E37" s="41">
        <v>31</v>
      </c>
      <c r="F37" s="41">
        <f t="shared" si="1"/>
        <v>0.1111111111111111</v>
      </c>
      <c r="G37" s="32">
        <v>2.0736441353327701</v>
      </c>
      <c r="I37" s="18" t="s">
        <v>10</v>
      </c>
      <c r="J37" s="18">
        <v>79</v>
      </c>
      <c r="K37" s="18">
        <v>14</v>
      </c>
      <c r="L37" s="18">
        <f t="shared" si="20"/>
        <v>3.9746835443037973</v>
      </c>
      <c r="M37" s="18">
        <v>314</v>
      </c>
      <c r="N37" s="18">
        <f t="shared" si="21"/>
        <v>0.17721518987341772</v>
      </c>
    </row>
    <row r="38" spans="1:14" x14ac:dyDescent="0.35">
      <c r="A38" s="18" t="s">
        <v>401</v>
      </c>
      <c r="B38" s="18">
        <v>72</v>
      </c>
      <c r="C38" s="18">
        <v>4</v>
      </c>
      <c r="D38" s="18">
        <f t="shared" si="0"/>
        <v>5.3055555555555554</v>
      </c>
      <c r="E38" s="18">
        <v>382</v>
      </c>
      <c r="F38" s="18">
        <f t="shared" si="1"/>
        <v>5.5555555555555552E-2</v>
      </c>
      <c r="G38" s="32">
        <v>2.1248885888797799</v>
      </c>
      <c r="I38" s="18" t="s">
        <v>63</v>
      </c>
      <c r="J38" s="18">
        <v>42</v>
      </c>
      <c r="K38" s="18">
        <v>5</v>
      </c>
      <c r="L38" s="18">
        <f t="shared" si="20"/>
        <v>4.5476190476190474</v>
      </c>
      <c r="M38" s="18">
        <v>191</v>
      </c>
      <c r="N38" s="18">
        <f t="shared" si="21"/>
        <v>0.11904761904761904</v>
      </c>
    </row>
    <row r="39" spans="1:14" x14ac:dyDescent="0.35">
      <c r="A39" s="18" t="s">
        <v>15</v>
      </c>
      <c r="B39" s="18">
        <v>305</v>
      </c>
      <c r="C39" s="18">
        <v>44</v>
      </c>
      <c r="D39" s="18">
        <f t="shared" si="0"/>
        <v>4.613114754098361</v>
      </c>
      <c r="E39" s="18">
        <v>1407</v>
      </c>
      <c r="F39" s="18">
        <f t="shared" si="1"/>
        <v>0.14426229508196722</v>
      </c>
      <c r="G39" s="32">
        <v>2.3694389634605302</v>
      </c>
      <c r="I39" s="18" t="s">
        <v>4</v>
      </c>
      <c r="J39" s="18">
        <v>50</v>
      </c>
      <c r="K39" s="18">
        <v>7</v>
      </c>
      <c r="L39" s="18">
        <f t="shared" si="20"/>
        <v>4.66</v>
      </c>
      <c r="M39" s="18">
        <v>233</v>
      </c>
      <c r="N39" s="18">
        <f t="shared" si="21"/>
        <v>0.14000000000000001</v>
      </c>
    </row>
    <row r="40" spans="1:14" x14ac:dyDescent="0.35">
      <c r="A40" s="18" t="s">
        <v>13</v>
      </c>
      <c r="B40" s="18">
        <v>42</v>
      </c>
      <c r="C40" s="18">
        <v>2</v>
      </c>
      <c r="D40" s="18">
        <f t="shared" si="0"/>
        <v>4.9523809523809526</v>
      </c>
      <c r="E40" s="18">
        <v>208</v>
      </c>
      <c r="F40" s="18">
        <f t="shared" si="1"/>
        <v>4.7619047619047616E-2</v>
      </c>
      <c r="G40" s="32">
        <v>2.1392325234704299</v>
      </c>
      <c r="I40" s="18" t="s">
        <v>121</v>
      </c>
      <c r="J40" s="18">
        <v>126</v>
      </c>
      <c r="K40" s="18">
        <v>29</v>
      </c>
      <c r="L40" s="18">
        <f t="shared" si="20"/>
        <v>3.8095238095238093</v>
      </c>
      <c r="M40" s="18">
        <v>480</v>
      </c>
      <c r="N40" s="18">
        <f t="shared" si="21"/>
        <v>0.23015873015873015</v>
      </c>
    </row>
    <row r="41" spans="1:14" x14ac:dyDescent="0.35">
      <c r="A41" s="18" t="s">
        <v>10</v>
      </c>
      <c r="B41" s="18">
        <v>79</v>
      </c>
      <c r="C41" s="18">
        <v>14</v>
      </c>
      <c r="D41" s="18">
        <f t="shared" si="0"/>
        <v>3.9746835443037973</v>
      </c>
      <c r="E41" s="18">
        <v>314</v>
      </c>
      <c r="F41" s="18">
        <f t="shared" si="1"/>
        <v>0.17721518987341772</v>
      </c>
      <c r="G41" s="32">
        <v>2.2086889501029501</v>
      </c>
      <c r="I41" s="18" t="s">
        <v>232</v>
      </c>
      <c r="J41" s="18">
        <v>223</v>
      </c>
      <c r="K41" s="18">
        <v>55</v>
      </c>
      <c r="L41" s="18">
        <f t="shared" si="20"/>
        <v>3.6726457399103141</v>
      </c>
      <c r="M41" s="18">
        <v>819</v>
      </c>
      <c r="N41" s="18">
        <f t="shared" si="21"/>
        <v>0.24663677130044842</v>
      </c>
    </row>
    <row r="42" spans="1:14" x14ac:dyDescent="0.35">
      <c r="A42" s="18" t="s">
        <v>63</v>
      </c>
      <c r="B42" s="18">
        <v>42</v>
      </c>
      <c r="C42" s="18">
        <v>5</v>
      </c>
      <c r="D42" s="18">
        <f t="shared" si="0"/>
        <v>4.5476190476190474</v>
      </c>
      <c r="E42" s="18">
        <v>191</v>
      </c>
      <c r="F42" s="18">
        <f t="shared" si="1"/>
        <v>0.11904761904761904</v>
      </c>
      <c r="G42" s="32">
        <v>2.6394443859772201</v>
      </c>
      <c r="I42" s="18" t="s">
        <v>21</v>
      </c>
      <c r="J42" s="18">
        <v>197</v>
      </c>
      <c r="K42" s="18">
        <v>26</v>
      </c>
      <c r="L42" s="18">
        <f t="shared" si="20"/>
        <v>4.3197969543147208</v>
      </c>
      <c r="M42" s="18">
        <v>851</v>
      </c>
      <c r="N42" s="18">
        <f t="shared" si="21"/>
        <v>0.13197969543147209</v>
      </c>
    </row>
    <row r="43" spans="1:14" x14ac:dyDescent="0.35">
      <c r="A43" s="18" t="s">
        <v>4</v>
      </c>
      <c r="B43" s="18">
        <v>50</v>
      </c>
      <c r="C43" s="18">
        <v>7</v>
      </c>
      <c r="D43" s="18">
        <f t="shared" si="0"/>
        <v>4.66</v>
      </c>
      <c r="E43" s="18">
        <v>233</v>
      </c>
      <c r="F43" s="18">
        <f t="shared" si="1"/>
        <v>0.14000000000000001</v>
      </c>
      <c r="G43" s="32">
        <v>2.08832734769027</v>
      </c>
      <c r="I43" s="18" t="s">
        <v>51</v>
      </c>
      <c r="J43" s="18">
        <v>50</v>
      </c>
      <c r="K43" s="18">
        <v>4</v>
      </c>
      <c r="L43" s="18">
        <f t="shared" si="20"/>
        <v>4.82</v>
      </c>
      <c r="M43" s="18">
        <v>241</v>
      </c>
      <c r="N43" s="18">
        <f t="shared" si="21"/>
        <v>0.08</v>
      </c>
    </row>
    <row r="44" spans="1:14" x14ac:dyDescent="0.35">
      <c r="A44" s="18" t="s">
        <v>121</v>
      </c>
      <c r="B44" s="18">
        <v>126</v>
      </c>
      <c r="C44" s="18">
        <v>29</v>
      </c>
      <c r="D44" s="18">
        <f t="shared" si="0"/>
        <v>3.8095238095238093</v>
      </c>
      <c r="E44" s="18">
        <v>480</v>
      </c>
      <c r="F44" s="18">
        <f t="shared" si="1"/>
        <v>0.23015873015873015</v>
      </c>
      <c r="G44" s="32">
        <v>2.2233267457082899</v>
      </c>
      <c r="I44" s="18" t="s">
        <v>414</v>
      </c>
      <c r="J44" s="18">
        <v>40</v>
      </c>
      <c r="K44" s="18">
        <v>4</v>
      </c>
      <c r="L44" s="18">
        <f t="shared" ref="L44:L47" si="22">M44/J44</f>
        <v>4.9000000000000004</v>
      </c>
      <c r="M44" s="18">
        <v>196</v>
      </c>
      <c r="N44" s="18">
        <f t="shared" ref="N44:N47" si="23">K44/J44</f>
        <v>0.1</v>
      </c>
    </row>
    <row r="45" spans="1:14" x14ac:dyDescent="0.35">
      <c r="A45" s="18" t="s">
        <v>232</v>
      </c>
      <c r="B45" s="18">
        <v>223</v>
      </c>
      <c r="C45" s="18">
        <v>55</v>
      </c>
      <c r="D45" s="18">
        <f t="shared" si="0"/>
        <v>3.6726457399103141</v>
      </c>
      <c r="E45" s="18">
        <v>819</v>
      </c>
      <c r="F45" s="18">
        <f t="shared" si="1"/>
        <v>0.24663677130044842</v>
      </c>
      <c r="G45" s="32">
        <v>2.2509257354845502</v>
      </c>
      <c r="I45" s="18" t="s">
        <v>0</v>
      </c>
      <c r="J45" s="18">
        <v>86</v>
      </c>
      <c r="K45" s="18">
        <v>14</v>
      </c>
      <c r="L45" s="18">
        <f t="shared" si="22"/>
        <v>4.2093023255813957</v>
      </c>
      <c r="M45" s="18">
        <v>362</v>
      </c>
      <c r="N45" s="18">
        <f t="shared" si="23"/>
        <v>0.16279069767441862</v>
      </c>
    </row>
    <row r="46" spans="1:14" x14ac:dyDescent="0.35">
      <c r="A46" s="18" t="s">
        <v>21</v>
      </c>
      <c r="B46" s="18">
        <v>197</v>
      </c>
      <c r="C46" s="18">
        <v>26</v>
      </c>
      <c r="D46" s="18">
        <f t="shared" si="0"/>
        <v>4.3197969543147208</v>
      </c>
      <c r="E46" s="18">
        <v>851</v>
      </c>
      <c r="F46" s="18">
        <f t="shared" si="1"/>
        <v>0.13197969543147209</v>
      </c>
      <c r="G46" s="32">
        <v>2.0655911179772799</v>
      </c>
      <c r="I46" s="18" t="s">
        <v>1</v>
      </c>
      <c r="J46" s="18">
        <v>151</v>
      </c>
      <c r="K46" s="18">
        <v>11</v>
      </c>
      <c r="L46" s="18">
        <f t="shared" si="22"/>
        <v>4.6026490066225163</v>
      </c>
      <c r="M46" s="18">
        <v>695</v>
      </c>
      <c r="N46" s="18">
        <f t="shared" si="23"/>
        <v>7.2847682119205295E-2</v>
      </c>
    </row>
    <row r="47" spans="1:14" x14ac:dyDescent="0.35">
      <c r="A47" s="18" t="s">
        <v>51</v>
      </c>
      <c r="B47" s="18">
        <v>50</v>
      </c>
      <c r="C47" s="18">
        <v>4</v>
      </c>
      <c r="D47" s="18">
        <f t="shared" si="0"/>
        <v>4.82</v>
      </c>
      <c r="E47" s="18">
        <v>241</v>
      </c>
      <c r="F47" s="18">
        <f t="shared" si="1"/>
        <v>0.08</v>
      </c>
      <c r="G47" s="32">
        <v>2.2967049878400898</v>
      </c>
      <c r="I47" s="18" t="s">
        <v>28</v>
      </c>
      <c r="J47" s="18">
        <v>150</v>
      </c>
      <c r="K47" s="18">
        <v>10</v>
      </c>
      <c r="L47" s="18">
        <f t="shared" si="22"/>
        <v>5.1933333333333334</v>
      </c>
      <c r="M47" s="18">
        <v>779</v>
      </c>
      <c r="N47" s="18">
        <f t="shared" si="23"/>
        <v>6.6666666666666666E-2</v>
      </c>
    </row>
    <row r="48" spans="1:14" x14ac:dyDescent="0.35">
      <c r="A48" s="18" t="s">
        <v>414</v>
      </c>
      <c r="B48" s="18">
        <v>40</v>
      </c>
      <c r="C48" s="18">
        <v>4</v>
      </c>
      <c r="D48" s="18">
        <f t="shared" si="0"/>
        <v>4.9000000000000004</v>
      </c>
      <c r="E48" s="18">
        <v>196</v>
      </c>
      <c r="F48" s="18">
        <f t="shared" si="1"/>
        <v>0.1</v>
      </c>
      <c r="G48" s="32">
        <v>2.8702082220799299</v>
      </c>
      <c r="I48" s="18" t="s">
        <v>253</v>
      </c>
      <c r="J48" s="18">
        <v>61</v>
      </c>
      <c r="K48" s="18">
        <v>4</v>
      </c>
      <c r="L48" s="18">
        <f t="shared" ref="L48:L51" si="24">M48/J48</f>
        <v>5.6065573770491799</v>
      </c>
      <c r="M48" s="18">
        <v>342</v>
      </c>
      <c r="N48" s="18">
        <f t="shared" ref="N48:N49" si="25">K48/J48</f>
        <v>6.5573770491803282E-2</v>
      </c>
    </row>
    <row r="49" spans="1:14" x14ac:dyDescent="0.35">
      <c r="A49" s="18" t="s">
        <v>0</v>
      </c>
      <c r="B49" s="18">
        <v>86</v>
      </c>
      <c r="C49" s="18">
        <v>14</v>
      </c>
      <c r="D49" s="18">
        <f t="shared" si="0"/>
        <v>4.2093023255813957</v>
      </c>
      <c r="E49" s="18">
        <v>362</v>
      </c>
      <c r="F49" s="18">
        <f t="shared" si="1"/>
        <v>0.16279069767441862</v>
      </c>
      <c r="G49" s="32">
        <v>2.16465107712866</v>
      </c>
      <c r="I49" s="18" t="s">
        <v>175</v>
      </c>
      <c r="J49" s="18">
        <v>98</v>
      </c>
      <c r="K49" s="18">
        <v>26</v>
      </c>
      <c r="L49" s="18">
        <f t="shared" si="24"/>
        <v>3.5612244897959182</v>
      </c>
      <c r="M49" s="18">
        <v>349</v>
      </c>
      <c r="N49" s="18">
        <f t="shared" si="25"/>
        <v>0.26530612244897961</v>
      </c>
    </row>
    <row r="50" spans="1:14" x14ac:dyDescent="0.35">
      <c r="A50" s="18" t="s">
        <v>1</v>
      </c>
      <c r="B50" s="18">
        <v>151</v>
      </c>
      <c r="C50" s="18">
        <v>11</v>
      </c>
      <c r="D50" s="18">
        <f t="shared" si="0"/>
        <v>4.6026490066225163</v>
      </c>
      <c r="E50" s="18">
        <v>695</v>
      </c>
      <c r="F50" s="18">
        <f t="shared" si="1"/>
        <v>7.2847682119205295E-2</v>
      </c>
      <c r="G50" s="32">
        <v>2.0412414523193099</v>
      </c>
      <c r="I50" s="18" t="s">
        <v>61</v>
      </c>
      <c r="J50" s="18">
        <v>101</v>
      </c>
      <c r="K50" s="18">
        <v>19</v>
      </c>
      <c r="L50" s="18">
        <f t="shared" si="24"/>
        <v>4.3861386138613865</v>
      </c>
      <c r="M50" s="18">
        <v>443</v>
      </c>
      <c r="N50" s="18">
        <f>K50/J50</f>
        <v>0.18811881188118812</v>
      </c>
    </row>
    <row r="51" spans="1:14" x14ac:dyDescent="0.35">
      <c r="A51" s="18" t="s">
        <v>28</v>
      </c>
      <c r="B51" s="18">
        <v>150</v>
      </c>
      <c r="C51" s="18">
        <v>10</v>
      </c>
      <c r="D51" s="18">
        <f t="shared" si="0"/>
        <v>5.1933333333333334</v>
      </c>
      <c r="E51" s="18">
        <v>779</v>
      </c>
      <c r="F51" s="18">
        <f t="shared" si="1"/>
        <v>6.6666666666666666E-2</v>
      </c>
      <c r="G51" s="32">
        <v>1.30384048104052</v>
      </c>
      <c r="I51" s="18" t="s">
        <v>115</v>
      </c>
      <c r="J51" s="18">
        <v>41</v>
      </c>
      <c r="K51" s="18">
        <v>4</v>
      </c>
      <c r="L51" s="18">
        <f t="shared" si="24"/>
        <v>4.3902439024390247</v>
      </c>
      <c r="M51" s="18">
        <v>180</v>
      </c>
      <c r="N51" s="18">
        <f t="shared" ref="N51" si="26">K51/J51</f>
        <v>9.7560975609756101E-2</v>
      </c>
    </row>
    <row r="52" spans="1:14" x14ac:dyDescent="0.35">
      <c r="A52" s="18" t="s">
        <v>253</v>
      </c>
      <c r="B52" s="18">
        <v>61</v>
      </c>
      <c r="C52" s="18">
        <v>4</v>
      </c>
      <c r="D52" s="18">
        <f t="shared" si="0"/>
        <v>5.6065573770491799</v>
      </c>
      <c r="E52" s="18">
        <v>342</v>
      </c>
      <c r="F52" s="18">
        <f t="shared" si="1"/>
        <v>6.5573770491803282E-2</v>
      </c>
      <c r="G52" s="32"/>
      <c r="I52" s="18" t="s">
        <v>24</v>
      </c>
      <c r="J52" s="18">
        <v>103</v>
      </c>
      <c r="K52" s="18">
        <v>12</v>
      </c>
      <c r="L52" s="18">
        <f t="shared" ref="L52" si="27">M52/J52</f>
        <v>4.5533980582524274</v>
      </c>
      <c r="M52" s="18">
        <v>469</v>
      </c>
      <c r="N52" s="18">
        <f t="shared" ref="N52" si="28">K52/J52</f>
        <v>0.11650485436893204</v>
      </c>
    </row>
    <row r="53" spans="1:14" x14ac:dyDescent="0.35">
      <c r="A53" s="18" t="s">
        <v>175</v>
      </c>
      <c r="B53" s="18">
        <v>98</v>
      </c>
      <c r="C53" s="18">
        <v>26</v>
      </c>
      <c r="D53" s="18">
        <f t="shared" si="0"/>
        <v>3.5612244897959182</v>
      </c>
      <c r="E53" s="18">
        <v>349</v>
      </c>
      <c r="F53" s="18">
        <f t="shared" si="1"/>
        <v>0.26530612244897961</v>
      </c>
      <c r="G53" s="32">
        <v>2</v>
      </c>
      <c r="I53" s="18" t="s">
        <v>116</v>
      </c>
      <c r="J53" s="18">
        <v>40</v>
      </c>
      <c r="K53" s="18">
        <v>5</v>
      </c>
      <c r="L53" s="18">
        <f>M53/J53</f>
        <v>3.85</v>
      </c>
      <c r="M53" s="18">
        <v>154</v>
      </c>
      <c r="N53" s="18">
        <f>K53/J53</f>
        <v>0.125</v>
      </c>
    </row>
    <row r="54" spans="1:14" x14ac:dyDescent="0.35">
      <c r="A54" s="18" t="s">
        <v>61</v>
      </c>
      <c r="B54" s="18">
        <v>101</v>
      </c>
      <c r="C54" s="18">
        <v>19</v>
      </c>
      <c r="D54" s="18">
        <f t="shared" si="0"/>
        <v>4.3861386138613865</v>
      </c>
      <c r="E54" s="18">
        <v>443</v>
      </c>
      <c r="F54" s="18">
        <f>C54/B54</f>
        <v>0.18811881188118812</v>
      </c>
      <c r="G54" s="32">
        <v>3.2403703492039302</v>
      </c>
      <c r="I54" s="18" t="s">
        <v>58</v>
      </c>
      <c r="J54" s="18">
        <v>40</v>
      </c>
      <c r="K54" s="18">
        <v>7</v>
      </c>
      <c r="L54" s="18">
        <f t="shared" ref="L54:L55" si="29">M54/J54</f>
        <v>3.8250000000000002</v>
      </c>
      <c r="M54" s="18">
        <v>153</v>
      </c>
      <c r="N54" s="18">
        <f t="shared" ref="N54:N55" si="30">K54/J54</f>
        <v>0.17499999999999999</v>
      </c>
    </row>
    <row r="55" spans="1:14" x14ac:dyDescent="0.35">
      <c r="A55" s="41" t="s">
        <v>142</v>
      </c>
      <c r="B55" s="41">
        <v>5</v>
      </c>
      <c r="C55" s="41">
        <v>0</v>
      </c>
      <c r="D55" s="41">
        <f t="shared" si="0"/>
        <v>7</v>
      </c>
      <c r="E55" s="41">
        <v>35</v>
      </c>
      <c r="F55" s="41">
        <f t="shared" si="1"/>
        <v>0</v>
      </c>
      <c r="G55" s="32">
        <v>0.81649658092772603</v>
      </c>
      <c r="I55" s="18" t="s">
        <v>30</v>
      </c>
      <c r="J55" s="18">
        <v>71</v>
      </c>
      <c r="K55" s="18">
        <v>5</v>
      </c>
      <c r="L55" s="18">
        <f t="shared" si="29"/>
        <v>5.112676056338028</v>
      </c>
      <c r="M55" s="18">
        <v>363</v>
      </c>
      <c r="N55" s="18">
        <f t="shared" si="30"/>
        <v>7.0422535211267609E-2</v>
      </c>
    </row>
    <row r="56" spans="1:14" x14ac:dyDescent="0.35">
      <c r="A56" s="18" t="s">
        <v>115</v>
      </c>
      <c r="B56" s="18">
        <v>41</v>
      </c>
      <c r="C56" s="18">
        <v>4</v>
      </c>
      <c r="D56" s="18">
        <f t="shared" si="0"/>
        <v>4.3902439024390247</v>
      </c>
      <c r="E56" s="18">
        <v>180</v>
      </c>
      <c r="F56" s="18">
        <f t="shared" si="1"/>
        <v>9.7560975609756101E-2</v>
      </c>
      <c r="G56" s="32">
        <v>1.71824938596844</v>
      </c>
      <c r="I56" s="18" t="s">
        <v>29</v>
      </c>
      <c r="J56" s="18">
        <v>152</v>
      </c>
      <c r="K56" s="18">
        <v>21</v>
      </c>
      <c r="L56" s="18">
        <f t="shared" ref="L55:L57" si="31">M56/J56</f>
        <v>4.0592105263157894</v>
      </c>
      <c r="M56" s="18">
        <v>617</v>
      </c>
      <c r="N56" s="18">
        <f t="shared" ref="N55:N57" si="32">K56/J56</f>
        <v>0.13815789473684212</v>
      </c>
    </row>
    <row r="57" spans="1:14" x14ac:dyDescent="0.35">
      <c r="A57" s="18" t="s">
        <v>24</v>
      </c>
      <c r="B57" s="18">
        <v>103</v>
      </c>
      <c r="C57" s="18">
        <v>12</v>
      </c>
      <c r="D57" s="18">
        <f t="shared" si="0"/>
        <v>4.5533980582524274</v>
      </c>
      <c r="E57" s="18">
        <v>469</v>
      </c>
      <c r="F57" s="18">
        <f t="shared" si="1"/>
        <v>0.11650485436893204</v>
      </c>
      <c r="G57" s="32">
        <v>2.26909243703399</v>
      </c>
      <c r="I57" s="18" t="s">
        <v>148</v>
      </c>
      <c r="J57" s="18">
        <v>43</v>
      </c>
      <c r="K57" s="18">
        <v>8</v>
      </c>
      <c r="L57" s="18">
        <f t="shared" si="31"/>
        <v>3.6976744186046511</v>
      </c>
      <c r="M57" s="18">
        <v>159</v>
      </c>
      <c r="N57" s="18">
        <f t="shared" si="32"/>
        <v>0.18604651162790697</v>
      </c>
    </row>
    <row r="58" spans="1:14" x14ac:dyDescent="0.35">
      <c r="A58" s="18" t="s">
        <v>116</v>
      </c>
      <c r="B58" s="18">
        <v>40</v>
      </c>
      <c r="C58" s="18">
        <v>5</v>
      </c>
      <c r="D58" s="18">
        <f t="shared" si="0"/>
        <v>3.85</v>
      </c>
      <c r="E58" s="18">
        <v>154</v>
      </c>
      <c r="F58" s="18">
        <f t="shared" si="1"/>
        <v>0.125</v>
      </c>
      <c r="G58" s="32">
        <v>1.7043362064926899</v>
      </c>
      <c r="I58" s="18" t="s">
        <v>428</v>
      </c>
      <c r="J58" s="18">
        <v>41</v>
      </c>
      <c r="K58" s="18">
        <v>8</v>
      </c>
      <c r="L58" s="18">
        <f t="shared" ref="L58:L59" si="33">M58/J58</f>
        <v>3.9512195121951219</v>
      </c>
      <c r="M58" s="18">
        <v>162</v>
      </c>
      <c r="N58" s="18">
        <f t="shared" ref="N58:N59" si="34">K58/J58</f>
        <v>0.1951219512195122</v>
      </c>
    </row>
    <row r="59" spans="1:14" x14ac:dyDescent="0.35">
      <c r="A59" t="s">
        <v>5</v>
      </c>
      <c r="B59">
        <v>38</v>
      </c>
      <c r="C59">
        <v>2</v>
      </c>
      <c r="D59">
        <f t="shared" si="0"/>
        <v>4.5526315789473681</v>
      </c>
      <c r="E59">
        <v>173</v>
      </c>
      <c r="F59">
        <f t="shared" si="1"/>
        <v>5.2631578947368418E-2</v>
      </c>
      <c r="G59" s="32">
        <v>1.8898223650461301</v>
      </c>
      <c r="I59" s="18" t="s">
        <v>17</v>
      </c>
      <c r="J59" s="18">
        <v>41</v>
      </c>
      <c r="K59" s="18">
        <v>3</v>
      </c>
      <c r="L59" s="18">
        <f t="shared" si="33"/>
        <v>5.1707317073170733</v>
      </c>
      <c r="M59" s="18">
        <v>212</v>
      </c>
      <c r="N59" s="18">
        <f t="shared" si="34"/>
        <v>7.3170731707317069E-2</v>
      </c>
    </row>
    <row r="60" spans="1:14" x14ac:dyDescent="0.35">
      <c r="A60" s="18" t="s">
        <v>58</v>
      </c>
      <c r="B60" s="18">
        <v>40</v>
      </c>
      <c r="C60" s="18">
        <v>7</v>
      </c>
      <c r="D60" s="18">
        <f t="shared" si="0"/>
        <v>3.8250000000000002</v>
      </c>
      <c r="E60" s="18">
        <v>153</v>
      </c>
      <c r="F60" s="18">
        <f t="shared" si="1"/>
        <v>0.17499999999999999</v>
      </c>
      <c r="G60" s="32">
        <v>2.33809038890002</v>
      </c>
      <c r="I60" s="18" t="s">
        <v>79</v>
      </c>
      <c r="J60" s="18">
        <v>55</v>
      </c>
      <c r="K60" s="18">
        <v>6</v>
      </c>
      <c r="L60" s="18">
        <f>M60/J60</f>
        <v>4.6363636363636367</v>
      </c>
      <c r="M60" s="18">
        <v>255</v>
      </c>
      <c r="N60" s="18">
        <f>K60/J60</f>
        <v>0.10909090909090909</v>
      </c>
    </row>
    <row r="61" spans="1:14" x14ac:dyDescent="0.35">
      <c r="A61" s="18" t="s">
        <v>30</v>
      </c>
      <c r="B61" s="18">
        <v>71</v>
      </c>
      <c r="C61" s="18">
        <v>5</v>
      </c>
      <c r="D61" s="18">
        <f t="shared" si="0"/>
        <v>5.112676056338028</v>
      </c>
      <c r="E61" s="18">
        <v>363</v>
      </c>
      <c r="F61" s="18">
        <f t="shared" si="1"/>
        <v>7.0422535211267609E-2</v>
      </c>
      <c r="G61" s="32">
        <v>2.5226248955475601</v>
      </c>
      <c r="I61" s="18" t="s">
        <v>123</v>
      </c>
      <c r="J61" s="18">
        <v>59</v>
      </c>
      <c r="K61" s="18">
        <v>8</v>
      </c>
      <c r="L61" s="18">
        <f t="shared" ref="L61" si="35">M61/J61</f>
        <v>4.4915254237288131</v>
      </c>
      <c r="M61" s="18">
        <v>265</v>
      </c>
      <c r="N61" s="18">
        <f t="shared" ref="N61" si="36">K61/J61</f>
        <v>0.13559322033898305</v>
      </c>
    </row>
    <row r="62" spans="1:14" x14ac:dyDescent="0.35">
      <c r="A62" s="18" t="s">
        <v>29</v>
      </c>
      <c r="B62" s="18">
        <v>152</v>
      </c>
      <c r="C62" s="18">
        <v>21</v>
      </c>
      <c r="D62" s="18">
        <f t="shared" si="0"/>
        <v>4.0592105263157894</v>
      </c>
      <c r="E62" s="18">
        <v>617</v>
      </c>
      <c r="F62" s="18">
        <f t="shared" si="1"/>
        <v>0.13815789473684212</v>
      </c>
      <c r="G62" s="32">
        <v>2.0875571218153701</v>
      </c>
      <c r="I62" s="18" t="s">
        <v>12</v>
      </c>
      <c r="J62" s="18">
        <v>40</v>
      </c>
      <c r="K62" s="18">
        <v>2</v>
      </c>
      <c r="L62" s="18">
        <f t="shared" ref="L62:L63" si="37">M62/J62</f>
        <v>4.7249999999999996</v>
      </c>
      <c r="M62" s="18">
        <v>189</v>
      </c>
      <c r="N62" s="18">
        <f t="shared" ref="N62:N63" si="38">K62/J62</f>
        <v>0.05</v>
      </c>
    </row>
    <row r="63" spans="1:14" x14ac:dyDescent="0.35">
      <c r="A63" s="18" t="s">
        <v>148</v>
      </c>
      <c r="B63" s="18">
        <v>43</v>
      </c>
      <c r="C63" s="18">
        <v>8</v>
      </c>
      <c r="D63" s="18">
        <f t="shared" si="0"/>
        <v>3.6976744186046511</v>
      </c>
      <c r="E63" s="18">
        <v>159</v>
      </c>
      <c r="F63" s="18">
        <f t="shared" si="1"/>
        <v>0.18604651162790697</v>
      </c>
      <c r="G63" s="32">
        <v>2.0528725518857001</v>
      </c>
      <c r="I63" s="18" t="s">
        <v>404</v>
      </c>
      <c r="J63" s="18">
        <v>42</v>
      </c>
      <c r="K63" s="18">
        <v>4</v>
      </c>
      <c r="L63" s="18">
        <f t="shared" si="37"/>
        <v>4.8571428571428568</v>
      </c>
      <c r="M63" s="18">
        <v>204</v>
      </c>
      <c r="N63" s="18">
        <f t="shared" si="38"/>
        <v>9.5238095238095233E-2</v>
      </c>
    </row>
    <row r="64" spans="1:14" x14ac:dyDescent="0.35">
      <c r="A64" t="s">
        <v>9</v>
      </c>
      <c r="B64">
        <v>39</v>
      </c>
      <c r="C64">
        <v>4</v>
      </c>
      <c r="D64">
        <f t="shared" si="0"/>
        <v>3.9743589743589745</v>
      </c>
      <c r="E64">
        <v>155</v>
      </c>
      <c r="F64">
        <f t="shared" si="1"/>
        <v>0.10256410256410256</v>
      </c>
      <c r="G64" s="32">
        <v>2.42097317438899</v>
      </c>
      <c r="I64" s="18" t="s">
        <v>22</v>
      </c>
      <c r="J64" s="18">
        <v>187</v>
      </c>
      <c r="K64" s="18">
        <v>30</v>
      </c>
      <c r="L64" s="18">
        <f>M64/J64</f>
        <v>4.1336898395721926</v>
      </c>
      <c r="M64" s="18">
        <v>773</v>
      </c>
      <c r="N64" s="18">
        <f>K64/J64</f>
        <v>0.16042780748663102</v>
      </c>
    </row>
    <row r="65" spans="1:14" x14ac:dyDescent="0.35">
      <c r="A65" t="s">
        <v>139</v>
      </c>
      <c r="B65">
        <v>33</v>
      </c>
      <c r="C65">
        <v>4</v>
      </c>
      <c r="D65">
        <f t="shared" si="0"/>
        <v>4.333333333333333</v>
      </c>
      <c r="E65">
        <v>143</v>
      </c>
      <c r="F65">
        <f t="shared" si="1"/>
        <v>0.12121212121212122</v>
      </c>
      <c r="G65" s="32">
        <v>1.9944979263017399</v>
      </c>
      <c r="I65" s="18" t="s">
        <v>110</v>
      </c>
      <c r="J65" s="18">
        <v>40</v>
      </c>
      <c r="K65" s="18">
        <v>1</v>
      </c>
      <c r="L65" s="18">
        <f>M65/J65</f>
        <v>4.4749999999999996</v>
      </c>
      <c r="M65" s="18">
        <v>179</v>
      </c>
      <c r="N65" s="18">
        <f>K65/J65</f>
        <v>2.5000000000000001E-2</v>
      </c>
    </row>
    <row r="66" spans="1:14" x14ac:dyDescent="0.35">
      <c r="A66" s="18" t="s">
        <v>428</v>
      </c>
      <c r="B66" s="18">
        <v>41</v>
      </c>
      <c r="C66" s="18">
        <v>8</v>
      </c>
      <c r="D66" s="18">
        <f t="shared" si="0"/>
        <v>3.9512195121951219</v>
      </c>
      <c r="E66" s="18">
        <v>162</v>
      </c>
      <c r="F66" s="18">
        <f t="shared" si="1"/>
        <v>0.1951219512195122</v>
      </c>
      <c r="G66" s="32">
        <v>1.9414506867882999</v>
      </c>
      <c r="I66" s="18" t="s">
        <v>82</v>
      </c>
      <c r="J66" s="18">
        <v>40</v>
      </c>
      <c r="K66" s="18">
        <v>1</v>
      </c>
      <c r="L66" s="18">
        <f t="shared" ref="L66:L67" si="39">M66/J66</f>
        <v>5.35</v>
      </c>
      <c r="M66" s="18">
        <v>214</v>
      </c>
      <c r="N66" s="18">
        <f>K66/J66</f>
        <v>2.5000000000000001E-2</v>
      </c>
    </row>
    <row r="67" spans="1:14" x14ac:dyDescent="0.35">
      <c r="A67" s="41" t="s">
        <v>197</v>
      </c>
      <c r="B67" s="41">
        <v>10</v>
      </c>
      <c r="C67" s="41">
        <v>0</v>
      </c>
      <c r="D67" s="41">
        <f t="shared" si="0"/>
        <v>5</v>
      </c>
      <c r="E67" s="41">
        <v>50</v>
      </c>
      <c r="F67" s="41">
        <f t="shared" si="1"/>
        <v>0</v>
      </c>
      <c r="G67" s="32">
        <v>2.39045721866878</v>
      </c>
      <c r="I67" s="18" t="s">
        <v>33</v>
      </c>
      <c r="J67" s="18">
        <v>83</v>
      </c>
      <c r="K67" s="18">
        <v>4</v>
      </c>
      <c r="L67" s="18">
        <f t="shared" si="39"/>
        <v>5.4457831325301207</v>
      </c>
      <c r="M67" s="18">
        <v>452</v>
      </c>
      <c r="N67" s="18">
        <f t="shared" ref="N67" si="40">K67/J67</f>
        <v>4.8192771084337352E-2</v>
      </c>
    </row>
    <row r="68" spans="1:14" x14ac:dyDescent="0.35">
      <c r="A68" s="18" t="s">
        <v>17</v>
      </c>
      <c r="B68" s="18">
        <v>41</v>
      </c>
      <c r="C68" s="18">
        <v>3</v>
      </c>
      <c r="D68" s="18">
        <f t="shared" si="0"/>
        <v>5.1707317073170733</v>
      </c>
      <c r="E68" s="18">
        <v>212</v>
      </c>
      <c r="F68" s="18">
        <f t="shared" si="1"/>
        <v>7.3170731707317069E-2</v>
      </c>
      <c r="G68" s="32">
        <v>2.4832774042918899</v>
      </c>
      <c r="I68" s="18" t="s">
        <v>7</v>
      </c>
      <c r="J68" s="18">
        <v>40</v>
      </c>
      <c r="K68" s="18">
        <v>8</v>
      </c>
      <c r="L68" s="18">
        <f t="shared" ref="L68:L69" si="41">M68/J68</f>
        <v>3.85</v>
      </c>
      <c r="M68" s="18">
        <v>154</v>
      </c>
      <c r="N68" s="18">
        <f t="shared" ref="N68:N69" si="42">K68/J68</f>
        <v>0.2</v>
      </c>
    </row>
    <row r="69" spans="1:14" x14ac:dyDescent="0.35">
      <c r="A69" s="18" t="s">
        <v>79</v>
      </c>
      <c r="B69" s="18">
        <v>55</v>
      </c>
      <c r="C69" s="18">
        <v>6</v>
      </c>
      <c r="D69" s="18">
        <f t="shared" si="0"/>
        <v>4.6363636363636367</v>
      </c>
      <c r="E69" s="18">
        <v>255</v>
      </c>
      <c r="F69" s="18">
        <f t="shared" si="1"/>
        <v>0.10909090909090909</v>
      </c>
      <c r="G69" s="32">
        <v>2.05866345916355</v>
      </c>
      <c r="I69" s="18" t="s">
        <v>129</v>
      </c>
      <c r="J69" s="18">
        <v>56</v>
      </c>
      <c r="K69" s="18">
        <v>10</v>
      </c>
      <c r="L69" s="18">
        <f t="shared" si="41"/>
        <v>4.5535714285714288</v>
      </c>
      <c r="M69" s="18">
        <v>255</v>
      </c>
      <c r="N69" s="18">
        <f t="shared" si="42"/>
        <v>0.17857142857142858</v>
      </c>
    </row>
    <row r="70" spans="1:14" x14ac:dyDescent="0.35">
      <c r="A70" s="18" t="s">
        <v>123</v>
      </c>
      <c r="B70" s="18">
        <v>59</v>
      </c>
      <c r="C70" s="18">
        <v>8</v>
      </c>
      <c r="D70" s="18">
        <f t="shared" si="0"/>
        <v>4.4915254237288131</v>
      </c>
      <c r="E70" s="18">
        <v>265</v>
      </c>
      <c r="F70" s="18">
        <f t="shared" si="1"/>
        <v>0.13559322033898305</v>
      </c>
      <c r="G70" s="32">
        <v>2</v>
      </c>
      <c r="I70" s="18" t="s">
        <v>113</v>
      </c>
      <c r="J70" s="18">
        <v>45</v>
      </c>
      <c r="K70" s="18">
        <v>1</v>
      </c>
      <c r="L70" s="18">
        <f>M70/J70</f>
        <v>4.5111111111111111</v>
      </c>
      <c r="M70" s="18">
        <v>203</v>
      </c>
      <c r="N70" s="18">
        <f>K70/J70</f>
        <v>2.2222222222222223E-2</v>
      </c>
    </row>
    <row r="71" spans="1:14" x14ac:dyDescent="0.35">
      <c r="A71" s="18" t="s">
        <v>12</v>
      </c>
      <c r="B71" s="18">
        <v>40</v>
      </c>
      <c r="C71" s="18">
        <v>2</v>
      </c>
      <c r="D71" s="18">
        <f t="shared" si="0"/>
        <v>4.7249999999999996</v>
      </c>
      <c r="E71" s="18">
        <v>189</v>
      </c>
      <c r="F71" s="18">
        <f t="shared" si="1"/>
        <v>0.05</v>
      </c>
      <c r="G71" s="32">
        <v>2.44584195260913</v>
      </c>
      <c r="I71" s="18" t="s">
        <v>35</v>
      </c>
      <c r="J71" s="18">
        <v>211</v>
      </c>
      <c r="K71" s="18">
        <v>49</v>
      </c>
      <c r="L71" s="18">
        <f t="shared" ref="L71" si="43">M71/J71</f>
        <v>3.5876777251184833</v>
      </c>
      <c r="M71" s="18">
        <v>757</v>
      </c>
      <c r="N71" s="18">
        <f t="shared" ref="N71" si="44">K71/J71</f>
        <v>0.23222748815165878</v>
      </c>
    </row>
    <row r="72" spans="1:14" x14ac:dyDescent="0.35">
      <c r="A72" s="18" t="s">
        <v>404</v>
      </c>
      <c r="B72" s="18">
        <v>42</v>
      </c>
      <c r="C72" s="18">
        <v>4</v>
      </c>
      <c r="D72" s="18">
        <f t="shared" si="0"/>
        <v>4.8571428571428568</v>
      </c>
      <c r="E72" s="18">
        <v>204</v>
      </c>
      <c r="F72" s="18">
        <f t="shared" si="1"/>
        <v>9.5238095238095233E-2</v>
      </c>
      <c r="G72" s="32">
        <v>2.3094010767584998</v>
      </c>
      <c r="I72" s="18" t="s">
        <v>26</v>
      </c>
      <c r="J72" s="18">
        <v>126</v>
      </c>
      <c r="K72" s="18">
        <v>7</v>
      </c>
      <c r="L72" s="18">
        <f t="shared" ref="L71:L72" si="45">M72/J72</f>
        <v>5.2698412698412698</v>
      </c>
      <c r="M72" s="18">
        <v>664</v>
      </c>
      <c r="N72" s="18">
        <f t="shared" ref="N71:N72" si="46">K72/J72</f>
        <v>5.5555555555555552E-2</v>
      </c>
    </row>
    <row r="73" spans="1:14" x14ac:dyDescent="0.35">
      <c r="A73" s="18" t="s">
        <v>22</v>
      </c>
      <c r="B73" s="18">
        <v>187</v>
      </c>
      <c r="C73" s="18">
        <v>30</v>
      </c>
      <c r="D73" s="18">
        <f>E73/B73</f>
        <v>4.1336898395721926</v>
      </c>
      <c r="E73" s="18">
        <v>773</v>
      </c>
      <c r="F73" s="18">
        <f>C73/B73</f>
        <v>0.16042780748663102</v>
      </c>
      <c r="G73" s="32">
        <v>2.2045689482796602</v>
      </c>
      <c r="I73" s="18" t="s">
        <v>122</v>
      </c>
      <c r="J73" s="18">
        <v>204</v>
      </c>
      <c r="K73" s="18">
        <v>24</v>
      </c>
      <c r="L73" s="18">
        <f t="shared" ref="L71:L74" si="47">M73/J73</f>
        <v>3.9950980392156863</v>
      </c>
      <c r="M73" s="18">
        <v>815</v>
      </c>
      <c r="N73" s="18">
        <f t="shared" ref="N71:N74" si="48">K73/J73</f>
        <v>0.11764705882352941</v>
      </c>
    </row>
    <row r="74" spans="1:14" x14ac:dyDescent="0.35">
      <c r="A74" s="41" t="s">
        <v>135</v>
      </c>
      <c r="B74" s="41">
        <v>8</v>
      </c>
      <c r="C74" s="41">
        <v>1</v>
      </c>
      <c r="D74" s="41">
        <f>E74/B74</f>
        <v>4.75</v>
      </c>
      <c r="E74" s="41">
        <v>38</v>
      </c>
      <c r="F74" s="41">
        <f>C74/B74</f>
        <v>0.125</v>
      </c>
      <c r="G74" s="32">
        <v>2.16794833886788</v>
      </c>
      <c r="I74" s="18" t="s">
        <v>49</v>
      </c>
      <c r="J74" s="18">
        <v>167</v>
      </c>
      <c r="K74" s="18">
        <v>12</v>
      </c>
      <c r="L74" s="18">
        <f t="shared" si="47"/>
        <v>4.9640718562874255</v>
      </c>
      <c r="M74" s="18">
        <v>829</v>
      </c>
      <c r="N74" s="18">
        <f t="shared" si="48"/>
        <v>7.1856287425149698E-2</v>
      </c>
    </row>
    <row r="75" spans="1:14" x14ac:dyDescent="0.35">
      <c r="A75" s="18" t="s">
        <v>110</v>
      </c>
      <c r="B75" s="18">
        <v>40</v>
      </c>
      <c r="C75" s="18">
        <v>1</v>
      </c>
      <c r="D75" s="18">
        <f>E75/B75</f>
        <v>4.4749999999999996</v>
      </c>
      <c r="E75" s="18">
        <v>179</v>
      </c>
      <c r="F75" s="18">
        <f>C75/B75</f>
        <v>2.5000000000000001E-2</v>
      </c>
      <c r="G75" s="32">
        <v>1.9407902170679501</v>
      </c>
      <c r="I75" s="18" t="s">
        <v>3</v>
      </c>
      <c r="J75" s="18">
        <v>58</v>
      </c>
      <c r="K75" s="18">
        <v>8</v>
      </c>
      <c r="L75" s="18">
        <f t="shared" ref="L73:L75" si="49">M75/J75</f>
        <v>4.1724137931034484</v>
      </c>
      <c r="M75" s="18">
        <v>242</v>
      </c>
      <c r="N75" s="18">
        <f t="shared" ref="N73:N75" si="50">K75/J75</f>
        <v>0.13793103448275862</v>
      </c>
    </row>
    <row r="76" spans="1:14" x14ac:dyDescent="0.35">
      <c r="A76" s="18" t="s">
        <v>82</v>
      </c>
      <c r="B76" s="18">
        <v>40</v>
      </c>
      <c r="C76" s="18">
        <v>1</v>
      </c>
      <c r="D76" s="18">
        <f t="shared" ref="D76:D91" si="51">E76/B76</f>
        <v>5.35</v>
      </c>
      <c r="E76" s="18">
        <v>214</v>
      </c>
      <c r="F76" s="18">
        <f>C76/B76</f>
        <v>2.5000000000000001E-2</v>
      </c>
      <c r="G76" s="32">
        <v>2</v>
      </c>
      <c r="I76" s="18" t="s">
        <v>2</v>
      </c>
      <c r="J76" s="18">
        <v>41</v>
      </c>
      <c r="K76" s="18">
        <v>10</v>
      </c>
      <c r="L76" s="18">
        <f>M76/J76</f>
        <v>3.8048780487804876</v>
      </c>
      <c r="M76" s="18">
        <v>156</v>
      </c>
      <c r="N76" s="18">
        <f>K76/J76</f>
        <v>0.24390243902439024</v>
      </c>
    </row>
    <row r="77" spans="1:14" x14ac:dyDescent="0.35">
      <c r="A77" s="18" t="s">
        <v>33</v>
      </c>
      <c r="B77" s="18">
        <v>83</v>
      </c>
      <c r="C77" s="18">
        <v>4</v>
      </c>
      <c r="D77" s="18">
        <f t="shared" si="51"/>
        <v>5.4457831325301207</v>
      </c>
      <c r="E77" s="18">
        <v>452</v>
      </c>
      <c r="F77" s="18">
        <f t="shared" ref="F77:F91" si="52">C77/B77</f>
        <v>4.8192771084337352E-2</v>
      </c>
      <c r="G77" s="32">
        <v>2.14993539954627</v>
      </c>
      <c r="I77" s="18" t="s">
        <v>124</v>
      </c>
      <c r="J77" s="18">
        <v>40</v>
      </c>
      <c r="K77" s="18">
        <v>1</v>
      </c>
      <c r="L77" s="18">
        <f>M77/J77</f>
        <v>5.15</v>
      </c>
      <c r="M77" s="18">
        <v>206</v>
      </c>
      <c r="N77" s="18">
        <f>K77/J77</f>
        <v>2.5000000000000001E-2</v>
      </c>
    </row>
    <row r="78" spans="1:14" x14ac:dyDescent="0.35">
      <c r="A78" t="s">
        <v>99</v>
      </c>
      <c r="B78">
        <v>38</v>
      </c>
      <c r="C78">
        <v>3</v>
      </c>
      <c r="D78">
        <f t="shared" si="51"/>
        <v>5.0526315789473681</v>
      </c>
      <c r="E78">
        <v>192</v>
      </c>
      <c r="F78">
        <f t="shared" si="52"/>
        <v>7.8947368421052627E-2</v>
      </c>
      <c r="G78" s="32">
        <v>2.6687491868330699</v>
      </c>
    </row>
    <row r="79" spans="1:14" x14ac:dyDescent="0.35">
      <c r="A79" s="18" t="s">
        <v>7</v>
      </c>
      <c r="B79" s="18">
        <v>40</v>
      </c>
      <c r="C79" s="18">
        <v>8</v>
      </c>
      <c r="D79" s="18">
        <f t="shared" si="51"/>
        <v>3.85</v>
      </c>
      <c r="E79" s="18">
        <v>154</v>
      </c>
      <c r="F79" s="18">
        <f t="shared" si="52"/>
        <v>0.2</v>
      </c>
      <c r="G79" s="32">
        <v>2.7888667551135802</v>
      </c>
    </row>
    <row r="80" spans="1:14" x14ac:dyDescent="0.35">
      <c r="A80" s="41" t="s">
        <v>138</v>
      </c>
      <c r="B80" s="41">
        <v>5</v>
      </c>
      <c r="C80" s="41">
        <v>1</v>
      </c>
      <c r="D80" s="41">
        <f t="shared" si="51"/>
        <v>4</v>
      </c>
      <c r="E80" s="41">
        <v>20</v>
      </c>
      <c r="F80" s="41">
        <f t="shared" si="52"/>
        <v>0.2</v>
      </c>
      <c r="G80" s="32">
        <v>2.2173557826083399</v>
      </c>
    </row>
    <row r="81" spans="1:7" x14ac:dyDescent="0.35">
      <c r="A81" s="41" t="s">
        <v>137</v>
      </c>
      <c r="B81" s="41">
        <v>11</v>
      </c>
      <c r="C81" s="41">
        <v>1</v>
      </c>
      <c r="D81" s="41">
        <f t="shared" si="51"/>
        <v>4.1818181818181817</v>
      </c>
      <c r="E81" s="41">
        <v>46</v>
      </c>
      <c r="F81" s="41">
        <f t="shared" si="52"/>
        <v>9.0909090909090912E-2</v>
      </c>
      <c r="G81" s="32">
        <v>1.8618986725025199</v>
      </c>
    </row>
    <row r="82" spans="1:7" x14ac:dyDescent="0.35">
      <c r="A82" s="18" t="s">
        <v>129</v>
      </c>
      <c r="B82" s="18">
        <v>56</v>
      </c>
      <c r="C82" s="18">
        <v>10</v>
      </c>
      <c r="D82" s="18">
        <f t="shared" si="51"/>
        <v>4.5535714285714288</v>
      </c>
      <c r="E82" s="18">
        <v>255</v>
      </c>
      <c r="F82" s="18">
        <f t="shared" si="52"/>
        <v>0.17857142857142858</v>
      </c>
      <c r="G82" s="32">
        <v>2.1315096371664199</v>
      </c>
    </row>
    <row r="83" spans="1:7" x14ac:dyDescent="0.35">
      <c r="A83" s="18" t="s">
        <v>113</v>
      </c>
      <c r="B83" s="18">
        <v>45</v>
      </c>
      <c r="C83" s="18">
        <v>1</v>
      </c>
      <c r="D83" s="18">
        <f t="shared" si="51"/>
        <v>4.5111111111111111</v>
      </c>
      <c r="E83" s="18">
        <v>203</v>
      </c>
      <c r="F83" s="18">
        <f t="shared" si="52"/>
        <v>2.2222222222222223E-2</v>
      </c>
      <c r="G83" s="32">
        <v>2.4899799195977401</v>
      </c>
    </row>
    <row r="84" spans="1:7" x14ac:dyDescent="0.35">
      <c r="A84" s="18" t="s">
        <v>35</v>
      </c>
      <c r="B84" s="18">
        <v>211</v>
      </c>
      <c r="C84" s="18">
        <v>49</v>
      </c>
      <c r="D84" s="18">
        <f t="shared" si="51"/>
        <v>3.5876777251184833</v>
      </c>
      <c r="E84" s="18">
        <v>757</v>
      </c>
      <c r="F84" s="18">
        <f t="shared" si="52"/>
        <v>0.23222748815165878</v>
      </c>
      <c r="G84" s="32">
        <v>2.6214406763289899</v>
      </c>
    </row>
    <row r="85" spans="1:7" x14ac:dyDescent="0.35">
      <c r="A85" s="18" t="s">
        <v>26</v>
      </c>
      <c r="B85" s="18">
        <v>126</v>
      </c>
      <c r="C85" s="18">
        <v>7</v>
      </c>
      <c r="D85" s="18">
        <f t="shared" si="51"/>
        <v>5.2698412698412698</v>
      </c>
      <c r="E85" s="18">
        <v>664</v>
      </c>
      <c r="F85" s="18">
        <f t="shared" si="52"/>
        <v>5.5555555555555552E-2</v>
      </c>
      <c r="G85" s="32">
        <v>2.4494897427831699</v>
      </c>
    </row>
    <row r="86" spans="1:7" x14ac:dyDescent="0.35">
      <c r="A86" s="18" t="s">
        <v>122</v>
      </c>
      <c r="B86" s="18">
        <v>204</v>
      </c>
      <c r="C86" s="18">
        <v>24</v>
      </c>
      <c r="D86" s="18">
        <f t="shared" si="51"/>
        <v>3.9950980392156863</v>
      </c>
      <c r="E86" s="18">
        <v>815</v>
      </c>
      <c r="F86" s="18">
        <f t="shared" si="52"/>
        <v>0.11764705882352941</v>
      </c>
      <c r="G86" s="32">
        <v>1.6329931618554501</v>
      </c>
    </row>
    <row r="87" spans="1:7" x14ac:dyDescent="0.35">
      <c r="A87" s="18" t="s">
        <v>49</v>
      </c>
      <c r="B87" s="18">
        <v>167</v>
      </c>
      <c r="C87" s="18">
        <v>12</v>
      </c>
      <c r="D87" s="18">
        <f t="shared" si="51"/>
        <v>4.9640718562874255</v>
      </c>
      <c r="E87" s="18">
        <v>829</v>
      </c>
      <c r="F87" s="18">
        <f t="shared" si="52"/>
        <v>7.1856287425149698E-2</v>
      </c>
      <c r="G87" s="32">
        <v>2.79455252402308</v>
      </c>
    </row>
    <row r="88" spans="1:7" x14ac:dyDescent="0.35">
      <c r="A88" s="18" t="s">
        <v>3</v>
      </c>
      <c r="B88" s="18">
        <v>58</v>
      </c>
      <c r="C88" s="18">
        <v>8</v>
      </c>
      <c r="D88" s="18">
        <f t="shared" si="51"/>
        <v>4.1724137931034484</v>
      </c>
      <c r="E88" s="18">
        <v>242</v>
      </c>
      <c r="F88" s="18">
        <f t="shared" si="52"/>
        <v>0.13793103448275862</v>
      </c>
      <c r="G88" s="32">
        <v>2.3731557327466102</v>
      </c>
    </row>
    <row r="89" spans="1:7" x14ac:dyDescent="0.35">
      <c r="A89" t="s">
        <v>230</v>
      </c>
      <c r="B89">
        <v>38</v>
      </c>
      <c r="C89">
        <v>4</v>
      </c>
      <c r="D89">
        <f t="shared" si="51"/>
        <v>4.9736842105263159</v>
      </c>
      <c r="E89">
        <v>189</v>
      </c>
      <c r="F89">
        <f t="shared" si="52"/>
        <v>0.10526315789473684</v>
      </c>
      <c r="G89" s="32">
        <v>2.7748873851023199</v>
      </c>
    </row>
    <row r="90" spans="1:7" x14ac:dyDescent="0.35">
      <c r="A90" s="18" t="s">
        <v>2</v>
      </c>
      <c r="B90" s="18">
        <v>41</v>
      </c>
      <c r="C90" s="18">
        <v>10</v>
      </c>
      <c r="D90" s="18">
        <f t="shared" si="51"/>
        <v>3.8048780487804876</v>
      </c>
      <c r="E90" s="18">
        <v>156</v>
      </c>
      <c r="F90" s="18">
        <f t="shared" si="52"/>
        <v>0.24390243902439024</v>
      </c>
      <c r="G90" s="32">
        <v>2.5876449587894599</v>
      </c>
    </row>
    <row r="91" spans="1:7" x14ac:dyDescent="0.35">
      <c r="A91" s="18" t="s">
        <v>124</v>
      </c>
      <c r="B91" s="18">
        <v>40</v>
      </c>
      <c r="C91" s="18">
        <v>1</v>
      </c>
      <c r="D91" s="18">
        <f t="shared" si="51"/>
        <v>5.15</v>
      </c>
      <c r="E91" s="18">
        <v>206</v>
      </c>
      <c r="F91" s="18">
        <f t="shared" si="52"/>
        <v>2.5000000000000001E-2</v>
      </c>
      <c r="G91" s="32">
        <v>2.16794833886788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90" zoomScaleNormal="90" workbookViewId="0">
      <selection activeCell="AA35" sqref="AA35"/>
    </sheetView>
  </sheetViews>
  <sheetFormatPr defaultRowHeight="14.5" x14ac:dyDescent="0.35"/>
  <cols>
    <col min="8" max="8" width="17.7265625" bestFit="1" customWidth="1"/>
    <col min="9" max="9" width="7.1796875" bestFit="1" customWidth="1"/>
    <col min="10" max="10" width="8.7265625" bestFit="1" customWidth="1"/>
    <col min="11" max="12" width="12" bestFit="1" customWidth="1"/>
    <col min="13" max="13" width="5" bestFit="1" customWidth="1"/>
    <col min="15" max="15" width="17.7265625" bestFit="1" customWidth="1"/>
    <col min="16" max="16" width="7.1796875" bestFit="1" customWidth="1"/>
    <col min="17" max="17" width="8.7265625" bestFit="1" customWidth="1"/>
    <col min="18" max="19" width="13.26953125" bestFit="1" customWidth="1"/>
  </cols>
  <sheetData>
    <row r="1" spans="1:21" x14ac:dyDescent="0.35">
      <c r="A1" s="4" t="s">
        <v>42</v>
      </c>
      <c r="B1" s="4" t="s">
        <v>38</v>
      </c>
      <c r="C1" s="4" t="s">
        <v>39</v>
      </c>
      <c r="D1" s="4" t="s">
        <v>40</v>
      </c>
      <c r="F1" s="4" t="s">
        <v>111</v>
      </c>
      <c r="H1" s="4" t="s">
        <v>42</v>
      </c>
      <c r="I1" s="4" t="s">
        <v>38</v>
      </c>
      <c r="J1" s="4" t="s">
        <v>39</v>
      </c>
      <c r="K1" s="4" t="s">
        <v>40</v>
      </c>
      <c r="L1" s="4" t="s">
        <v>111</v>
      </c>
      <c r="O1" s="4" t="s">
        <v>42</v>
      </c>
      <c r="P1" s="4" t="s">
        <v>38</v>
      </c>
      <c r="Q1" s="4" t="s">
        <v>39</v>
      </c>
      <c r="R1" s="4" t="s">
        <v>40</v>
      </c>
      <c r="S1" s="4" t="s">
        <v>111</v>
      </c>
    </row>
    <row r="2" spans="1:21" x14ac:dyDescent="0.35">
      <c r="A2" s="18" t="s">
        <v>128</v>
      </c>
      <c r="B2" s="18">
        <v>116</v>
      </c>
      <c r="C2" s="18">
        <v>37</v>
      </c>
      <c r="D2" s="18">
        <f t="shared" ref="D2:D42" si="0">E2/B2</f>
        <v>3.2155172413793105</v>
      </c>
      <c r="E2" s="18">
        <v>373</v>
      </c>
      <c r="F2" s="18">
        <f t="shared" ref="F2:F42" si="1">C2/B2</f>
        <v>0.31896551724137934</v>
      </c>
      <c r="H2" s="18" t="s">
        <v>128</v>
      </c>
      <c r="I2" s="18">
        <v>118</v>
      </c>
      <c r="J2" s="18">
        <v>38</v>
      </c>
      <c r="K2" s="18">
        <f t="shared" ref="K2:K49" si="2">M2/I2</f>
        <v>3.2118644067796609</v>
      </c>
      <c r="L2" s="18">
        <f t="shared" ref="L2:L49" si="3">J2/I2</f>
        <v>0.32203389830508472</v>
      </c>
      <c r="M2" s="18">
        <v>379</v>
      </c>
      <c r="O2" s="18" t="s">
        <v>128</v>
      </c>
      <c r="P2" s="18">
        <v>119</v>
      </c>
      <c r="Q2" s="18">
        <v>38</v>
      </c>
      <c r="R2" s="18">
        <f t="shared" ref="R2:R33" si="4">U2/P2</f>
        <v>3.2184873949579833</v>
      </c>
      <c r="S2" s="18">
        <f t="shared" ref="S2:S33" si="5">Q2/P2</f>
        <v>0.31932773109243695</v>
      </c>
      <c r="U2" s="18">
        <v>383</v>
      </c>
    </row>
    <row r="3" spans="1:21" x14ac:dyDescent="0.35">
      <c r="A3" s="18" t="s">
        <v>175</v>
      </c>
      <c r="B3" s="18">
        <v>67</v>
      </c>
      <c r="C3" s="18">
        <v>19</v>
      </c>
      <c r="D3" s="18">
        <f t="shared" si="0"/>
        <v>3.3731343283582089</v>
      </c>
      <c r="E3" s="18">
        <v>226</v>
      </c>
      <c r="F3" s="18">
        <f t="shared" si="1"/>
        <v>0.28358208955223879</v>
      </c>
      <c r="H3" s="18" t="s">
        <v>175</v>
      </c>
      <c r="I3" s="18">
        <v>71</v>
      </c>
      <c r="J3" s="18">
        <v>19</v>
      </c>
      <c r="K3" s="18">
        <f t="shared" si="2"/>
        <v>3.4225352112676055</v>
      </c>
      <c r="L3" s="18">
        <f t="shared" si="3"/>
        <v>0.26760563380281688</v>
      </c>
      <c r="M3" s="18">
        <v>243</v>
      </c>
      <c r="O3" s="18" t="s">
        <v>175</v>
      </c>
      <c r="P3" s="18">
        <v>83</v>
      </c>
      <c r="Q3" s="18">
        <v>22</v>
      </c>
      <c r="R3" s="18">
        <f t="shared" si="4"/>
        <v>3.5060240963855422</v>
      </c>
      <c r="S3" s="18">
        <f t="shared" si="5"/>
        <v>0.26506024096385544</v>
      </c>
      <c r="U3" s="18">
        <v>291</v>
      </c>
    </row>
    <row r="4" spans="1:21" x14ac:dyDescent="0.35">
      <c r="A4" s="18" t="s">
        <v>35</v>
      </c>
      <c r="B4" s="18">
        <v>191</v>
      </c>
      <c r="C4" s="18">
        <v>46</v>
      </c>
      <c r="D4" s="18">
        <f t="shared" si="0"/>
        <v>3.575916230366492</v>
      </c>
      <c r="E4" s="18">
        <v>683</v>
      </c>
      <c r="F4" s="18">
        <f t="shared" si="1"/>
        <v>0.24083769633507854</v>
      </c>
      <c r="H4" s="59" t="s">
        <v>35</v>
      </c>
      <c r="I4" s="59">
        <v>195</v>
      </c>
      <c r="J4" s="59">
        <v>47</v>
      </c>
      <c r="K4" s="59">
        <f t="shared" si="2"/>
        <v>3.5435897435897434</v>
      </c>
      <c r="L4" s="59">
        <f t="shared" si="3"/>
        <v>0.24102564102564103</v>
      </c>
      <c r="M4" s="18">
        <v>691</v>
      </c>
      <c r="O4" s="59" t="s">
        <v>35</v>
      </c>
      <c r="P4" s="59">
        <v>199</v>
      </c>
      <c r="Q4" s="59">
        <v>47</v>
      </c>
      <c r="R4" s="59">
        <f t="shared" si="4"/>
        <v>3.5376884422110555</v>
      </c>
      <c r="S4" s="59">
        <f t="shared" si="5"/>
        <v>0.23618090452261306</v>
      </c>
      <c r="U4" s="18">
        <v>704</v>
      </c>
    </row>
    <row r="5" spans="1:21" x14ac:dyDescent="0.35">
      <c r="A5" s="18" t="s">
        <v>148</v>
      </c>
      <c r="B5" s="18">
        <v>42</v>
      </c>
      <c r="C5" s="18">
        <v>8</v>
      </c>
      <c r="D5" s="18">
        <f t="shared" si="0"/>
        <v>3.7380952380952381</v>
      </c>
      <c r="E5" s="18">
        <v>157</v>
      </c>
      <c r="F5" s="18">
        <f t="shared" si="1"/>
        <v>0.19047619047619047</v>
      </c>
      <c r="H5" s="59" t="s">
        <v>148</v>
      </c>
      <c r="I5" s="59">
        <v>42</v>
      </c>
      <c r="J5" s="59">
        <v>8</v>
      </c>
      <c r="K5" s="59">
        <f t="shared" si="2"/>
        <v>3.7380952380952381</v>
      </c>
      <c r="L5" s="59">
        <f t="shared" si="3"/>
        <v>0.19047619047619047</v>
      </c>
      <c r="M5" s="18">
        <v>157</v>
      </c>
      <c r="O5" s="59" t="s">
        <v>148</v>
      </c>
      <c r="P5" s="59">
        <v>42</v>
      </c>
      <c r="Q5" s="59">
        <v>8</v>
      </c>
      <c r="R5" s="59">
        <f t="shared" si="4"/>
        <v>3.7380952380952381</v>
      </c>
      <c r="S5" s="59">
        <f t="shared" si="5"/>
        <v>0.19047619047619047</v>
      </c>
      <c r="U5" s="18">
        <v>157</v>
      </c>
    </row>
    <row r="6" spans="1:21" x14ac:dyDescent="0.35">
      <c r="A6" s="18" t="s">
        <v>147</v>
      </c>
      <c r="B6" s="18">
        <v>139</v>
      </c>
      <c r="C6" s="18">
        <v>27</v>
      </c>
      <c r="D6" s="18">
        <f t="shared" si="0"/>
        <v>3.8273381294964031</v>
      </c>
      <c r="E6" s="18">
        <v>532</v>
      </c>
      <c r="F6" s="18">
        <f t="shared" si="1"/>
        <v>0.19424460431654678</v>
      </c>
      <c r="H6" s="59" t="s">
        <v>112</v>
      </c>
      <c r="I6" s="59">
        <v>42</v>
      </c>
      <c r="J6" s="59">
        <v>8</v>
      </c>
      <c r="K6" s="59">
        <f t="shared" si="2"/>
        <v>3.7619047619047619</v>
      </c>
      <c r="L6" s="59">
        <f t="shared" si="3"/>
        <v>0.19047619047619047</v>
      </c>
      <c r="M6" s="18">
        <v>158</v>
      </c>
      <c r="O6" s="59" t="s">
        <v>112</v>
      </c>
      <c r="P6" s="59">
        <v>42</v>
      </c>
      <c r="Q6" s="59">
        <v>8</v>
      </c>
      <c r="R6" s="59">
        <f t="shared" si="4"/>
        <v>3.7619047619047619</v>
      </c>
      <c r="S6" s="59">
        <f t="shared" si="5"/>
        <v>0.19047619047619047</v>
      </c>
      <c r="U6" s="18">
        <v>158</v>
      </c>
    </row>
    <row r="7" spans="1:21" x14ac:dyDescent="0.35">
      <c r="A7" s="18" t="s">
        <v>121</v>
      </c>
      <c r="B7" s="18">
        <v>111</v>
      </c>
      <c r="C7" s="18">
        <v>23</v>
      </c>
      <c r="D7" s="18">
        <f t="shared" si="0"/>
        <v>3.8738738738738738</v>
      </c>
      <c r="E7" s="18">
        <v>430</v>
      </c>
      <c r="F7" s="18">
        <f t="shared" si="1"/>
        <v>0.2072072072072072</v>
      </c>
      <c r="H7" s="59" t="s">
        <v>232</v>
      </c>
      <c r="I7" s="59">
        <v>185</v>
      </c>
      <c r="J7" s="59">
        <v>42</v>
      </c>
      <c r="K7" s="59">
        <f t="shared" si="2"/>
        <v>3.8324324324324324</v>
      </c>
      <c r="L7" s="59">
        <f t="shared" si="3"/>
        <v>0.22702702702702704</v>
      </c>
      <c r="M7" s="18">
        <v>709</v>
      </c>
      <c r="O7" s="59" t="s">
        <v>232</v>
      </c>
      <c r="P7" s="59">
        <v>199</v>
      </c>
      <c r="Q7" s="59">
        <v>45</v>
      </c>
      <c r="R7" s="59">
        <f t="shared" si="4"/>
        <v>3.7839195979899496</v>
      </c>
      <c r="S7" s="59">
        <f t="shared" si="5"/>
        <v>0.22613065326633167</v>
      </c>
      <c r="U7" s="18">
        <v>753</v>
      </c>
    </row>
    <row r="8" spans="1:21" x14ac:dyDescent="0.35">
      <c r="A8" s="18" t="s">
        <v>232</v>
      </c>
      <c r="B8" s="18">
        <v>177</v>
      </c>
      <c r="C8" s="18">
        <v>37</v>
      </c>
      <c r="D8" s="18">
        <f t="shared" si="0"/>
        <v>3.8757062146892656</v>
      </c>
      <c r="E8" s="18">
        <v>686</v>
      </c>
      <c r="F8" s="18">
        <f t="shared" si="1"/>
        <v>0.20903954802259886</v>
      </c>
      <c r="H8" s="59" t="s">
        <v>121</v>
      </c>
      <c r="I8" s="59">
        <v>114</v>
      </c>
      <c r="J8" s="59">
        <v>25</v>
      </c>
      <c r="K8" s="59">
        <f t="shared" si="2"/>
        <v>3.8508771929824563</v>
      </c>
      <c r="L8" s="59">
        <f t="shared" si="3"/>
        <v>0.21929824561403508</v>
      </c>
      <c r="M8" s="18">
        <v>439</v>
      </c>
      <c r="O8" s="59" t="s">
        <v>121</v>
      </c>
      <c r="P8" s="59">
        <v>117</v>
      </c>
      <c r="Q8" s="59">
        <v>27</v>
      </c>
      <c r="R8" s="59">
        <f t="shared" si="4"/>
        <v>3.7948717948717947</v>
      </c>
      <c r="S8" s="59">
        <f t="shared" si="5"/>
        <v>0.23076923076923078</v>
      </c>
      <c r="U8" s="18">
        <v>444</v>
      </c>
    </row>
    <row r="9" spans="1:21" x14ac:dyDescent="0.35">
      <c r="A9" s="18" t="s">
        <v>10</v>
      </c>
      <c r="B9" s="18">
        <v>73</v>
      </c>
      <c r="C9" s="18">
        <v>13</v>
      </c>
      <c r="D9" s="18">
        <f t="shared" si="0"/>
        <v>3.9452054794520546</v>
      </c>
      <c r="E9" s="18">
        <v>288</v>
      </c>
      <c r="F9" s="18">
        <f t="shared" si="1"/>
        <v>0.17808219178082191</v>
      </c>
      <c r="H9" s="59" t="s">
        <v>147</v>
      </c>
      <c r="I9" s="59">
        <v>144</v>
      </c>
      <c r="J9" s="59">
        <v>28</v>
      </c>
      <c r="K9" s="59">
        <f t="shared" si="2"/>
        <v>3.8611111111111112</v>
      </c>
      <c r="L9" s="59">
        <f t="shared" si="3"/>
        <v>0.19444444444444445</v>
      </c>
      <c r="M9" s="18">
        <v>556</v>
      </c>
      <c r="O9" s="59" t="s">
        <v>2</v>
      </c>
      <c r="P9" s="59">
        <v>40</v>
      </c>
      <c r="Q9" s="59">
        <v>10</v>
      </c>
      <c r="R9" s="59">
        <f t="shared" si="4"/>
        <v>3.8</v>
      </c>
      <c r="S9" s="59">
        <f t="shared" si="5"/>
        <v>0.25</v>
      </c>
      <c r="T9" s="11" t="s">
        <v>611</v>
      </c>
      <c r="U9" s="18">
        <v>152</v>
      </c>
    </row>
    <row r="10" spans="1:21" x14ac:dyDescent="0.35">
      <c r="A10" s="18" t="s">
        <v>29</v>
      </c>
      <c r="B10" s="18">
        <v>135</v>
      </c>
      <c r="C10" s="18">
        <v>20</v>
      </c>
      <c r="D10" s="18">
        <f t="shared" si="0"/>
        <v>3.9777777777777779</v>
      </c>
      <c r="E10" s="18">
        <v>537</v>
      </c>
      <c r="F10" s="18">
        <f t="shared" si="1"/>
        <v>0.14814814814814814</v>
      </c>
      <c r="H10" s="59" t="s">
        <v>122</v>
      </c>
      <c r="I10" s="59">
        <v>174</v>
      </c>
      <c r="J10" s="59">
        <v>20</v>
      </c>
      <c r="K10" s="59">
        <f t="shared" si="2"/>
        <v>3.9425287356321839</v>
      </c>
      <c r="L10" s="59">
        <f t="shared" si="3"/>
        <v>0.11494252873563218</v>
      </c>
      <c r="M10" s="18">
        <v>686</v>
      </c>
      <c r="O10" s="59" t="s">
        <v>116</v>
      </c>
      <c r="P10" s="59">
        <v>40</v>
      </c>
      <c r="Q10" s="59">
        <v>5</v>
      </c>
      <c r="R10" s="59">
        <f t="shared" si="4"/>
        <v>3.85</v>
      </c>
      <c r="S10" s="59">
        <f t="shared" si="5"/>
        <v>0.125</v>
      </c>
      <c r="T10" s="58" t="s">
        <v>611</v>
      </c>
      <c r="U10" s="18">
        <v>154</v>
      </c>
    </row>
    <row r="11" spans="1:21" x14ac:dyDescent="0.35">
      <c r="A11" s="18" t="s">
        <v>122</v>
      </c>
      <c r="B11" s="18">
        <v>164</v>
      </c>
      <c r="C11" s="18">
        <v>19</v>
      </c>
      <c r="D11" s="18">
        <f t="shared" si="0"/>
        <v>4.0060975609756095</v>
      </c>
      <c r="E11" s="18">
        <v>657</v>
      </c>
      <c r="F11" s="18">
        <f t="shared" si="1"/>
        <v>0.11585365853658537</v>
      </c>
      <c r="H11" s="59" t="s">
        <v>10</v>
      </c>
      <c r="I11" s="59">
        <v>73</v>
      </c>
      <c r="J11" s="59">
        <v>13</v>
      </c>
      <c r="K11" s="59">
        <f t="shared" si="2"/>
        <v>3.9452054794520546</v>
      </c>
      <c r="L11" s="59">
        <f t="shared" si="3"/>
        <v>0.17808219178082191</v>
      </c>
      <c r="M11" s="18">
        <v>288</v>
      </c>
      <c r="O11" s="59" t="s">
        <v>147</v>
      </c>
      <c r="P11" s="59">
        <v>145</v>
      </c>
      <c r="Q11" s="59">
        <v>28</v>
      </c>
      <c r="R11" s="59">
        <f t="shared" si="4"/>
        <v>3.8620689655172415</v>
      </c>
      <c r="S11" s="59">
        <f t="shared" si="5"/>
        <v>0.19310344827586207</v>
      </c>
      <c r="T11" s="3" t="s">
        <v>45</v>
      </c>
      <c r="U11" s="18">
        <v>560</v>
      </c>
    </row>
    <row r="12" spans="1:21" x14ac:dyDescent="0.35">
      <c r="A12" s="18" t="s">
        <v>22</v>
      </c>
      <c r="B12" s="18">
        <v>185</v>
      </c>
      <c r="C12" s="18">
        <v>30</v>
      </c>
      <c r="D12" s="18">
        <f t="shared" si="0"/>
        <v>4.1243243243243244</v>
      </c>
      <c r="E12" s="18">
        <v>763</v>
      </c>
      <c r="F12" s="18">
        <f t="shared" si="1"/>
        <v>0.16216216216216217</v>
      </c>
      <c r="H12" s="59" t="s">
        <v>29</v>
      </c>
      <c r="I12" s="59">
        <v>140</v>
      </c>
      <c r="J12" s="59">
        <v>20</v>
      </c>
      <c r="K12" s="59">
        <f t="shared" si="2"/>
        <v>3.9642857142857144</v>
      </c>
      <c r="L12" s="59">
        <f t="shared" si="3"/>
        <v>0.14285714285714285</v>
      </c>
      <c r="M12" s="18">
        <v>555</v>
      </c>
      <c r="O12" s="59" t="s">
        <v>10</v>
      </c>
      <c r="P12" s="59">
        <v>73</v>
      </c>
      <c r="Q12" s="59">
        <v>13</v>
      </c>
      <c r="R12" s="59">
        <f t="shared" si="4"/>
        <v>3.9452054794520546</v>
      </c>
      <c r="S12" s="59">
        <f t="shared" si="5"/>
        <v>0.17808219178082191</v>
      </c>
      <c r="T12" s="3" t="s">
        <v>46</v>
      </c>
      <c r="U12" s="18">
        <v>288</v>
      </c>
    </row>
    <row r="13" spans="1:21" x14ac:dyDescent="0.35">
      <c r="A13" s="18" t="s">
        <v>0</v>
      </c>
      <c r="B13" s="18">
        <v>84</v>
      </c>
      <c r="C13" s="18">
        <v>14</v>
      </c>
      <c r="D13" s="18">
        <f t="shared" si="0"/>
        <v>4.1547619047619051</v>
      </c>
      <c r="E13" s="18">
        <v>349</v>
      </c>
      <c r="F13" s="18">
        <f t="shared" si="1"/>
        <v>0.16666666666666666</v>
      </c>
      <c r="H13" s="32" t="s">
        <v>22</v>
      </c>
      <c r="I13" s="32">
        <v>185</v>
      </c>
      <c r="J13" s="32">
        <v>30</v>
      </c>
      <c r="K13" s="32">
        <f t="shared" si="2"/>
        <v>4.1243243243243244</v>
      </c>
      <c r="L13" s="32">
        <f t="shared" si="3"/>
        <v>0.16216216216216217</v>
      </c>
      <c r="M13" s="18">
        <v>763</v>
      </c>
      <c r="O13" s="59" t="s">
        <v>122</v>
      </c>
      <c r="P13" s="59">
        <v>186</v>
      </c>
      <c r="Q13" s="59">
        <v>21</v>
      </c>
      <c r="R13" s="59">
        <f t="shared" si="4"/>
        <v>3.9731182795698925</v>
      </c>
      <c r="S13" s="59">
        <f t="shared" si="5"/>
        <v>0.11290322580645161</v>
      </c>
      <c r="T13" s="3" t="s">
        <v>54</v>
      </c>
      <c r="U13" s="18">
        <v>739</v>
      </c>
    </row>
    <row r="14" spans="1:21" x14ac:dyDescent="0.35">
      <c r="A14" s="18" t="s">
        <v>104</v>
      </c>
      <c r="B14" s="18">
        <v>132</v>
      </c>
      <c r="C14" s="18">
        <v>9</v>
      </c>
      <c r="D14" s="18">
        <f t="shared" si="0"/>
        <v>4.25</v>
      </c>
      <c r="E14" s="18">
        <v>561</v>
      </c>
      <c r="F14" s="18">
        <f t="shared" si="1"/>
        <v>6.8181818181818177E-2</v>
      </c>
      <c r="H14" s="32" t="s">
        <v>0</v>
      </c>
      <c r="I14" s="32">
        <v>84</v>
      </c>
      <c r="J14" s="32">
        <v>14</v>
      </c>
      <c r="K14" s="32">
        <f t="shared" si="2"/>
        <v>4.1547619047619051</v>
      </c>
      <c r="L14" s="32">
        <f t="shared" si="3"/>
        <v>0.16666666666666666</v>
      </c>
      <c r="M14" s="18">
        <v>349</v>
      </c>
      <c r="O14" s="59" t="s">
        <v>29</v>
      </c>
      <c r="P14" s="59">
        <v>143</v>
      </c>
      <c r="Q14" s="59">
        <v>21</v>
      </c>
      <c r="R14" s="59">
        <f t="shared" si="4"/>
        <v>3.9790209790209792</v>
      </c>
      <c r="S14" s="59">
        <f t="shared" si="5"/>
        <v>0.14685314685314685</v>
      </c>
      <c r="T14" s="3" t="s">
        <v>45</v>
      </c>
      <c r="U14" s="18">
        <v>569</v>
      </c>
    </row>
    <row r="15" spans="1:21" x14ac:dyDescent="0.35">
      <c r="A15" s="18" t="s">
        <v>3</v>
      </c>
      <c r="B15" s="18">
        <v>50</v>
      </c>
      <c r="C15" s="18">
        <v>7</v>
      </c>
      <c r="D15" s="18">
        <f t="shared" si="0"/>
        <v>4.3</v>
      </c>
      <c r="E15" s="18">
        <v>215</v>
      </c>
      <c r="F15" s="18">
        <f t="shared" si="1"/>
        <v>0.14000000000000001</v>
      </c>
      <c r="H15" s="32" t="s">
        <v>50</v>
      </c>
      <c r="I15" s="32">
        <v>40</v>
      </c>
      <c r="J15" s="32">
        <v>4</v>
      </c>
      <c r="K15" s="32">
        <f t="shared" si="2"/>
        <v>4.1749999999999998</v>
      </c>
      <c r="L15" s="32">
        <f t="shared" si="3"/>
        <v>0.1</v>
      </c>
      <c r="M15" s="18">
        <v>167</v>
      </c>
      <c r="O15" s="32" t="s">
        <v>22</v>
      </c>
      <c r="P15" s="32">
        <v>185</v>
      </c>
      <c r="Q15" s="32">
        <v>30</v>
      </c>
      <c r="R15" s="32">
        <f t="shared" si="4"/>
        <v>4.1243243243243244</v>
      </c>
      <c r="S15" s="32">
        <f t="shared" si="5"/>
        <v>0.16216216216216217</v>
      </c>
      <c r="T15" s="3" t="s">
        <v>45</v>
      </c>
      <c r="U15" s="18">
        <v>763</v>
      </c>
    </row>
    <row r="16" spans="1:21" x14ac:dyDescent="0.35">
      <c r="A16" s="18" t="s">
        <v>21</v>
      </c>
      <c r="B16" s="18">
        <v>180</v>
      </c>
      <c r="C16" s="18">
        <v>25</v>
      </c>
      <c r="D16" s="18">
        <f t="shared" si="0"/>
        <v>4.3055555555555554</v>
      </c>
      <c r="E16" s="18">
        <v>775</v>
      </c>
      <c r="F16" s="18">
        <f t="shared" si="1"/>
        <v>0.1388888888888889</v>
      </c>
      <c r="H16" s="32" t="s">
        <v>104</v>
      </c>
      <c r="I16" s="32">
        <v>134</v>
      </c>
      <c r="J16" s="32">
        <v>9</v>
      </c>
      <c r="K16" s="32">
        <f t="shared" si="2"/>
        <v>4.2686567164179108</v>
      </c>
      <c r="L16" s="32">
        <f t="shared" si="3"/>
        <v>6.7164179104477612E-2</v>
      </c>
      <c r="M16" s="18">
        <v>572</v>
      </c>
      <c r="O16" s="32" t="s">
        <v>0</v>
      </c>
      <c r="P16" s="32">
        <v>85</v>
      </c>
      <c r="Q16" s="32">
        <v>14</v>
      </c>
      <c r="R16" s="32">
        <f t="shared" si="4"/>
        <v>4.1647058823529415</v>
      </c>
      <c r="S16" s="32">
        <f t="shared" si="5"/>
        <v>0.16470588235294117</v>
      </c>
      <c r="T16" s="3" t="s">
        <v>45</v>
      </c>
      <c r="U16" s="18">
        <v>354</v>
      </c>
    </row>
    <row r="17" spans="1:21" x14ac:dyDescent="0.35">
      <c r="A17" s="18" t="s">
        <v>61</v>
      </c>
      <c r="B17" s="18">
        <v>70</v>
      </c>
      <c r="C17" s="18">
        <v>15</v>
      </c>
      <c r="D17" s="18">
        <f t="shared" si="0"/>
        <v>4.3285714285714283</v>
      </c>
      <c r="E17" s="18">
        <v>303</v>
      </c>
      <c r="F17" s="18">
        <f t="shared" si="1"/>
        <v>0.21428571428571427</v>
      </c>
      <c r="H17" s="32" t="s">
        <v>113</v>
      </c>
      <c r="I17" s="32">
        <v>40</v>
      </c>
      <c r="J17" s="32">
        <v>1</v>
      </c>
      <c r="K17" s="32">
        <f t="shared" si="2"/>
        <v>4.2750000000000004</v>
      </c>
      <c r="L17" s="32">
        <f t="shared" si="3"/>
        <v>2.5000000000000001E-2</v>
      </c>
      <c r="M17" s="18">
        <v>171</v>
      </c>
      <c r="O17" s="32" t="s">
        <v>50</v>
      </c>
      <c r="P17" s="32">
        <v>40</v>
      </c>
      <c r="Q17" s="32">
        <v>4</v>
      </c>
      <c r="R17" s="32">
        <f t="shared" si="4"/>
        <v>4.1749999999999998</v>
      </c>
      <c r="S17" s="32">
        <f t="shared" si="5"/>
        <v>0.1</v>
      </c>
      <c r="T17" s="3" t="s">
        <v>45</v>
      </c>
      <c r="U17" s="18">
        <v>167</v>
      </c>
    </row>
    <row r="18" spans="1:21" x14ac:dyDescent="0.35">
      <c r="A18" s="18" t="s">
        <v>125</v>
      </c>
      <c r="B18" s="18">
        <v>40</v>
      </c>
      <c r="C18" s="18">
        <v>2</v>
      </c>
      <c r="D18" s="18">
        <f t="shared" si="0"/>
        <v>4.375</v>
      </c>
      <c r="E18" s="18">
        <v>175</v>
      </c>
      <c r="F18" s="18">
        <f t="shared" si="1"/>
        <v>0.05</v>
      </c>
      <c r="H18" s="32" t="s">
        <v>21</v>
      </c>
      <c r="I18" s="32">
        <v>180</v>
      </c>
      <c r="J18" s="32">
        <v>25</v>
      </c>
      <c r="K18" s="32">
        <f t="shared" si="2"/>
        <v>4.3055555555555554</v>
      </c>
      <c r="L18" s="32">
        <f t="shared" si="3"/>
        <v>0.1388888888888889</v>
      </c>
      <c r="M18" s="18">
        <v>775</v>
      </c>
      <c r="O18" s="32" t="s">
        <v>104</v>
      </c>
      <c r="P18" s="32">
        <v>138</v>
      </c>
      <c r="Q18" s="32">
        <v>10</v>
      </c>
      <c r="R18" s="32">
        <f t="shared" si="4"/>
        <v>4.2463768115942031</v>
      </c>
      <c r="S18" s="32">
        <f t="shared" si="5"/>
        <v>7.2463768115942032E-2</v>
      </c>
      <c r="T18" s="3" t="s">
        <v>45</v>
      </c>
      <c r="U18" s="18">
        <v>586</v>
      </c>
    </row>
    <row r="19" spans="1:21" x14ac:dyDescent="0.35">
      <c r="A19" s="18" t="s">
        <v>8</v>
      </c>
      <c r="B19" s="18">
        <v>49</v>
      </c>
      <c r="C19" s="18">
        <v>6</v>
      </c>
      <c r="D19" s="18">
        <f t="shared" si="0"/>
        <v>4.4285714285714288</v>
      </c>
      <c r="E19" s="18">
        <v>217</v>
      </c>
      <c r="F19" s="18">
        <f t="shared" si="1"/>
        <v>0.12244897959183673</v>
      </c>
      <c r="H19" s="32" t="s">
        <v>3</v>
      </c>
      <c r="I19" s="32">
        <v>52</v>
      </c>
      <c r="J19" s="32">
        <v>7</v>
      </c>
      <c r="K19" s="32">
        <f t="shared" si="2"/>
        <v>4.3461538461538458</v>
      </c>
      <c r="L19" s="32">
        <f t="shared" si="3"/>
        <v>0.13461538461538461</v>
      </c>
      <c r="M19" s="18">
        <v>226</v>
      </c>
      <c r="O19" s="32" t="s">
        <v>36</v>
      </c>
      <c r="P19" s="32">
        <v>40</v>
      </c>
      <c r="Q19" s="32">
        <v>3</v>
      </c>
      <c r="R19" s="32">
        <f t="shared" si="4"/>
        <v>4.2750000000000004</v>
      </c>
      <c r="S19" s="32">
        <f t="shared" si="5"/>
        <v>7.4999999999999997E-2</v>
      </c>
      <c r="T19" s="12" t="s">
        <v>611</v>
      </c>
      <c r="U19" s="18">
        <v>171</v>
      </c>
    </row>
    <row r="20" spans="1:21" x14ac:dyDescent="0.35">
      <c r="A20" s="18" t="s">
        <v>123</v>
      </c>
      <c r="B20" s="18">
        <v>44</v>
      </c>
      <c r="C20" s="18">
        <v>6</v>
      </c>
      <c r="D20" s="18">
        <f t="shared" si="0"/>
        <v>4.4772727272727275</v>
      </c>
      <c r="E20" s="18">
        <v>197</v>
      </c>
      <c r="F20" s="18">
        <f t="shared" si="1"/>
        <v>0.13636363636363635</v>
      </c>
      <c r="H20" s="32" t="s">
        <v>125</v>
      </c>
      <c r="I20" s="32">
        <v>40</v>
      </c>
      <c r="J20" s="32">
        <v>2</v>
      </c>
      <c r="K20" s="32">
        <f t="shared" si="2"/>
        <v>4.375</v>
      </c>
      <c r="L20" s="32">
        <f t="shared" si="3"/>
        <v>0.05</v>
      </c>
      <c r="M20" s="18">
        <v>175</v>
      </c>
      <c r="O20" s="32" t="s">
        <v>113</v>
      </c>
      <c r="P20" s="32">
        <v>41</v>
      </c>
      <c r="Q20" s="32">
        <v>1</v>
      </c>
      <c r="R20" s="32">
        <f t="shared" si="4"/>
        <v>4.2926829268292686</v>
      </c>
      <c r="S20" s="32">
        <f t="shared" si="5"/>
        <v>2.4390243902439025E-2</v>
      </c>
      <c r="T20" s="3" t="s">
        <v>54</v>
      </c>
      <c r="U20" s="18">
        <v>176</v>
      </c>
    </row>
    <row r="21" spans="1:21" x14ac:dyDescent="0.35">
      <c r="A21" s="18" t="s">
        <v>24</v>
      </c>
      <c r="B21" s="18">
        <v>102</v>
      </c>
      <c r="C21" s="18">
        <v>12</v>
      </c>
      <c r="D21" s="18">
        <f t="shared" si="0"/>
        <v>4.5196078431372548</v>
      </c>
      <c r="E21" s="18">
        <v>461</v>
      </c>
      <c r="F21" s="18">
        <f t="shared" si="1"/>
        <v>0.11764705882352941</v>
      </c>
      <c r="H21" s="32" t="s">
        <v>123</v>
      </c>
      <c r="I21" s="32">
        <v>46</v>
      </c>
      <c r="J21" s="32">
        <v>6</v>
      </c>
      <c r="K21" s="32">
        <f t="shared" si="2"/>
        <v>4.3913043478260869</v>
      </c>
      <c r="L21" s="32">
        <f t="shared" si="3"/>
        <v>0.13043478260869565</v>
      </c>
      <c r="M21" s="18">
        <v>202</v>
      </c>
      <c r="O21" s="32" t="s">
        <v>21</v>
      </c>
      <c r="P21" s="32">
        <v>185</v>
      </c>
      <c r="Q21" s="32">
        <v>26</v>
      </c>
      <c r="R21" s="32">
        <f t="shared" si="4"/>
        <v>4.3135135135135139</v>
      </c>
      <c r="S21" s="32">
        <f t="shared" si="5"/>
        <v>0.14054054054054055</v>
      </c>
      <c r="T21" s="3" t="s">
        <v>54</v>
      </c>
      <c r="U21" s="18">
        <v>798</v>
      </c>
    </row>
    <row r="22" spans="1:21" x14ac:dyDescent="0.35">
      <c r="A22" s="18" t="s">
        <v>129</v>
      </c>
      <c r="B22" s="18">
        <v>46</v>
      </c>
      <c r="C22" s="18">
        <v>8</v>
      </c>
      <c r="D22" s="18">
        <f t="shared" si="0"/>
        <v>4.5217391304347823</v>
      </c>
      <c r="E22" s="18">
        <v>208</v>
      </c>
      <c r="F22" s="18">
        <f t="shared" si="1"/>
        <v>0.17391304347826086</v>
      </c>
      <c r="H22" s="41" t="s">
        <v>8</v>
      </c>
      <c r="I22" s="41">
        <v>49</v>
      </c>
      <c r="J22" s="41">
        <v>6</v>
      </c>
      <c r="K22" s="41">
        <f t="shared" si="2"/>
        <v>4.4285714285714288</v>
      </c>
      <c r="L22" s="41">
        <f t="shared" si="3"/>
        <v>0.12244897959183673</v>
      </c>
      <c r="M22" s="18">
        <v>217</v>
      </c>
      <c r="O22" s="32" t="s">
        <v>61</v>
      </c>
      <c r="P22" s="32">
        <v>86</v>
      </c>
      <c r="Q22" s="32">
        <v>18</v>
      </c>
      <c r="R22" s="32">
        <f t="shared" si="4"/>
        <v>4.3139534883720927</v>
      </c>
      <c r="S22" s="32">
        <f t="shared" si="5"/>
        <v>0.20930232558139536</v>
      </c>
      <c r="T22" s="74" t="s">
        <v>44</v>
      </c>
      <c r="U22" s="18">
        <v>371</v>
      </c>
    </row>
    <row r="23" spans="1:21" x14ac:dyDescent="0.35">
      <c r="A23" s="18" t="s">
        <v>105</v>
      </c>
      <c r="B23" s="18">
        <v>42</v>
      </c>
      <c r="C23" s="18">
        <v>6</v>
      </c>
      <c r="D23" s="18">
        <f t="shared" si="0"/>
        <v>4.5952380952380949</v>
      </c>
      <c r="E23" s="18">
        <v>193</v>
      </c>
      <c r="F23" s="18">
        <f t="shared" si="1"/>
        <v>0.14285714285714285</v>
      </c>
      <c r="H23" s="41" t="s">
        <v>61</v>
      </c>
      <c r="I23" s="41">
        <v>74</v>
      </c>
      <c r="J23" s="41">
        <v>15</v>
      </c>
      <c r="K23" s="41">
        <f t="shared" si="2"/>
        <v>4.4459459459459456</v>
      </c>
      <c r="L23" s="41">
        <f t="shared" si="3"/>
        <v>0.20270270270270271</v>
      </c>
      <c r="M23" s="18">
        <v>329</v>
      </c>
      <c r="O23" s="32" t="s">
        <v>3</v>
      </c>
      <c r="P23" s="32">
        <v>54</v>
      </c>
      <c r="Q23" s="32">
        <v>7</v>
      </c>
      <c r="R23" s="32">
        <f t="shared" si="4"/>
        <v>4.3148148148148149</v>
      </c>
      <c r="S23" s="32">
        <f t="shared" si="5"/>
        <v>0.12962962962962962</v>
      </c>
      <c r="T23" s="3" t="s">
        <v>55</v>
      </c>
      <c r="U23" s="18">
        <v>233</v>
      </c>
    </row>
    <row r="24" spans="1:21" x14ac:dyDescent="0.35">
      <c r="A24" s="18" t="s">
        <v>15</v>
      </c>
      <c r="B24" s="18">
        <v>270</v>
      </c>
      <c r="C24" s="18">
        <v>40</v>
      </c>
      <c r="D24" s="18">
        <f t="shared" si="0"/>
        <v>4.6148148148148147</v>
      </c>
      <c r="E24" s="18">
        <v>1246</v>
      </c>
      <c r="F24" s="18">
        <f t="shared" si="1"/>
        <v>0.14814814814814814</v>
      </c>
      <c r="H24" s="41" t="s">
        <v>115</v>
      </c>
      <c r="I24" s="41">
        <v>40</v>
      </c>
      <c r="J24" s="41">
        <v>3</v>
      </c>
      <c r="K24" s="41">
        <f t="shared" si="2"/>
        <v>4.4749999999999996</v>
      </c>
      <c r="L24" s="41">
        <f t="shared" si="3"/>
        <v>7.4999999999999997E-2</v>
      </c>
      <c r="M24" s="18">
        <v>179</v>
      </c>
      <c r="O24" s="32" t="s">
        <v>117</v>
      </c>
      <c r="P24" s="32">
        <v>40</v>
      </c>
      <c r="Q24" s="32">
        <v>7</v>
      </c>
      <c r="R24" s="32">
        <f t="shared" si="4"/>
        <v>4.3250000000000002</v>
      </c>
      <c r="S24" s="32">
        <f t="shared" si="5"/>
        <v>0.17499999999999999</v>
      </c>
      <c r="T24" s="14" t="s">
        <v>611</v>
      </c>
      <c r="U24" s="18">
        <v>173</v>
      </c>
    </row>
    <row r="25" spans="1:21" x14ac:dyDescent="0.35">
      <c r="A25" s="18" t="s">
        <v>79</v>
      </c>
      <c r="B25" s="18">
        <v>54</v>
      </c>
      <c r="C25" s="18">
        <v>6</v>
      </c>
      <c r="D25" s="18">
        <f t="shared" si="0"/>
        <v>4.6296296296296298</v>
      </c>
      <c r="E25" s="18">
        <v>250</v>
      </c>
      <c r="F25" s="18">
        <f t="shared" si="1"/>
        <v>0.1111111111111111</v>
      </c>
      <c r="H25" s="41" t="s">
        <v>24</v>
      </c>
      <c r="I25" s="41">
        <v>102</v>
      </c>
      <c r="J25" s="41">
        <v>12</v>
      </c>
      <c r="K25" s="41">
        <f t="shared" si="2"/>
        <v>4.5196078431372548</v>
      </c>
      <c r="L25" s="41">
        <f t="shared" si="3"/>
        <v>0.11764705882352941</v>
      </c>
      <c r="M25" s="18">
        <v>461</v>
      </c>
      <c r="O25" s="32" t="s">
        <v>123</v>
      </c>
      <c r="P25" s="32">
        <v>49</v>
      </c>
      <c r="Q25" s="32">
        <v>7</v>
      </c>
      <c r="R25" s="32">
        <f t="shared" si="4"/>
        <v>4.3265306122448983</v>
      </c>
      <c r="S25" s="32">
        <f t="shared" si="5"/>
        <v>0.14285714285714285</v>
      </c>
      <c r="T25" s="3" t="s">
        <v>55</v>
      </c>
      <c r="U25" s="18">
        <v>212</v>
      </c>
    </row>
    <row r="26" spans="1:21" x14ac:dyDescent="0.35">
      <c r="A26" s="18" t="s">
        <v>1</v>
      </c>
      <c r="B26" s="18">
        <v>117</v>
      </c>
      <c r="C26" s="18">
        <v>6</v>
      </c>
      <c r="D26" s="18">
        <f t="shared" si="0"/>
        <v>4.666666666666667</v>
      </c>
      <c r="E26" s="18">
        <v>546</v>
      </c>
      <c r="F26" s="18">
        <f t="shared" si="1"/>
        <v>5.128205128205128E-2</v>
      </c>
      <c r="H26" s="41" t="s">
        <v>105</v>
      </c>
      <c r="I26" s="41">
        <v>43</v>
      </c>
      <c r="J26" s="41">
        <v>6</v>
      </c>
      <c r="K26" s="41">
        <f t="shared" si="2"/>
        <v>4.5348837209302326</v>
      </c>
      <c r="L26" s="41">
        <f t="shared" si="3"/>
        <v>0.13953488372093023</v>
      </c>
      <c r="M26" s="18">
        <v>195</v>
      </c>
      <c r="O26" s="32" t="s">
        <v>105</v>
      </c>
      <c r="P26" s="32">
        <v>46</v>
      </c>
      <c r="Q26" s="32">
        <v>6</v>
      </c>
      <c r="R26" s="32">
        <f t="shared" si="4"/>
        <v>4.3695652173913047</v>
      </c>
      <c r="S26" s="32">
        <f t="shared" si="5"/>
        <v>0.13043478260869565</v>
      </c>
      <c r="U26" s="18">
        <v>201</v>
      </c>
    </row>
    <row r="27" spans="1:21" x14ac:dyDescent="0.35">
      <c r="A27" s="18" t="s">
        <v>14</v>
      </c>
      <c r="B27" s="18">
        <v>45</v>
      </c>
      <c r="C27" s="18">
        <v>3</v>
      </c>
      <c r="D27" s="18">
        <f t="shared" si="0"/>
        <v>4.7111111111111112</v>
      </c>
      <c r="E27" s="18">
        <v>212</v>
      </c>
      <c r="F27" s="18">
        <f t="shared" si="1"/>
        <v>6.6666666666666666E-2</v>
      </c>
      <c r="H27" s="41" t="s">
        <v>129</v>
      </c>
      <c r="I27" s="41">
        <v>47</v>
      </c>
      <c r="J27" s="41">
        <v>8</v>
      </c>
      <c r="K27" s="41">
        <f t="shared" si="2"/>
        <v>4.5744680851063828</v>
      </c>
      <c r="L27" s="41">
        <f t="shared" si="3"/>
        <v>0.1702127659574468</v>
      </c>
      <c r="M27" s="18">
        <v>215</v>
      </c>
      <c r="O27" s="32" t="s">
        <v>125</v>
      </c>
      <c r="P27" s="32">
        <v>40</v>
      </c>
      <c r="Q27" s="32">
        <v>2</v>
      </c>
      <c r="R27" s="32">
        <f t="shared" si="4"/>
        <v>4.375</v>
      </c>
      <c r="S27" s="32">
        <f t="shared" si="5"/>
        <v>0.05</v>
      </c>
      <c r="T27" s="3" t="s">
        <v>282</v>
      </c>
      <c r="U27" s="18">
        <v>175</v>
      </c>
    </row>
    <row r="28" spans="1:21" x14ac:dyDescent="0.35">
      <c r="A28" s="18" t="s">
        <v>51</v>
      </c>
      <c r="B28" s="18">
        <v>47</v>
      </c>
      <c r="C28" s="18">
        <v>4</v>
      </c>
      <c r="D28" s="18">
        <f t="shared" si="0"/>
        <v>4.8085106382978724</v>
      </c>
      <c r="E28" s="18">
        <v>226</v>
      </c>
      <c r="F28" s="18">
        <f t="shared" si="1"/>
        <v>8.5106382978723402E-2</v>
      </c>
      <c r="H28" s="41" t="s">
        <v>27</v>
      </c>
      <c r="I28" s="41">
        <v>40</v>
      </c>
      <c r="J28" s="41">
        <v>3</v>
      </c>
      <c r="K28" s="41">
        <f t="shared" si="2"/>
        <v>4.5750000000000002</v>
      </c>
      <c r="L28" s="41">
        <f t="shared" si="3"/>
        <v>7.4999999999999997E-2</v>
      </c>
      <c r="M28" s="18">
        <v>183</v>
      </c>
      <c r="O28" s="41" t="s">
        <v>8</v>
      </c>
      <c r="P28" s="41">
        <v>52</v>
      </c>
      <c r="Q28" s="41">
        <v>6</v>
      </c>
      <c r="R28" s="41">
        <f t="shared" si="4"/>
        <v>4.4038461538461542</v>
      </c>
      <c r="S28" s="41">
        <f t="shared" si="5"/>
        <v>0.11538461538461539</v>
      </c>
      <c r="T28" s="3" t="s">
        <v>555</v>
      </c>
      <c r="U28" s="18">
        <v>229</v>
      </c>
    </row>
    <row r="29" spans="1:21" x14ac:dyDescent="0.35">
      <c r="A29" s="18" t="s">
        <v>25</v>
      </c>
      <c r="B29" s="18">
        <v>245</v>
      </c>
      <c r="C29" s="18">
        <v>23</v>
      </c>
      <c r="D29" s="18">
        <f t="shared" si="0"/>
        <v>4.9836734693877549</v>
      </c>
      <c r="E29" s="18">
        <v>1221</v>
      </c>
      <c r="F29" s="18">
        <f t="shared" si="1"/>
        <v>9.3877551020408165E-2</v>
      </c>
      <c r="H29" s="41" t="s">
        <v>15</v>
      </c>
      <c r="I29" s="41">
        <v>276</v>
      </c>
      <c r="J29" s="41">
        <v>40</v>
      </c>
      <c r="K29" s="41">
        <f t="shared" si="2"/>
        <v>4.6050724637681162</v>
      </c>
      <c r="L29" s="41">
        <f t="shared" si="3"/>
        <v>0.14492753623188406</v>
      </c>
      <c r="M29" s="18">
        <v>1271</v>
      </c>
      <c r="O29" s="41" t="s">
        <v>115</v>
      </c>
      <c r="P29" s="41">
        <v>40</v>
      </c>
      <c r="Q29" s="41">
        <v>3</v>
      </c>
      <c r="R29" s="41">
        <f t="shared" si="4"/>
        <v>4.4749999999999996</v>
      </c>
      <c r="S29" s="41">
        <f t="shared" si="5"/>
        <v>7.4999999999999997E-2</v>
      </c>
      <c r="T29" s="3" t="s">
        <v>494</v>
      </c>
      <c r="U29" s="18">
        <v>179</v>
      </c>
    </row>
    <row r="30" spans="1:21" x14ac:dyDescent="0.35">
      <c r="A30" s="18" t="s">
        <v>31</v>
      </c>
      <c r="B30" s="18">
        <v>270</v>
      </c>
      <c r="C30" s="18">
        <v>23</v>
      </c>
      <c r="D30" s="18">
        <f t="shared" si="0"/>
        <v>4.9925925925925929</v>
      </c>
      <c r="E30" s="18">
        <v>1348</v>
      </c>
      <c r="F30" s="18">
        <f t="shared" si="1"/>
        <v>8.5185185185185183E-2</v>
      </c>
      <c r="H30" s="41" t="s">
        <v>79</v>
      </c>
      <c r="I30" s="41">
        <v>55</v>
      </c>
      <c r="J30" s="41">
        <v>6</v>
      </c>
      <c r="K30" s="41">
        <f t="shared" si="2"/>
        <v>4.6363636363636367</v>
      </c>
      <c r="L30" s="41">
        <f t="shared" si="3"/>
        <v>0.10909090909090909</v>
      </c>
      <c r="M30" s="18">
        <v>255</v>
      </c>
      <c r="O30" s="41" t="s">
        <v>129</v>
      </c>
      <c r="P30" s="41">
        <v>51</v>
      </c>
      <c r="Q30" s="41">
        <v>8</v>
      </c>
      <c r="R30" s="41">
        <f t="shared" si="4"/>
        <v>4.5490196078431371</v>
      </c>
      <c r="S30" s="41">
        <f t="shared" si="5"/>
        <v>0.15686274509803921</v>
      </c>
      <c r="T30" s="3" t="s">
        <v>54</v>
      </c>
      <c r="U30" s="18">
        <v>232</v>
      </c>
    </row>
    <row r="31" spans="1:21" x14ac:dyDescent="0.35">
      <c r="A31" s="18" t="s">
        <v>87</v>
      </c>
      <c r="B31" s="18">
        <v>193</v>
      </c>
      <c r="C31" s="18">
        <v>24</v>
      </c>
      <c r="D31" s="18">
        <f t="shared" si="0"/>
        <v>5.0259067357512954</v>
      </c>
      <c r="E31" s="18">
        <v>970</v>
      </c>
      <c r="F31" s="18">
        <f t="shared" si="1"/>
        <v>0.12435233160621761</v>
      </c>
      <c r="H31" s="41" t="s">
        <v>1</v>
      </c>
      <c r="I31" s="41">
        <v>123</v>
      </c>
      <c r="J31" s="41">
        <v>6</v>
      </c>
      <c r="K31" s="41">
        <f t="shared" si="2"/>
        <v>4.6991869918699187</v>
      </c>
      <c r="L31" s="41">
        <f t="shared" si="3"/>
        <v>4.878048780487805E-2</v>
      </c>
      <c r="M31" s="18">
        <v>578</v>
      </c>
      <c r="O31" s="41" t="s">
        <v>24</v>
      </c>
      <c r="P31" s="41">
        <v>103</v>
      </c>
      <c r="Q31" s="41">
        <v>12</v>
      </c>
      <c r="R31" s="41">
        <f t="shared" si="4"/>
        <v>4.5533980582524274</v>
      </c>
      <c r="S31" s="41">
        <f t="shared" si="5"/>
        <v>0.11650485436893204</v>
      </c>
      <c r="T31" s="3" t="s">
        <v>555</v>
      </c>
      <c r="U31" s="18">
        <v>469</v>
      </c>
    </row>
    <row r="32" spans="1:21" x14ac:dyDescent="0.35">
      <c r="A32" s="18" t="s">
        <v>56</v>
      </c>
      <c r="B32" s="18">
        <v>40</v>
      </c>
      <c r="C32" s="18">
        <v>0</v>
      </c>
      <c r="D32" s="18">
        <f t="shared" si="0"/>
        <v>5.0750000000000002</v>
      </c>
      <c r="E32" s="18">
        <v>203</v>
      </c>
      <c r="F32" s="18">
        <f t="shared" si="1"/>
        <v>0</v>
      </c>
      <c r="H32" s="41" t="s">
        <v>14</v>
      </c>
      <c r="I32" s="41">
        <v>45</v>
      </c>
      <c r="J32" s="41">
        <v>3</v>
      </c>
      <c r="K32" s="41">
        <f t="shared" si="2"/>
        <v>4.7111111111111112</v>
      </c>
      <c r="L32" s="41">
        <f t="shared" si="3"/>
        <v>6.6666666666666666E-2</v>
      </c>
      <c r="M32" s="18">
        <v>212</v>
      </c>
      <c r="O32" s="41" t="s">
        <v>27</v>
      </c>
      <c r="P32" s="41">
        <v>40</v>
      </c>
      <c r="Q32" s="41">
        <v>3</v>
      </c>
      <c r="R32" s="41">
        <f t="shared" si="4"/>
        <v>4.5750000000000002</v>
      </c>
      <c r="S32" s="41">
        <f t="shared" si="5"/>
        <v>7.4999999999999997E-2</v>
      </c>
      <c r="T32" s="3" t="s">
        <v>55</v>
      </c>
      <c r="U32" s="18">
        <v>183</v>
      </c>
    </row>
    <row r="33" spans="1:21" x14ac:dyDescent="0.35">
      <c r="A33" s="18" t="s">
        <v>49</v>
      </c>
      <c r="B33" s="18">
        <v>146</v>
      </c>
      <c r="C33" s="18">
        <v>9</v>
      </c>
      <c r="D33" s="18">
        <f t="shared" si="0"/>
        <v>5.0821917808219181</v>
      </c>
      <c r="E33" s="18">
        <v>742</v>
      </c>
      <c r="F33" s="18">
        <f t="shared" si="1"/>
        <v>6.1643835616438353E-2</v>
      </c>
      <c r="H33" s="38" t="s">
        <v>51</v>
      </c>
      <c r="I33" s="38">
        <v>47</v>
      </c>
      <c r="J33" s="38">
        <v>4</v>
      </c>
      <c r="K33" s="38">
        <f t="shared" si="2"/>
        <v>4.8085106382978724</v>
      </c>
      <c r="L33" s="38">
        <f t="shared" si="3"/>
        <v>8.5106382978723402E-2</v>
      </c>
      <c r="M33" s="18">
        <v>226</v>
      </c>
      <c r="O33" s="41" t="s">
        <v>15</v>
      </c>
      <c r="P33" s="41">
        <v>288</v>
      </c>
      <c r="Q33" s="41">
        <v>40</v>
      </c>
      <c r="R33" s="41">
        <f t="shared" si="4"/>
        <v>4.6215277777777777</v>
      </c>
      <c r="S33" s="41">
        <f t="shared" si="5"/>
        <v>0.1388888888888889</v>
      </c>
      <c r="T33" s="3" t="s">
        <v>55</v>
      </c>
      <c r="U33" s="18">
        <v>1331</v>
      </c>
    </row>
    <row r="34" spans="1:21" x14ac:dyDescent="0.35">
      <c r="A34" s="18" t="s">
        <v>81</v>
      </c>
      <c r="B34" s="18">
        <v>87</v>
      </c>
      <c r="C34" s="18">
        <v>6</v>
      </c>
      <c r="D34" s="18">
        <f t="shared" si="0"/>
        <v>5.1149425287356323</v>
      </c>
      <c r="E34" s="18">
        <v>445</v>
      </c>
      <c r="F34" s="18">
        <f t="shared" si="1"/>
        <v>6.8965517241379309E-2</v>
      </c>
      <c r="H34" s="38" t="s">
        <v>13</v>
      </c>
      <c r="I34" s="38">
        <v>40</v>
      </c>
      <c r="J34" s="38">
        <v>2</v>
      </c>
      <c r="K34" s="38">
        <f t="shared" si="2"/>
        <v>4.9000000000000004</v>
      </c>
      <c r="L34" s="38">
        <f t="shared" si="3"/>
        <v>0.05</v>
      </c>
      <c r="M34" s="18">
        <v>196</v>
      </c>
      <c r="O34" s="41" t="s">
        <v>79</v>
      </c>
      <c r="P34" s="41">
        <v>55</v>
      </c>
      <c r="Q34" s="41">
        <v>6</v>
      </c>
      <c r="R34" s="41">
        <f t="shared" ref="R34:R56" si="6">U34/P34</f>
        <v>4.6363636363636367</v>
      </c>
      <c r="S34" s="41">
        <f t="shared" ref="S34:S56" si="7">Q34/P34</f>
        <v>0.10909090909090909</v>
      </c>
      <c r="T34" s="3" t="s">
        <v>55</v>
      </c>
      <c r="U34" s="18">
        <v>255</v>
      </c>
    </row>
    <row r="35" spans="1:21" x14ac:dyDescent="0.35">
      <c r="A35" s="18" t="s">
        <v>28</v>
      </c>
      <c r="B35" s="18">
        <v>98</v>
      </c>
      <c r="C35" s="18">
        <v>7</v>
      </c>
      <c r="D35" s="18">
        <f t="shared" si="0"/>
        <v>5.1224489795918364</v>
      </c>
      <c r="E35" s="18">
        <v>502</v>
      </c>
      <c r="F35" s="18">
        <f t="shared" si="1"/>
        <v>7.1428571428571425E-2</v>
      </c>
      <c r="H35" s="38" t="s">
        <v>87</v>
      </c>
      <c r="I35" s="38">
        <v>200</v>
      </c>
      <c r="J35" s="38">
        <v>24</v>
      </c>
      <c r="K35" s="38">
        <f t="shared" si="2"/>
        <v>5</v>
      </c>
      <c r="L35" s="38">
        <f t="shared" si="3"/>
        <v>0.12</v>
      </c>
      <c r="M35" s="18">
        <v>1000</v>
      </c>
      <c r="O35" s="41" t="s">
        <v>14</v>
      </c>
      <c r="P35" s="41">
        <v>45</v>
      </c>
      <c r="Q35" s="41">
        <v>3</v>
      </c>
      <c r="R35" s="41">
        <f t="shared" si="6"/>
        <v>4.7111111111111112</v>
      </c>
      <c r="S35" s="41">
        <f t="shared" si="7"/>
        <v>6.6666666666666666E-2</v>
      </c>
      <c r="T35" s="3" t="s">
        <v>54</v>
      </c>
      <c r="U35" s="18">
        <v>212</v>
      </c>
    </row>
    <row r="36" spans="1:21" x14ac:dyDescent="0.35">
      <c r="A36" s="18" t="s">
        <v>30</v>
      </c>
      <c r="B36" s="18">
        <v>63</v>
      </c>
      <c r="C36" s="18">
        <v>5</v>
      </c>
      <c r="D36" s="18">
        <f t="shared" si="0"/>
        <v>5.1428571428571432</v>
      </c>
      <c r="E36" s="18">
        <v>324</v>
      </c>
      <c r="F36" s="18">
        <f t="shared" si="1"/>
        <v>7.9365079365079361E-2</v>
      </c>
      <c r="H36" s="38" t="s">
        <v>25</v>
      </c>
      <c r="I36" s="38">
        <v>251</v>
      </c>
      <c r="J36" s="38">
        <v>23</v>
      </c>
      <c r="K36" s="38">
        <f t="shared" si="2"/>
        <v>5.0278884462151394</v>
      </c>
      <c r="L36" s="38">
        <f t="shared" si="3"/>
        <v>9.1633466135458169E-2</v>
      </c>
      <c r="M36" s="18">
        <v>1262</v>
      </c>
      <c r="O36" s="41" t="s">
        <v>1</v>
      </c>
      <c r="P36" s="41">
        <v>131</v>
      </c>
      <c r="Q36" s="41">
        <v>7</v>
      </c>
      <c r="R36" s="41">
        <f t="shared" si="6"/>
        <v>4.7175572519083966</v>
      </c>
      <c r="S36" s="41">
        <f t="shared" si="7"/>
        <v>5.3435114503816793E-2</v>
      </c>
      <c r="T36" s="3" t="s">
        <v>494</v>
      </c>
      <c r="U36" s="18">
        <v>618</v>
      </c>
    </row>
    <row r="37" spans="1:21" x14ac:dyDescent="0.35">
      <c r="A37" s="18" t="s">
        <v>26</v>
      </c>
      <c r="B37" s="18">
        <v>107</v>
      </c>
      <c r="C37" s="18">
        <v>6</v>
      </c>
      <c r="D37" s="18">
        <f t="shared" si="0"/>
        <v>5.2710280373831777</v>
      </c>
      <c r="E37" s="18">
        <v>564</v>
      </c>
      <c r="F37" s="18">
        <f t="shared" si="1"/>
        <v>5.6074766355140186E-2</v>
      </c>
      <c r="H37" s="38" t="s">
        <v>31</v>
      </c>
      <c r="I37" s="38">
        <v>278</v>
      </c>
      <c r="J37" s="38">
        <v>23</v>
      </c>
      <c r="K37" s="38">
        <f t="shared" si="2"/>
        <v>5.0323741007194247</v>
      </c>
      <c r="L37" s="38">
        <f t="shared" si="3"/>
        <v>8.2733812949640287E-2</v>
      </c>
      <c r="M37" s="18">
        <v>1399</v>
      </c>
      <c r="O37" s="38" t="s">
        <v>51</v>
      </c>
      <c r="P37" s="38">
        <v>47</v>
      </c>
      <c r="Q37" s="38">
        <v>4</v>
      </c>
      <c r="R37" s="38">
        <f t="shared" si="6"/>
        <v>4.8085106382978724</v>
      </c>
      <c r="S37" s="38">
        <f t="shared" si="7"/>
        <v>8.5106382978723402E-2</v>
      </c>
      <c r="T37" s="3" t="s">
        <v>55</v>
      </c>
      <c r="U37" s="18">
        <v>226</v>
      </c>
    </row>
    <row r="38" spans="1:21" x14ac:dyDescent="0.35">
      <c r="A38" s="18" t="s">
        <v>6</v>
      </c>
      <c r="B38" s="18">
        <v>45</v>
      </c>
      <c r="C38" s="18">
        <v>3</v>
      </c>
      <c r="D38" s="18">
        <f t="shared" si="0"/>
        <v>5.3555555555555552</v>
      </c>
      <c r="E38" s="18">
        <v>241</v>
      </c>
      <c r="F38" s="18">
        <f t="shared" si="1"/>
        <v>6.6666666666666666E-2</v>
      </c>
      <c r="H38" s="38" t="s">
        <v>49</v>
      </c>
      <c r="I38" s="38">
        <v>151</v>
      </c>
      <c r="J38" s="38">
        <v>9</v>
      </c>
      <c r="K38" s="38">
        <f t="shared" si="2"/>
        <v>5.0596026490066226</v>
      </c>
      <c r="L38" s="38">
        <f t="shared" si="3"/>
        <v>5.9602649006622516E-2</v>
      </c>
      <c r="M38" s="18">
        <v>764</v>
      </c>
      <c r="O38" s="38" t="s">
        <v>13</v>
      </c>
      <c r="P38" s="38">
        <v>40</v>
      </c>
      <c r="Q38" s="38">
        <v>2</v>
      </c>
      <c r="R38" s="38">
        <f t="shared" si="6"/>
        <v>4.9000000000000004</v>
      </c>
      <c r="S38" s="38">
        <f t="shared" si="7"/>
        <v>0.05</v>
      </c>
      <c r="T38" s="3" t="s">
        <v>55</v>
      </c>
      <c r="U38" s="18">
        <v>196</v>
      </c>
    </row>
    <row r="39" spans="1:21" x14ac:dyDescent="0.35">
      <c r="A39" s="18" t="s">
        <v>401</v>
      </c>
      <c r="B39" s="18">
        <v>71</v>
      </c>
      <c r="C39" s="18">
        <v>3</v>
      </c>
      <c r="D39" s="18">
        <f t="shared" si="0"/>
        <v>5.3661971830985919</v>
      </c>
      <c r="E39" s="18">
        <v>381</v>
      </c>
      <c r="F39" s="18">
        <f t="shared" si="1"/>
        <v>4.2253521126760563E-2</v>
      </c>
      <c r="H39" s="38" t="s">
        <v>56</v>
      </c>
      <c r="I39" s="38">
        <v>40</v>
      </c>
      <c r="J39" s="38">
        <v>0</v>
      </c>
      <c r="K39" s="38">
        <f t="shared" si="2"/>
        <v>5.0750000000000002</v>
      </c>
      <c r="L39" s="38">
        <f t="shared" si="3"/>
        <v>0</v>
      </c>
      <c r="M39" s="18">
        <v>203</v>
      </c>
      <c r="O39" s="38" t="s">
        <v>414</v>
      </c>
      <c r="P39" s="38">
        <v>40</v>
      </c>
      <c r="Q39" s="38">
        <v>4</v>
      </c>
      <c r="R39" s="38">
        <f t="shared" si="6"/>
        <v>4.9000000000000004</v>
      </c>
      <c r="S39" s="38">
        <f t="shared" si="7"/>
        <v>0.1</v>
      </c>
      <c r="T39" s="20" t="s">
        <v>611</v>
      </c>
      <c r="U39" s="18">
        <v>196</v>
      </c>
    </row>
    <row r="40" spans="1:21" x14ac:dyDescent="0.35">
      <c r="A40" s="18" t="s">
        <v>34</v>
      </c>
      <c r="B40" s="18">
        <v>40</v>
      </c>
      <c r="C40" s="18">
        <v>3</v>
      </c>
      <c r="D40" s="18">
        <f t="shared" si="0"/>
        <v>5.4</v>
      </c>
      <c r="E40" s="18">
        <v>216</v>
      </c>
      <c r="F40" s="18">
        <f t="shared" si="1"/>
        <v>7.4999999999999997E-2</v>
      </c>
      <c r="H40" s="38" t="s">
        <v>28</v>
      </c>
      <c r="I40" s="38">
        <v>109</v>
      </c>
      <c r="J40" s="38">
        <v>7</v>
      </c>
      <c r="K40" s="38">
        <f t="shared" si="2"/>
        <v>5.1100917431192663</v>
      </c>
      <c r="L40" s="38">
        <f t="shared" si="3"/>
        <v>6.4220183486238536E-2</v>
      </c>
      <c r="M40" s="18">
        <v>557</v>
      </c>
      <c r="O40" s="38" t="s">
        <v>4</v>
      </c>
      <c r="P40" s="38">
        <v>41</v>
      </c>
      <c r="Q40" s="38">
        <v>5</v>
      </c>
      <c r="R40" s="38">
        <f t="shared" si="6"/>
        <v>4.975609756097561</v>
      </c>
      <c r="S40" s="38">
        <f t="shared" si="7"/>
        <v>0.12195121951219512</v>
      </c>
      <c r="T40" s="10" t="s">
        <v>611</v>
      </c>
      <c r="U40" s="18">
        <v>204</v>
      </c>
    </row>
    <row r="41" spans="1:21" x14ac:dyDescent="0.35">
      <c r="A41" s="18" t="s">
        <v>33</v>
      </c>
      <c r="B41" s="18">
        <v>66</v>
      </c>
      <c r="C41" s="18">
        <v>4</v>
      </c>
      <c r="D41" s="18">
        <f t="shared" si="0"/>
        <v>5.5303030303030303</v>
      </c>
      <c r="E41" s="18">
        <v>365</v>
      </c>
      <c r="F41" s="18">
        <f t="shared" si="1"/>
        <v>6.0606060606060608E-2</v>
      </c>
      <c r="H41" s="38" t="s">
        <v>30</v>
      </c>
      <c r="I41" s="38">
        <v>64</v>
      </c>
      <c r="J41" s="38">
        <v>5</v>
      </c>
      <c r="K41" s="38">
        <f t="shared" si="2"/>
        <v>5.15625</v>
      </c>
      <c r="L41" s="38">
        <f t="shared" si="3"/>
        <v>7.8125E-2</v>
      </c>
      <c r="M41" s="18">
        <v>330</v>
      </c>
      <c r="O41" s="38" t="s">
        <v>49</v>
      </c>
      <c r="P41" s="38">
        <v>156</v>
      </c>
      <c r="Q41" s="38">
        <v>9</v>
      </c>
      <c r="R41" s="38">
        <f t="shared" si="6"/>
        <v>5.0128205128205128</v>
      </c>
      <c r="S41" s="38">
        <f t="shared" si="7"/>
        <v>5.7692307692307696E-2</v>
      </c>
      <c r="T41" s="3" t="s">
        <v>54</v>
      </c>
      <c r="U41" s="18">
        <v>782</v>
      </c>
    </row>
    <row r="42" spans="1:21" x14ac:dyDescent="0.35">
      <c r="A42" s="18" t="s">
        <v>253</v>
      </c>
      <c r="B42" s="18">
        <v>61</v>
      </c>
      <c r="C42" s="18">
        <v>4</v>
      </c>
      <c r="D42" s="18">
        <f t="shared" si="0"/>
        <v>5.6065573770491799</v>
      </c>
      <c r="E42" s="18">
        <v>342</v>
      </c>
      <c r="F42" s="18">
        <f t="shared" si="1"/>
        <v>6.5573770491803282E-2</v>
      </c>
      <c r="H42" s="38" t="s">
        <v>81</v>
      </c>
      <c r="I42" s="38">
        <v>89</v>
      </c>
      <c r="J42" s="38">
        <v>6</v>
      </c>
      <c r="K42" s="38">
        <f t="shared" si="2"/>
        <v>5.1797752808988768</v>
      </c>
      <c r="L42" s="38">
        <f t="shared" si="3"/>
        <v>6.741573033707865E-2</v>
      </c>
      <c r="M42" s="18">
        <v>461</v>
      </c>
      <c r="O42" s="38" t="s">
        <v>25</v>
      </c>
      <c r="P42" s="38">
        <v>257</v>
      </c>
      <c r="Q42" s="38">
        <v>23</v>
      </c>
      <c r="R42" s="38">
        <f t="shared" si="6"/>
        <v>5.0233463035019454</v>
      </c>
      <c r="S42" s="38">
        <f t="shared" si="7"/>
        <v>8.9494163424124515E-2</v>
      </c>
      <c r="T42" s="3" t="s">
        <v>555</v>
      </c>
      <c r="U42" s="18">
        <v>1291</v>
      </c>
    </row>
    <row r="43" spans="1:21" x14ac:dyDescent="0.35">
      <c r="H43" s="38" t="s">
        <v>26</v>
      </c>
      <c r="I43" s="38">
        <v>111</v>
      </c>
      <c r="J43" s="38">
        <v>6</v>
      </c>
      <c r="K43" s="38">
        <f t="shared" si="2"/>
        <v>5.2252252252252251</v>
      </c>
      <c r="L43" s="38">
        <f t="shared" si="3"/>
        <v>5.4054054054054057E-2</v>
      </c>
      <c r="M43" s="18">
        <v>580</v>
      </c>
      <c r="O43" s="38" t="s">
        <v>31</v>
      </c>
      <c r="P43" s="38">
        <v>290</v>
      </c>
      <c r="Q43" s="38">
        <v>24</v>
      </c>
      <c r="R43" s="38">
        <f t="shared" si="6"/>
        <v>5.0310344827586206</v>
      </c>
      <c r="S43" s="38">
        <f t="shared" si="7"/>
        <v>8.2758620689655171E-2</v>
      </c>
      <c r="T43" s="3" t="s">
        <v>555</v>
      </c>
      <c r="U43" s="18">
        <v>1459</v>
      </c>
    </row>
    <row r="44" spans="1:21" x14ac:dyDescent="0.35">
      <c r="H44" s="67" t="s">
        <v>90</v>
      </c>
      <c r="I44" s="67">
        <v>40</v>
      </c>
      <c r="J44" s="67">
        <v>3</v>
      </c>
      <c r="K44" s="67">
        <f t="shared" si="2"/>
        <v>5.35</v>
      </c>
      <c r="L44" s="67">
        <f t="shared" si="3"/>
        <v>7.4999999999999997E-2</v>
      </c>
      <c r="M44" s="73">
        <v>214</v>
      </c>
      <c r="O44" s="38" t="s">
        <v>87</v>
      </c>
      <c r="P44" s="38">
        <v>212</v>
      </c>
      <c r="Q44" s="38">
        <v>25</v>
      </c>
      <c r="R44" s="38">
        <f t="shared" si="6"/>
        <v>5.033018867924528</v>
      </c>
      <c r="S44" s="38">
        <f t="shared" si="7"/>
        <v>0.11792452830188679</v>
      </c>
      <c r="T44" s="3" t="s">
        <v>495</v>
      </c>
      <c r="U44" s="18">
        <v>1067</v>
      </c>
    </row>
    <row r="45" spans="1:21" x14ac:dyDescent="0.35">
      <c r="H45" s="67" t="s">
        <v>6</v>
      </c>
      <c r="I45" s="67">
        <v>45</v>
      </c>
      <c r="J45" s="67">
        <v>3</v>
      </c>
      <c r="K45" s="67">
        <f t="shared" si="2"/>
        <v>5.3555555555555552</v>
      </c>
      <c r="L45" s="67">
        <f t="shared" si="3"/>
        <v>6.6666666666666666E-2</v>
      </c>
      <c r="M45" s="18">
        <v>241</v>
      </c>
      <c r="O45" s="38" t="s">
        <v>56</v>
      </c>
      <c r="P45" s="38">
        <v>40</v>
      </c>
      <c r="Q45" s="38">
        <v>0</v>
      </c>
      <c r="R45" s="38">
        <f t="shared" si="6"/>
        <v>5.0750000000000002</v>
      </c>
      <c r="S45" s="38">
        <f t="shared" si="7"/>
        <v>0</v>
      </c>
      <c r="T45" s="3" t="s">
        <v>555</v>
      </c>
      <c r="U45" s="18">
        <v>203</v>
      </c>
    </row>
    <row r="46" spans="1:21" x14ac:dyDescent="0.35">
      <c r="H46" s="67" t="s">
        <v>401</v>
      </c>
      <c r="I46" s="67">
        <v>71</v>
      </c>
      <c r="J46" s="67">
        <v>3</v>
      </c>
      <c r="K46" s="67">
        <f t="shared" si="2"/>
        <v>5.3661971830985919</v>
      </c>
      <c r="L46" s="67">
        <f t="shared" si="3"/>
        <v>4.2253521126760563E-2</v>
      </c>
      <c r="M46" s="18">
        <v>381</v>
      </c>
      <c r="O46" s="38" t="s">
        <v>28</v>
      </c>
      <c r="P46" s="38">
        <v>124</v>
      </c>
      <c r="Q46" s="38">
        <v>9</v>
      </c>
      <c r="R46" s="38">
        <f t="shared" si="6"/>
        <v>5.104838709677419</v>
      </c>
      <c r="S46" s="38">
        <f t="shared" si="7"/>
        <v>7.2580645161290328E-2</v>
      </c>
      <c r="T46" s="3" t="s">
        <v>555</v>
      </c>
      <c r="U46" s="18">
        <v>633</v>
      </c>
    </row>
    <row r="47" spans="1:21" x14ac:dyDescent="0.35">
      <c r="H47" s="67" t="s">
        <v>34</v>
      </c>
      <c r="I47" s="67">
        <v>40</v>
      </c>
      <c r="J47" s="67">
        <v>3</v>
      </c>
      <c r="K47" s="67">
        <f t="shared" si="2"/>
        <v>5.4</v>
      </c>
      <c r="L47" s="67">
        <f t="shared" si="3"/>
        <v>7.4999999999999997E-2</v>
      </c>
      <c r="M47" s="18">
        <v>216</v>
      </c>
      <c r="O47" s="38" t="s">
        <v>30</v>
      </c>
      <c r="P47" s="38">
        <v>65</v>
      </c>
      <c r="Q47" s="38">
        <v>5</v>
      </c>
      <c r="R47" s="38">
        <f t="shared" si="6"/>
        <v>5.1230769230769226</v>
      </c>
      <c r="S47" s="38">
        <f t="shared" si="7"/>
        <v>7.6923076923076927E-2</v>
      </c>
      <c r="T47" s="3" t="s">
        <v>555</v>
      </c>
      <c r="U47" s="18">
        <v>333</v>
      </c>
    </row>
    <row r="48" spans="1:21" x14ac:dyDescent="0.35">
      <c r="H48" s="67" t="s">
        <v>33</v>
      </c>
      <c r="I48" s="67">
        <v>67</v>
      </c>
      <c r="J48" s="67">
        <v>4</v>
      </c>
      <c r="K48" s="67">
        <f t="shared" si="2"/>
        <v>5.5373134328358207</v>
      </c>
      <c r="L48" s="67">
        <f t="shared" si="3"/>
        <v>5.9701492537313432E-2</v>
      </c>
      <c r="M48" s="18">
        <v>371</v>
      </c>
      <c r="O48" s="38" t="s">
        <v>124</v>
      </c>
      <c r="P48" s="38">
        <v>40</v>
      </c>
      <c r="Q48" s="38">
        <v>1</v>
      </c>
      <c r="R48" s="38">
        <f t="shared" si="6"/>
        <v>5.15</v>
      </c>
      <c r="S48" s="38">
        <f t="shared" si="7"/>
        <v>2.5000000000000001E-2</v>
      </c>
      <c r="T48" s="79" t="s">
        <v>611</v>
      </c>
      <c r="U48" s="18">
        <v>206</v>
      </c>
    </row>
    <row r="49" spans="8:21" x14ac:dyDescent="0.35">
      <c r="H49" s="67" t="s">
        <v>253</v>
      </c>
      <c r="I49" s="67">
        <v>61</v>
      </c>
      <c r="J49" s="67">
        <v>4</v>
      </c>
      <c r="K49" s="67">
        <f t="shared" si="2"/>
        <v>5.6065573770491799</v>
      </c>
      <c r="L49" s="67">
        <f t="shared" si="3"/>
        <v>6.5573770491803282E-2</v>
      </c>
      <c r="M49" s="18">
        <v>342</v>
      </c>
      <c r="O49" s="38" t="s">
        <v>81</v>
      </c>
      <c r="P49" s="38">
        <v>89</v>
      </c>
      <c r="Q49" s="38">
        <v>6</v>
      </c>
      <c r="R49" s="38">
        <f t="shared" si="6"/>
        <v>5.1797752808988768</v>
      </c>
      <c r="S49" s="38">
        <f t="shared" si="7"/>
        <v>6.741573033707865E-2</v>
      </c>
      <c r="T49" s="3" t="s">
        <v>282</v>
      </c>
      <c r="U49" s="18">
        <v>461</v>
      </c>
    </row>
    <row r="50" spans="8:21" x14ac:dyDescent="0.35">
      <c r="O50" s="67" t="s">
        <v>26</v>
      </c>
      <c r="P50" s="67">
        <v>116</v>
      </c>
      <c r="Q50" s="67">
        <v>7</v>
      </c>
      <c r="R50" s="67">
        <f t="shared" si="6"/>
        <v>5.25</v>
      </c>
      <c r="S50" s="67">
        <f t="shared" si="7"/>
        <v>6.0344827586206899E-2</v>
      </c>
      <c r="T50" s="3" t="s">
        <v>282</v>
      </c>
      <c r="U50" s="18">
        <v>609</v>
      </c>
    </row>
    <row r="51" spans="8:21" x14ac:dyDescent="0.35">
      <c r="O51" s="67" t="s">
        <v>34</v>
      </c>
      <c r="P51" s="67">
        <v>41</v>
      </c>
      <c r="Q51" s="67">
        <v>3</v>
      </c>
      <c r="R51" s="67">
        <f t="shared" si="6"/>
        <v>5.3170731707317076</v>
      </c>
      <c r="S51" s="67">
        <f t="shared" si="7"/>
        <v>7.3170731707317069E-2</v>
      </c>
      <c r="T51" s="3" t="s">
        <v>55</v>
      </c>
      <c r="U51" s="18">
        <v>218</v>
      </c>
    </row>
    <row r="52" spans="8:21" x14ac:dyDescent="0.35">
      <c r="O52" s="67" t="s">
        <v>90</v>
      </c>
      <c r="P52" s="67">
        <v>40</v>
      </c>
      <c r="Q52" s="67">
        <v>3</v>
      </c>
      <c r="R52" s="67">
        <f t="shared" si="6"/>
        <v>5.35</v>
      </c>
      <c r="S52" s="67">
        <f t="shared" si="7"/>
        <v>7.4999999999999997E-2</v>
      </c>
      <c r="T52" s="3" t="s">
        <v>296</v>
      </c>
      <c r="U52" s="73">
        <v>214</v>
      </c>
    </row>
    <row r="53" spans="8:21" x14ac:dyDescent="0.35">
      <c r="O53" s="67" t="s">
        <v>6</v>
      </c>
      <c r="P53" s="67">
        <v>45</v>
      </c>
      <c r="Q53" s="67">
        <v>3</v>
      </c>
      <c r="R53" s="67">
        <f t="shared" si="6"/>
        <v>5.3555555555555552</v>
      </c>
      <c r="S53" s="67">
        <f t="shared" si="7"/>
        <v>6.6666666666666666E-2</v>
      </c>
      <c r="T53" s="3" t="s">
        <v>296</v>
      </c>
      <c r="U53" s="18">
        <v>241</v>
      </c>
    </row>
    <row r="54" spans="8:21" x14ac:dyDescent="0.35">
      <c r="O54" s="67" t="s">
        <v>401</v>
      </c>
      <c r="P54" s="67">
        <v>71</v>
      </c>
      <c r="Q54" s="67">
        <v>3</v>
      </c>
      <c r="R54" s="67">
        <f t="shared" si="6"/>
        <v>5.3661971830985919</v>
      </c>
      <c r="S54" s="67">
        <f t="shared" si="7"/>
        <v>4.2253521126760563E-2</v>
      </c>
      <c r="T54" s="3" t="s">
        <v>296</v>
      </c>
      <c r="U54" s="18">
        <v>381</v>
      </c>
    </row>
    <row r="55" spans="8:21" x14ac:dyDescent="0.35">
      <c r="O55" s="67" t="s">
        <v>33</v>
      </c>
      <c r="P55" s="67">
        <v>73</v>
      </c>
      <c r="Q55" s="67">
        <v>4</v>
      </c>
      <c r="R55" s="67">
        <f t="shared" si="6"/>
        <v>5.5342465753424657</v>
      </c>
      <c r="S55" s="67">
        <f t="shared" si="7"/>
        <v>5.4794520547945202E-2</v>
      </c>
      <c r="T55" s="3" t="s">
        <v>282</v>
      </c>
      <c r="U55" s="18">
        <v>404</v>
      </c>
    </row>
    <row r="56" spans="8:21" x14ac:dyDescent="0.35">
      <c r="O56" s="67" t="s">
        <v>253</v>
      </c>
      <c r="P56" s="67">
        <v>61</v>
      </c>
      <c r="Q56" s="67">
        <v>4</v>
      </c>
      <c r="R56" s="67">
        <f t="shared" si="6"/>
        <v>5.6065573770491799</v>
      </c>
      <c r="S56" s="67">
        <f t="shared" si="7"/>
        <v>6.5573770491803282E-2</v>
      </c>
      <c r="T56" s="3" t="s">
        <v>282</v>
      </c>
      <c r="U56" s="18">
        <v>342</v>
      </c>
    </row>
  </sheetData>
  <sortState ref="O2:U56">
    <sortCondition ref="R2:R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Prep 2.0</vt:lpstr>
      <vt:lpstr>2.0</vt:lpstr>
      <vt:lpstr>Prep 3.0</vt:lpstr>
      <vt:lpstr>3.0</vt:lpstr>
      <vt:lpstr>Prep 4.0</vt:lpstr>
      <vt:lpstr>Prep 5.0</vt:lpstr>
      <vt:lpstr>4.0</vt:lpstr>
      <vt:lpstr>5.0</vt:lpstr>
      <vt:lpstr>WE25</vt:lpstr>
      <vt:lpstr>Prep 6.0</vt:lpstr>
      <vt:lpstr>6.0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Cui</dc:creator>
  <cp:lastModifiedBy>cui</cp:lastModifiedBy>
  <dcterms:created xsi:type="dcterms:W3CDTF">2023-04-24T17:39:22Z</dcterms:created>
  <dcterms:modified xsi:type="dcterms:W3CDTF">2026-10-27T03:33:35Z</dcterms:modified>
</cp:coreProperties>
</file>