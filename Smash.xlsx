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AB4B7AEB-ADD1-44B4-BDC5-5CDCBAC073B4}" xr6:coauthVersionLast="47" xr6:coauthVersionMax="47" xr10:uidLastSave="{00000000-0000-0000-0000-000000000000}"/>
  <bookViews>
    <workbookView xWindow="39615" yWindow="7680" windowWidth="28800" windowHeight="15345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13" l="1"/>
  <c r="L40" i="13"/>
  <c r="N14" i="13"/>
  <c r="L14" i="13"/>
  <c r="N58" i="13"/>
  <c r="L58" i="13"/>
  <c r="N60" i="13"/>
  <c r="L60" i="13"/>
  <c r="N50" i="13"/>
  <c r="L50" i="13"/>
  <c r="N33" i="13"/>
  <c r="L33" i="13"/>
  <c r="N26" i="13"/>
  <c r="L26" i="13"/>
  <c r="N39" i="13"/>
  <c r="L39" i="13"/>
  <c r="N59" i="13"/>
  <c r="L59" i="13"/>
  <c r="N57" i="13"/>
  <c r="L57" i="13"/>
  <c r="N15" i="13"/>
  <c r="L15" i="13"/>
  <c r="N23" i="13"/>
  <c r="L23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43" i="13"/>
  <c r="L43" i="13"/>
  <c r="N36" i="13"/>
  <c r="L36" i="13"/>
  <c r="N38" i="13"/>
  <c r="L38" i="13"/>
  <c r="N37" i="13"/>
  <c r="L37" i="13"/>
  <c r="N30" i="13"/>
  <c r="L30" i="13"/>
  <c r="N49" i="13"/>
  <c r="L49" i="13"/>
  <c r="N17" i="13"/>
  <c r="L17" i="13"/>
  <c r="N53" i="13"/>
  <c r="L53" i="13"/>
  <c r="N46" i="13"/>
  <c r="L46" i="13"/>
  <c r="N45" i="13"/>
  <c r="L45" i="13"/>
  <c r="N44" i="13"/>
  <c r="L44" i="13"/>
  <c r="N29" i="13"/>
  <c r="L29" i="13"/>
  <c r="N28" i="13"/>
  <c r="L28" i="13"/>
  <c r="N42" i="13" l="1"/>
  <c r="L42" i="13"/>
  <c r="N51" i="13"/>
  <c r="L51" i="13"/>
  <c r="N48" i="13"/>
  <c r="L48" i="13"/>
  <c r="N32" i="13" l="1"/>
  <c r="L32" i="13"/>
  <c r="N27" i="13"/>
  <c r="L27" i="13"/>
  <c r="N22" i="13" l="1"/>
  <c r="L22" i="13"/>
  <c r="N25" i="13"/>
  <c r="L25" i="13"/>
  <c r="N24" i="13"/>
  <c r="L24" i="13"/>
  <c r="N61" i="13"/>
  <c r="L61" i="13"/>
  <c r="F30" i="13" l="1"/>
  <c r="D30" i="13"/>
  <c r="N35" i="13" l="1"/>
  <c r="L35" i="13"/>
  <c r="N16" i="13"/>
  <c r="L16" i="13"/>
  <c r="N13" i="13" l="1"/>
  <c r="L13" i="13"/>
  <c r="N56" i="13"/>
  <c r="L56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5" i="13"/>
  <c r="L55" i="13"/>
  <c r="F71" i="13"/>
  <c r="D71" i="13"/>
  <c r="N54" i="13"/>
  <c r="L54" i="13"/>
  <c r="F70" i="13"/>
  <c r="D70" i="13"/>
  <c r="F69" i="13"/>
  <c r="D69" i="13"/>
  <c r="F68" i="13"/>
  <c r="D68" i="13"/>
  <c r="F67" i="13"/>
  <c r="D67" i="13"/>
  <c r="N52" i="13"/>
  <c r="L52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7" i="13"/>
  <c r="L47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1" i="13"/>
  <c r="L41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4" i="13"/>
  <c r="L34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<sst xmlns="http://schemas.openxmlformats.org/spreadsheetml/2006/main" count="16123" uniqueCount="585">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</sst>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90"/>
  <sheetViews>
    <sheetView topLeftCell="A256" zoomScaleNormal="100" workbookViewId="0">
      <selection activeCell="T282" sqref="T282:AH2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G2" sqref="G2"/>
    </sheetView>
  </sheetViews>
  <sheetFormatPr defaultRowHeight="15" x14ac:dyDescent="0.25"/>
  <sheetData>
    <row r="1" spans="1:14 16384:16384" x14ac:dyDescent="0.25">
      <c r="A1" s="1">
        <v>46087</v>
      </c>
      <c r="B1" s="1">
        <v>46087</v>
      </c>
      <c r="C1" s="1">
        <v>46093</v>
      </c>
      <c r="D1" s="1">
        <v>46093</v>
      </c>
      <c r="E1" s="1">
        <v>46093</v>
      </c>
      <c r="F1" s="1">
        <v>46093</v>
      </c>
      <c r="G1" s="1">
        <v>46094</v>
      </c>
      <c r="H1" s="1">
        <v>46094</v>
      </c>
      <c r="I1" s="1">
        <v>46095</v>
      </c>
      <c r="J1" s="1">
        <v>46095</v>
      </c>
      <c r="K1" s="1">
        <v>46095</v>
      </c>
      <c r="L1" s="1">
        <v>46095</v>
      </c>
      <c r="XFD1" s="1"/>
    </row>
    <row r="2" spans="1:14 16384:16384" x14ac:dyDescent="0.25">
      <c r="A2" t="s">
        <v>87</v>
      </c>
      <c r="B2" t="s">
        <v>124</v>
      </c>
      <c r="C2" t="s">
        <v>21</v>
      </c>
      <c r="D2" t="s">
        <v>25</v>
      </c>
      <c r="E2" t="s">
        <v>78</v>
      </c>
      <c r="F2" t="s">
        <v>15</v>
      </c>
    </row>
    <row r="3" spans="1:14 16384:16384" x14ac:dyDescent="0.25">
      <c r="A3" t="s">
        <v>124</v>
      </c>
      <c r="B3" t="s">
        <v>232</v>
      </c>
      <c r="C3" t="s">
        <v>122</v>
      </c>
      <c r="D3" t="s">
        <v>31</v>
      </c>
      <c r="E3" t="s">
        <v>49</v>
      </c>
      <c r="F3" t="s">
        <v>78</v>
      </c>
    </row>
    <row r="4" spans="1:14 16384:16384" x14ac:dyDescent="0.25">
      <c r="A4" t="s">
        <v>28</v>
      </c>
      <c r="B4" t="s">
        <v>4</v>
      </c>
      <c r="C4" t="s">
        <v>35</v>
      </c>
      <c r="D4" t="s">
        <v>35</v>
      </c>
      <c r="E4" t="s">
        <v>26</v>
      </c>
      <c r="F4" t="s">
        <v>117</v>
      </c>
    </row>
    <row r="5" spans="1:14 16384:16384" x14ac:dyDescent="0.25">
      <c r="A5" t="s">
        <v>4</v>
      </c>
      <c r="B5" t="s">
        <v>28</v>
      </c>
      <c r="C5" t="s">
        <v>25</v>
      </c>
      <c r="D5" t="s">
        <v>122</v>
      </c>
      <c r="E5" t="s">
        <v>15</v>
      </c>
      <c r="F5" t="s">
        <v>29</v>
      </c>
    </row>
    <row r="6" spans="1:14 16384:16384" x14ac:dyDescent="0.25">
      <c r="A6" t="s">
        <v>63</v>
      </c>
      <c r="B6" t="s">
        <v>31</v>
      </c>
      <c r="C6" t="s">
        <v>31</v>
      </c>
      <c r="D6" t="s">
        <v>21</v>
      </c>
      <c r="E6" t="s">
        <v>104</v>
      </c>
      <c r="F6" t="s">
        <v>49</v>
      </c>
    </row>
    <row r="7" spans="1:14 16384:16384" x14ac:dyDescent="0.25">
      <c r="A7" t="s">
        <v>121</v>
      </c>
      <c r="B7" t="s">
        <v>87</v>
      </c>
      <c r="C7" t="s">
        <v>117</v>
      </c>
      <c r="D7" t="s">
        <v>78</v>
      </c>
      <c r="E7" t="s">
        <v>29</v>
      </c>
      <c r="F7" t="s">
        <v>26</v>
      </c>
    </row>
    <row r="8" spans="1:14 16384:16384" x14ac:dyDescent="0.25">
      <c r="A8" t="s">
        <v>31</v>
      </c>
      <c r="B8" t="s">
        <v>63</v>
      </c>
      <c r="C8" t="s">
        <v>87</v>
      </c>
      <c r="D8" t="s">
        <v>117</v>
      </c>
      <c r="E8" t="s">
        <v>117</v>
      </c>
      <c r="F8" t="s">
        <v>104</v>
      </c>
    </row>
    <row r="9" spans="1:14 16384:16384" x14ac:dyDescent="0.25">
      <c r="A9" t="s">
        <v>25</v>
      </c>
      <c r="B9" t="s">
        <v>25</v>
      </c>
      <c r="C9" t="s">
        <v>78</v>
      </c>
      <c r="D9" t="s">
        <v>87</v>
      </c>
      <c r="E9" t="s">
        <v>51</v>
      </c>
      <c r="F9" t="s">
        <v>51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4 16384:16384" x14ac:dyDescent="0.25">
      <c r="A14" s="18" t="s">
        <v>104</v>
      </c>
      <c r="B14" s="18">
        <v>109</v>
      </c>
      <c r="C14" s="18">
        <v>8</v>
      </c>
      <c r="D14" s="18">
        <f t="shared" si="0"/>
        <v>4.238532110091743</v>
      </c>
      <c r="E14" s="18">
        <v>462</v>
      </c>
      <c r="F14" s="18">
        <f t="shared" si="1"/>
        <v>7.3394495412844041E-2</v>
      </c>
      <c r="G14" s="32">
        <v>2.3273733406281498</v>
      </c>
      <c r="I14" s="18" t="s">
        <v>104</v>
      </c>
      <c r="J14" s="18">
        <v>109</v>
      </c>
      <c r="K14" s="18">
        <v>8</v>
      </c>
      <c r="L14" s="18">
        <f t="shared" si="2"/>
        <v>4.238532110091743</v>
      </c>
      <c r="M14" s="18">
        <v>462</v>
      </c>
      <c r="N14" s="18">
        <f t="shared" si="3"/>
        <v>7.3394495412844041E-2</v>
      </c>
    </row>
    <row r="15" spans="1:14 16384:16384" x14ac:dyDescent="0.25">
      <c r="A15" s="18" t="s">
        <v>31</v>
      </c>
      <c r="B15" s="18">
        <v>207</v>
      </c>
      <c r="C15" s="18">
        <v>13</v>
      </c>
      <c r="D15" s="18">
        <f t="shared" si="0"/>
        <v>5.2608695652173916</v>
      </c>
      <c r="E15" s="18">
        <v>1089</v>
      </c>
      <c r="F15" s="18">
        <f t="shared" si="1"/>
        <v>6.280193236714976E-2</v>
      </c>
      <c r="G15" s="32">
        <v>1.87082869338697</v>
      </c>
      <c r="I15" s="18" t="s">
        <v>31</v>
      </c>
      <c r="J15" s="18">
        <v>207</v>
      </c>
      <c r="K15" s="18">
        <v>13</v>
      </c>
      <c r="L15" s="18">
        <f t="shared" si="2"/>
        <v>5.2608695652173916</v>
      </c>
      <c r="M15" s="18">
        <v>1089</v>
      </c>
      <c r="N15" s="18">
        <f t="shared" si="3"/>
        <v>6.280193236714976E-2</v>
      </c>
    </row>
    <row r="16" spans="1:14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106</v>
      </c>
      <c r="C17" s="18">
        <v>32</v>
      </c>
      <c r="D17" s="18">
        <f t="shared" si="0"/>
        <v>3.2169811320754715</v>
      </c>
      <c r="E17" s="18">
        <v>341</v>
      </c>
      <c r="F17" s="18">
        <f t="shared" si="1"/>
        <v>0.30188679245283018</v>
      </c>
      <c r="G17" s="32">
        <v>2.03049835952651</v>
      </c>
      <c r="I17" s="18" t="s">
        <v>128</v>
      </c>
      <c r="J17" s="18">
        <v>106</v>
      </c>
      <c r="K17" s="18">
        <v>32</v>
      </c>
      <c r="L17" s="18">
        <f t="shared" si="4"/>
        <v>3.2169811320754715</v>
      </c>
      <c r="M17" s="18">
        <v>341</v>
      </c>
      <c r="N17" s="18">
        <f t="shared" si="5"/>
        <v>0.30188679245283018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174</v>
      </c>
      <c r="K23" s="18">
        <v>18</v>
      </c>
      <c r="L23" s="18">
        <f t="shared" si="8"/>
        <v>5.0057471264367814</v>
      </c>
      <c r="M23" s="18">
        <v>871</v>
      </c>
      <c r="N23" s="18">
        <f t="shared" si="9"/>
        <v>0.10344827586206896</v>
      </c>
    </row>
    <row r="24" spans="1:14" x14ac:dyDescent="0.25">
      <c r="A24" t="s">
        <v>56</v>
      </c>
      <c r="B24">
        <v>23</v>
      </c>
      <c r="C24">
        <v>0</v>
      </c>
      <c r="D24">
        <f t="shared" si="0"/>
        <v>5.2608695652173916</v>
      </c>
      <c r="E24">
        <v>121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130</v>
      </c>
      <c r="K26" s="18">
        <v>16</v>
      </c>
      <c r="L26" s="18">
        <f t="shared" si="10"/>
        <v>4.8538461538461535</v>
      </c>
      <c r="M26" s="18">
        <v>631</v>
      </c>
      <c r="N26" s="18">
        <f t="shared" si="11"/>
        <v>0.12307692307692308</v>
      </c>
    </row>
    <row r="27" spans="1:14" x14ac:dyDescent="0.25">
      <c r="A27" s="18" t="s">
        <v>25</v>
      </c>
      <c r="B27" s="18">
        <v>174</v>
      </c>
      <c r="C27" s="18">
        <v>18</v>
      </c>
      <c r="D27" s="18">
        <f t="shared" si="0"/>
        <v>5.0057471264367814</v>
      </c>
      <c r="E27" s="18">
        <v>871</v>
      </c>
      <c r="F27" s="18">
        <f t="shared" si="1"/>
        <v>0.10344827586206896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74</v>
      </c>
      <c r="K28" s="18">
        <v>5</v>
      </c>
      <c r="L28" s="18">
        <f t="shared" si="12"/>
        <v>5.1891891891891895</v>
      </c>
      <c r="M28" s="18">
        <v>384</v>
      </c>
      <c r="N28" s="18">
        <f t="shared" si="13"/>
        <v>6.7567567567567571E-2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130</v>
      </c>
      <c r="C30" s="18">
        <v>16</v>
      </c>
      <c r="D30" s="18">
        <f t="shared" si="0"/>
        <v>4.8538461538461535</v>
      </c>
      <c r="E30" s="18">
        <v>631</v>
      </c>
      <c r="F30" s="18">
        <f t="shared" si="1"/>
        <v>0.12307692307692308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74</v>
      </c>
      <c r="C32" s="18">
        <v>5</v>
      </c>
      <c r="D32" s="18">
        <f t="shared" si="0"/>
        <v>5.1891891891891895</v>
      </c>
      <c r="E32" s="18">
        <v>384</v>
      </c>
      <c r="F32" s="18">
        <f t="shared" si="1"/>
        <v>6.7567567567567571E-2</v>
      </c>
      <c r="G32" s="32">
        <v>1.76776695296636</v>
      </c>
      <c r="I32" s="18" t="s">
        <v>401</v>
      </c>
      <c r="J32" s="18">
        <v>63</v>
      </c>
      <c r="K32" s="18">
        <v>3</v>
      </c>
      <c r="L32" s="18">
        <f t="shared" ref="L32:L33" si="18">M32/J32</f>
        <v>5.4761904761904763</v>
      </c>
      <c r="M32" s="18">
        <v>345</v>
      </c>
      <c r="N32" s="18">
        <f t="shared" ref="N32:N33" si="19">K32/J32</f>
        <v>4.7619047619047616E-2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15</v>
      </c>
      <c r="J33" s="18">
        <v>244</v>
      </c>
      <c r="K33" s="18">
        <v>37</v>
      </c>
      <c r="L33" s="18">
        <f t="shared" si="18"/>
        <v>4.5737704918032787</v>
      </c>
      <c r="M33" s="18">
        <v>1116</v>
      </c>
      <c r="N33" s="18">
        <f t="shared" si="19"/>
        <v>0.15163934426229508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13</v>
      </c>
      <c r="J34" s="18">
        <v>36</v>
      </c>
      <c r="K34" s="18">
        <v>2</v>
      </c>
      <c r="L34" s="18">
        <f>M34/J34</f>
        <v>4.7222222222222223</v>
      </c>
      <c r="M34" s="18">
        <v>170</v>
      </c>
      <c r="N34" s="18">
        <f>K34/J34</f>
        <v>5.5555555555555552E-2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10</v>
      </c>
      <c r="J35" s="18">
        <v>67</v>
      </c>
      <c r="K35" s="18">
        <v>13</v>
      </c>
      <c r="L35" s="18">
        <f t="shared" ref="L35" si="20">M35/J35</f>
        <v>3.8955223880597014</v>
      </c>
      <c r="M35" s="18">
        <v>261</v>
      </c>
      <c r="N35" s="18">
        <f t="shared" ref="N35" si="21">K35/J35</f>
        <v>0.19402985074626866</v>
      </c>
    </row>
    <row r="36" spans="1:14" x14ac:dyDescent="0.25">
      <c r="A36" t="s">
        <v>117</v>
      </c>
      <c r="B36">
        <v>25</v>
      </c>
      <c r="C36">
        <v>3</v>
      </c>
      <c r="D36">
        <f t="shared" si="0"/>
        <v>4.5199999999999996</v>
      </c>
      <c r="E36">
        <v>113</v>
      </c>
      <c r="F36">
        <f t="shared" si="1"/>
        <v>0.12</v>
      </c>
      <c r="G36" s="32">
        <v>2.7284509239574799</v>
      </c>
      <c r="I36" s="18" t="s">
        <v>4</v>
      </c>
      <c r="J36" s="18">
        <v>30</v>
      </c>
      <c r="K36" s="18">
        <v>4</v>
      </c>
      <c r="L36" s="18">
        <f t="shared" ref="L36" si="22">M36/J36</f>
        <v>4.8</v>
      </c>
      <c r="M36" s="18">
        <v>144</v>
      </c>
      <c r="N36" s="18">
        <f t="shared" ref="N36" si="23">K36/J36</f>
        <v>0.13333333333333333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121</v>
      </c>
      <c r="J37" s="18">
        <v>94</v>
      </c>
      <c r="K37" s="18">
        <v>21</v>
      </c>
      <c r="L37" s="18">
        <f t="shared" ref="L37:L42" si="24">M37/J37</f>
        <v>3.8936170212765959</v>
      </c>
      <c r="M37" s="18">
        <v>366</v>
      </c>
      <c r="N37" s="18">
        <f t="shared" ref="N37:N42" si="25">K37/J37</f>
        <v>0.22340425531914893</v>
      </c>
    </row>
    <row r="38" spans="1:14" x14ac:dyDescent="0.25">
      <c r="A38" s="18" t="s">
        <v>401</v>
      </c>
      <c r="B38" s="18">
        <v>63</v>
      </c>
      <c r="C38" s="18">
        <v>3</v>
      </c>
      <c r="D38" s="18">
        <f t="shared" si="0"/>
        <v>5.4761904761904763</v>
      </c>
      <c r="E38" s="18">
        <v>345</v>
      </c>
      <c r="F38" s="18">
        <f t="shared" si="1"/>
        <v>4.7619047619047616E-2</v>
      </c>
      <c r="G38" s="32">
        <v>2.1248885888797799</v>
      </c>
      <c r="I38" s="18" t="s">
        <v>232</v>
      </c>
      <c r="J38" s="18">
        <v>112</v>
      </c>
      <c r="K38" s="18">
        <v>20</v>
      </c>
      <c r="L38" s="18">
        <f t="shared" si="24"/>
        <v>3.8928571428571428</v>
      </c>
      <c r="M38" s="18">
        <v>436</v>
      </c>
      <c r="N38" s="18">
        <f t="shared" si="25"/>
        <v>0.17857142857142858</v>
      </c>
    </row>
    <row r="39" spans="1:14" x14ac:dyDescent="0.25">
      <c r="A39" s="18" t="s">
        <v>15</v>
      </c>
      <c r="B39" s="18">
        <v>244</v>
      </c>
      <c r="C39" s="18">
        <v>37</v>
      </c>
      <c r="D39" s="18">
        <f t="shared" si="0"/>
        <v>4.5737704918032787</v>
      </c>
      <c r="E39" s="18">
        <v>1116</v>
      </c>
      <c r="F39" s="18">
        <f t="shared" si="1"/>
        <v>0.15163934426229508</v>
      </c>
      <c r="G39" s="32">
        <v>2.3694389634605302</v>
      </c>
      <c r="I39" s="18" t="s">
        <v>21</v>
      </c>
      <c r="J39" s="18">
        <v>162</v>
      </c>
      <c r="K39" s="18">
        <v>25</v>
      </c>
      <c r="L39" s="18">
        <f t="shared" si="24"/>
        <v>4.2777777777777777</v>
      </c>
      <c r="M39" s="18">
        <v>693</v>
      </c>
      <c r="N39" s="18">
        <f t="shared" si="25"/>
        <v>0.15432098765432098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51</v>
      </c>
      <c r="J40" s="18">
        <v>44</v>
      </c>
      <c r="K40" s="18">
        <v>3</v>
      </c>
      <c r="L40" s="18">
        <f t="shared" si="24"/>
        <v>4.9772727272727275</v>
      </c>
      <c r="M40" s="18">
        <v>219</v>
      </c>
      <c r="N40" s="18">
        <f t="shared" si="25"/>
        <v>6.8181818181818177E-2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0</v>
      </c>
      <c r="J41" s="18">
        <v>84</v>
      </c>
      <c r="K41" s="18">
        <v>14</v>
      </c>
      <c r="L41" s="18">
        <f t="shared" si="24"/>
        <v>4.1547619047619051</v>
      </c>
      <c r="M41" s="18">
        <v>349</v>
      </c>
      <c r="N41" s="18">
        <f t="shared" si="25"/>
        <v>0.16666666666666666</v>
      </c>
    </row>
    <row r="42" spans="1:14" x14ac:dyDescent="0.25">
      <c r="A42" t="s">
        <v>63</v>
      </c>
      <c r="B42">
        <v>27</v>
      </c>
      <c r="C42">
        <v>4</v>
      </c>
      <c r="D42">
        <f t="shared" si="0"/>
        <v>4.2962962962962967</v>
      </c>
      <c r="E42">
        <v>116</v>
      </c>
      <c r="F42">
        <f t="shared" si="1"/>
        <v>0.14814814814814814</v>
      </c>
      <c r="G42" s="32">
        <v>2.6394443859772201</v>
      </c>
      <c r="I42" s="18" t="s">
        <v>1</v>
      </c>
      <c r="J42" s="18">
        <v>103</v>
      </c>
      <c r="K42" s="18">
        <v>6</v>
      </c>
      <c r="L42" s="18">
        <f t="shared" si="24"/>
        <v>4.6116504854368934</v>
      </c>
      <c r="M42" s="18">
        <v>475</v>
      </c>
      <c r="N42" s="18">
        <f t="shared" si="25"/>
        <v>5.8252427184466021E-2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28</v>
      </c>
      <c r="J43" s="18">
        <v>30</v>
      </c>
      <c r="K43" s="18">
        <v>0</v>
      </c>
      <c r="L43" s="18">
        <f t="shared" ref="L43" si="26">M43/J43</f>
        <v>5.833333333333333</v>
      </c>
      <c r="M43" s="18">
        <v>175</v>
      </c>
      <c r="N43" s="18">
        <f t="shared" ref="N43" si="27">K43/J43</f>
        <v>0</v>
      </c>
    </row>
    <row r="44" spans="1:14" x14ac:dyDescent="0.25">
      <c r="A44" s="18" t="s">
        <v>121</v>
      </c>
      <c r="B44" s="18">
        <v>94</v>
      </c>
      <c r="C44" s="18">
        <v>21</v>
      </c>
      <c r="D44" s="18">
        <f t="shared" si="0"/>
        <v>3.8936170212765959</v>
      </c>
      <c r="E44" s="18">
        <v>366</v>
      </c>
      <c r="F44" s="18">
        <f t="shared" si="1"/>
        <v>0.22340425531914893</v>
      </c>
      <c r="G44" s="32">
        <v>2.2233267457082899</v>
      </c>
      <c r="I44" s="18" t="s">
        <v>253</v>
      </c>
      <c r="J44" s="18">
        <v>36</v>
      </c>
      <c r="K44" s="18">
        <v>1</v>
      </c>
      <c r="L44" s="18">
        <f t="shared" ref="L44:L46" si="28">M44/J44</f>
        <v>5.3611111111111107</v>
      </c>
      <c r="M44" s="18">
        <v>193</v>
      </c>
      <c r="N44" s="18">
        <f t="shared" ref="N44:N45" si="29">K44/J44</f>
        <v>2.7777777777777776E-2</v>
      </c>
    </row>
    <row r="45" spans="1:14" x14ac:dyDescent="0.25">
      <c r="A45" s="18" t="s">
        <v>232</v>
      </c>
      <c r="B45" s="18">
        <v>112</v>
      </c>
      <c r="C45" s="18">
        <v>20</v>
      </c>
      <c r="D45" s="18">
        <f t="shared" si="0"/>
        <v>3.8928571428571428</v>
      </c>
      <c r="E45" s="18">
        <v>436</v>
      </c>
      <c r="F45" s="18">
        <f t="shared" si="1"/>
        <v>0.17857142857142858</v>
      </c>
      <c r="G45" s="32">
        <v>2.2509257354845502</v>
      </c>
      <c r="I45" s="18" t="s">
        <v>175</v>
      </c>
      <c r="J45" s="18">
        <v>48</v>
      </c>
      <c r="K45" s="18">
        <v>13</v>
      </c>
      <c r="L45" s="18">
        <f t="shared" si="28"/>
        <v>3.2083333333333335</v>
      </c>
      <c r="M45" s="18">
        <v>154</v>
      </c>
      <c r="N45" s="18">
        <f t="shared" si="29"/>
        <v>0.27083333333333331</v>
      </c>
    </row>
    <row r="46" spans="1:14" x14ac:dyDescent="0.25">
      <c r="A46" s="18" t="s">
        <v>21</v>
      </c>
      <c r="B46" s="18">
        <v>162</v>
      </c>
      <c r="C46" s="18">
        <v>25</v>
      </c>
      <c r="D46" s="18">
        <f t="shared" si="0"/>
        <v>4.2777777777777777</v>
      </c>
      <c r="E46" s="18">
        <v>693</v>
      </c>
      <c r="F46" s="18">
        <f t="shared" si="1"/>
        <v>0.15432098765432098</v>
      </c>
      <c r="G46" s="32">
        <v>2.0655911179772799</v>
      </c>
      <c r="I46" s="18" t="s">
        <v>61</v>
      </c>
      <c r="J46" s="18">
        <v>46</v>
      </c>
      <c r="K46" s="18">
        <v>8</v>
      </c>
      <c r="L46" s="18">
        <f t="shared" si="28"/>
        <v>4.8260869565217392</v>
      </c>
      <c r="M46" s="18">
        <v>222</v>
      </c>
      <c r="N46" s="18">
        <f>K46/J46</f>
        <v>0.17391304347826086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115</v>
      </c>
      <c r="J47" s="18">
        <v>39</v>
      </c>
      <c r="K47" s="18">
        <v>3</v>
      </c>
      <c r="L47" s="18">
        <f t="shared" ref="L47:L54" si="30">M47/J47</f>
        <v>4.384615384615385</v>
      </c>
      <c r="M47" s="18">
        <v>171</v>
      </c>
      <c r="N47" s="18">
        <f t="shared" ref="N47:N54" si="31">K47/J47</f>
        <v>7.6923076923076927E-2</v>
      </c>
    </row>
    <row r="48" spans="1:14" x14ac:dyDescent="0.25">
      <c r="A48" t="s">
        <v>414</v>
      </c>
      <c r="B48">
        <v>26</v>
      </c>
      <c r="C48">
        <v>3</v>
      </c>
      <c r="D48">
        <f t="shared" si="0"/>
        <v>4.615384615384615</v>
      </c>
      <c r="E48">
        <v>120</v>
      </c>
      <c r="F48">
        <f t="shared" si="1"/>
        <v>0.11538461538461539</v>
      </c>
      <c r="G48" s="32">
        <v>2.8702082220799299</v>
      </c>
      <c r="I48" s="18" t="s">
        <v>24</v>
      </c>
      <c r="J48" s="18">
        <v>101</v>
      </c>
      <c r="K48" s="18">
        <v>12</v>
      </c>
      <c r="L48" s="18">
        <f t="shared" si="30"/>
        <v>4.5247524752475243</v>
      </c>
      <c r="M48" s="18">
        <v>457</v>
      </c>
      <c r="N48" s="18">
        <f t="shared" si="31"/>
        <v>0.11881188118811881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30</v>
      </c>
      <c r="J49" s="18">
        <v>55</v>
      </c>
      <c r="K49" s="18">
        <v>4</v>
      </c>
      <c r="L49" s="18">
        <f t="shared" si="30"/>
        <v>5.0363636363636362</v>
      </c>
      <c r="M49" s="18">
        <v>277</v>
      </c>
      <c r="N49" s="18">
        <f t="shared" si="31"/>
        <v>7.2727272727272724E-2</v>
      </c>
    </row>
    <row r="50" spans="1:14" x14ac:dyDescent="0.25">
      <c r="A50" s="18" t="s">
        <v>1</v>
      </c>
      <c r="B50" s="18">
        <v>103</v>
      </c>
      <c r="C50" s="18">
        <v>6</v>
      </c>
      <c r="D50" s="18">
        <f t="shared" si="0"/>
        <v>4.6116504854368934</v>
      </c>
      <c r="E50" s="18">
        <v>475</v>
      </c>
      <c r="F50" s="18">
        <f t="shared" si="1"/>
        <v>5.8252427184466021E-2</v>
      </c>
      <c r="G50" s="32">
        <v>2.0412414523193099</v>
      </c>
      <c r="I50" s="18" t="s">
        <v>29</v>
      </c>
      <c r="J50" s="18">
        <v>117</v>
      </c>
      <c r="K50" s="18">
        <v>16</v>
      </c>
      <c r="L50" s="18">
        <f t="shared" si="30"/>
        <v>3.9230769230769229</v>
      </c>
      <c r="M50" s="18">
        <v>459</v>
      </c>
      <c r="N50" s="18">
        <f t="shared" si="31"/>
        <v>0.13675213675213677</v>
      </c>
    </row>
    <row r="51" spans="1:14" x14ac:dyDescent="0.25">
      <c r="A51" s="18" t="s">
        <v>28</v>
      </c>
      <c r="B51" s="18">
        <v>30</v>
      </c>
      <c r="C51" s="18">
        <v>0</v>
      </c>
      <c r="D51" s="18">
        <f t="shared" si="0"/>
        <v>5.833333333333333</v>
      </c>
      <c r="E51" s="18">
        <v>175</v>
      </c>
      <c r="F51" s="18">
        <f t="shared" si="1"/>
        <v>0</v>
      </c>
      <c r="G51" s="32">
        <v>1.30384048104052</v>
      </c>
      <c r="I51" s="18" t="s">
        <v>148</v>
      </c>
      <c r="J51" s="18">
        <v>42</v>
      </c>
      <c r="K51" s="18">
        <v>8</v>
      </c>
      <c r="L51" s="18">
        <f t="shared" si="30"/>
        <v>3.7380952380952381</v>
      </c>
      <c r="M51" s="18">
        <v>157</v>
      </c>
      <c r="N51" s="18">
        <f t="shared" si="31"/>
        <v>0.19047619047619047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79</v>
      </c>
      <c r="J52" s="18">
        <v>54</v>
      </c>
      <c r="K52" s="18">
        <v>6</v>
      </c>
      <c r="L52" s="18">
        <f t="shared" si="30"/>
        <v>4.6296296296296298</v>
      </c>
      <c r="M52" s="18">
        <v>250</v>
      </c>
      <c r="N52" s="18">
        <f t="shared" si="31"/>
        <v>0.1111111111111111</v>
      </c>
    </row>
    <row r="53" spans="1:14" x14ac:dyDescent="0.25">
      <c r="A53" s="18" t="s">
        <v>175</v>
      </c>
      <c r="B53" s="18">
        <v>48</v>
      </c>
      <c r="C53" s="18">
        <v>13</v>
      </c>
      <c r="D53" s="18">
        <f t="shared" si="0"/>
        <v>3.2083333333333335</v>
      </c>
      <c r="E53" s="18">
        <v>154</v>
      </c>
      <c r="F53" s="18">
        <f t="shared" si="1"/>
        <v>0.27083333333333331</v>
      </c>
      <c r="G53" s="32">
        <v>2</v>
      </c>
      <c r="I53" s="18" t="s">
        <v>123</v>
      </c>
      <c r="J53" s="18">
        <v>35</v>
      </c>
      <c r="K53" s="18">
        <v>6</v>
      </c>
      <c r="L53" s="18">
        <f t="shared" si="30"/>
        <v>4.4571428571428573</v>
      </c>
      <c r="M53" s="18">
        <v>156</v>
      </c>
      <c r="N53" s="18">
        <f t="shared" si="31"/>
        <v>0.17142857142857143</v>
      </c>
    </row>
    <row r="54" spans="1:14" x14ac:dyDescent="0.25">
      <c r="A54" s="18" t="s">
        <v>61</v>
      </c>
      <c r="B54" s="18">
        <v>46</v>
      </c>
      <c r="C54" s="18">
        <v>8</v>
      </c>
      <c r="D54" s="18">
        <f t="shared" si="0"/>
        <v>4.8260869565217392</v>
      </c>
      <c r="E54" s="18">
        <v>222</v>
      </c>
      <c r="F54" s="18">
        <f>C54/B54</f>
        <v>0.17391304347826086</v>
      </c>
      <c r="G54" s="32">
        <v>3.2403703492039302</v>
      </c>
      <c r="I54" s="18" t="s">
        <v>22</v>
      </c>
      <c r="J54" s="18">
        <v>182</v>
      </c>
      <c r="K54" s="18">
        <v>30</v>
      </c>
      <c r="L54" s="18">
        <f t="shared" si="30"/>
        <v>4.104395604395604</v>
      </c>
      <c r="M54" s="18">
        <v>747</v>
      </c>
      <c r="N54" s="18">
        <f t="shared" si="31"/>
        <v>0.16483516483516483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33</v>
      </c>
      <c r="J55" s="18">
        <v>64</v>
      </c>
      <c r="K55" s="18">
        <v>4</v>
      </c>
      <c r="L55" s="18">
        <f t="shared" ref="L55:L61" si="32">M55/J55</f>
        <v>5.515625</v>
      </c>
      <c r="M55" s="18">
        <v>353</v>
      </c>
      <c r="N55" s="18">
        <f t="shared" ref="N55:N61" si="33">K55/J55</f>
        <v>6.25E-2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129</v>
      </c>
      <c r="J56" s="18">
        <v>42</v>
      </c>
      <c r="K56" s="18">
        <v>7</v>
      </c>
      <c r="L56" s="18">
        <f t="shared" si="32"/>
        <v>4.5714285714285712</v>
      </c>
      <c r="M56" s="18">
        <v>192</v>
      </c>
      <c r="N56" s="18">
        <f t="shared" si="33"/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35</v>
      </c>
      <c r="J57" s="18">
        <v>165</v>
      </c>
      <c r="K57" s="18">
        <v>42</v>
      </c>
      <c r="L57" s="18">
        <f t="shared" si="32"/>
        <v>3.5515151515151517</v>
      </c>
      <c r="M57" s="18">
        <v>586</v>
      </c>
      <c r="N57" s="18">
        <f t="shared" si="33"/>
        <v>0.25454545454545452</v>
      </c>
    </row>
    <row r="58" spans="1:14" x14ac:dyDescent="0.25">
      <c r="A58" t="s">
        <v>116</v>
      </c>
      <c r="B58">
        <v>20</v>
      </c>
      <c r="C58">
        <v>4</v>
      </c>
      <c r="D58">
        <f t="shared" si="0"/>
        <v>4.05</v>
      </c>
      <c r="E58">
        <v>81</v>
      </c>
      <c r="F58">
        <f t="shared" si="1"/>
        <v>0.2</v>
      </c>
      <c r="G58" s="32">
        <v>1.7043362064926899</v>
      </c>
      <c r="I58" s="18" t="s">
        <v>26</v>
      </c>
      <c r="J58" s="18">
        <v>80</v>
      </c>
      <c r="K58" s="18">
        <v>5</v>
      </c>
      <c r="L58" s="18">
        <f t="shared" si="32"/>
        <v>5.2125000000000004</v>
      </c>
      <c r="M58" s="18">
        <v>417</v>
      </c>
      <c r="N58" s="18">
        <f t="shared" si="33"/>
        <v>6.25E-2</v>
      </c>
    </row>
    <row r="59" spans="1:14" x14ac:dyDescent="0.25">
      <c r="A59" t="s">
        <v>5</v>
      </c>
      <c r="B59">
        <v>23</v>
      </c>
      <c r="C59">
        <v>1</v>
      </c>
      <c r="D59">
        <f t="shared" si="0"/>
        <v>4.6086956521739131</v>
      </c>
      <c r="E59">
        <v>106</v>
      </c>
      <c r="F59">
        <f t="shared" si="1"/>
        <v>4.3478260869565216E-2</v>
      </c>
      <c r="G59" s="32">
        <v>1.8898223650461301</v>
      </c>
      <c r="I59" s="18" t="s">
        <v>122</v>
      </c>
      <c r="J59" s="18">
        <v>118</v>
      </c>
      <c r="K59" s="18">
        <v>14</v>
      </c>
      <c r="L59" s="18">
        <f t="shared" si="32"/>
        <v>4.093220338983051</v>
      </c>
      <c r="M59" s="18">
        <v>483</v>
      </c>
      <c r="N59" s="18">
        <f t="shared" si="33"/>
        <v>0.11864406779661017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  <c r="I60" s="18" t="s">
        <v>49</v>
      </c>
      <c r="J60" s="18">
        <v>124</v>
      </c>
      <c r="K60" s="18">
        <v>7</v>
      </c>
      <c r="L60" s="18">
        <f t="shared" si="32"/>
        <v>5.120967741935484</v>
      </c>
      <c r="M60" s="18">
        <v>635</v>
      </c>
      <c r="N60" s="18">
        <f t="shared" si="33"/>
        <v>5.6451612903225805E-2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  <c r="I61" s="18" t="s">
        <v>3</v>
      </c>
      <c r="J61" s="18">
        <v>46</v>
      </c>
      <c r="K61" s="18">
        <v>7</v>
      </c>
      <c r="L61" s="18">
        <f t="shared" si="32"/>
        <v>4.1304347826086953</v>
      </c>
      <c r="M61" s="18">
        <v>190</v>
      </c>
      <c r="N61" s="18">
        <f t="shared" si="33"/>
        <v>0.15217391304347827</v>
      </c>
    </row>
    <row r="62" spans="1:14" x14ac:dyDescent="0.25">
      <c r="A62" s="18" t="s">
        <v>29</v>
      </c>
      <c r="B62" s="18">
        <v>117</v>
      </c>
      <c r="C62" s="18">
        <v>16</v>
      </c>
      <c r="D62" s="18">
        <f t="shared" si="0"/>
        <v>3.9230769230769229</v>
      </c>
      <c r="E62" s="18">
        <v>459</v>
      </c>
      <c r="F62" s="18">
        <f t="shared" si="1"/>
        <v>0.13675213675213677</v>
      </c>
      <c r="G62" s="32">
        <v>2.0875571218153701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</row>
    <row r="64" spans="1:14" x14ac:dyDescent="0.25">
      <c r="A64" t="s">
        <v>9</v>
      </c>
      <c r="B64">
        <v>20</v>
      </c>
      <c r="C64">
        <v>2</v>
      </c>
      <c r="D64">
        <f t="shared" si="0"/>
        <v>4.1500000000000004</v>
      </c>
      <c r="E64">
        <v>83</v>
      </c>
      <c r="F64">
        <f t="shared" si="1"/>
        <v>0.1</v>
      </c>
      <c r="G64" s="32">
        <v>2.42097317438899</v>
      </c>
    </row>
    <row r="65" spans="1:7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</row>
    <row r="66" spans="1:7" x14ac:dyDescent="0.25">
      <c r="A66" t="s">
        <v>428</v>
      </c>
      <c r="B66">
        <v>21</v>
      </c>
      <c r="C66">
        <v>0</v>
      </c>
      <c r="D66">
        <f t="shared" si="0"/>
        <v>4.6190476190476186</v>
      </c>
      <c r="E66">
        <v>97</v>
      </c>
      <c r="F66">
        <f t="shared" si="1"/>
        <v>0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7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7" x14ac:dyDescent="0.25">
      <c r="A70" s="18" t="s">
        <v>123</v>
      </c>
      <c r="B70" s="18">
        <v>35</v>
      </c>
      <c r="C70" s="18">
        <v>6</v>
      </c>
      <c r="D70" s="18">
        <f t="shared" si="0"/>
        <v>4.4571428571428573</v>
      </c>
      <c r="E70" s="18">
        <v>156</v>
      </c>
      <c r="F70" s="18">
        <f t="shared" si="1"/>
        <v>0.17142857142857143</v>
      </c>
      <c r="G70" s="32">
        <v>2</v>
      </c>
    </row>
    <row r="71" spans="1:7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7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7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7" x14ac:dyDescent="0.25">
      <c r="A76" t="s">
        <v>82</v>
      </c>
      <c r="B76">
        <v>20</v>
      </c>
      <c r="C76">
        <v>0</v>
      </c>
      <c r="D76">
        <f t="shared" ref="D76:D91" si="34">E76/B76</f>
        <v>5.15</v>
      </c>
      <c r="E76">
        <v>103</v>
      </c>
      <c r="F76">
        <f>C76/B76</f>
        <v>0</v>
      </c>
      <c r="G76" s="32">
        <v>2</v>
      </c>
    </row>
    <row r="77" spans="1:7" x14ac:dyDescent="0.25">
      <c r="A77" s="18" t="s">
        <v>33</v>
      </c>
      <c r="B77" s="18">
        <v>64</v>
      </c>
      <c r="C77" s="18">
        <v>4</v>
      </c>
      <c r="D77" s="18">
        <f t="shared" si="34"/>
        <v>5.515625</v>
      </c>
      <c r="E77" s="18">
        <v>353</v>
      </c>
      <c r="F77" s="18">
        <f t="shared" ref="F77:F91" si="35">C77/B77</f>
        <v>6.25E-2</v>
      </c>
      <c r="G77" s="32">
        <v>2.14993539954627</v>
      </c>
    </row>
    <row r="78" spans="1:7" x14ac:dyDescent="0.25">
      <c r="A78" t="s">
        <v>99</v>
      </c>
      <c r="B78">
        <v>20</v>
      </c>
      <c r="C78">
        <v>2</v>
      </c>
      <c r="D78">
        <f t="shared" si="34"/>
        <v>5.05</v>
      </c>
      <c r="E78">
        <v>101</v>
      </c>
      <c r="F78">
        <f t="shared" si="35"/>
        <v>0.1</v>
      </c>
      <c r="G78" s="32">
        <v>2.6687491868330699</v>
      </c>
    </row>
    <row r="79" spans="1:7" x14ac:dyDescent="0.25">
      <c r="A79" t="s">
        <v>7</v>
      </c>
      <c r="B79">
        <v>20</v>
      </c>
      <c r="C79">
        <v>4</v>
      </c>
      <c r="D79">
        <f t="shared" si="34"/>
        <v>4.0999999999999996</v>
      </c>
      <c r="E79">
        <v>82</v>
      </c>
      <c r="F79">
        <f t="shared" si="35"/>
        <v>0.2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34"/>
        <v>4</v>
      </c>
      <c r="E80" s="41">
        <v>20</v>
      </c>
      <c r="F80" s="41">
        <f t="shared" si="35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34"/>
        <v>4.1818181818181817</v>
      </c>
      <c r="E81" s="41">
        <v>46</v>
      </c>
      <c r="F81" s="41">
        <f t="shared" si="35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42</v>
      </c>
      <c r="C82" s="18">
        <v>7</v>
      </c>
      <c r="D82" s="18">
        <f t="shared" si="34"/>
        <v>4.5714285714285712</v>
      </c>
      <c r="E82" s="18">
        <v>192</v>
      </c>
      <c r="F82" s="18">
        <f t="shared" si="35"/>
        <v>0.16666666666666666</v>
      </c>
      <c r="G82" s="32">
        <v>2.1315096371664199</v>
      </c>
    </row>
    <row r="83" spans="1:7" x14ac:dyDescent="0.25">
      <c r="A83" t="s">
        <v>113</v>
      </c>
      <c r="B83">
        <v>22</v>
      </c>
      <c r="C83">
        <v>0</v>
      </c>
      <c r="D83">
        <f t="shared" si="34"/>
        <v>4.4090909090909092</v>
      </c>
      <c r="E83">
        <v>97</v>
      </c>
      <c r="F83">
        <f t="shared" si="35"/>
        <v>0</v>
      </c>
      <c r="G83" s="32">
        <v>2.4899799195977401</v>
      </c>
    </row>
    <row r="84" spans="1:7" x14ac:dyDescent="0.25">
      <c r="A84" s="18" t="s">
        <v>35</v>
      </c>
      <c r="B84" s="18">
        <v>165</v>
      </c>
      <c r="C84" s="18">
        <v>42</v>
      </c>
      <c r="D84" s="18">
        <f t="shared" si="34"/>
        <v>3.5515151515151517</v>
      </c>
      <c r="E84" s="18">
        <v>586</v>
      </c>
      <c r="F84" s="18">
        <f t="shared" si="35"/>
        <v>0.25454545454545452</v>
      </c>
      <c r="G84" s="32">
        <v>2.6214406763289899</v>
      </c>
    </row>
    <row r="85" spans="1:7" x14ac:dyDescent="0.25">
      <c r="A85" s="18" t="s">
        <v>26</v>
      </c>
      <c r="B85" s="18">
        <v>80</v>
      </c>
      <c r="C85" s="18">
        <v>5</v>
      </c>
      <c r="D85" s="18">
        <f t="shared" si="34"/>
        <v>5.2125000000000004</v>
      </c>
      <c r="E85" s="18">
        <v>417</v>
      </c>
      <c r="F85" s="18">
        <f t="shared" si="35"/>
        <v>6.25E-2</v>
      </c>
      <c r="G85" s="32">
        <v>2.4494897427831699</v>
      </c>
    </row>
    <row r="86" spans="1:7" x14ac:dyDescent="0.25">
      <c r="A86" s="18" t="s">
        <v>122</v>
      </c>
      <c r="B86" s="18">
        <v>118</v>
      </c>
      <c r="C86" s="18">
        <v>14</v>
      </c>
      <c r="D86" s="18">
        <f t="shared" si="34"/>
        <v>4.093220338983051</v>
      </c>
      <c r="E86" s="18">
        <v>483</v>
      </c>
      <c r="F86" s="18">
        <f t="shared" si="35"/>
        <v>0.11864406779661017</v>
      </c>
      <c r="G86" s="32">
        <v>1.6329931618554501</v>
      </c>
    </row>
    <row r="87" spans="1:7" x14ac:dyDescent="0.25">
      <c r="A87" s="18" t="s">
        <v>49</v>
      </c>
      <c r="B87" s="18">
        <v>124</v>
      </c>
      <c r="C87" s="18">
        <v>7</v>
      </c>
      <c r="D87" s="18">
        <f t="shared" si="34"/>
        <v>5.120967741935484</v>
      </c>
      <c r="E87" s="18">
        <v>635</v>
      </c>
      <c r="F87" s="18">
        <f t="shared" si="35"/>
        <v>5.6451612903225805E-2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34"/>
        <v>4.1304347826086953</v>
      </c>
      <c r="E88" s="18">
        <v>190</v>
      </c>
      <c r="F88" s="18">
        <f t="shared" si="35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34"/>
        <v>4.8076923076923075</v>
      </c>
      <c r="E89">
        <v>125</v>
      </c>
      <c r="F89">
        <f t="shared" si="35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34"/>
        <v>4.1428571428571432</v>
      </c>
      <c r="E90">
        <v>116</v>
      </c>
      <c r="F90">
        <f t="shared" si="35"/>
        <v>0.17857142857142858</v>
      </c>
      <c r="G90" s="32">
        <v>2.5876449587894599</v>
      </c>
    </row>
    <row r="91" spans="1:7" x14ac:dyDescent="0.25">
      <c r="A91" t="s">
        <v>124</v>
      </c>
      <c r="B91">
        <v>26</v>
      </c>
      <c r="C91">
        <v>1</v>
      </c>
      <c r="D91">
        <f t="shared" si="34"/>
        <v>4.9230769230769234</v>
      </c>
      <c r="E91">
        <v>128</v>
      </c>
      <c r="F91">
        <f t="shared" si="35"/>
        <v>3.8461538461538464E-2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8C9A-E9E1-4BB7-8700-D002E681CBFD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2026-03-13T16:42:41Z</dcterms:modified>
</cp:coreProperties>
</file>