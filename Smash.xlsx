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15" l="1"/>
  <c r="L36" i="15"/>
  <c r="N15" i="15"/>
  <c r="L15" i="15"/>
  <c r="N31" i="15" l="1"/>
  <c r="L31" i="15"/>
  <c r="N23" i="15"/>
  <c r="L23" i="15"/>
  <c r="N58" i="15"/>
  <c r="L58" i="15"/>
  <c r="N45" i="15"/>
  <c r="L45" i="15"/>
  <c r="N53" i="15"/>
  <c r="L53" i="15"/>
  <c r="N16" i="15"/>
  <c r="L16" i="15"/>
  <c r="N27" i="15"/>
  <c r="L27" i="15"/>
  <c r="N38" i="15"/>
  <c r="L38" i="15"/>
  <c r="N65" i="15"/>
  <c r="L65" i="15"/>
  <c r="N46" i="15"/>
  <c r="L46" i="15"/>
  <c r="N49" i="15"/>
  <c r="L49" i="15"/>
  <c r="N48" i="15"/>
  <c r="L48" i="15"/>
  <c r="N34" i="15" l="1"/>
  <c r="L34" i="15"/>
  <c r="N40" i="15"/>
  <c r="L40" i="15"/>
  <c r="N64" i="15"/>
  <c r="L64" i="15"/>
  <c r="N61" i="15"/>
  <c r="L61" i="15"/>
  <c r="N63" i="15"/>
  <c r="L63" i="15"/>
  <c r="N60" i="15"/>
  <c r="L60" i="15"/>
  <c r="N66" i="15"/>
  <c r="L66" i="15"/>
  <c r="N42" i="15"/>
  <c r="L42" i="15"/>
  <c r="N37" i="15"/>
  <c r="L37" i="15"/>
  <c r="N41" i="15"/>
  <c r="L41" i="15"/>
  <c r="N39" i="15"/>
  <c r="L39" i="15"/>
  <c r="N54" i="15" l="1"/>
  <c r="L54" i="15"/>
  <c r="N67" i="15"/>
  <c r="L67" i="15"/>
  <c r="N50" i="15"/>
  <c r="L50" i="15"/>
  <c r="N62" i="15"/>
  <c r="L62" i="15"/>
  <c r="N68" i="15"/>
  <c r="L68" i="15"/>
  <c r="N56" i="15"/>
  <c r="L56" i="15"/>
  <c r="N44" i="15"/>
  <c r="L44" i="15"/>
  <c r="N26" i="15"/>
  <c r="L26" i="15"/>
  <c r="N35" i="15" l="1"/>
  <c r="L35" i="15"/>
  <c r="N18" i="15"/>
  <c r="L18" i="15"/>
  <c r="N59" i="15"/>
  <c r="L59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69" i="15"/>
  <c r="L69" i="15"/>
  <c r="N43" i="15"/>
  <c r="L43" i="15"/>
  <c r="N14" i="15"/>
  <c r="L14" i="15"/>
  <c r="N24" i="15" l="1"/>
  <c r="L24" i="15"/>
  <c r="N52" i="15"/>
  <c r="L52" i="15"/>
  <c r="N25" i="15" l="1"/>
  <c r="L25" i="15"/>
  <c r="N51" i="15"/>
  <c r="L51" i="15"/>
  <c r="N17" i="15"/>
  <c r="L17" i="15"/>
  <c r="N29" i="15"/>
  <c r="L29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7" i="15"/>
  <c r="L57" i="15"/>
  <c r="N30" i="15"/>
  <c r="L30" i="15"/>
  <c r="N20" i="15"/>
  <c r="L20" i="15"/>
  <c r="N28" i="15" l="1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7" i="15" l="1"/>
  <c r="L47" i="15"/>
  <c r="N22" i="15"/>
  <c r="L22" i="15"/>
  <c r="L33" i="15"/>
  <c r="N33" i="15"/>
  <c r="L55" i="15"/>
  <c r="N55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<sst xmlns="http://schemas.openxmlformats.org/spreadsheetml/2006/main" count="18253" uniqueCount="613">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</sst>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90"/>
  <sheetViews>
    <sheetView topLeftCell="A349" zoomScaleNormal="100" workbookViewId="0">
      <selection activeCell="X382" sqref="X382:AC39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3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3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3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3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3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3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3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3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3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3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  <c r="X382" s="1">
        <v>46290</v>
      </c>
      <c r="Y382" s="1">
        <v>46290</v>
      </c>
      <c r="Z382" s="1">
        <v>46296</v>
      </c>
      <c r="AA382" s="1">
        <v>46296</v>
      </c>
      <c r="AB382" s="1">
        <v>46296</v>
      </c>
      <c r="AC382" s="1">
        <v>46296</v>
      </c>
    </row>
    <row r="383" spans="10:40" x14ac:dyDescent="0.3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  <c r="X383" t="s">
        <v>553</v>
      </c>
      <c r="Y383" t="s">
        <v>232</v>
      </c>
      <c r="Z383" t="s">
        <v>1</v>
      </c>
      <c r="AA383" t="s">
        <v>1</v>
      </c>
      <c r="AB383" t="s">
        <v>49</v>
      </c>
      <c r="AC383" t="s">
        <v>232</v>
      </c>
    </row>
    <row r="384" spans="10:40" x14ac:dyDescent="0.3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  <c r="X384" t="s">
        <v>58</v>
      </c>
      <c r="Y384" t="s">
        <v>12</v>
      </c>
      <c r="Z384" t="s">
        <v>122</v>
      </c>
      <c r="AA384" t="s">
        <v>123</v>
      </c>
      <c r="AB384" t="s">
        <v>12</v>
      </c>
      <c r="AC384" t="s">
        <v>552</v>
      </c>
    </row>
    <row r="385" spans="10:29" x14ac:dyDescent="0.3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  <c r="X385" t="s">
        <v>552</v>
      </c>
      <c r="Y385" t="s">
        <v>553</v>
      </c>
      <c r="Z385" t="s">
        <v>612</v>
      </c>
      <c r="AA385" t="s">
        <v>122</v>
      </c>
      <c r="AB385" t="s">
        <v>63</v>
      </c>
      <c r="AC385" t="s">
        <v>49</v>
      </c>
    </row>
    <row r="386" spans="10:29" x14ac:dyDescent="0.3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  <c r="X386" t="s">
        <v>232</v>
      </c>
      <c r="Y386" t="s">
        <v>1</v>
      </c>
      <c r="Z386" t="s">
        <v>123</v>
      </c>
      <c r="AA386" t="s">
        <v>21</v>
      </c>
      <c r="AB386" t="s">
        <v>35</v>
      </c>
      <c r="AC386" t="s">
        <v>33</v>
      </c>
    </row>
    <row r="387" spans="10:29" x14ac:dyDescent="0.3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  <c r="X387" t="s">
        <v>1</v>
      </c>
      <c r="Y387" t="s">
        <v>28</v>
      </c>
      <c r="Z387" t="s">
        <v>121</v>
      </c>
      <c r="AA387" t="s">
        <v>82</v>
      </c>
      <c r="AB387" t="s">
        <v>15</v>
      </c>
      <c r="AC387" t="s">
        <v>9</v>
      </c>
    </row>
    <row r="388" spans="10:29" x14ac:dyDescent="0.3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  <c r="X388" t="s">
        <v>37</v>
      </c>
      <c r="Y388" t="s">
        <v>37</v>
      </c>
      <c r="Z388" t="s">
        <v>28</v>
      </c>
      <c r="AA388" t="s">
        <v>28</v>
      </c>
      <c r="AB388" t="s">
        <v>33</v>
      </c>
      <c r="AC388" t="s">
        <v>15</v>
      </c>
    </row>
    <row r="389" spans="10:29" x14ac:dyDescent="0.3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  <c r="X389" t="s">
        <v>121</v>
      </c>
      <c r="Y389" t="s">
        <v>552</v>
      </c>
      <c r="Z389" t="s">
        <v>21</v>
      </c>
      <c r="AA389" t="s">
        <v>612</v>
      </c>
      <c r="AB389" t="s">
        <v>82</v>
      </c>
      <c r="AC389" t="s">
        <v>35</v>
      </c>
    </row>
    <row r="390" spans="10:29" x14ac:dyDescent="0.3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  <c r="X390" t="s">
        <v>28</v>
      </c>
      <c r="Y390" t="s">
        <v>58</v>
      </c>
      <c r="Z390" t="s">
        <v>31</v>
      </c>
      <c r="AA390" t="s">
        <v>31</v>
      </c>
      <c r="AB390" t="s">
        <v>51</v>
      </c>
      <c r="AC390" t="s">
        <v>553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M47" sqref="M47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topLeftCell="A13" workbookViewId="0">
      <selection activeCell="I36" sqref="I36:N36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14 16384:16384" x14ac:dyDescent="0.35">
      <c r="A1" s="1">
        <v>46297</v>
      </c>
      <c r="B1" s="1">
        <v>46297</v>
      </c>
      <c r="C1" s="1">
        <v>46298</v>
      </c>
      <c r="D1" s="1">
        <v>46298</v>
      </c>
      <c r="E1" s="1">
        <v>46298</v>
      </c>
      <c r="F1" s="1">
        <v>46298</v>
      </c>
      <c r="G1" s="1">
        <v>46298</v>
      </c>
      <c r="H1" s="1">
        <v>46298</v>
      </c>
      <c r="XFD1" s="1"/>
    </row>
    <row r="2" spans="1:14 16384:16384" x14ac:dyDescent="0.35">
      <c r="A2" t="s">
        <v>31</v>
      </c>
      <c r="C2" t="s">
        <v>232</v>
      </c>
      <c r="D2" t="s">
        <v>129</v>
      </c>
      <c r="E2" t="s">
        <v>17</v>
      </c>
      <c r="F2" t="s">
        <v>552</v>
      </c>
      <c r="G2" t="s">
        <v>1</v>
      </c>
      <c r="H2" t="s">
        <v>31</v>
      </c>
    </row>
    <row r="3" spans="1:14 16384:16384" x14ac:dyDescent="0.35">
      <c r="A3" t="s">
        <v>10</v>
      </c>
      <c r="C3" t="s">
        <v>58</v>
      </c>
      <c r="D3" t="s">
        <v>99</v>
      </c>
      <c r="E3" t="s">
        <v>5</v>
      </c>
      <c r="F3" t="s">
        <v>16</v>
      </c>
      <c r="G3" t="s">
        <v>230</v>
      </c>
      <c r="H3" t="s">
        <v>105</v>
      </c>
    </row>
    <row r="4" spans="1:14 16384:16384" x14ac:dyDescent="0.35">
      <c r="C4" t="s">
        <v>7</v>
      </c>
      <c r="D4" t="s">
        <v>58</v>
      </c>
      <c r="E4" t="s">
        <v>612</v>
      </c>
      <c r="F4" t="s">
        <v>1</v>
      </c>
      <c r="G4" t="s">
        <v>31</v>
      </c>
      <c r="H4" t="s">
        <v>30</v>
      </c>
    </row>
    <row r="5" spans="1:14 16384:16384" x14ac:dyDescent="0.35">
      <c r="C5" t="s">
        <v>15</v>
      </c>
      <c r="D5" t="s">
        <v>26</v>
      </c>
      <c r="E5" t="s">
        <v>28</v>
      </c>
      <c r="F5" t="s">
        <v>553</v>
      </c>
      <c r="G5" t="s">
        <v>30</v>
      </c>
      <c r="H5" t="s">
        <v>1</v>
      </c>
    </row>
    <row r="6" spans="1:14 16384:16384" x14ac:dyDescent="0.35">
      <c r="C6" t="s">
        <v>82</v>
      </c>
      <c r="D6" t="s">
        <v>232</v>
      </c>
      <c r="E6" t="s">
        <v>16</v>
      </c>
      <c r="F6" t="s">
        <v>28</v>
      </c>
      <c r="G6" t="s">
        <v>4</v>
      </c>
      <c r="H6" t="s">
        <v>123</v>
      </c>
    </row>
    <row r="7" spans="1:14 16384:16384" x14ac:dyDescent="0.35">
      <c r="C7" t="s">
        <v>26</v>
      </c>
      <c r="D7" t="s">
        <v>7</v>
      </c>
      <c r="E7" t="s">
        <v>122</v>
      </c>
      <c r="F7" t="s">
        <v>122</v>
      </c>
      <c r="G7" t="s">
        <v>25</v>
      </c>
      <c r="H7" t="s">
        <v>17</v>
      </c>
    </row>
    <row r="8" spans="1:14 16384:16384" x14ac:dyDescent="0.35">
      <c r="C8" t="s">
        <v>99</v>
      </c>
      <c r="D8" t="s">
        <v>82</v>
      </c>
      <c r="E8" t="s">
        <v>37</v>
      </c>
      <c r="F8" t="s">
        <v>5</v>
      </c>
      <c r="G8" t="s">
        <v>17</v>
      </c>
      <c r="H8" t="s">
        <v>25</v>
      </c>
    </row>
    <row r="9" spans="1:14 16384:16384" x14ac:dyDescent="0.35">
      <c r="C9" t="s">
        <v>129</v>
      </c>
      <c r="D9" t="s">
        <v>15</v>
      </c>
      <c r="E9" t="s">
        <v>1</v>
      </c>
      <c r="F9" t="s">
        <v>37</v>
      </c>
      <c r="G9" t="s">
        <v>50</v>
      </c>
      <c r="H9" t="s">
        <v>612</v>
      </c>
    </row>
    <row r="12" spans="1:14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3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35">
      <c r="A15" s="18" t="s">
        <v>31</v>
      </c>
      <c r="B15" s="18">
        <v>299</v>
      </c>
      <c r="C15" s="18">
        <v>26</v>
      </c>
      <c r="D15" s="18">
        <f t="shared" si="0"/>
        <v>5.0301003344481607</v>
      </c>
      <c r="E15" s="18">
        <v>1504</v>
      </c>
      <c r="F15" s="18">
        <f t="shared" si="1"/>
        <v>8.6956521739130432E-2</v>
      </c>
      <c r="G15" s="32">
        <v>1.87082869338697</v>
      </c>
      <c r="I15" s="18" t="s">
        <v>31</v>
      </c>
      <c r="J15" s="18">
        <v>299</v>
      </c>
      <c r="K15" s="18">
        <v>26</v>
      </c>
      <c r="L15" s="18">
        <f t="shared" si="2"/>
        <v>5.0301003344481607</v>
      </c>
      <c r="M15" s="18">
        <v>1504</v>
      </c>
      <c r="N15" s="18">
        <f t="shared" si="3"/>
        <v>8.6956521739130432E-2</v>
      </c>
    </row>
    <row r="16" spans="1:14 16384:16384" x14ac:dyDescent="0.35">
      <c r="A16" s="18" t="s">
        <v>105</v>
      </c>
      <c r="B16" s="18">
        <v>47</v>
      </c>
      <c r="C16" s="18">
        <v>6</v>
      </c>
      <c r="D16" s="18">
        <f t="shared" si="0"/>
        <v>4.3191489361702127</v>
      </c>
      <c r="E16" s="18">
        <v>203</v>
      </c>
      <c r="F16" s="18">
        <f t="shared" si="1"/>
        <v>0.1276595744680851</v>
      </c>
      <c r="G16" s="32">
        <v>1.8165902124584901</v>
      </c>
      <c r="I16" s="18" t="s">
        <v>105</v>
      </c>
      <c r="J16" s="18">
        <v>47</v>
      </c>
      <c r="K16" s="18">
        <v>6</v>
      </c>
      <c r="L16" s="18">
        <f t="shared" si="2"/>
        <v>4.3191489361702127</v>
      </c>
      <c r="M16" s="18">
        <v>203</v>
      </c>
      <c r="N16" s="18">
        <f t="shared" si="3"/>
        <v>0.1276595744680851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35">
      <c r="A19" t="s">
        <v>37</v>
      </c>
      <c r="B19">
        <v>36</v>
      </c>
      <c r="C19">
        <v>2</v>
      </c>
      <c r="D19">
        <f t="shared" si="0"/>
        <v>5.166666666666667</v>
      </c>
      <c r="E19">
        <v>186</v>
      </c>
      <c r="F19">
        <f t="shared" si="1"/>
        <v>5.5555555555555552E-2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259</v>
      </c>
      <c r="K23" s="18">
        <v>23</v>
      </c>
      <c r="L23" s="18">
        <f t="shared" ref="L23" si="8">M23/J23</f>
        <v>5.0347490347490345</v>
      </c>
      <c r="M23" s="18">
        <v>1304</v>
      </c>
      <c r="N23" s="18">
        <f t="shared" ref="N23" si="9">K23/J23</f>
        <v>8.8803088803088806E-2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ref="L24" si="10">M24/J24</f>
        <v>5.3170731707317076</v>
      </c>
      <c r="M24" s="18">
        <v>218</v>
      </c>
      <c r="N24" s="18">
        <f t="shared" ref="N24" si="11">K24/J24</f>
        <v>7.3170731707317069E-2</v>
      </c>
    </row>
    <row r="25" spans="1:14" x14ac:dyDescent="0.3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7" si="12">M25/J25</f>
        <v>3.8620689655172415</v>
      </c>
      <c r="M25" s="18">
        <v>560</v>
      </c>
      <c r="N25" s="18">
        <f t="shared" ref="N25:N27" si="13">K25/J25</f>
        <v>0.19310344827586207</v>
      </c>
    </row>
    <row r="26" spans="1:14" x14ac:dyDescent="0.3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87</v>
      </c>
      <c r="J26" s="18">
        <v>213</v>
      </c>
      <c r="K26" s="18">
        <v>25</v>
      </c>
      <c r="L26" s="18">
        <f t="shared" si="12"/>
        <v>5.018779342723005</v>
      </c>
      <c r="M26" s="18">
        <v>1069</v>
      </c>
      <c r="N26" s="18">
        <f t="shared" si="13"/>
        <v>0.11737089201877934</v>
      </c>
    </row>
    <row r="27" spans="1:14" x14ac:dyDescent="0.35">
      <c r="A27" s="18" t="s">
        <v>25</v>
      </c>
      <c r="B27" s="18">
        <v>259</v>
      </c>
      <c r="C27" s="18">
        <v>23</v>
      </c>
      <c r="D27" s="18">
        <f t="shared" si="0"/>
        <v>5.0347490347490345</v>
      </c>
      <c r="E27" s="18">
        <v>1304</v>
      </c>
      <c r="F27" s="18">
        <f t="shared" si="1"/>
        <v>8.8803088803088806E-2</v>
      </c>
      <c r="G27" s="32">
        <v>2.1609054109613202</v>
      </c>
      <c r="I27" s="18" t="s">
        <v>50</v>
      </c>
      <c r="J27" s="18">
        <v>41</v>
      </c>
      <c r="K27" s="18">
        <v>4</v>
      </c>
      <c r="L27" s="18">
        <f t="shared" si="12"/>
        <v>4.2682926829268295</v>
      </c>
      <c r="M27" s="18">
        <v>175</v>
      </c>
      <c r="N27" s="18">
        <f t="shared" si="13"/>
        <v>9.7560975609756101E-2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3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35">
      <c r="A31" s="18" t="s">
        <v>50</v>
      </c>
      <c r="B31" s="18">
        <v>41</v>
      </c>
      <c r="C31" s="18">
        <v>4</v>
      </c>
      <c r="D31" s="18">
        <f t="shared" si="0"/>
        <v>4.2682926829268295</v>
      </c>
      <c r="E31" s="18">
        <v>175</v>
      </c>
      <c r="F31" s="18">
        <f t="shared" si="1"/>
        <v>9.7560975609756101E-2</v>
      </c>
      <c r="G31" s="32">
        <v>2.2360679774997898</v>
      </c>
      <c r="I31" s="18" t="s">
        <v>27</v>
      </c>
      <c r="J31" s="18">
        <v>52</v>
      </c>
      <c r="K31" s="18">
        <v>4</v>
      </c>
      <c r="L31" s="18">
        <f t="shared" si="16"/>
        <v>4.5</v>
      </c>
      <c r="M31" s="18">
        <v>234</v>
      </c>
      <c r="N31" s="18">
        <f t="shared" si="17"/>
        <v>7.6923076923076927E-2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6" si="20">M33/J33</f>
        <v>5.3661971830985919</v>
      </c>
      <c r="M33" s="18">
        <v>381</v>
      </c>
      <c r="N33" s="18">
        <f t="shared" ref="N33:N36" si="21">K33/J33</f>
        <v>4.2253521126760563E-2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297</v>
      </c>
      <c r="K34" s="18">
        <v>41</v>
      </c>
      <c r="L34" s="18">
        <f t="shared" si="20"/>
        <v>4.6329966329966332</v>
      </c>
      <c r="M34" s="18">
        <v>1376</v>
      </c>
      <c r="N34" s="18">
        <f t="shared" si="21"/>
        <v>0.13804713804713806</v>
      </c>
    </row>
    <row r="35" spans="1:14" x14ac:dyDescent="0.35">
      <c r="A35" s="18" t="s">
        <v>27</v>
      </c>
      <c r="B35" s="18">
        <v>52</v>
      </c>
      <c r="C35" s="18">
        <v>4</v>
      </c>
      <c r="D35" s="18">
        <f t="shared" si="0"/>
        <v>4.5</v>
      </c>
      <c r="E35" s="18">
        <v>234</v>
      </c>
      <c r="F35" s="18">
        <f t="shared" si="1"/>
        <v>7.6923076923076927E-2</v>
      </c>
      <c r="G35" s="32">
        <v>2.54950975679639</v>
      </c>
      <c r="I35" s="18" t="s">
        <v>13</v>
      </c>
      <c r="J35" s="18">
        <v>42</v>
      </c>
      <c r="K35" s="18">
        <v>2</v>
      </c>
      <c r="L35" s="18">
        <f t="shared" si="20"/>
        <v>4.9523809523809526</v>
      </c>
      <c r="M35" s="18">
        <v>208</v>
      </c>
      <c r="N35" s="18">
        <f t="shared" si="21"/>
        <v>4.7619047619047616E-2</v>
      </c>
    </row>
    <row r="36" spans="1:14" x14ac:dyDescent="0.3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74</v>
      </c>
      <c r="K36" s="18">
        <v>13</v>
      </c>
      <c r="L36" s="18">
        <f t="shared" si="20"/>
        <v>3.9189189189189189</v>
      </c>
      <c r="M36" s="18">
        <v>290</v>
      </c>
      <c r="N36" s="18">
        <f t="shared" si="21"/>
        <v>0.17567567567567569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41</v>
      </c>
      <c r="K37" s="18">
        <v>5</v>
      </c>
      <c r="L37" s="18">
        <f t="shared" ref="L37:L38" si="22">M37/J37</f>
        <v>4.5853658536585362</v>
      </c>
      <c r="M37" s="18">
        <v>188</v>
      </c>
      <c r="N37" s="18">
        <f t="shared" ref="N37:N38" si="23">K37/J37</f>
        <v>0.12195121951219512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4</v>
      </c>
      <c r="J38" s="18">
        <v>42</v>
      </c>
      <c r="K38" s="18">
        <v>5</v>
      </c>
      <c r="L38" s="18">
        <f t="shared" si="22"/>
        <v>4.9761904761904763</v>
      </c>
      <c r="M38" s="18">
        <v>209</v>
      </c>
      <c r="N38" s="18">
        <f t="shared" si="23"/>
        <v>0.11904761904761904</v>
      </c>
    </row>
    <row r="39" spans="1:14" x14ac:dyDescent="0.35">
      <c r="A39" s="18" t="s">
        <v>15</v>
      </c>
      <c r="B39" s="18">
        <v>297</v>
      </c>
      <c r="C39" s="18">
        <v>41</v>
      </c>
      <c r="D39" s="18">
        <f t="shared" si="0"/>
        <v>4.6329966329966332</v>
      </c>
      <c r="E39" s="18">
        <v>1376</v>
      </c>
      <c r="F39" s="18">
        <f t="shared" si="1"/>
        <v>0.13804713804713806</v>
      </c>
      <c r="G39" s="32">
        <v>2.3694389634605302</v>
      </c>
      <c r="I39" s="18" t="s">
        <v>121</v>
      </c>
      <c r="J39" s="18">
        <v>124</v>
      </c>
      <c r="K39" s="18">
        <v>28</v>
      </c>
      <c r="L39" s="18">
        <f t="shared" ref="L39:L42" si="24">M39/J39</f>
        <v>3.846774193548387</v>
      </c>
      <c r="M39" s="18">
        <v>477</v>
      </c>
      <c r="N39" s="18">
        <f t="shared" ref="N39:N42" si="25">K39/J39</f>
        <v>0.22580645161290322</v>
      </c>
    </row>
    <row r="40" spans="1:14" x14ac:dyDescent="0.3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232</v>
      </c>
      <c r="J40" s="18">
        <v>210</v>
      </c>
      <c r="K40" s="18">
        <v>50</v>
      </c>
      <c r="L40" s="18">
        <f t="shared" si="24"/>
        <v>3.7285714285714286</v>
      </c>
      <c r="M40" s="18">
        <v>783</v>
      </c>
      <c r="N40" s="18">
        <f t="shared" si="25"/>
        <v>0.23809523809523808</v>
      </c>
    </row>
    <row r="41" spans="1:14" x14ac:dyDescent="0.35">
      <c r="A41" s="18" t="s">
        <v>10</v>
      </c>
      <c r="B41" s="18">
        <v>74</v>
      </c>
      <c r="C41" s="18">
        <v>13</v>
      </c>
      <c r="D41" s="18">
        <f t="shared" si="0"/>
        <v>3.9189189189189189</v>
      </c>
      <c r="E41" s="18">
        <v>290</v>
      </c>
      <c r="F41" s="18">
        <f t="shared" si="1"/>
        <v>0.17567567567567569</v>
      </c>
      <c r="G41" s="32">
        <v>2.2086889501029501</v>
      </c>
      <c r="I41" s="18" t="s">
        <v>21</v>
      </c>
      <c r="J41" s="18">
        <v>191</v>
      </c>
      <c r="K41" s="18">
        <v>26</v>
      </c>
      <c r="L41" s="18">
        <f t="shared" si="24"/>
        <v>4.3036649214659688</v>
      </c>
      <c r="M41" s="18">
        <v>822</v>
      </c>
      <c r="N41" s="18">
        <f t="shared" si="25"/>
        <v>0.13612565445026178</v>
      </c>
    </row>
    <row r="42" spans="1:14" x14ac:dyDescent="0.35">
      <c r="A42" s="18" t="s">
        <v>63</v>
      </c>
      <c r="B42" s="18">
        <v>41</v>
      </c>
      <c r="C42" s="18">
        <v>5</v>
      </c>
      <c r="D42" s="18">
        <f t="shared" si="0"/>
        <v>4.5853658536585362</v>
      </c>
      <c r="E42" s="18">
        <v>188</v>
      </c>
      <c r="F42" s="18">
        <f t="shared" si="1"/>
        <v>0.12195121951219512</v>
      </c>
      <c r="G42" s="32">
        <v>2.6394443859772201</v>
      </c>
      <c r="I42" s="18" t="s">
        <v>51</v>
      </c>
      <c r="J42" s="18">
        <v>49</v>
      </c>
      <c r="K42" s="18">
        <v>4</v>
      </c>
      <c r="L42" s="18">
        <f t="shared" si="24"/>
        <v>4.8775510204081636</v>
      </c>
      <c r="M42" s="18">
        <v>239</v>
      </c>
      <c r="N42" s="18">
        <f t="shared" si="25"/>
        <v>8.1632653061224483E-2</v>
      </c>
    </row>
    <row r="43" spans="1:14" x14ac:dyDescent="0.35">
      <c r="A43" s="18" t="s">
        <v>4</v>
      </c>
      <c r="B43" s="18">
        <v>42</v>
      </c>
      <c r="C43" s="18">
        <v>5</v>
      </c>
      <c r="D43" s="18">
        <f t="shared" si="0"/>
        <v>4.9761904761904763</v>
      </c>
      <c r="E43" s="18">
        <v>209</v>
      </c>
      <c r="F43" s="18">
        <f t="shared" si="1"/>
        <v>0.11904761904761904</v>
      </c>
      <c r="G43" s="32">
        <v>2.08832734769027</v>
      </c>
      <c r="I43" s="18" t="s">
        <v>414</v>
      </c>
      <c r="J43" s="18">
        <v>40</v>
      </c>
      <c r="K43" s="18">
        <v>4</v>
      </c>
      <c r="L43" s="18">
        <f t="shared" ref="L43:L46" si="26">M43/J43</f>
        <v>4.9000000000000004</v>
      </c>
      <c r="M43" s="18">
        <v>196</v>
      </c>
      <c r="N43" s="18">
        <f t="shared" ref="N43:N46" si="27">K43/J43</f>
        <v>0.1</v>
      </c>
    </row>
    <row r="44" spans="1:14" x14ac:dyDescent="0.35">
      <c r="A44" s="18" t="s">
        <v>121</v>
      </c>
      <c r="B44" s="18">
        <v>124</v>
      </c>
      <c r="C44" s="18">
        <v>28</v>
      </c>
      <c r="D44" s="18">
        <f t="shared" si="0"/>
        <v>3.846774193548387</v>
      </c>
      <c r="E44" s="18">
        <v>477</v>
      </c>
      <c r="F44" s="18">
        <f t="shared" si="1"/>
        <v>0.22580645161290322</v>
      </c>
      <c r="G44" s="32">
        <v>2.2233267457082899</v>
      </c>
      <c r="I44" s="18" t="s">
        <v>0</v>
      </c>
      <c r="J44" s="18">
        <v>86</v>
      </c>
      <c r="K44" s="18">
        <v>14</v>
      </c>
      <c r="L44" s="18">
        <f t="shared" si="26"/>
        <v>4.2093023255813957</v>
      </c>
      <c r="M44" s="18">
        <v>362</v>
      </c>
      <c r="N44" s="18">
        <f t="shared" si="27"/>
        <v>0.16279069767441862</v>
      </c>
    </row>
    <row r="45" spans="1:14" x14ac:dyDescent="0.35">
      <c r="A45" s="18" t="s">
        <v>232</v>
      </c>
      <c r="B45" s="18">
        <v>210</v>
      </c>
      <c r="C45" s="18">
        <v>50</v>
      </c>
      <c r="D45" s="18">
        <f t="shared" si="0"/>
        <v>3.7285714285714286</v>
      </c>
      <c r="E45" s="18">
        <v>783</v>
      </c>
      <c r="F45" s="18">
        <f t="shared" si="1"/>
        <v>0.23809523809523808</v>
      </c>
      <c r="G45" s="32">
        <v>2.2509257354845502</v>
      </c>
      <c r="I45" s="18" t="s">
        <v>1</v>
      </c>
      <c r="J45" s="18">
        <v>141</v>
      </c>
      <c r="K45" s="18">
        <v>10</v>
      </c>
      <c r="L45" s="18">
        <f t="shared" si="26"/>
        <v>4.6170212765957448</v>
      </c>
      <c r="M45" s="18">
        <v>651</v>
      </c>
      <c r="N45" s="18">
        <f t="shared" si="27"/>
        <v>7.0921985815602842E-2</v>
      </c>
    </row>
    <row r="46" spans="1:14" x14ac:dyDescent="0.35">
      <c r="A46" s="18" t="s">
        <v>21</v>
      </c>
      <c r="B46" s="18">
        <v>191</v>
      </c>
      <c r="C46" s="18">
        <v>26</v>
      </c>
      <c r="D46" s="18">
        <f t="shared" si="0"/>
        <v>4.3036649214659688</v>
      </c>
      <c r="E46" s="18">
        <v>822</v>
      </c>
      <c r="F46" s="18">
        <f t="shared" si="1"/>
        <v>0.13612565445026178</v>
      </c>
      <c r="G46" s="32">
        <v>2.0655911179772799</v>
      </c>
      <c r="I46" s="18" t="s">
        <v>28</v>
      </c>
      <c r="J46" s="18">
        <v>139</v>
      </c>
      <c r="K46" s="18">
        <v>10</v>
      </c>
      <c r="L46" s="18">
        <f t="shared" si="26"/>
        <v>5.1294964028776979</v>
      </c>
      <c r="M46" s="18">
        <v>713</v>
      </c>
      <c r="N46" s="18">
        <f t="shared" si="27"/>
        <v>7.1942446043165464E-2</v>
      </c>
    </row>
    <row r="47" spans="1:14" x14ac:dyDescent="0.35">
      <c r="A47" s="18" t="s">
        <v>51</v>
      </c>
      <c r="B47" s="18">
        <v>49</v>
      </c>
      <c r="C47" s="18">
        <v>4</v>
      </c>
      <c r="D47" s="18">
        <f t="shared" si="0"/>
        <v>4.8775510204081636</v>
      </c>
      <c r="E47" s="18">
        <v>239</v>
      </c>
      <c r="F47" s="18">
        <f t="shared" si="1"/>
        <v>8.1632653061224483E-2</v>
      </c>
      <c r="G47" s="32">
        <v>2.2967049878400898</v>
      </c>
      <c r="I47" s="18" t="s">
        <v>253</v>
      </c>
      <c r="J47" s="18">
        <v>61</v>
      </c>
      <c r="K47" s="18">
        <v>4</v>
      </c>
      <c r="L47" s="18">
        <f t="shared" ref="L47:L50" si="28">M47/J47</f>
        <v>5.6065573770491799</v>
      </c>
      <c r="M47" s="18">
        <v>342</v>
      </c>
      <c r="N47" s="18">
        <f t="shared" ref="N47:N48" si="29">K47/J47</f>
        <v>6.5573770491803282E-2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175</v>
      </c>
      <c r="J48" s="18">
        <v>91</v>
      </c>
      <c r="K48" s="18">
        <v>24</v>
      </c>
      <c r="L48" s="18">
        <f t="shared" si="28"/>
        <v>3.4615384615384617</v>
      </c>
      <c r="M48" s="18">
        <v>315</v>
      </c>
      <c r="N48" s="18">
        <f t="shared" si="29"/>
        <v>0.26373626373626374</v>
      </c>
    </row>
    <row r="49" spans="1:14" x14ac:dyDescent="0.3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61</v>
      </c>
      <c r="J49" s="18">
        <v>94</v>
      </c>
      <c r="K49" s="18">
        <v>19</v>
      </c>
      <c r="L49" s="18">
        <f t="shared" si="28"/>
        <v>4.2872340425531918</v>
      </c>
      <c r="M49" s="18">
        <v>403</v>
      </c>
      <c r="N49" s="18">
        <f>K49/J49</f>
        <v>0.20212765957446807</v>
      </c>
    </row>
    <row r="50" spans="1:14" x14ac:dyDescent="0.35">
      <c r="A50" s="18" t="s">
        <v>1</v>
      </c>
      <c r="B50" s="18">
        <v>141</v>
      </c>
      <c r="C50" s="18">
        <v>10</v>
      </c>
      <c r="D50" s="18">
        <f t="shared" si="0"/>
        <v>4.6170212765957448</v>
      </c>
      <c r="E50" s="18">
        <v>651</v>
      </c>
      <c r="F50" s="18">
        <f t="shared" si="1"/>
        <v>7.0921985815602842E-2</v>
      </c>
      <c r="G50" s="32">
        <v>2.0412414523193099</v>
      </c>
      <c r="I50" s="18" t="s">
        <v>115</v>
      </c>
      <c r="J50" s="18">
        <v>41</v>
      </c>
      <c r="K50" s="18">
        <v>4</v>
      </c>
      <c r="L50" s="18">
        <f t="shared" si="28"/>
        <v>4.3902439024390247</v>
      </c>
      <c r="M50" s="18">
        <v>180</v>
      </c>
      <c r="N50" s="18">
        <f t="shared" ref="N50" si="30">K50/J50</f>
        <v>9.7560975609756101E-2</v>
      </c>
    </row>
    <row r="51" spans="1:14" x14ac:dyDescent="0.35">
      <c r="A51" s="18" t="s">
        <v>28</v>
      </c>
      <c r="B51" s="18">
        <v>139</v>
      </c>
      <c r="C51" s="18">
        <v>10</v>
      </c>
      <c r="D51" s="18">
        <f t="shared" si="0"/>
        <v>5.1294964028776979</v>
      </c>
      <c r="E51" s="18">
        <v>713</v>
      </c>
      <c r="F51" s="18">
        <f t="shared" si="1"/>
        <v>7.1942446043165464E-2</v>
      </c>
      <c r="G51" s="32">
        <v>1.30384048104052</v>
      </c>
      <c r="I51" s="18" t="s">
        <v>24</v>
      </c>
      <c r="J51" s="18">
        <v>103</v>
      </c>
      <c r="K51" s="18">
        <v>12</v>
      </c>
      <c r="L51" s="18">
        <f t="shared" ref="L51" si="31">M51/J51</f>
        <v>4.5533980582524274</v>
      </c>
      <c r="M51" s="18">
        <v>469</v>
      </c>
      <c r="N51" s="18">
        <f t="shared" ref="N51" si="32">K51/J51</f>
        <v>0.11650485436893204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116</v>
      </c>
      <c r="J52" s="18">
        <v>40</v>
      </c>
      <c r="K52" s="18">
        <v>5</v>
      </c>
      <c r="L52" s="18">
        <f>M52/J52</f>
        <v>3.85</v>
      </c>
      <c r="M52" s="18">
        <v>154</v>
      </c>
      <c r="N52" s="18">
        <f>K52/J52</f>
        <v>0.125</v>
      </c>
    </row>
    <row r="53" spans="1:14" x14ac:dyDescent="0.35">
      <c r="A53" s="18" t="s">
        <v>175</v>
      </c>
      <c r="B53" s="18">
        <v>91</v>
      </c>
      <c r="C53" s="18">
        <v>24</v>
      </c>
      <c r="D53" s="18">
        <f t="shared" si="0"/>
        <v>3.4615384615384617</v>
      </c>
      <c r="E53" s="18">
        <v>315</v>
      </c>
      <c r="F53" s="18">
        <f t="shared" si="1"/>
        <v>0.26373626373626374</v>
      </c>
      <c r="G53" s="32">
        <v>2</v>
      </c>
      <c r="I53" s="18" t="s">
        <v>30</v>
      </c>
      <c r="J53" s="18">
        <v>70</v>
      </c>
      <c r="K53" s="18">
        <v>5</v>
      </c>
      <c r="L53" s="18">
        <f t="shared" ref="L53" si="33">M53/J53</f>
        <v>5.128571428571429</v>
      </c>
      <c r="M53" s="18">
        <v>359</v>
      </c>
      <c r="N53" s="18">
        <f t="shared" ref="N53" si="34">K53/J53</f>
        <v>7.1428571428571425E-2</v>
      </c>
    </row>
    <row r="54" spans="1:14" x14ac:dyDescent="0.35">
      <c r="A54" s="18" t="s">
        <v>61</v>
      </c>
      <c r="B54" s="18">
        <v>94</v>
      </c>
      <c r="C54" s="18">
        <v>19</v>
      </c>
      <c r="D54" s="18">
        <f t="shared" si="0"/>
        <v>4.2872340425531918</v>
      </c>
      <c r="E54" s="18">
        <v>403</v>
      </c>
      <c r="F54" s="18">
        <f>C54/B54</f>
        <v>0.20212765957446807</v>
      </c>
      <c r="G54" s="32">
        <v>3.2403703492039302</v>
      </c>
      <c r="I54" s="18" t="s">
        <v>29</v>
      </c>
      <c r="J54" s="18">
        <v>148</v>
      </c>
      <c r="K54" s="18">
        <v>21</v>
      </c>
      <c r="L54" s="18">
        <f t="shared" ref="L54" si="35">M54/J54</f>
        <v>4.0270270270270272</v>
      </c>
      <c r="M54" s="18">
        <v>596</v>
      </c>
      <c r="N54" s="18">
        <f t="shared" ref="N54" si="36">K54/J54</f>
        <v>0.14189189189189189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148</v>
      </c>
      <c r="J55" s="18">
        <v>42</v>
      </c>
      <c r="K55" s="18">
        <v>8</v>
      </c>
      <c r="L55" s="18">
        <f t="shared" ref="L55" si="37">M55/J55</f>
        <v>3.7380952380952381</v>
      </c>
      <c r="M55" s="18">
        <v>157</v>
      </c>
      <c r="N55" s="18">
        <f t="shared" ref="N55" si="38">K55/J55</f>
        <v>0.19047619047619047</v>
      </c>
    </row>
    <row r="56" spans="1:14" x14ac:dyDescent="0.3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428</v>
      </c>
      <c r="J56" s="18">
        <v>40</v>
      </c>
      <c r="K56" s="18">
        <v>7</v>
      </c>
      <c r="L56" s="18">
        <f t="shared" ref="L56" si="39">M56/J56</f>
        <v>4.0250000000000004</v>
      </c>
      <c r="M56" s="18">
        <v>161</v>
      </c>
      <c r="N56" s="18">
        <f t="shared" ref="N56" si="40">K56/J56</f>
        <v>0.17499999999999999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79</v>
      </c>
      <c r="J57" s="18">
        <v>55</v>
      </c>
      <c r="K57" s="18">
        <v>6</v>
      </c>
      <c r="L57" s="18">
        <f>M57/J57</f>
        <v>4.6363636363636367</v>
      </c>
      <c r="M57" s="18">
        <v>255</v>
      </c>
      <c r="N57" s="18">
        <f>K57/J57</f>
        <v>0.10909090909090909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123</v>
      </c>
      <c r="J58" s="18">
        <v>58</v>
      </c>
      <c r="K58" s="18">
        <v>8</v>
      </c>
      <c r="L58" s="18">
        <f t="shared" ref="L58" si="41">M58/J58</f>
        <v>4.431034482758621</v>
      </c>
      <c r="M58" s="18">
        <v>257</v>
      </c>
      <c r="N58" s="18">
        <f t="shared" ref="N58" si="42">K58/J58</f>
        <v>0.13793103448275862</v>
      </c>
    </row>
    <row r="59" spans="1:14" x14ac:dyDescent="0.35">
      <c r="A59" t="s">
        <v>5</v>
      </c>
      <c r="B59">
        <v>37</v>
      </c>
      <c r="C59">
        <v>2</v>
      </c>
      <c r="D59">
        <f t="shared" si="0"/>
        <v>4.5675675675675675</v>
      </c>
      <c r="E59">
        <v>169</v>
      </c>
      <c r="F59">
        <f t="shared" si="1"/>
        <v>5.4054054054054057E-2</v>
      </c>
      <c r="G59" s="32">
        <v>1.8898223650461301</v>
      </c>
      <c r="I59" s="18" t="s">
        <v>22</v>
      </c>
      <c r="J59" s="18">
        <v>186</v>
      </c>
      <c r="K59" s="18">
        <v>30</v>
      </c>
      <c r="L59" s="18">
        <f>M59/J59</f>
        <v>4.123655913978495</v>
      </c>
      <c r="M59" s="18">
        <v>767</v>
      </c>
      <c r="N59" s="18">
        <f>K59/J59</f>
        <v>0.16129032258064516</v>
      </c>
    </row>
    <row r="60" spans="1:14" x14ac:dyDescent="0.35">
      <c r="A60" t="s">
        <v>58</v>
      </c>
      <c r="B60">
        <v>38</v>
      </c>
      <c r="C60">
        <v>7</v>
      </c>
      <c r="D60">
        <f t="shared" si="0"/>
        <v>3.7894736842105261</v>
      </c>
      <c r="E60">
        <v>144</v>
      </c>
      <c r="F60">
        <f t="shared" si="1"/>
        <v>0.18421052631578946</v>
      </c>
      <c r="G60" s="32">
        <v>2.33809038890002</v>
      </c>
      <c r="I60" s="18" t="s">
        <v>33</v>
      </c>
      <c r="J60" s="18">
        <v>79</v>
      </c>
      <c r="K60" s="18">
        <v>4</v>
      </c>
      <c r="L60" s="18">
        <f t="shared" ref="L60:L61" si="43">M60/J60</f>
        <v>5.518987341772152</v>
      </c>
      <c r="M60" s="18">
        <v>436</v>
      </c>
      <c r="N60" s="18">
        <f t="shared" ref="N60:N61" si="44">K60/J60</f>
        <v>5.0632911392405063E-2</v>
      </c>
    </row>
    <row r="61" spans="1:14" x14ac:dyDescent="0.35">
      <c r="A61" s="18" t="s">
        <v>30</v>
      </c>
      <c r="B61" s="18">
        <v>70</v>
      </c>
      <c r="C61" s="18">
        <v>5</v>
      </c>
      <c r="D61" s="18">
        <f t="shared" si="0"/>
        <v>5.128571428571429</v>
      </c>
      <c r="E61" s="18">
        <v>359</v>
      </c>
      <c r="F61" s="18">
        <f t="shared" si="1"/>
        <v>7.1428571428571425E-2</v>
      </c>
      <c r="G61" s="32">
        <v>2.5226248955475601</v>
      </c>
      <c r="I61" s="18" t="s">
        <v>129</v>
      </c>
      <c r="J61" s="18">
        <v>55</v>
      </c>
      <c r="K61" s="18">
        <v>10</v>
      </c>
      <c r="L61" s="18">
        <f t="shared" si="43"/>
        <v>4.4909090909090912</v>
      </c>
      <c r="M61" s="18">
        <v>247</v>
      </c>
      <c r="N61" s="18">
        <f t="shared" si="44"/>
        <v>0.18181818181818182</v>
      </c>
    </row>
    <row r="62" spans="1:14" x14ac:dyDescent="0.35">
      <c r="A62" s="18" t="s">
        <v>29</v>
      </c>
      <c r="B62" s="18">
        <v>148</v>
      </c>
      <c r="C62" s="18">
        <v>21</v>
      </c>
      <c r="D62" s="18">
        <f t="shared" si="0"/>
        <v>4.0270270270270272</v>
      </c>
      <c r="E62" s="18">
        <v>596</v>
      </c>
      <c r="F62" s="18">
        <f t="shared" si="1"/>
        <v>0.14189189189189189</v>
      </c>
      <c r="G62" s="32">
        <v>2.0875571218153701</v>
      </c>
      <c r="I62" s="18" t="s">
        <v>113</v>
      </c>
      <c r="J62" s="18">
        <v>42</v>
      </c>
      <c r="K62" s="18">
        <v>1</v>
      </c>
      <c r="L62" s="18">
        <f t="shared" ref="L62:L66" si="45">M62/J62</f>
        <v>4.3809523809523814</v>
      </c>
      <c r="M62" s="18">
        <v>184</v>
      </c>
      <c r="N62" s="18">
        <f t="shared" ref="N62:N66" si="46">K62/J62</f>
        <v>2.3809523809523808E-2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35</v>
      </c>
      <c r="J63" s="18">
        <v>205</v>
      </c>
      <c r="K63" s="18">
        <v>47</v>
      </c>
      <c r="L63" s="18">
        <f t="shared" si="45"/>
        <v>3.5707317073170732</v>
      </c>
      <c r="M63" s="18">
        <v>732</v>
      </c>
      <c r="N63" s="18">
        <f t="shared" si="46"/>
        <v>0.22926829268292684</v>
      </c>
    </row>
    <row r="64" spans="1:14" x14ac:dyDescent="0.35">
      <c r="A64" t="s">
        <v>9</v>
      </c>
      <c r="B64">
        <v>37</v>
      </c>
      <c r="C64">
        <v>4</v>
      </c>
      <c r="D64">
        <f t="shared" si="0"/>
        <v>4</v>
      </c>
      <c r="E64">
        <v>148</v>
      </c>
      <c r="F64">
        <f t="shared" si="1"/>
        <v>0.10810810810810811</v>
      </c>
      <c r="G64" s="32">
        <v>2.42097317438899</v>
      </c>
      <c r="I64" s="18" t="s">
        <v>26</v>
      </c>
      <c r="J64" s="18">
        <v>122</v>
      </c>
      <c r="K64" s="18">
        <v>7</v>
      </c>
      <c r="L64" s="18">
        <f t="shared" si="45"/>
        <v>5.2377049180327866</v>
      </c>
      <c r="M64" s="18">
        <v>639</v>
      </c>
      <c r="N64" s="18">
        <f t="shared" si="46"/>
        <v>5.737704918032787E-2</v>
      </c>
    </row>
    <row r="65" spans="1:14" x14ac:dyDescent="0.3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122</v>
      </c>
      <c r="J65" s="18">
        <v>196</v>
      </c>
      <c r="K65" s="18">
        <v>22</v>
      </c>
      <c r="L65" s="18">
        <f t="shared" si="45"/>
        <v>4</v>
      </c>
      <c r="M65" s="18">
        <v>784</v>
      </c>
      <c r="N65" s="18">
        <f t="shared" si="46"/>
        <v>0.11224489795918367</v>
      </c>
    </row>
    <row r="66" spans="1:14" x14ac:dyDescent="0.3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49</v>
      </c>
      <c r="J66" s="18">
        <v>161</v>
      </c>
      <c r="K66" s="18">
        <v>12</v>
      </c>
      <c r="L66" s="18">
        <f t="shared" si="45"/>
        <v>4.9440993788819876</v>
      </c>
      <c r="M66" s="18">
        <v>796</v>
      </c>
      <c r="N66" s="18">
        <f t="shared" si="46"/>
        <v>7.4534161490683232E-2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</v>
      </c>
      <c r="J67" s="18">
        <v>56</v>
      </c>
      <c r="K67" s="18">
        <v>7</v>
      </c>
      <c r="L67" s="18">
        <f t="shared" ref="L67" si="47">M67/J67</f>
        <v>4.2678571428571432</v>
      </c>
      <c r="M67" s="18">
        <v>239</v>
      </c>
      <c r="N67" s="18">
        <f t="shared" ref="N67" si="48">K67/J67</f>
        <v>0.125</v>
      </c>
    </row>
    <row r="68" spans="1:14" x14ac:dyDescent="0.35">
      <c r="A68" t="s">
        <v>17</v>
      </c>
      <c r="B68">
        <v>35</v>
      </c>
      <c r="C68">
        <v>3</v>
      </c>
      <c r="D68">
        <f t="shared" si="0"/>
        <v>5.1142857142857139</v>
      </c>
      <c r="E68">
        <v>179</v>
      </c>
      <c r="F68">
        <f t="shared" si="1"/>
        <v>8.5714285714285715E-2</v>
      </c>
      <c r="G68" s="32">
        <v>2.4832774042918899</v>
      </c>
      <c r="I68" s="18" t="s">
        <v>2</v>
      </c>
      <c r="J68" s="18">
        <v>41</v>
      </c>
      <c r="K68" s="18">
        <v>10</v>
      </c>
      <c r="L68" s="18">
        <f t="shared" ref="L68" si="49">M68/J68</f>
        <v>3.8048780487804876</v>
      </c>
      <c r="M68" s="18">
        <v>156</v>
      </c>
      <c r="N68" s="18">
        <f t="shared" ref="N68" si="50">K68/J68</f>
        <v>0.24390243902439024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124</v>
      </c>
      <c r="J69" s="18">
        <v>40</v>
      </c>
      <c r="K69" s="18">
        <v>1</v>
      </c>
      <c r="L69" s="18">
        <f t="shared" ref="L69" si="51">M69/J69</f>
        <v>5.15</v>
      </c>
      <c r="M69" s="18">
        <v>206</v>
      </c>
      <c r="N69" s="18">
        <f t="shared" ref="N69" si="52">K69/J69</f>
        <v>2.5000000000000001E-2</v>
      </c>
    </row>
    <row r="70" spans="1:14" x14ac:dyDescent="0.35">
      <c r="A70" s="18" t="s">
        <v>123</v>
      </c>
      <c r="B70" s="18">
        <v>58</v>
      </c>
      <c r="C70" s="18">
        <v>8</v>
      </c>
      <c r="D70" s="18">
        <f t="shared" si="0"/>
        <v>4.431034482758621</v>
      </c>
      <c r="E70" s="18">
        <v>257</v>
      </c>
      <c r="F70" s="18">
        <f t="shared" si="1"/>
        <v>0.13793103448275862</v>
      </c>
      <c r="G70" s="32">
        <v>2</v>
      </c>
    </row>
    <row r="71" spans="1:14" x14ac:dyDescent="0.35">
      <c r="A71" t="s">
        <v>12</v>
      </c>
      <c r="B71">
        <v>35</v>
      </c>
      <c r="C71">
        <v>1</v>
      </c>
      <c r="D71">
        <f t="shared" si="0"/>
        <v>4.7428571428571429</v>
      </c>
      <c r="E71">
        <v>166</v>
      </c>
      <c r="F71">
        <f t="shared" si="1"/>
        <v>2.8571428571428571E-2</v>
      </c>
      <c r="G71" s="32">
        <v>2.44584195260913</v>
      </c>
    </row>
    <row r="72" spans="1:14" x14ac:dyDescent="0.35">
      <c r="A72" t="s">
        <v>404</v>
      </c>
      <c r="B72">
        <v>39</v>
      </c>
      <c r="C72">
        <v>3</v>
      </c>
      <c r="D72">
        <f t="shared" si="0"/>
        <v>5.0256410256410255</v>
      </c>
      <c r="E72">
        <v>196</v>
      </c>
      <c r="F72">
        <f t="shared" si="1"/>
        <v>7.6923076923076927E-2</v>
      </c>
      <c r="G72" s="32">
        <v>2.3094010767584998</v>
      </c>
    </row>
    <row r="73" spans="1:14" x14ac:dyDescent="0.3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35">
      <c r="A75" t="s">
        <v>110</v>
      </c>
      <c r="B75">
        <v>34</v>
      </c>
      <c r="C75">
        <v>1</v>
      </c>
      <c r="D75">
        <f>E75/B75</f>
        <v>4.7352941176470589</v>
      </c>
      <c r="E75">
        <v>161</v>
      </c>
      <c r="F75">
        <f>C75/B75</f>
        <v>2.9411764705882353E-2</v>
      </c>
      <c r="G75" s="32">
        <v>1.9407902170679501</v>
      </c>
    </row>
    <row r="76" spans="1:14" x14ac:dyDescent="0.35">
      <c r="A76" t="s">
        <v>82</v>
      </c>
      <c r="B76">
        <v>38</v>
      </c>
      <c r="C76">
        <v>1</v>
      </c>
      <c r="D76">
        <f t="shared" ref="D76:D91" si="53">E76/B76</f>
        <v>5.3421052631578947</v>
      </c>
      <c r="E76">
        <v>203</v>
      </c>
      <c r="F76">
        <f>C76/B76</f>
        <v>2.6315789473684209E-2</v>
      </c>
      <c r="G76" s="32">
        <v>2</v>
      </c>
    </row>
    <row r="77" spans="1:14" x14ac:dyDescent="0.35">
      <c r="A77" s="18" t="s">
        <v>33</v>
      </c>
      <c r="B77" s="18">
        <v>79</v>
      </c>
      <c r="C77" s="18">
        <v>4</v>
      </c>
      <c r="D77" s="18">
        <f t="shared" si="53"/>
        <v>5.518987341772152</v>
      </c>
      <c r="E77" s="18">
        <v>436</v>
      </c>
      <c r="F77" s="18">
        <f t="shared" ref="F77:F91" si="54">C77/B77</f>
        <v>5.0632911392405063E-2</v>
      </c>
      <c r="G77" s="32">
        <v>2.14993539954627</v>
      </c>
    </row>
    <row r="78" spans="1:14" x14ac:dyDescent="0.35">
      <c r="A78" t="s">
        <v>99</v>
      </c>
      <c r="B78">
        <v>37</v>
      </c>
      <c r="C78">
        <v>3</v>
      </c>
      <c r="D78">
        <f t="shared" si="53"/>
        <v>5.1081081081081079</v>
      </c>
      <c r="E78">
        <v>189</v>
      </c>
      <c r="F78">
        <f t="shared" si="54"/>
        <v>8.1081081081081086E-2</v>
      </c>
      <c r="G78" s="32">
        <v>2.6687491868330699</v>
      </c>
    </row>
    <row r="79" spans="1:14" x14ac:dyDescent="0.35">
      <c r="A79" t="s">
        <v>7</v>
      </c>
      <c r="B79">
        <v>37</v>
      </c>
      <c r="C79">
        <v>8</v>
      </c>
      <c r="D79">
        <f t="shared" si="53"/>
        <v>3.7837837837837838</v>
      </c>
      <c r="E79">
        <v>140</v>
      </c>
      <c r="F79">
        <f t="shared" si="54"/>
        <v>0.21621621621621623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55</v>
      </c>
      <c r="C82" s="18">
        <v>10</v>
      </c>
      <c r="D82" s="18">
        <f t="shared" si="53"/>
        <v>4.4909090909090912</v>
      </c>
      <c r="E82" s="18">
        <v>247</v>
      </c>
      <c r="F82" s="18">
        <f t="shared" si="54"/>
        <v>0.18181818181818182</v>
      </c>
      <c r="G82" s="32">
        <v>2.1315096371664199</v>
      </c>
    </row>
    <row r="83" spans="1:7" x14ac:dyDescent="0.35">
      <c r="A83" s="18" t="s">
        <v>113</v>
      </c>
      <c r="B83" s="18">
        <v>42</v>
      </c>
      <c r="C83" s="18">
        <v>1</v>
      </c>
      <c r="D83" s="18">
        <f t="shared" si="53"/>
        <v>4.3809523809523814</v>
      </c>
      <c r="E83" s="18">
        <v>184</v>
      </c>
      <c r="F83" s="18">
        <f t="shared" si="54"/>
        <v>2.3809523809523808E-2</v>
      </c>
      <c r="G83" s="32">
        <v>2.4899799195977401</v>
      </c>
    </row>
    <row r="84" spans="1:7" x14ac:dyDescent="0.35">
      <c r="A84" s="18" t="s">
        <v>35</v>
      </c>
      <c r="B84" s="18">
        <v>205</v>
      </c>
      <c r="C84" s="18">
        <v>47</v>
      </c>
      <c r="D84" s="18">
        <f t="shared" si="53"/>
        <v>3.5707317073170732</v>
      </c>
      <c r="E84" s="18">
        <v>732</v>
      </c>
      <c r="F84" s="18">
        <f t="shared" si="54"/>
        <v>0.22926829268292684</v>
      </c>
      <c r="G84" s="32">
        <v>2.6214406763289899</v>
      </c>
    </row>
    <row r="85" spans="1:7" x14ac:dyDescent="0.35">
      <c r="A85" s="18" t="s">
        <v>26</v>
      </c>
      <c r="B85" s="18">
        <v>122</v>
      </c>
      <c r="C85" s="18">
        <v>7</v>
      </c>
      <c r="D85" s="18">
        <f t="shared" si="53"/>
        <v>5.2377049180327866</v>
      </c>
      <c r="E85" s="18">
        <v>639</v>
      </c>
      <c r="F85" s="18">
        <f t="shared" si="54"/>
        <v>5.737704918032787E-2</v>
      </c>
      <c r="G85" s="32">
        <v>2.4494897427831699</v>
      </c>
    </row>
    <row r="86" spans="1:7" x14ac:dyDescent="0.35">
      <c r="A86" s="18" t="s">
        <v>122</v>
      </c>
      <c r="B86" s="18">
        <v>196</v>
      </c>
      <c r="C86" s="18">
        <v>22</v>
      </c>
      <c r="D86" s="18">
        <f t="shared" si="53"/>
        <v>4</v>
      </c>
      <c r="E86" s="18">
        <v>784</v>
      </c>
      <c r="F86" s="18">
        <f t="shared" si="54"/>
        <v>0.11224489795918367</v>
      </c>
      <c r="G86" s="32">
        <v>1.6329931618554501</v>
      </c>
    </row>
    <row r="87" spans="1:7" x14ac:dyDescent="0.35">
      <c r="A87" s="18" t="s">
        <v>49</v>
      </c>
      <c r="B87" s="18">
        <v>161</v>
      </c>
      <c r="C87" s="18">
        <v>12</v>
      </c>
      <c r="D87" s="18">
        <f t="shared" si="53"/>
        <v>4.9440993788819876</v>
      </c>
      <c r="E87" s="18">
        <v>796</v>
      </c>
      <c r="F87" s="18">
        <f t="shared" si="54"/>
        <v>7.4534161490683232E-2</v>
      </c>
      <c r="G87" s="32">
        <v>2.79455252402308</v>
      </c>
    </row>
    <row r="88" spans="1:7" x14ac:dyDescent="0.35">
      <c r="A88" s="18" t="s">
        <v>3</v>
      </c>
      <c r="B88" s="18">
        <v>56</v>
      </c>
      <c r="C88" s="18">
        <v>7</v>
      </c>
      <c r="D88" s="18">
        <f t="shared" si="53"/>
        <v>4.2678571428571432</v>
      </c>
      <c r="E88" s="18">
        <v>239</v>
      </c>
      <c r="F88" s="18">
        <f t="shared" si="54"/>
        <v>0.125</v>
      </c>
      <c r="G88" s="32">
        <v>2.3731557327466102</v>
      </c>
    </row>
    <row r="89" spans="1:7" x14ac:dyDescent="0.35">
      <c r="A89" t="s">
        <v>230</v>
      </c>
      <c r="B89">
        <v>37</v>
      </c>
      <c r="C89">
        <v>4</v>
      </c>
      <c r="D89">
        <f t="shared" si="53"/>
        <v>5.0270270270270272</v>
      </c>
      <c r="E89">
        <v>186</v>
      </c>
      <c r="F89">
        <f t="shared" si="54"/>
        <v>0.10810810810810811</v>
      </c>
      <c r="G89" s="32">
        <v>2.7748873851023199</v>
      </c>
    </row>
    <row r="90" spans="1:7" x14ac:dyDescent="0.35">
      <c r="A90" s="18" t="s">
        <v>2</v>
      </c>
      <c r="B90" s="18">
        <v>41</v>
      </c>
      <c r="C90" s="18">
        <v>10</v>
      </c>
      <c r="D90" s="18">
        <f t="shared" si="53"/>
        <v>3.8048780487804876</v>
      </c>
      <c r="E90" s="18">
        <v>156</v>
      </c>
      <c r="F90" s="18">
        <f t="shared" si="54"/>
        <v>0.24390243902439024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53"/>
        <v>5.15</v>
      </c>
      <c r="E91" s="18">
        <v>206</v>
      </c>
      <c r="F91" s="18">
        <f t="shared" si="54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zoomScale="90" zoomScaleNormal="90" workbookViewId="0">
      <selection activeCell="AA35" sqref="AA35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9" width="13.26953125" bestFit="1" customWidth="1"/>
  </cols>
  <sheetData>
    <row r="1" spans="1:21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3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3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3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3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3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3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3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2026-10-03T10:14:48Z</dcterms:modified>
</cp:coreProperties>
</file>