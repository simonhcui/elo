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F482F3CE-2B73-4CAD-93C0-A6693D82961D}" xr6:coauthVersionLast="47" xr6:coauthVersionMax="47" xr10:uidLastSave="{00000000-0000-0000-0000-000000000000}"/>
  <bookViews>
    <workbookView xWindow="43140" yWindow="8550" windowWidth="23010" windowHeight="1221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  <sheet name="Prep 6.0" sheetId="15" r:id="rId14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N49" i="15"/>
  <c r="L49" i="15"/>
  <c r="F82" i="15"/>
  <c r="D82" i="15"/>
  <c r="N48" i="15"/>
  <c r="L48" i="15"/>
  <c r="F81" i="15"/>
  <c r="D81" i="15"/>
  <c r="N47" i="15"/>
  <c r="L47" i="15"/>
  <c r="F80" i="15"/>
  <c r="D80" i="15"/>
  <c r="N46" i="15"/>
  <c r="L46" i="15"/>
  <c r="F79" i="15"/>
  <c r="D79" i="15"/>
  <c r="N45" i="15"/>
  <c r="L45" i="15"/>
  <c r="F78" i="15"/>
  <c r="D78" i="15"/>
  <c r="F77" i="15"/>
  <c r="D77" i="15"/>
  <c r="N44" i="15"/>
  <c r="L44" i="15"/>
  <c r="F76" i="15"/>
  <c r="D76" i="15"/>
  <c r="F75" i="15"/>
  <c r="D75" i="15"/>
  <c r="F74" i="15"/>
  <c r="D74" i="15"/>
  <c r="N43" i="15"/>
  <c r="L43" i="15"/>
  <c r="F73" i="15"/>
  <c r="D73" i="15"/>
  <c r="F72" i="15"/>
  <c r="D72" i="15"/>
  <c r="F71" i="15"/>
  <c r="D71" i="15"/>
  <c r="N42" i="15"/>
  <c r="L42" i="15"/>
  <c r="F70" i="15"/>
  <c r="D70" i="15"/>
  <c r="F69" i="15"/>
  <c r="D69" i="15"/>
  <c r="F68" i="15"/>
  <c r="D68" i="15"/>
  <c r="N41" i="15"/>
  <c r="L41" i="15"/>
  <c r="F67" i="15"/>
  <c r="D67" i="15"/>
  <c r="N40" i="15"/>
  <c r="L40" i="15"/>
  <c r="F66" i="15"/>
  <c r="D66" i="15"/>
  <c r="F65" i="15"/>
  <c r="D65" i="15"/>
  <c r="F64" i="15"/>
  <c r="D64" i="15"/>
  <c r="F63" i="15"/>
  <c r="D63" i="15"/>
  <c r="F62" i="15"/>
  <c r="D62" i="15"/>
  <c r="N39" i="15"/>
  <c r="L39" i="15"/>
  <c r="F61" i="15"/>
  <c r="D61" i="15"/>
  <c r="N38" i="15"/>
  <c r="L38" i="15"/>
  <c r="F60" i="15"/>
  <c r="D60" i="15"/>
  <c r="N37" i="15"/>
  <c r="L37" i="15"/>
  <c r="F59" i="15"/>
  <c r="D59" i="15"/>
  <c r="F58" i="15"/>
  <c r="D58" i="15"/>
  <c r="F57" i="15"/>
  <c r="D57" i="15"/>
  <c r="F56" i="15"/>
  <c r="D56" i="15"/>
  <c r="N36" i="15"/>
  <c r="L36" i="15"/>
  <c r="F55" i="15"/>
  <c r="D55" i="15"/>
  <c r="F54" i="15"/>
  <c r="D54" i="15"/>
  <c r="N35" i="15"/>
  <c r="L35" i="15"/>
  <c r="F53" i="15"/>
  <c r="D53" i="15"/>
  <c r="N34" i="15"/>
  <c r="L34" i="15"/>
  <c r="F52" i="15"/>
  <c r="D52" i="15"/>
  <c r="N33" i="15"/>
  <c r="L33" i="15"/>
  <c r="F51" i="15"/>
  <c r="D51" i="15"/>
  <c r="N32" i="15"/>
  <c r="L32" i="15"/>
  <c r="F50" i="15"/>
  <c r="D50" i="15"/>
  <c r="N31" i="15"/>
  <c r="L31" i="15"/>
  <c r="F49" i="15"/>
  <c r="D49" i="15"/>
  <c r="N30" i="15"/>
  <c r="L30" i="15"/>
  <c r="F48" i="15"/>
  <c r="D48" i="15"/>
  <c r="F47" i="15"/>
  <c r="D47" i="15"/>
  <c r="N29" i="15"/>
  <c r="L29" i="15"/>
  <c r="F46" i="15"/>
  <c r="D46" i="15"/>
  <c r="N28" i="15"/>
  <c r="L28" i="15"/>
  <c r="F45" i="15"/>
  <c r="D45" i="15"/>
  <c r="N27" i="15"/>
  <c r="L27" i="15"/>
  <c r="F44" i="15"/>
  <c r="D44" i="15"/>
  <c r="N26" i="15"/>
  <c r="L26" i="15"/>
  <c r="F43" i="15"/>
  <c r="D43" i="15"/>
  <c r="F42" i="15"/>
  <c r="D42" i="15"/>
  <c r="F41" i="15"/>
  <c r="D41" i="15"/>
  <c r="N25" i="15"/>
  <c r="L25" i="15"/>
  <c r="F40" i="15"/>
  <c r="D40" i="15"/>
  <c r="F39" i="15"/>
  <c r="D39" i="15"/>
  <c r="N24" i="15"/>
  <c r="L24" i="15"/>
  <c r="F38" i="15"/>
  <c r="D38" i="15"/>
  <c r="N23" i="15"/>
  <c r="L23" i="15"/>
  <c r="F37" i="15"/>
  <c r="D37" i="15"/>
  <c r="F36" i="15"/>
  <c r="D36" i="15"/>
  <c r="F35" i="15"/>
  <c r="D35" i="15"/>
  <c r="F34" i="15"/>
  <c r="D34" i="15"/>
  <c r="F33" i="15"/>
  <c r="D33" i="15"/>
  <c r="N22" i="15"/>
  <c r="L22" i="15"/>
  <c r="F32" i="15"/>
  <c r="D32" i="15"/>
  <c r="F31" i="15"/>
  <c r="D31" i="15"/>
  <c r="N21" i="15"/>
  <c r="L21" i="15"/>
  <c r="F30" i="15"/>
  <c r="D30" i="15"/>
  <c r="N20" i="15"/>
  <c r="L20" i="15"/>
  <c r="F29" i="15"/>
  <c r="D29" i="15"/>
  <c r="F28" i="15"/>
  <c r="D28" i="15"/>
  <c r="N19" i="15"/>
  <c r="L19" i="15"/>
  <c r="F27" i="15"/>
  <c r="D27" i="15"/>
  <c r="F26" i="15"/>
  <c r="D26" i="15"/>
  <c r="F25" i="15"/>
  <c r="D25" i="15"/>
  <c r="F24" i="15"/>
  <c r="D24" i="15"/>
  <c r="F23" i="15"/>
  <c r="D23" i="15"/>
  <c r="N18" i="15"/>
  <c r="L18" i="15"/>
  <c r="F22" i="15"/>
  <c r="D22" i="15"/>
  <c r="F21" i="15"/>
  <c r="D21" i="15"/>
  <c r="N17" i="15"/>
  <c r="L17" i="15"/>
  <c r="F20" i="15"/>
  <c r="D20" i="15"/>
  <c r="F19" i="15"/>
  <c r="D19" i="15"/>
  <c r="N16" i="15"/>
  <c r="L16" i="15"/>
  <c r="F18" i="15"/>
  <c r="D18" i="15"/>
  <c r="N15" i="15"/>
  <c r="L15" i="15"/>
  <c r="F17" i="15"/>
  <c r="D17" i="15"/>
  <c r="F16" i="15"/>
  <c r="D16" i="15"/>
  <c r="N14" i="15"/>
  <c r="L14" i="15"/>
  <c r="F15" i="15"/>
  <c r="D15" i="15"/>
  <c r="N13" i="15"/>
  <c r="L13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<sst xmlns="http://schemas.openxmlformats.org/spreadsheetml/2006/main" count="17145" uniqueCount="606">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</sst>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0" fillId="0" borderId="0" xfId="0" applyFill="1"/>
    <xf numFmtId="0" fontId="4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50"/>
  <sheetViews>
    <sheetView topLeftCell="A328" zoomScaleNormal="100" workbookViewId="0">
      <selection activeCell="J342" sqref="J342:S3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24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24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24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24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24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</row>
    <row r="343" spans="10:24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</row>
    <row r="344" spans="10:24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</row>
    <row r="345" spans="10:24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</row>
    <row r="346" spans="10:24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</row>
    <row r="347" spans="10:24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</row>
    <row r="348" spans="10:24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</row>
    <row r="349" spans="10:24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</row>
    <row r="350" spans="10:24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H10" sqref="A1:XFD1048576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5:L26" si="12">M26/J26</f>
        <v>5.32258064516129</v>
      </c>
      <c r="M26" s="18">
        <v>165</v>
      </c>
      <c r="N26" s="18">
        <f t="shared" ref="N25: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6:L27" si="14">M27/J27</f>
        <v>5.0044052863436121</v>
      </c>
      <c r="M27" s="18">
        <v>1136</v>
      </c>
      <c r="N27" s="18">
        <f t="shared" ref="N26: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2: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0:L81" si="70">M81/J81</f>
        <v>5.0769230769230766</v>
      </c>
      <c r="M81" s="18">
        <v>726</v>
      </c>
      <c r="N81" s="18">
        <f t="shared" ref="N80: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7DCBD-E7EC-4169-8D09-BC477A429555}">
  <dimension ref="A1:XFD91"/>
  <sheetViews>
    <sheetView tabSelected="1" workbookViewId="0">
      <selection activeCell="N6" sqref="N6"/>
    </sheetView>
  </sheetViews>
  <sheetFormatPr defaultRowHeight="15" x14ac:dyDescent="0.25"/>
  <sheetData>
    <row r="1" spans="1:27 16384:16384" x14ac:dyDescent="0.25">
      <c r="A1" s="1">
        <v>46178</v>
      </c>
      <c r="B1" s="1">
        <v>46178</v>
      </c>
      <c r="C1" s="1">
        <v>46179</v>
      </c>
      <c r="D1" s="1">
        <v>46179</v>
      </c>
      <c r="E1" s="1">
        <v>46179</v>
      </c>
      <c r="F1" s="1">
        <v>46179</v>
      </c>
      <c r="G1" s="1">
        <v>46179</v>
      </c>
      <c r="H1" s="1">
        <v>46179</v>
      </c>
      <c r="I1" s="1">
        <v>46179</v>
      </c>
      <c r="Z1" s="1">
        <v>46179</v>
      </c>
      <c r="AA1" s="1">
        <v>46179</v>
      </c>
      <c r="XFD1" s="1"/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79" t="s">
        <v>125</v>
      </c>
      <c r="B13" s="79">
        <v>35</v>
      </c>
      <c r="C13" s="79">
        <v>2</v>
      </c>
      <c r="D13" s="79">
        <f t="shared" ref="D13:D72" si="0">E13/B13</f>
        <v>4.1714285714285717</v>
      </c>
      <c r="E13" s="79">
        <v>146</v>
      </c>
      <c r="F13" s="79">
        <f t="shared" ref="F13:F72" si="1">C13/B13</f>
        <v>5.7142857142857141E-2</v>
      </c>
      <c r="G13" s="32">
        <v>2.3664319132398401</v>
      </c>
      <c r="I13" s="18" t="s">
        <v>104</v>
      </c>
      <c r="J13" s="18">
        <v>128</v>
      </c>
      <c r="K13" s="18">
        <v>9</v>
      </c>
      <c r="L13" s="18">
        <f>M13/J13</f>
        <v>4.2578125</v>
      </c>
      <c r="M13" s="18">
        <v>545</v>
      </c>
      <c r="N13" s="18">
        <f>K13/J13</f>
        <v>7.03125E-2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31</v>
      </c>
      <c r="J14" s="18">
        <v>257</v>
      </c>
      <c r="K14" s="18">
        <v>19</v>
      </c>
      <c r="L14" s="18">
        <f>M14/J14</f>
        <v>5.0700389105058363</v>
      </c>
      <c r="M14" s="18">
        <v>1303</v>
      </c>
      <c r="N14" s="18">
        <f>K14/J14</f>
        <v>7.3929961089494164E-2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128</v>
      </c>
      <c r="J15" s="18">
        <v>112</v>
      </c>
      <c r="K15" s="18">
        <v>36</v>
      </c>
      <c r="L15" s="18">
        <f>M15/J15</f>
        <v>3.1964285714285716</v>
      </c>
      <c r="M15" s="18">
        <v>358</v>
      </c>
      <c r="N15" s="18">
        <f>K15/J15</f>
        <v>0.32142857142857145</v>
      </c>
    </row>
    <row r="16" spans="1:27 16384:16384" x14ac:dyDescent="0.25">
      <c r="A16" s="79" t="s">
        <v>105</v>
      </c>
      <c r="B16" s="79">
        <v>32</v>
      </c>
      <c r="C16" s="79">
        <v>4</v>
      </c>
      <c r="D16" s="79">
        <f t="shared" si="0"/>
        <v>4.78125</v>
      </c>
      <c r="E16" s="79">
        <v>153</v>
      </c>
      <c r="F16" s="79">
        <f t="shared" si="1"/>
        <v>0.125</v>
      </c>
      <c r="G16" s="32">
        <v>1.8165902124584901</v>
      </c>
      <c r="I16" s="18" t="s">
        <v>8</v>
      </c>
      <c r="J16" s="18">
        <v>49</v>
      </c>
      <c r="K16" s="18">
        <v>6</v>
      </c>
      <c r="L16" s="18">
        <f>M16/J16</f>
        <v>4.4285714285714288</v>
      </c>
      <c r="M16" s="18">
        <v>217</v>
      </c>
      <c r="N16" s="18">
        <f>K16/J16</f>
        <v>0.12244897959183673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t="s">
        <v>14</v>
      </c>
      <c r="J17">
        <v>45</v>
      </c>
      <c r="K17">
        <v>3</v>
      </c>
      <c r="L17">
        <f>M17/J17</f>
        <v>4.7111111111111112</v>
      </c>
      <c r="M17">
        <v>212</v>
      </c>
      <c r="N17">
        <f>K17/J17</f>
        <v>6.6666666666666666E-2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6</v>
      </c>
      <c r="J18" s="18">
        <v>45</v>
      </c>
      <c r="K18" s="18">
        <v>3</v>
      </c>
      <c r="L18" s="18">
        <f>M18/J18</f>
        <v>5.3555555555555552</v>
      </c>
      <c r="M18" s="18">
        <v>241</v>
      </c>
      <c r="N18" s="18">
        <f>K18/J18</f>
        <v>6.6666666666666666E-2</v>
      </c>
    </row>
    <row r="19" spans="1:24" x14ac:dyDescent="0.25">
      <c r="A19" s="79" t="s">
        <v>37</v>
      </c>
      <c r="B19" s="79">
        <v>30</v>
      </c>
      <c r="C19" s="79">
        <v>2</v>
      </c>
      <c r="D19" s="79">
        <f t="shared" si="0"/>
        <v>5.0666666666666664</v>
      </c>
      <c r="E19" s="79">
        <v>152</v>
      </c>
      <c r="F19" s="79">
        <f t="shared" si="1"/>
        <v>6.6666666666666666E-2</v>
      </c>
      <c r="G19" s="32">
        <v>2.4235565546581199</v>
      </c>
      <c r="I19" s="18" t="s">
        <v>25</v>
      </c>
      <c r="J19" s="18">
        <v>227</v>
      </c>
      <c r="K19" s="18">
        <v>21</v>
      </c>
      <c r="L19" s="18">
        <f>M19/J19</f>
        <v>5.0044052863436121</v>
      </c>
      <c r="M19" s="18">
        <v>1136</v>
      </c>
      <c r="N19" s="18">
        <f>K19/J19</f>
        <v>9.2511013215859028E-2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147</v>
      </c>
      <c r="J20" s="18">
        <v>135</v>
      </c>
      <c r="K20" s="18">
        <v>27</v>
      </c>
      <c r="L20" s="18">
        <f>M20/J20</f>
        <v>3.7407407407407409</v>
      </c>
      <c r="M20" s="18">
        <v>505</v>
      </c>
      <c r="N20" s="18">
        <f>K20/J20</f>
        <v>0.2</v>
      </c>
    </row>
    <row r="21" spans="1:24" x14ac:dyDescent="0.25">
      <c r="A21" s="80" t="s">
        <v>90</v>
      </c>
      <c r="B21" s="80">
        <v>30</v>
      </c>
      <c r="C21" s="80">
        <v>3</v>
      </c>
      <c r="D21" s="80">
        <f t="shared" si="0"/>
        <v>5.6</v>
      </c>
      <c r="E21" s="80">
        <v>168</v>
      </c>
      <c r="F21" s="80">
        <f t="shared" si="1"/>
        <v>0.1</v>
      </c>
      <c r="G21" s="32">
        <v>2.2962419891481902</v>
      </c>
      <c r="I21" s="18" t="s">
        <v>87</v>
      </c>
      <c r="J21" s="18">
        <v>176</v>
      </c>
      <c r="K21" s="18">
        <v>21</v>
      </c>
      <c r="L21" s="18">
        <f>M21/J21</f>
        <v>5.0454545454545459</v>
      </c>
      <c r="M21" s="18">
        <v>888</v>
      </c>
      <c r="N21" s="18">
        <f>K21/J21</f>
        <v>0.11931818181818182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81</v>
      </c>
      <c r="J22" s="18">
        <v>83</v>
      </c>
      <c r="K22" s="18">
        <v>6</v>
      </c>
      <c r="L22" s="18">
        <f>M22/J22</f>
        <v>5.1084337349397586</v>
      </c>
      <c r="M22" s="18">
        <v>424</v>
      </c>
      <c r="N22" s="18">
        <f>K22/J22</f>
        <v>7.2289156626506021E-2</v>
      </c>
    </row>
    <row r="23" spans="1:24" x14ac:dyDescent="0.25">
      <c r="A23" s="79" t="s">
        <v>19</v>
      </c>
      <c r="B23" s="79">
        <v>37</v>
      </c>
      <c r="C23" s="79">
        <v>3</v>
      </c>
      <c r="D23" s="79">
        <f t="shared" si="0"/>
        <v>5.0270270270270272</v>
      </c>
      <c r="E23" s="79">
        <v>186</v>
      </c>
      <c r="F23" s="79">
        <f t="shared" si="1"/>
        <v>8.1081081081081086E-2</v>
      </c>
      <c r="G23" s="32">
        <v>2.3299294900428702</v>
      </c>
      <c r="I23" s="18" t="s">
        <v>401</v>
      </c>
      <c r="J23" s="18">
        <v>69</v>
      </c>
      <c r="K23" s="18">
        <v>3</v>
      </c>
      <c r="L23" s="18">
        <f>M23/J23</f>
        <v>5.3913043478260869</v>
      </c>
      <c r="M23" s="18">
        <v>372</v>
      </c>
      <c r="N23" s="18">
        <f>K23/J23</f>
        <v>4.3478260869565216E-2</v>
      </c>
    </row>
    <row r="24" spans="1:24" x14ac:dyDescent="0.25">
      <c r="A24" s="79" t="s">
        <v>56</v>
      </c>
      <c r="B24" s="79">
        <v>32</v>
      </c>
      <c r="C24" s="79">
        <v>0</v>
      </c>
      <c r="D24" s="79">
        <f t="shared" si="0"/>
        <v>5.125</v>
      </c>
      <c r="E24" s="79">
        <v>164</v>
      </c>
      <c r="F24" s="79">
        <f t="shared" si="1"/>
        <v>0</v>
      </c>
      <c r="G24" s="32">
        <v>2.0655911179772799</v>
      </c>
      <c r="I24" s="18" t="s">
        <v>15</v>
      </c>
      <c r="J24" s="18">
        <v>269</v>
      </c>
      <c r="K24" s="18">
        <v>40</v>
      </c>
      <c r="L24" s="18">
        <f>M24/J24</f>
        <v>4.6022304832713754</v>
      </c>
      <c r="M24" s="18">
        <v>1238</v>
      </c>
      <c r="N24" s="18">
        <f>K24/J24</f>
        <v>0.14869888475836432</v>
      </c>
    </row>
    <row r="25" spans="1:24" x14ac:dyDescent="0.25">
      <c r="A25" s="79" t="s">
        <v>52</v>
      </c>
      <c r="B25" s="79">
        <v>31</v>
      </c>
      <c r="C25" s="79">
        <v>3</v>
      </c>
      <c r="D25" s="79">
        <f t="shared" si="0"/>
        <v>3.903225806451613</v>
      </c>
      <c r="E25" s="79">
        <v>121</v>
      </c>
      <c r="F25" s="79">
        <f t="shared" si="1"/>
        <v>9.6774193548387094E-2</v>
      </c>
      <c r="G25" s="32">
        <v>2.1794494717703299</v>
      </c>
      <c r="I25" s="18" t="s">
        <v>10</v>
      </c>
      <c r="J25" s="18">
        <v>73</v>
      </c>
      <c r="K25" s="18">
        <v>13</v>
      </c>
      <c r="L25" s="18">
        <f>M25/J25</f>
        <v>3.9452054794520546</v>
      </c>
      <c r="M25" s="18">
        <v>288</v>
      </c>
      <c r="N25" s="18">
        <f>K25/J25</f>
        <v>0.17808219178082191</v>
      </c>
    </row>
    <row r="26" spans="1:24" x14ac:dyDescent="0.25">
      <c r="A26" s="79" t="s">
        <v>20</v>
      </c>
      <c r="B26" s="79">
        <v>31</v>
      </c>
      <c r="C26" s="79">
        <v>2</v>
      </c>
      <c r="D26" s="79">
        <f t="shared" si="0"/>
        <v>5.32258064516129</v>
      </c>
      <c r="E26" s="79">
        <v>165</v>
      </c>
      <c r="F26" s="79">
        <f t="shared" si="1"/>
        <v>6.4516129032258063E-2</v>
      </c>
      <c r="G26" s="32">
        <v>2.3159525823376299</v>
      </c>
      <c r="I26" s="18" t="s">
        <v>121</v>
      </c>
      <c r="J26" s="18">
        <v>105</v>
      </c>
      <c r="K26" s="18">
        <v>23</v>
      </c>
      <c r="L26" s="18">
        <f>M26/J26</f>
        <v>3.8666666666666667</v>
      </c>
      <c r="M26" s="18">
        <v>406</v>
      </c>
      <c r="N26" s="18">
        <f>K26/J26</f>
        <v>0.21904761904761905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232</v>
      </c>
      <c r="J27" s="18">
        <v>162</v>
      </c>
      <c r="K27" s="18">
        <v>35</v>
      </c>
      <c r="L27" s="18">
        <f>M27/J27</f>
        <v>3.617283950617284</v>
      </c>
      <c r="M27" s="18">
        <v>586</v>
      </c>
      <c r="N27" s="18">
        <f>K27/J27</f>
        <v>0.21604938271604937</v>
      </c>
    </row>
    <row r="28" spans="1:24" x14ac:dyDescent="0.25">
      <c r="A28" s="79" t="s">
        <v>34</v>
      </c>
      <c r="B28" s="79">
        <v>30</v>
      </c>
      <c r="C28" s="79">
        <v>2</v>
      </c>
      <c r="D28" s="79">
        <f t="shared" si="0"/>
        <v>5.5333333333333332</v>
      </c>
      <c r="E28" s="79">
        <v>166</v>
      </c>
      <c r="F28" s="79">
        <f t="shared" si="1"/>
        <v>6.6666666666666666E-2</v>
      </c>
      <c r="G28" s="32">
        <v>2.2360679774997898</v>
      </c>
      <c r="I28" s="18" t="s">
        <v>21</v>
      </c>
      <c r="J28" s="18">
        <v>179</v>
      </c>
      <c r="K28" s="18">
        <v>25</v>
      </c>
      <c r="L28" s="18">
        <f>M28/J28</f>
        <v>4.3128491620111733</v>
      </c>
      <c r="M28" s="18">
        <v>772</v>
      </c>
      <c r="N28" s="18">
        <f>K28/J28</f>
        <v>0.13966480446927373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51</v>
      </c>
      <c r="J29" s="18">
        <v>47</v>
      </c>
      <c r="K29" s="18">
        <v>4</v>
      </c>
      <c r="L29" s="18">
        <f>M29/J29</f>
        <v>4.8085106382978724</v>
      </c>
      <c r="M29" s="18">
        <v>226</v>
      </c>
      <c r="N29" s="18">
        <f>K29/J29</f>
        <v>8.5106382978723402E-2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0</v>
      </c>
      <c r="J30" s="18">
        <v>84</v>
      </c>
      <c r="K30" s="18">
        <v>14</v>
      </c>
      <c r="L30" s="18">
        <f>M30/J30</f>
        <v>4.1547619047619051</v>
      </c>
      <c r="M30" s="18">
        <v>349</v>
      </c>
      <c r="N30" s="18">
        <f>K30/J30</f>
        <v>0.16666666666666666</v>
      </c>
    </row>
    <row r="31" spans="1:24" x14ac:dyDescent="0.25">
      <c r="A31" s="79" t="s">
        <v>50</v>
      </c>
      <c r="B31" s="79">
        <v>30</v>
      </c>
      <c r="C31" s="79">
        <v>1</v>
      </c>
      <c r="D31" s="79">
        <f t="shared" si="0"/>
        <v>4.3</v>
      </c>
      <c r="E31" s="79">
        <v>129</v>
      </c>
      <c r="F31" s="79">
        <f t="shared" si="1"/>
        <v>3.3333333333333333E-2</v>
      </c>
      <c r="G31" s="32">
        <v>2.2360679774997898</v>
      </c>
      <c r="I31" s="18" t="s">
        <v>1</v>
      </c>
      <c r="J31" s="18">
        <v>115</v>
      </c>
      <c r="K31" s="18">
        <v>6</v>
      </c>
      <c r="L31" s="18">
        <f>M31/J31</f>
        <v>4.6260869565217391</v>
      </c>
      <c r="M31" s="18">
        <v>532</v>
      </c>
      <c r="N31" s="18">
        <f t="shared" ref="N31:N34" si="2">K31/J31</f>
        <v>5.2173913043478258E-2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28</v>
      </c>
      <c r="J32" s="18">
        <v>79</v>
      </c>
      <c r="K32" s="18">
        <v>4</v>
      </c>
      <c r="L32" s="18">
        <f>M32/J32</f>
        <v>5.2784810126582276</v>
      </c>
      <c r="M32" s="18">
        <v>417</v>
      </c>
      <c r="N32" s="18">
        <f t="shared" si="2"/>
        <v>5.0632911392405063E-2</v>
      </c>
    </row>
    <row r="33" spans="1:14" x14ac:dyDescent="0.25">
      <c r="A33" s="79" t="s">
        <v>36</v>
      </c>
      <c r="B33" s="79">
        <v>30</v>
      </c>
      <c r="C33" s="79">
        <v>0</v>
      </c>
      <c r="D33" s="79">
        <f t="shared" si="0"/>
        <v>4.5333333333333332</v>
      </c>
      <c r="E33" s="79">
        <v>136</v>
      </c>
      <c r="F33" s="79">
        <f t="shared" si="1"/>
        <v>0</v>
      </c>
      <c r="G33" s="32">
        <v>2.6076809620810502</v>
      </c>
      <c r="I33" s="18" t="s">
        <v>253</v>
      </c>
      <c r="J33" s="18">
        <v>60</v>
      </c>
      <c r="K33" s="18">
        <v>4</v>
      </c>
      <c r="L33" s="18">
        <f>M33/J33</f>
        <v>5.5666666666666664</v>
      </c>
      <c r="M33" s="18">
        <v>334</v>
      </c>
      <c r="N33" s="18">
        <f t="shared" si="2"/>
        <v>6.6666666666666666E-2</v>
      </c>
    </row>
    <row r="34" spans="1:14" x14ac:dyDescent="0.25">
      <c r="A34" s="79" t="s">
        <v>112</v>
      </c>
      <c r="B34" s="79">
        <v>30</v>
      </c>
      <c r="C34" s="79">
        <v>6</v>
      </c>
      <c r="D34" s="79">
        <f t="shared" si="0"/>
        <v>4.166666666666667</v>
      </c>
      <c r="E34" s="79">
        <v>125</v>
      </c>
      <c r="F34" s="79">
        <f t="shared" si="1"/>
        <v>0.2</v>
      </c>
      <c r="G34" s="32">
        <v>2.71006354989037</v>
      </c>
      <c r="I34" s="18" t="s">
        <v>175</v>
      </c>
      <c r="J34" s="18">
        <v>59</v>
      </c>
      <c r="K34" s="18">
        <v>16</v>
      </c>
      <c r="L34" s="18">
        <f>M34/J34</f>
        <v>3.3559322033898304</v>
      </c>
      <c r="M34" s="18">
        <v>198</v>
      </c>
      <c r="N34" s="18">
        <f t="shared" si="2"/>
        <v>0.2711864406779661</v>
      </c>
    </row>
    <row r="35" spans="1:14" x14ac:dyDescent="0.25">
      <c r="A35" s="79" t="s">
        <v>27</v>
      </c>
      <c r="B35" s="79">
        <v>36</v>
      </c>
      <c r="C35" s="79">
        <v>3</v>
      </c>
      <c r="D35" s="79">
        <f t="shared" si="0"/>
        <v>4.4444444444444446</v>
      </c>
      <c r="E35" s="79">
        <v>160</v>
      </c>
      <c r="F35" s="79">
        <f t="shared" si="1"/>
        <v>8.3333333333333329E-2</v>
      </c>
      <c r="G35" s="32">
        <v>2.54950975679639</v>
      </c>
      <c r="I35" s="18" t="s">
        <v>61</v>
      </c>
      <c r="J35" s="18">
        <v>63</v>
      </c>
      <c r="K35" s="18">
        <v>13</v>
      </c>
      <c r="L35" s="18">
        <f>M35/J35</f>
        <v>4.4285714285714288</v>
      </c>
      <c r="M35" s="18">
        <v>279</v>
      </c>
      <c r="N35" s="18">
        <f>K35/J35</f>
        <v>0.20634920634920634</v>
      </c>
    </row>
    <row r="36" spans="1:14" x14ac:dyDescent="0.25">
      <c r="A36" s="79" t="s">
        <v>117</v>
      </c>
      <c r="B36" s="79">
        <v>33</v>
      </c>
      <c r="C36" s="79">
        <v>6</v>
      </c>
      <c r="D36" s="79">
        <f t="shared" si="0"/>
        <v>4.1818181818181817</v>
      </c>
      <c r="E36" s="79">
        <v>138</v>
      </c>
      <c r="F36" s="79">
        <f t="shared" si="1"/>
        <v>0.18181818181818182</v>
      </c>
      <c r="G36" s="32">
        <v>2.7284509239574799</v>
      </c>
      <c r="I36" s="18" t="s">
        <v>24</v>
      </c>
      <c r="J36" s="18">
        <v>101</v>
      </c>
      <c r="K36" s="18">
        <v>12</v>
      </c>
      <c r="L36" s="18">
        <f>M36/J36</f>
        <v>4.5247524752475243</v>
      </c>
      <c r="M36" s="18">
        <v>457</v>
      </c>
      <c r="N36" s="18">
        <f>K36/J36</f>
        <v>0.11881188118811881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30</v>
      </c>
      <c r="J37" s="18">
        <v>63</v>
      </c>
      <c r="K37" s="18">
        <v>5</v>
      </c>
      <c r="L37" s="18">
        <f>M37/J37</f>
        <v>5.1428571428571432</v>
      </c>
      <c r="M37" s="18">
        <v>324</v>
      </c>
      <c r="N37" s="18">
        <f>K37/J37</f>
        <v>7.9365079365079361E-2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29</v>
      </c>
      <c r="J38" s="18">
        <v>132</v>
      </c>
      <c r="K38" s="18">
        <v>19</v>
      </c>
      <c r="L38" s="18">
        <f>M38/J38</f>
        <v>3.9848484848484849</v>
      </c>
      <c r="M38" s="18">
        <v>526</v>
      </c>
      <c r="N38" s="18">
        <f>K38/J38</f>
        <v>0.14393939393939395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148</v>
      </c>
      <c r="J39" s="18">
        <v>42</v>
      </c>
      <c r="K39" s="18">
        <v>8</v>
      </c>
      <c r="L39" s="18">
        <f>M39/J39</f>
        <v>3.7380952380952381</v>
      </c>
      <c r="M39" s="18">
        <v>157</v>
      </c>
      <c r="N39" s="18">
        <f>K39/J39</f>
        <v>0.19047619047619047</v>
      </c>
    </row>
    <row r="40" spans="1:14" x14ac:dyDescent="0.25">
      <c r="A40" s="79" t="s">
        <v>13</v>
      </c>
      <c r="B40" s="79">
        <v>36</v>
      </c>
      <c r="C40" s="79">
        <v>2</v>
      </c>
      <c r="D40" s="79">
        <f t="shared" si="0"/>
        <v>4.7222222222222223</v>
      </c>
      <c r="E40" s="79">
        <v>170</v>
      </c>
      <c r="F40" s="79">
        <f t="shared" si="1"/>
        <v>5.5555555555555552E-2</v>
      </c>
      <c r="G40" s="32">
        <v>2.1392325234704299</v>
      </c>
      <c r="I40" s="18" t="s">
        <v>79</v>
      </c>
      <c r="J40" s="18">
        <v>54</v>
      </c>
      <c r="K40" s="18">
        <v>6</v>
      </c>
      <c r="L40" s="18">
        <f>M40/J40</f>
        <v>4.6296296296296298</v>
      </c>
      <c r="M40" s="18">
        <v>250</v>
      </c>
      <c r="N40" s="18">
        <f>K40/J40</f>
        <v>0.1111111111111111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123</v>
      </c>
      <c r="J41" s="18">
        <v>41</v>
      </c>
      <c r="K41" s="18">
        <v>6</v>
      </c>
      <c r="L41" s="18">
        <f>M41/J41</f>
        <v>4.3414634146341466</v>
      </c>
      <c r="M41" s="18">
        <v>178</v>
      </c>
      <c r="N41" s="18">
        <f>K41/J41</f>
        <v>0.14634146341463414</v>
      </c>
    </row>
    <row r="42" spans="1:14" x14ac:dyDescent="0.25">
      <c r="A42" s="79" t="s">
        <v>63</v>
      </c>
      <c r="B42" s="79">
        <v>30</v>
      </c>
      <c r="C42" s="79">
        <v>5</v>
      </c>
      <c r="D42" s="79">
        <f t="shared" si="0"/>
        <v>4.2333333333333334</v>
      </c>
      <c r="E42" s="79">
        <v>127</v>
      </c>
      <c r="F42" s="79">
        <f t="shared" si="1"/>
        <v>0.16666666666666666</v>
      </c>
      <c r="G42" s="32">
        <v>2.6394443859772201</v>
      </c>
      <c r="I42" s="18" t="s">
        <v>22</v>
      </c>
      <c r="J42" s="18">
        <v>184</v>
      </c>
      <c r="K42" s="18">
        <v>30</v>
      </c>
      <c r="L42" s="18">
        <f>M42/J42</f>
        <v>4.1141304347826084</v>
      </c>
      <c r="M42" s="18">
        <v>757</v>
      </c>
      <c r="N42" s="18">
        <f>K42/J42</f>
        <v>0.16304347826086957</v>
      </c>
    </row>
    <row r="43" spans="1:14" x14ac:dyDescent="0.25">
      <c r="A43" s="79" t="s">
        <v>4</v>
      </c>
      <c r="B43" s="79">
        <v>30</v>
      </c>
      <c r="C43" s="79">
        <v>4</v>
      </c>
      <c r="D43" s="79">
        <f t="shared" si="0"/>
        <v>4.8</v>
      </c>
      <c r="E43" s="79">
        <v>144</v>
      </c>
      <c r="F43" s="79">
        <f t="shared" si="1"/>
        <v>0.13333333333333333</v>
      </c>
      <c r="G43" s="32">
        <v>2.08832734769027</v>
      </c>
      <c r="I43" s="18" t="s">
        <v>33</v>
      </c>
      <c r="J43" s="18">
        <v>66</v>
      </c>
      <c r="K43" s="18">
        <v>4</v>
      </c>
      <c r="L43" s="18">
        <f>M43/J43</f>
        <v>5.5303030303030303</v>
      </c>
      <c r="M43" s="18">
        <v>365</v>
      </c>
      <c r="N43" s="18">
        <f>K43/J43</f>
        <v>6.0606060606060608E-2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129</v>
      </c>
      <c r="J44" s="18">
        <v>46</v>
      </c>
      <c r="K44" s="18">
        <v>8</v>
      </c>
      <c r="L44" s="18">
        <f>M44/J44</f>
        <v>4.5217391304347823</v>
      </c>
      <c r="M44" s="18">
        <v>208</v>
      </c>
      <c r="N44" s="18">
        <f>K44/J44</f>
        <v>0.17391304347826086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35</v>
      </c>
      <c r="J45" s="18">
        <v>185</v>
      </c>
      <c r="K45" s="18">
        <v>44</v>
      </c>
      <c r="L45" s="18">
        <f>M45/J45</f>
        <v>3.5945945945945947</v>
      </c>
      <c r="M45" s="18">
        <v>665</v>
      </c>
      <c r="N45" s="18">
        <f>K45/J45</f>
        <v>0.23783783783783785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26</v>
      </c>
      <c r="J46" s="18">
        <v>102</v>
      </c>
      <c r="K46" s="18">
        <v>6</v>
      </c>
      <c r="L46" s="18">
        <f>M46/J46</f>
        <v>5.215686274509804</v>
      </c>
      <c r="M46" s="18">
        <v>532</v>
      </c>
      <c r="N46" s="18">
        <f>K46/J46</f>
        <v>5.8823529411764705E-2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122</v>
      </c>
      <c r="J47" s="18">
        <v>151</v>
      </c>
      <c r="K47" s="18">
        <v>19</v>
      </c>
      <c r="L47" s="18">
        <f t="shared" ref="L47:L48" si="3">M47/J47</f>
        <v>3.9933774834437088</v>
      </c>
      <c r="M47" s="18">
        <v>603</v>
      </c>
      <c r="N47" s="18">
        <f t="shared" ref="N47:N48" si="4">K47/J47</f>
        <v>0.12582781456953643</v>
      </c>
    </row>
    <row r="48" spans="1:14" x14ac:dyDescent="0.25">
      <c r="A48" s="79" t="s">
        <v>414</v>
      </c>
      <c r="B48" s="79">
        <v>31</v>
      </c>
      <c r="C48" s="79">
        <v>4</v>
      </c>
      <c r="D48" s="79">
        <f t="shared" si="0"/>
        <v>4.709677419354839</v>
      </c>
      <c r="E48" s="79">
        <v>146</v>
      </c>
      <c r="F48" s="79">
        <f t="shared" si="1"/>
        <v>0.12903225806451613</v>
      </c>
      <c r="G48" s="32">
        <v>2.8702082220799299</v>
      </c>
      <c r="I48" s="18" t="s">
        <v>49</v>
      </c>
      <c r="J48" s="18">
        <v>143</v>
      </c>
      <c r="K48" s="18">
        <v>9</v>
      </c>
      <c r="L48" s="18">
        <f t="shared" si="3"/>
        <v>5.0769230769230766</v>
      </c>
      <c r="M48" s="18">
        <v>726</v>
      </c>
      <c r="N48" s="18">
        <f t="shared" si="4"/>
        <v>6.2937062937062943E-2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</v>
      </c>
      <c r="J49" s="18">
        <v>48</v>
      </c>
      <c r="K49" s="18">
        <v>7</v>
      </c>
      <c r="L49" s="18">
        <f>M49/J49</f>
        <v>4.229166666666667</v>
      </c>
      <c r="M49" s="18">
        <v>203</v>
      </c>
      <c r="N49" s="18">
        <f>K49/J49</f>
        <v>0.14583333333333334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/>
      <c r="J54" s="18"/>
      <c r="K54" s="18"/>
      <c r="L54" s="18"/>
      <c r="M54" s="18"/>
      <c r="N54" s="18"/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</row>
    <row r="56" spans="1:14" x14ac:dyDescent="0.25">
      <c r="A56" s="79" t="s">
        <v>115</v>
      </c>
      <c r="B56" s="79">
        <v>39</v>
      </c>
      <c r="C56" s="79">
        <v>3</v>
      </c>
      <c r="D56" s="79">
        <f t="shared" si="0"/>
        <v>4.384615384615385</v>
      </c>
      <c r="E56" s="79">
        <v>171</v>
      </c>
      <c r="F56" s="79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79" t="s">
        <v>116</v>
      </c>
      <c r="B58" s="79">
        <v>30</v>
      </c>
      <c r="C58" s="79">
        <v>5</v>
      </c>
      <c r="D58" s="79">
        <f t="shared" si="0"/>
        <v>4.0666666666666664</v>
      </c>
      <c r="E58" s="79">
        <v>122</v>
      </c>
      <c r="F58" s="79">
        <f t="shared" si="1"/>
        <v>0.16666666666666666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79" t="s">
        <v>5</v>
      </c>
      <c r="B59" s="79">
        <v>31</v>
      </c>
      <c r="C59" s="79">
        <v>1</v>
      </c>
      <c r="D59" s="79">
        <f t="shared" si="0"/>
        <v>4.612903225806452</v>
      </c>
      <c r="E59" s="79">
        <v>143</v>
      </c>
      <c r="F59" s="79">
        <f t="shared" si="1"/>
        <v>3.2258064516129031E-2</v>
      </c>
      <c r="G59" s="32">
        <v>1.8898223650461301</v>
      </c>
    </row>
    <row r="60" spans="1:14" x14ac:dyDescent="0.25">
      <c r="A60" s="79" t="s">
        <v>58</v>
      </c>
      <c r="B60" s="79">
        <v>30</v>
      </c>
      <c r="C60" s="79">
        <v>6</v>
      </c>
      <c r="D60" s="79">
        <f t="shared" si="0"/>
        <v>3.7</v>
      </c>
      <c r="E60" s="79">
        <v>111</v>
      </c>
      <c r="F60" s="79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79" t="s">
        <v>9</v>
      </c>
      <c r="B64" s="79">
        <v>30</v>
      </c>
      <c r="C64" s="79">
        <v>3</v>
      </c>
      <c r="D64" s="79">
        <f t="shared" si="0"/>
        <v>3.8</v>
      </c>
      <c r="E64" s="79">
        <v>114</v>
      </c>
      <c r="F64" s="79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25">
      <c r="A65" s="79" t="s">
        <v>139</v>
      </c>
      <c r="B65" s="79">
        <v>30</v>
      </c>
      <c r="C65" s="79">
        <v>4</v>
      </c>
      <c r="D65" s="79">
        <f t="shared" si="0"/>
        <v>4.2666666666666666</v>
      </c>
      <c r="E65" s="79">
        <v>128</v>
      </c>
      <c r="F65" s="79">
        <f t="shared" si="1"/>
        <v>0.13333333333333333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79" t="s">
        <v>428</v>
      </c>
      <c r="B66" s="79">
        <v>31</v>
      </c>
      <c r="C66" s="79">
        <v>5</v>
      </c>
      <c r="D66" s="79">
        <f t="shared" si="0"/>
        <v>4.096774193548387</v>
      </c>
      <c r="E66" s="79">
        <v>127</v>
      </c>
      <c r="F66" s="79">
        <f t="shared" si="1"/>
        <v>0.16129032258064516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s="79" t="s">
        <v>17</v>
      </c>
      <c r="B68" s="79">
        <v>30</v>
      </c>
      <c r="C68" s="79">
        <v>2</v>
      </c>
      <c r="D68" s="79">
        <f t="shared" si="0"/>
        <v>5.0999999999999996</v>
      </c>
      <c r="E68" s="79">
        <v>153</v>
      </c>
      <c r="F68" s="79">
        <f t="shared" si="1"/>
        <v>6.6666666666666666E-2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</row>
    <row r="71" spans="1:14" x14ac:dyDescent="0.25">
      <c r="A71" s="79" t="s">
        <v>12</v>
      </c>
      <c r="B71" s="79">
        <v>30</v>
      </c>
      <c r="C71" s="79">
        <v>1</v>
      </c>
      <c r="D71" s="79">
        <f t="shared" si="0"/>
        <v>4.8666666666666663</v>
      </c>
      <c r="E71" s="79">
        <v>146</v>
      </c>
      <c r="F71" s="79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25">
      <c r="A72" s="79" t="s">
        <v>404</v>
      </c>
      <c r="B72" s="79">
        <v>32</v>
      </c>
      <c r="C72" s="79">
        <v>3</v>
      </c>
      <c r="D72" s="79">
        <f t="shared" si="0"/>
        <v>4.8125</v>
      </c>
      <c r="E72" s="79">
        <v>154</v>
      </c>
      <c r="F72" s="79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79" t="s">
        <v>110</v>
      </c>
      <c r="B75" s="79">
        <v>30</v>
      </c>
      <c r="C75" s="79">
        <v>1</v>
      </c>
      <c r="D75" s="79">
        <f>E75/B75</f>
        <v>5.166666666666667</v>
      </c>
      <c r="E75" s="79">
        <v>155</v>
      </c>
      <c r="F75" s="79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79" t="s">
        <v>82</v>
      </c>
      <c r="B76" s="79">
        <v>30</v>
      </c>
      <c r="C76" s="79">
        <v>1</v>
      </c>
      <c r="D76" s="79">
        <f t="shared" ref="D76:D91" si="5">E76/B76</f>
        <v>5.2</v>
      </c>
      <c r="E76" s="79">
        <v>156</v>
      </c>
      <c r="F76" s="79">
        <f>C76/B76</f>
        <v>3.3333333333333333E-2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5"/>
        <v>5.5303030303030303</v>
      </c>
      <c r="E77" s="18">
        <v>365</v>
      </c>
      <c r="F77" s="18">
        <f t="shared" ref="F77:F91" si="6">C77/B77</f>
        <v>6.0606060606060608E-2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79" t="s">
        <v>99</v>
      </c>
      <c r="B78" s="79">
        <v>30</v>
      </c>
      <c r="C78" s="79">
        <v>2</v>
      </c>
      <c r="D78" s="79">
        <f t="shared" si="5"/>
        <v>5.2</v>
      </c>
      <c r="E78" s="79">
        <v>156</v>
      </c>
      <c r="F78" s="79">
        <f t="shared" si="6"/>
        <v>6.6666666666666666E-2</v>
      </c>
      <c r="G78" s="32">
        <v>2.6687491868330699</v>
      </c>
    </row>
    <row r="79" spans="1:14" x14ac:dyDescent="0.25">
      <c r="A79" s="79" t="s">
        <v>7</v>
      </c>
      <c r="B79" s="79">
        <v>30</v>
      </c>
      <c r="C79" s="79">
        <v>7</v>
      </c>
      <c r="D79" s="79">
        <f t="shared" si="5"/>
        <v>3.7666666666666666</v>
      </c>
      <c r="E79" s="79">
        <v>113</v>
      </c>
      <c r="F79" s="79">
        <f t="shared" si="6"/>
        <v>0.23333333333333334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"/>
        <v>4</v>
      </c>
      <c r="E80" s="41">
        <v>20</v>
      </c>
      <c r="F80" s="41">
        <f t="shared" si="6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5"/>
        <v>4.1818181818181817</v>
      </c>
      <c r="E81" s="41">
        <v>46</v>
      </c>
      <c r="F81" s="41">
        <f t="shared" si="6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5"/>
        <v>4.5217391304347823</v>
      </c>
      <c r="E82" s="18">
        <v>208</v>
      </c>
      <c r="F82" s="18">
        <f t="shared" si="6"/>
        <v>0.17391304347826086</v>
      </c>
      <c r="G82" s="32">
        <v>2.1315096371664199</v>
      </c>
    </row>
    <row r="83" spans="1:14" x14ac:dyDescent="0.25">
      <c r="A83" s="79" t="s">
        <v>113</v>
      </c>
      <c r="B83" s="79">
        <v>31</v>
      </c>
      <c r="C83" s="79">
        <v>0</v>
      </c>
      <c r="D83" s="79">
        <f t="shared" si="5"/>
        <v>4.225806451612903</v>
      </c>
      <c r="E83" s="79">
        <v>131</v>
      </c>
      <c r="F83" s="79">
        <f t="shared" si="6"/>
        <v>0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5"/>
        <v>3.5945945945945947</v>
      </c>
      <c r="E84" s="18">
        <v>665</v>
      </c>
      <c r="F84" s="18">
        <f t="shared" si="6"/>
        <v>0.23783783783783785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5"/>
        <v>5.215686274509804</v>
      </c>
      <c r="E85" s="18">
        <v>532</v>
      </c>
      <c r="F85" s="18">
        <f t="shared" si="6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5"/>
        <v>3.9933774834437088</v>
      </c>
      <c r="E86" s="18">
        <v>603</v>
      </c>
      <c r="F86" s="18">
        <f t="shared" si="6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5"/>
        <v>5.0769230769230766</v>
      </c>
      <c r="E87" s="18">
        <v>726</v>
      </c>
      <c r="F87" s="18">
        <f t="shared" si="6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5"/>
        <v>4.229166666666667</v>
      </c>
      <c r="E88" s="18">
        <v>203</v>
      </c>
      <c r="F88" s="18">
        <f t="shared" si="6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5"/>
        <v>4.9666666666666668</v>
      </c>
      <c r="E89">
        <v>149</v>
      </c>
      <c r="F89">
        <f t="shared" si="6"/>
        <v>0.13333333333333333</v>
      </c>
      <c r="G89" s="32">
        <v>2.7748873851023199</v>
      </c>
    </row>
    <row r="90" spans="1:14" x14ac:dyDescent="0.25">
      <c r="A90" s="79" t="s">
        <v>2</v>
      </c>
      <c r="B90" s="79">
        <v>30</v>
      </c>
      <c r="C90" s="79">
        <v>6</v>
      </c>
      <c r="D90" s="79">
        <f t="shared" si="5"/>
        <v>3.9666666666666668</v>
      </c>
      <c r="E90" s="79">
        <v>119</v>
      </c>
      <c r="F90" s="79">
        <f t="shared" si="6"/>
        <v>0.2</v>
      </c>
      <c r="G90" s="32">
        <v>2.5876449587894599</v>
      </c>
    </row>
    <row r="91" spans="1:14" x14ac:dyDescent="0.25">
      <c r="A91" s="79" t="s">
        <v>124</v>
      </c>
      <c r="B91" s="79">
        <v>31</v>
      </c>
      <c r="C91" s="79">
        <v>1</v>
      </c>
      <c r="D91" s="79">
        <f t="shared" si="5"/>
        <v>4.935483870967742</v>
      </c>
      <c r="E91" s="79">
        <v>153</v>
      </c>
      <c r="F91" s="79">
        <f t="shared" si="6"/>
        <v>3.2258064516129031E-2</v>
      </c>
      <c r="G91" s="32">
        <v>2.16794833886788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2026-06-03T18:29:58Z</dcterms:modified>
</cp:coreProperties>
</file>