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-120" yWindow="-120" windowWidth="38640" windowHeight="2112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5" l="1"/>
  <c r="L42" i="15"/>
  <c r="N26" i="15"/>
  <c r="L26" i="15"/>
  <c r="N59" i="15"/>
  <c r="L59" i="15"/>
  <c r="N41" i="15"/>
  <c r="L41" i="15"/>
  <c r="N15" i="15"/>
  <c r="L15" i="15"/>
  <c r="N23" i="15"/>
  <c r="L23" i="15"/>
  <c r="N31" i="15"/>
  <c r="L31" i="15"/>
  <c r="N55" i="15"/>
  <c r="L55" i="15"/>
  <c r="N37" i="15"/>
  <c r="L37" i="15"/>
  <c r="N16" i="15"/>
  <c r="L16" i="15"/>
  <c r="N36" i="15"/>
  <c r="L36" i="15"/>
  <c r="N33" i="15" l="1"/>
  <c r="L33" i="15"/>
  <c r="N44" i="15"/>
  <c r="L44" i="15"/>
  <c r="N49" i="15"/>
  <c r="L49" i="15"/>
  <c r="N57" i="15"/>
  <c r="L57" i="15"/>
  <c r="N45" i="15"/>
  <c r="L45" i="15"/>
  <c r="N48" i="15"/>
  <c r="L48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34" i="15"/>
  <c r="L34" i="15"/>
  <c r="N46" i="15"/>
  <c r="L46" i="15"/>
  <c r="N52" i="15"/>
  <c r="L52" i="15"/>
  <c r="N17" i="15"/>
  <c r="L17" i="15"/>
  <c r="N61" i="15"/>
  <c r="L61" i="15"/>
  <c r="N60" i="15"/>
  <c r="L60" i="15"/>
  <c r="N51" i="15"/>
  <c r="L51" i="15"/>
  <c r="N29" i="15"/>
  <c r="L29" i="15"/>
  <c r="N20" i="15"/>
  <c r="L20" i="15"/>
  <c r="N27" i="15" l="1"/>
  <c r="L27" i="15"/>
  <c r="N25" i="15"/>
  <c r="L25" i="15"/>
  <c r="N30" i="15"/>
  <c r="L30" i="15"/>
  <c r="N28" i="15"/>
  <c r="L28" i="15"/>
  <c r="N14" i="15"/>
  <c r="L14" i="15"/>
  <c r="N58" i="15"/>
  <c r="L58" i="15"/>
  <c r="N56" i="15"/>
  <c r="L56" i="15"/>
  <c r="N54" i="15"/>
  <c r="L54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3" i="15" l="1"/>
  <c r="L43" i="15"/>
  <c r="N22" i="15"/>
  <c r="L22" i="15"/>
  <c r="L24" i="15"/>
  <c r="N24" i="15"/>
  <c r="L32" i="15"/>
  <c r="N32" i="15"/>
  <c r="L35" i="15"/>
  <c r="N35" i="15"/>
  <c r="L38" i="15"/>
  <c r="N38" i="15"/>
  <c r="L39" i="15"/>
  <c r="N39" i="15"/>
  <c r="L40" i="15"/>
  <c r="N40" i="15"/>
  <c r="L47" i="15"/>
  <c r="N47" i="15"/>
  <c r="L50" i="15"/>
  <c r="N50" i="15"/>
  <c r="L53" i="15"/>
  <c r="N53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N18" i="15"/>
  <c r="L18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<sst xmlns="http://schemas.openxmlformats.org/spreadsheetml/2006/main" count="17712" uniqueCount="608">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</sst>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16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70"/>
  <sheetViews>
    <sheetView topLeftCell="P328" zoomScaleNormal="100" workbookViewId="0">
      <selection activeCell="V362" sqref="V362:AA37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0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0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0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0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0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0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0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0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0" x14ac:dyDescent="0.3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</row>
    <row r="363" spans="10:30" x14ac:dyDescent="0.3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</row>
    <row r="364" spans="10:30" x14ac:dyDescent="0.3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</row>
    <row r="365" spans="10:30" x14ac:dyDescent="0.3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</row>
    <row r="366" spans="10:30" x14ac:dyDescent="0.3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</row>
    <row r="367" spans="10:30" x14ac:dyDescent="0.3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</row>
    <row r="368" spans="10:30" x14ac:dyDescent="0.3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</row>
    <row r="369" spans="10:27" x14ac:dyDescent="0.3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</row>
    <row r="370" spans="10:27" x14ac:dyDescent="0.3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topLeftCell="A4" zoomScale="90" zoomScaleNormal="90" workbookViewId="0">
      <selection activeCell="N10" sqref="N10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Q11" sqref="Q11"/>
    </sheetView>
  </sheetViews>
  <sheetFormatPr defaultRowHeight="14.5" x14ac:dyDescent="0.35"/>
  <cols>
    <col min="4" max="4" width="13.54296875" bestFit="1" customWidth="1"/>
    <col min="6" max="6" width="12.54296875" bestFit="1" customWidth="1"/>
  </cols>
  <sheetData>
    <row r="1" spans="1:27 16384:16384" x14ac:dyDescent="0.35">
      <c r="A1" s="1">
        <v>46233</v>
      </c>
      <c r="B1" s="1">
        <v>46233</v>
      </c>
      <c r="C1" s="1">
        <v>46233</v>
      </c>
      <c r="D1" s="1">
        <v>46234</v>
      </c>
      <c r="E1" s="1">
        <v>46234</v>
      </c>
      <c r="F1" s="1">
        <v>46235</v>
      </c>
      <c r="G1" s="1">
        <v>46235</v>
      </c>
      <c r="H1" s="1">
        <v>46235</v>
      </c>
      <c r="I1" s="1">
        <v>46235</v>
      </c>
      <c r="J1" s="1">
        <v>46240</v>
      </c>
      <c r="K1" s="1">
        <v>46240</v>
      </c>
      <c r="L1" s="1">
        <v>46240</v>
      </c>
      <c r="M1" s="1">
        <v>46240</v>
      </c>
      <c r="N1" s="1">
        <v>46241</v>
      </c>
      <c r="O1" s="79">
        <v>46241</v>
      </c>
      <c r="T1" s="1"/>
      <c r="Z1" s="1"/>
      <c r="AA1" s="1"/>
      <c r="XFD1" s="1"/>
    </row>
    <row r="2" spans="1:27 16384:16384" x14ac:dyDescent="0.35">
      <c r="A2" t="s">
        <v>28</v>
      </c>
      <c r="B2" t="s">
        <v>586</v>
      </c>
      <c r="C2" t="s">
        <v>553</v>
      </c>
      <c r="D2" t="s">
        <v>36</v>
      </c>
      <c r="E2" t="s">
        <v>232</v>
      </c>
      <c r="F2" t="s">
        <v>117</v>
      </c>
      <c r="G2" t="s">
        <v>232</v>
      </c>
      <c r="H2" t="s">
        <v>2</v>
      </c>
      <c r="I2" t="s">
        <v>2</v>
      </c>
    </row>
    <row r="3" spans="1:27 16384:16384" x14ac:dyDescent="0.35">
      <c r="A3" t="s">
        <v>52</v>
      </c>
      <c r="B3" t="s">
        <v>36</v>
      </c>
      <c r="C3" t="s">
        <v>36</v>
      </c>
      <c r="D3" t="s">
        <v>28</v>
      </c>
      <c r="E3" t="s">
        <v>105</v>
      </c>
      <c r="F3" t="s">
        <v>78</v>
      </c>
      <c r="G3" t="s">
        <v>116</v>
      </c>
      <c r="H3" t="s">
        <v>593</v>
      </c>
      <c r="I3" t="s">
        <v>116</v>
      </c>
    </row>
    <row r="4" spans="1:27 16384:16384" x14ac:dyDescent="0.35">
      <c r="A4" t="s">
        <v>30</v>
      </c>
      <c r="B4" t="s">
        <v>25</v>
      </c>
      <c r="C4" t="s">
        <v>35</v>
      </c>
      <c r="D4" t="s">
        <v>121</v>
      </c>
      <c r="E4" t="s">
        <v>1</v>
      </c>
      <c r="F4" t="s">
        <v>129</v>
      </c>
      <c r="G4" t="s">
        <v>2</v>
      </c>
      <c r="H4" t="s">
        <v>25</v>
      </c>
      <c r="I4" t="s">
        <v>25</v>
      </c>
    </row>
    <row r="5" spans="1:27 16384:16384" x14ac:dyDescent="0.35">
      <c r="A5" t="s">
        <v>20</v>
      </c>
      <c r="B5" t="s">
        <v>232</v>
      </c>
      <c r="C5" t="s">
        <v>117</v>
      </c>
      <c r="D5" t="s">
        <v>232</v>
      </c>
      <c r="E5" t="s">
        <v>117</v>
      </c>
      <c r="F5" t="s">
        <v>116</v>
      </c>
      <c r="G5" t="s">
        <v>129</v>
      </c>
      <c r="H5" t="s">
        <v>28</v>
      </c>
      <c r="I5" t="s">
        <v>31</v>
      </c>
    </row>
    <row r="6" spans="1:27 16384:16384" x14ac:dyDescent="0.35">
      <c r="A6" t="s">
        <v>15</v>
      </c>
      <c r="B6" t="s">
        <v>31</v>
      </c>
      <c r="C6" t="s">
        <v>29</v>
      </c>
      <c r="D6" t="s">
        <v>25</v>
      </c>
      <c r="E6" t="s">
        <v>36</v>
      </c>
      <c r="F6" t="s">
        <v>2</v>
      </c>
      <c r="G6" t="s">
        <v>78</v>
      </c>
      <c r="H6" t="s">
        <v>116</v>
      </c>
      <c r="I6" t="s">
        <v>1</v>
      </c>
    </row>
    <row r="7" spans="1:27 16384:16384" x14ac:dyDescent="0.35">
      <c r="A7" t="s">
        <v>122</v>
      </c>
      <c r="B7" t="s">
        <v>4</v>
      </c>
      <c r="C7" t="s">
        <v>175</v>
      </c>
      <c r="D7" t="s">
        <v>63</v>
      </c>
      <c r="E7" t="s">
        <v>28</v>
      </c>
      <c r="F7" t="s">
        <v>124</v>
      </c>
      <c r="G7" t="s">
        <v>4</v>
      </c>
      <c r="H7" t="s">
        <v>1</v>
      </c>
      <c r="I7" t="s">
        <v>593</v>
      </c>
    </row>
    <row r="8" spans="1:27 16384:16384" x14ac:dyDescent="0.35">
      <c r="A8" t="s">
        <v>25</v>
      </c>
      <c r="B8" t="s">
        <v>117</v>
      </c>
      <c r="C8" t="s">
        <v>122</v>
      </c>
      <c r="D8" t="s">
        <v>117</v>
      </c>
      <c r="E8" t="s">
        <v>586</v>
      </c>
      <c r="F8" t="s">
        <v>232</v>
      </c>
      <c r="G8" t="s">
        <v>117</v>
      </c>
      <c r="H8" t="s">
        <v>87</v>
      </c>
      <c r="I8" t="s">
        <v>87</v>
      </c>
    </row>
    <row r="9" spans="1:27 16384:16384" x14ac:dyDescent="0.35">
      <c r="A9" t="s">
        <v>31</v>
      </c>
      <c r="B9" t="s">
        <v>28</v>
      </c>
      <c r="C9" t="s">
        <v>15</v>
      </c>
      <c r="D9" t="s">
        <v>1</v>
      </c>
      <c r="E9" t="s">
        <v>25</v>
      </c>
      <c r="F9" t="s">
        <v>4</v>
      </c>
      <c r="G9" t="s">
        <v>124</v>
      </c>
      <c r="H9" t="s">
        <v>31</v>
      </c>
      <c r="I9" t="s">
        <v>28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6" si="2">M13/J13</f>
        <v>4.375</v>
      </c>
      <c r="M13" s="18">
        <v>175</v>
      </c>
      <c r="N13" s="18">
        <f t="shared" ref="N13:N16" si="3">K13/J13</f>
        <v>0.05</v>
      </c>
    </row>
    <row r="14" spans="1:27 16384:16384" x14ac:dyDescent="0.35">
      <c r="A14" s="18" t="s">
        <v>104</v>
      </c>
      <c r="B14" s="18">
        <v>134</v>
      </c>
      <c r="C14" s="18">
        <v>9</v>
      </c>
      <c r="D14" s="18">
        <f t="shared" si="0"/>
        <v>4.2686567164179108</v>
      </c>
      <c r="E14" s="18">
        <v>572</v>
      </c>
      <c r="F14" s="18">
        <f t="shared" si="1"/>
        <v>6.7164179104477612E-2</v>
      </c>
      <c r="G14" s="32">
        <v>2.3273733406281498</v>
      </c>
      <c r="I14" s="18" t="s">
        <v>104</v>
      </c>
      <c r="J14" s="18">
        <v>134</v>
      </c>
      <c r="K14" s="18">
        <v>9</v>
      </c>
      <c r="L14" s="18">
        <f t="shared" si="2"/>
        <v>4.2686567164179108</v>
      </c>
      <c r="M14" s="18">
        <v>572</v>
      </c>
      <c r="N14" s="18">
        <f t="shared" si="3"/>
        <v>6.7164179104477612E-2</v>
      </c>
    </row>
    <row r="15" spans="1:27 16384:16384" x14ac:dyDescent="0.35">
      <c r="A15" s="18" t="s">
        <v>31</v>
      </c>
      <c r="B15" s="18">
        <v>282</v>
      </c>
      <c r="C15" s="18">
        <v>23</v>
      </c>
      <c r="D15" s="18">
        <f t="shared" si="0"/>
        <v>5.0496453900709222</v>
      </c>
      <c r="E15" s="18">
        <v>1424</v>
      </c>
      <c r="F15" s="18">
        <f t="shared" si="1"/>
        <v>8.1560283687943269E-2</v>
      </c>
      <c r="G15" s="32">
        <v>1.87082869338697</v>
      </c>
      <c r="I15" s="18" t="s">
        <v>31</v>
      </c>
      <c r="J15" s="18">
        <v>282</v>
      </c>
      <c r="K15" s="18">
        <v>23</v>
      </c>
      <c r="L15" s="18">
        <f t="shared" si="2"/>
        <v>5.0496453900709222</v>
      </c>
      <c r="M15" s="18">
        <v>1424</v>
      </c>
      <c r="N15" s="18">
        <f t="shared" si="3"/>
        <v>8.1560283687943269E-2</v>
      </c>
    </row>
    <row r="16" spans="1:27 16384:16384" x14ac:dyDescent="0.35">
      <c r="A16" s="18" t="s">
        <v>105</v>
      </c>
      <c r="B16" s="18">
        <v>44</v>
      </c>
      <c r="C16" s="18">
        <v>6</v>
      </c>
      <c r="D16" s="18">
        <f t="shared" si="0"/>
        <v>4.4772727272727275</v>
      </c>
      <c r="E16" s="18">
        <v>197</v>
      </c>
      <c r="F16" s="18">
        <f t="shared" si="1"/>
        <v>0.13636363636363635</v>
      </c>
      <c r="G16" s="32">
        <v>1.8165902124584901</v>
      </c>
      <c r="I16" s="18" t="s">
        <v>105</v>
      </c>
      <c r="J16" s="18">
        <v>44</v>
      </c>
      <c r="K16" s="18">
        <v>6</v>
      </c>
      <c r="L16" s="18">
        <f t="shared" si="2"/>
        <v>4.4772727272727275</v>
      </c>
      <c r="M16" s="18">
        <v>197</v>
      </c>
      <c r="N16" s="18">
        <f t="shared" si="3"/>
        <v>0.13636363636363635</v>
      </c>
    </row>
    <row r="17" spans="1:14" x14ac:dyDescent="0.35">
      <c r="A17" s="18" t="s">
        <v>128</v>
      </c>
      <c r="B17" s="18">
        <v>118</v>
      </c>
      <c r="C17" s="18">
        <v>38</v>
      </c>
      <c r="D17" s="18">
        <f t="shared" si="0"/>
        <v>3.2118644067796609</v>
      </c>
      <c r="E17" s="18">
        <v>379</v>
      </c>
      <c r="F17" s="18">
        <f t="shared" si="1"/>
        <v>0.32203389830508472</v>
      </c>
      <c r="G17" s="32">
        <v>2.03049835952651</v>
      </c>
      <c r="I17" s="18" t="s">
        <v>128</v>
      </c>
      <c r="J17" s="18">
        <v>118</v>
      </c>
      <c r="K17" s="18">
        <v>38</v>
      </c>
      <c r="L17" s="18">
        <f t="shared" ref="L16:L17" si="4">M17/J17</f>
        <v>3.2118644067796609</v>
      </c>
      <c r="M17" s="18">
        <v>379</v>
      </c>
      <c r="N17" s="18">
        <f t="shared" ref="N16:N17" si="5">K17/J17</f>
        <v>0.32203389830508472</v>
      </c>
    </row>
    <row r="18" spans="1:1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14" x14ac:dyDescent="0.3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si="6"/>
        <v>4.7111111111111112</v>
      </c>
      <c r="M19" s="18">
        <v>212</v>
      </c>
      <c r="N19" s="18">
        <f t="shared" si="7"/>
        <v>6.6666666666666666E-2</v>
      </c>
    </row>
    <row r="20" spans="1:1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8">M20/J20</f>
        <v>5.35</v>
      </c>
      <c r="M20" s="73">
        <v>214</v>
      </c>
      <c r="N20" s="73">
        <f t="shared" ref="N20" si="9">K20/J20</f>
        <v>7.4999999999999997E-2</v>
      </c>
    </row>
    <row r="21" spans="1:14" x14ac:dyDescent="0.3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" si="10">M23/J23</f>
        <v>5.0233463035019454</v>
      </c>
      <c r="M23" s="18">
        <v>1291</v>
      </c>
      <c r="N23" s="18">
        <f t="shared" ref="N23" si="11">K23/J23</f>
        <v>8.9494163424124515E-2</v>
      </c>
    </row>
    <row r="24" spans="1:1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40</v>
      </c>
      <c r="K24" s="18">
        <v>3</v>
      </c>
      <c r="L24" s="18">
        <f t="shared" ref="L24:L26" si="12">M24/J24</f>
        <v>5.4</v>
      </c>
      <c r="M24" s="18">
        <v>216</v>
      </c>
      <c r="N24" s="18">
        <f t="shared" ref="N24:N26" si="13">K24/J24</f>
        <v>7.4999999999999997E-2</v>
      </c>
    </row>
    <row r="25" spans="1:14" x14ac:dyDescent="0.35">
      <c r="A25" t="s">
        <v>52</v>
      </c>
      <c r="B25">
        <v>37</v>
      </c>
      <c r="C25">
        <v>7</v>
      </c>
      <c r="D25">
        <f t="shared" si="0"/>
        <v>3.7567567567567566</v>
      </c>
      <c r="E25">
        <v>139</v>
      </c>
      <c r="F25">
        <f t="shared" si="1"/>
        <v>0.1891891891891892</v>
      </c>
      <c r="G25" s="32">
        <v>2.1794494717703299</v>
      </c>
      <c r="I25" s="18" t="s">
        <v>147</v>
      </c>
      <c r="J25" s="18">
        <v>144</v>
      </c>
      <c r="K25" s="18">
        <v>28</v>
      </c>
      <c r="L25" s="18">
        <f t="shared" si="12"/>
        <v>3.8611111111111112</v>
      </c>
      <c r="M25" s="18">
        <v>556</v>
      </c>
      <c r="N25" s="18">
        <f t="shared" si="13"/>
        <v>0.19444444444444445</v>
      </c>
    </row>
    <row r="26" spans="1:14" x14ac:dyDescent="0.35">
      <c r="A26" t="s">
        <v>20</v>
      </c>
      <c r="B26">
        <v>37</v>
      </c>
      <c r="C26">
        <v>2</v>
      </c>
      <c r="D26">
        <f t="shared" si="0"/>
        <v>5.3513513513513518</v>
      </c>
      <c r="E26">
        <v>198</v>
      </c>
      <c r="F26">
        <f t="shared" si="1"/>
        <v>5.4054054054054057E-2</v>
      </c>
      <c r="G26" s="32">
        <v>2.3159525823376299</v>
      </c>
      <c r="I26" s="18" t="s">
        <v>87</v>
      </c>
      <c r="J26" s="18">
        <v>204</v>
      </c>
      <c r="K26" s="18">
        <v>25</v>
      </c>
      <c r="L26" s="18">
        <f t="shared" si="12"/>
        <v>5.0098039215686274</v>
      </c>
      <c r="M26" s="18">
        <v>1022</v>
      </c>
      <c r="N26" s="18">
        <f t="shared" si="13"/>
        <v>0.12254901960784313</v>
      </c>
    </row>
    <row r="27" spans="1:14" x14ac:dyDescent="0.3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4">M27/J27</f>
        <v>4.1749999999999998</v>
      </c>
      <c r="M27" s="18">
        <v>167</v>
      </c>
      <c r="N27" s="18">
        <f t="shared" ref="N27" si="15">K27/J27</f>
        <v>0.1</v>
      </c>
    </row>
    <row r="28" spans="1:14" x14ac:dyDescent="0.3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35">
      <c r="A29" s="18" t="s">
        <v>147</v>
      </c>
      <c r="B29" s="18">
        <v>144</v>
      </c>
      <c r="C29" s="18">
        <v>28</v>
      </c>
      <c r="D29" s="18">
        <f t="shared" si="0"/>
        <v>3.8611111111111112</v>
      </c>
      <c r="E29" s="18">
        <v>556</v>
      </c>
      <c r="F29" s="18">
        <f t="shared" si="1"/>
        <v>0.19444444444444445</v>
      </c>
      <c r="G29" s="32">
        <v>1.94935886896179</v>
      </c>
      <c r="I29" s="18" t="s">
        <v>112</v>
      </c>
      <c r="J29" s="18">
        <v>42</v>
      </c>
      <c r="K29" s="18">
        <v>8</v>
      </c>
      <c r="L29" s="18">
        <f t="shared" ref="L29" si="16">M29/J29</f>
        <v>3.7619047619047619</v>
      </c>
      <c r="M29" s="18">
        <v>158</v>
      </c>
      <c r="N29" s="18">
        <f t="shared" ref="N29" si="17">K29/J29</f>
        <v>0.19047619047619047</v>
      </c>
    </row>
    <row r="30" spans="1:14" x14ac:dyDescent="0.35">
      <c r="A30" s="18" t="s">
        <v>87</v>
      </c>
      <c r="B30" s="18">
        <v>204</v>
      </c>
      <c r="C30" s="18">
        <v>25</v>
      </c>
      <c r="D30" s="18">
        <f t="shared" si="0"/>
        <v>5.0098039215686274</v>
      </c>
      <c r="E30" s="18">
        <v>1022</v>
      </c>
      <c r="F30" s="18">
        <f t="shared" si="1"/>
        <v>0.12254901960784313</v>
      </c>
      <c r="G30" s="32">
        <v>1.7888543819998299</v>
      </c>
      <c r="I30" s="18" t="s">
        <v>27</v>
      </c>
      <c r="J30" s="18">
        <v>40</v>
      </c>
      <c r="K30" s="18">
        <v>3</v>
      </c>
      <c r="L30" s="18">
        <f t="shared" ref="L30" si="18">M30/J30</f>
        <v>4.5750000000000002</v>
      </c>
      <c r="M30" s="18">
        <v>183</v>
      </c>
      <c r="N30" s="18">
        <f t="shared" ref="N30" si="19">K30/J30</f>
        <v>7.4999999999999997E-2</v>
      </c>
    </row>
    <row r="31" spans="1:14" x14ac:dyDescent="0.3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117</v>
      </c>
      <c r="J31" s="18">
        <v>40</v>
      </c>
      <c r="K31" s="18">
        <v>7</v>
      </c>
      <c r="L31" s="18">
        <f t="shared" ref="L31" si="20">M31/J31</f>
        <v>4.3250000000000002</v>
      </c>
      <c r="M31" s="18">
        <v>173</v>
      </c>
      <c r="N31" s="18">
        <f t="shared" ref="N31" si="21">K31/J31</f>
        <v>0.17499999999999999</v>
      </c>
    </row>
    <row r="32" spans="1:14" x14ac:dyDescent="0.3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401</v>
      </c>
      <c r="J32" s="18">
        <v>71</v>
      </c>
      <c r="K32" s="18">
        <v>3</v>
      </c>
      <c r="L32" s="18">
        <f t="shared" ref="L32:L33" si="22">M32/J32</f>
        <v>5.3661971830985919</v>
      </c>
      <c r="M32" s="18">
        <v>381</v>
      </c>
      <c r="N32" s="18">
        <f t="shared" ref="N32:N33" si="23">K32/J32</f>
        <v>4.2253521126760563E-2</v>
      </c>
    </row>
    <row r="33" spans="1:14" x14ac:dyDescent="0.35">
      <c r="A33" t="s">
        <v>36</v>
      </c>
      <c r="B33">
        <v>37</v>
      </c>
      <c r="C33">
        <v>2</v>
      </c>
      <c r="D33">
        <f t="shared" si="0"/>
        <v>4.3243243243243246</v>
      </c>
      <c r="E33">
        <v>160</v>
      </c>
      <c r="F33">
        <f t="shared" si="1"/>
        <v>5.4054054054054057E-2</v>
      </c>
      <c r="G33" s="32">
        <v>2.6076809620810502</v>
      </c>
      <c r="I33" s="18" t="s">
        <v>15</v>
      </c>
      <c r="J33" s="18">
        <v>278</v>
      </c>
      <c r="K33" s="18">
        <v>40</v>
      </c>
      <c r="L33" s="18">
        <f t="shared" si="22"/>
        <v>4.6187050359712227</v>
      </c>
      <c r="M33" s="18">
        <v>1284</v>
      </c>
      <c r="N33" s="18">
        <f t="shared" si="23"/>
        <v>0.14388489208633093</v>
      </c>
    </row>
    <row r="34" spans="1:14" x14ac:dyDescent="0.3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13</v>
      </c>
      <c r="J34" s="18">
        <v>40</v>
      </c>
      <c r="K34" s="18">
        <v>2</v>
      </c>
      <c r="L34" s="18">
        <f t="shared" ref="L34" si="24">M34/J34</f>
        <v>4.9000000000000004</v>
      </c>
      <c r="M34" s="18">
        <v>196</v>
      </c>
      <c r="N34" s="18">
        <f t="shared" ref="N34" si="25">K34/J34</f>
        <v>0.05</v>
      </c>
    </row>
    <row r="35" spans="1:14" x14ac:dyDescent="0.3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10</v>
      </c>
      <c r="J35" s="18">
        <v>73</v>
      </c>
      <c r="K35" s="18">
        <v>13</v>
      </c>
      <c r="L35" s="18">
        <f>M35/J35</f>
        <v>3.9452054794520546</v>
      </c>
      <c r="M35" s="18">
        <v>288</v>
      </c>
      <c r="N35" s="18">
        <f>K35/J35</f>
        <v>0.17808219178082191</v>
      </c>
    </row>
    <row r="36" spans="1:14" x14ac:dyDescent="0.3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121</v>
      </c>
      <c r="J36" s="18">
        <v>115</v>
      </c>
      <c r="K36" s="18">
        <v>25</v>
      </c>
      <c r="L36" s="18">
        <f t="shared" ref="L36:L37" si="26">M36/J36</f>
        <v>3.8434782608695652</v>
      </c>
      <c r="M36" s="18">
        <v>442</v>
      </c>
      <c r="N36" s="18">
        <f t="shared" ref="N36:N37" si="27">K36/J36</f>
        <v>0.21739130434782608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232</v>
      </c>
      <c r="J37" s="18">
        <v>190</v>
      </c>
      <c r="K37" s="18">
        <v>44</v>
      </c>
      <c r="L37" s="18">
        <f t="shared" si="26"/>
        <v>3.8210526315789473</v>
      </c>
      <c r="M37" s="18">
        <v>726</v>
      </c>
      <c r="N37" s="18">
        <f t="shared" si="27"/>
        <v>0.23157894736842105</v>
      </c>
    </row>
    <row r="38" spans="1:14" x14ac:dyDescent="0.3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21</v>
      </c>
      <c r="J38" s="18">
        <v>180</v>
      </c>
      <c r="K38" s="18">
        <v>25</v>
      </c>
      <c r="L38" s="18">
        <f>M38/J38</f>
        <v>4.3055555555555554</v>
      </c>
      <c r="M38" s="18">
        <v>775</v>
      </c>
      <c r="N38" s="18">
        <f>K38/J38</f>
        <v>0.1388888888888889</v>
      </c>
    </row>
    <row r="39" spans="1:14" x14ac:dyDescent="0.35">
      <c r="A39" s="18" t="s">
        <v>15</v>
      </c>
      <c r="B39" s="18">
        <v>278</v>
      </c>
      <c r="C39" s="18">
        <v>40</v>
      </c>
      <c r="D39" s="18">
        <f t="shared" si="0"/>
        <v>4.6187050359712227</v>
      </c>
      <c r="E39" s="18">
        <v>1284</v>
      </c>
      <c r="F39" s="18">
        <f t="shared" si="1"/>
        <v>0.14388489208633093</v>
      </c>
      <c r="G39" s="32">
        <v>2.3694389634605302</v>
      </c>
      <c r="I39" s="18" t="s">
        <v>51</v>
      </c>
      <c r="J39" s="18">
        <v>47</v>
      </c>
      <c r="K39" s="18">
        <v>4</v>
      </c>
      <c r="L39" s="18">
        <f>M39/J39</f>
        <v>4.8085106382978724</v>
      </c>
      <c r="M39" s="18">
        <v>226</v>
      </c>
      <c r="N39" s="18">
        <f>K39/J39</f>
        <v>8.5106382978723402E-2</v>
      </c>
    </row>
    <row r="40" spans="1:14" x14ac:dyDescent="0.35">
      <c r="A40" s="18" t="s">
        <v>13</v>
      </c>
      <c r="B40" s="18">
        <v>40</v>
      </c>
      <c r="C40" s="18">
        <v>2</v>
      </c>
      <c r="D40" s="18">
        <f t="shared" si="0"/>
        <v>4.9000000000000004</v>
      </c>
      <c r="E40" s="18">
        <v>196</v>
      </c>
      <c r="F40" s="18">
        <f t="shared" si="1"/>
        <v>0.05</v>
      </c>
      <c r="G40" s="32">
        <v>2.1392325234704299</v>
      </c>
      <c r="I40" s="18" t="s">
        <v>0</v>
      </c>
      <c r="J40" s="18">
        <v>84</v>
      </c>
      <c r="K40" s="18">
        <v>14</v>
      </c>
      <c r="L40" s="18">
        <f>M40/J40</f>
        <v>4.1547619047619051</v>
      </c>
      <c r="M40" s="18">
        <v>349</v>
      </c>
      <c r="N40" s="18">
        <f>K40/J40</f>
        <v>0.16666666666666666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1</v>
      </c>
      <c r="J41" s="18">
        <v>127</v>
      </c>
      <c r="K41" s="18">
        <v>6</v>
      </c>
      <c r="L41" s="18">
        <f t="shared" ref="L41:L42" si="28">M41/J41</f>
        <v>4.7244094488188972</v>
      </c>
      <c r="M41" s="18">
        <v>600</v>
      </c>
      <c r="N41" s="18">
        <f t="shared" ref="N41:N42" si="29">K41/J41</f>
        <v>4.7244094488188976E-2</v>
      </c>
    </row>
    <row r="42" spans="1:14" x14ac:dyDescent="0.35">
      <c r="A42" t="s">
        <v>63</v>
      </c>
      <c r="B42">
        <v>33</v>
      </c>
      <c r="C42">
        <v>5</v>
      </c>
      <c r="D42">
        <f t="shared" si="0"/>
        <v>4.4242424242424239</v>
      </c>
      <c r="E42">
        <v>146</v>
      </c>
      <c r="F42">
        <f t="shared" si="1"/>
        <v>0.15151515151515152</v>
      </c>
      <c r="G42" s="32">
        <v>2.6394443859772201</v>
      </c>
      <c r="I42" s="18" t="s">
        <v>28</v>
      </c>
      <c r="J42" s="18">
        <v>115</v>
      </c>
      <c r="K42" s="18">
        <v>8</v>
      </c>
      <c r="L42" s="18">
        <f t="shared" si="28"/>
        <v>5.0956521739130434</v>
      </c>
      <c r="M42" s="18">
        <v>586</v>
      </c>
      <c r="N42" s="18">
        <f t="shared" si="29"/>
        <v>6.9565217391304349E-2</v>
      </c>
    </row>
    <row r="43" spans="1:14" x14ac:dyDescent="0.35">
      <c r="A43" t="s">
        <v>4</v>
      </c>
      <c r="B43">
        <v>35</v>
      </c>
      <c r="C43">
        <v>4</v>
      </c>
      <c r="D43">
        <f t="shared" si="0"/>
        <v>5.0571428571428569</v>
      </c>
      <c r="E43">
        <v>177</v>
      </c>
      <c r="F43">
        <f t="shared" si="1"/>
        <v>0.11428571428571428</v>
      </c>
      <c r="G43" s="32">
        <v>2.08832734769027</v>
      </c>
      <c r="I43" s="18" t="s">
        <v>253</v>
      </c>
      <c r="J43" s="18">
        <v>61</v>
      </c>
      <c r="K43" s="18">
        <v>4</v>
      </c>
      <c r="L43" s="18">
        <f t="shared" ref="L43:L45" si="30">M43/J43</f>
        <v>5.6065573770491799</v>
      </c>
      <c r="M43" s="18">
        <v>342</v>
      </c>
      <c r="N43" s="18">
        <f t="shared" ref="N43:N44" si="31">K43/J43</f>
        <v>6.5573770491803282E-2</v>
      </c>
    </row>
    <row r="44" spans="1:14" x14ac:dyDescent="0.35">
      <c r="A44" s="18" t="s">
        <v>121</v>
      </c>
      <c r="B44" s="18">
        <v>115</v>
      </c>
      <c r="C44" s="18">
        <v>25</v>
      </c>
      <c r="D44" s="18">
        <f t="shared" si="0"/>
        <v>3.8434782608695652</v>
      </c>
      <c r="E44" s="18">
        <v>442</v>
      </c>
      <c r="F44" s="18">
        <f t="shared" si="1"/>
        <v>0.21739130434782608</v>
      </c>
      <c r="G44" s="32">
        <v>2.2233267457082899</v>
      </c>
      <c r="I44" s="18" t="s">
        <v>175</v>
      </c>
      <c r="J44" s="18">
        <v>72</v>
      </c>
      <c r="K44" s="18">
        <v>19</v>
      </c>
      <c r="L44" s="18">
        <f t="shared" si="30"/>
        <v>3.4583333333333335</v>
      </c>
      <c r="M44" s="18">
        <v>249</v>
      </c>
      <c r="N44" s="18">
        <f t="shared" si="31"/>
        <v>0.2638888888888889</v>
      </c>
    </row>
    <row r="45" spans="1:14" x14ac:dyDescent="0.35">
      <c r="A45" s="18" t="s">
        <v>232</v>
      </c>
      <c r="B45" s="18">
        <v>190</v>
      </c>
      <c r="C45" s="18">
        <v>44</v>
      </c>
      <c r="D45" s="18">
        <f t="shared" si="0"/>
        <v>3.8210526315789473</v>
      </c>
      <c r="E45" s="18">
        <v>726</v>
      </c>
      <c r="F45" s="18">
        <f t="shared" si="1"/>
        <v>0.23157894736842105</v>
      </c>
      <c r="G45" s="32">
        <v>2.2509257354845502</v>
      </c>
      <c r="I45" s="18" t="s">
        <v>61</v>
      </c>
      <c r="J45" s="18">
        <v>75</v>
      </c>
      <c r="K45" s="18">
        <v>16</v>
      </c>
      <c r="L45" s="18">
        <f t="shared" si="30"/>
        <v>4.4000000000000004</v>
      </c>
      <c r="M45" s="18">
        <v>330</v>
      </c>
      <c r="N45" s="18">
        <f>K45/J45</f>
        <v>0.21333333333333335</v>
      </c>
    </row>
    <row r="46" spans="1:14" x14ac:dyDescent="0.3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115</v>
      </c>
      <c r="J46" s="18">
        <v>40</v>
      </c>
      <c r="K46" s="18">
        <v>3</v>
      </c>
      <c r="L46" s="18">
        <f t="shared" ref="L46" si="32">M46/J46</f>
        <v>4.4749999999999996</v>
      </c>
      <c r="M46" s="18">
        <v>179</v>
      </c>
      <c r="N46" s="18">
        <f t="shared" ref="N46" si="33">K46/J46</f>
        <v>7.4999999999999997E-2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24</v>
      </c>
      <c r="J47" s="18">
        <v>102</v>
      </c>
      <c r="K47" s="18">
        <v>12</v>
      </c>
      <c r="L47" s="18">
        <f t="shared" ref="L47:L52" si="34">M47/J47</f>
        <v>4.5196078431372548</v>
      </c>
      <c r="M47" s="18">
        <v>461</v>
      </c>
      <c r="N47" s="18">
        <f t="shared" ref="N47:N52" si="35">K47/J47</f>
        <v>0.11764705882352941</v>
      </c>
    </row>
    <row r="48" spans="1:14" x14ac:dyDescent="0.35">
      <c r="A48" t="s">
        <v>414</v>
      </c>
      <c r="B48">
        <v>34</v>
      </c>
      <c r="C48">
        <v>4</v>
      </c>
      <c r="D48">
        <f t="shared" si="0"/>
        <v>4.6470588235294121</v>
      </c>
      <c r="E48">
        <v>158</v>
      </c>
      <c r="F48">
        <f t="shared" si="1"/>
        <v>0.11764705882352941</v>
      </c>
      <c r="G48" s="32">
        <v>2.8702082220799299</v>
      </c>
      <c r="I48" s="18" t="s">
        <v>30</v>
      </c>
      <c r="J48" s="18">
        <v>65</v>
      </c>
      <c r="K48" s="18">
        <v>5</v>
      </c>
      <c r="L48" s="18">
        <f t="shared" si="34"/>
        <v>5.1230769230769226</v>
      </c>
      <c r="M48" s="18">
        <v>333</v>
      </c>
      <c r="N48" s="18">
        <f t="shared" si="35"/>
        <v>7.6923076923076927E-2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29</v>
      </c>
      <c r="J49" s="18">
        <v>141</v>
      </c>
      <c r="K49" s="18">
        <v>20</v>
      </c>
      <c r="L49" s="18">
        <f t="shared" si="34"/>
        <v>3.9716312056737588</v>
      </c>
      <c r="M49" s="18">
        <v>560</v>
      </c>
      <c r="N49" s="18">
        <f t="shared" si="35"/>
        <v>0.14184397163120568</v>
      </c>
    </row>
    <row r="50" spans="1:14" x14ac:dyDescent="0.35">
      <c r="A50" s="18" t="s">
        <v>1</v>
      </c>
      <c r="B50" s="18">
        <v>127</v>
      </c>
      <c r="C50" s="18">
        <v>6</v>
      </c>
      <c r="D50" s="18">
        <f t="shared" si="0"/>
        <v>4.7244094488188972</v>
      </c>
      <c r="E50" s="18">
        <v>600</v>
      </c>
      <c r="F50" s="18">
        <f t="shared" si="1"/>
        <v>4.7244094488188976E-2</v>
      </c>
      <c r="G50" s="32">
        <v>2.0412414523193099</v>
      </c>
      <c r="I50" s="18" t="s">
        <v>148</v>
      </c>
      <c r="J50" s="18">
        <v>42</v>
      </c>
      <c r="K50" s="18">
        <v>8</v>
      </c>
      <c r="L50" s="18">
        <f t="shared" si="34"/>
        <v>3.7380952380952381</v>
      </c>
      <c r="M50" s="18">
        <v>157</v>
      </c>
      <c r="N50" s="18">
        <f t="shared" si="35"/>
        <v>0.19047619047619047</v>
      </c>
    </row>
    <row r="51" spans="1:14" x14ac:dyDescent="0.35">
      <c r="A51" s="18" t="s">
        <v>28</v>
      </c>
      <c r="B51" s="18">
        <v>115</v>
      </c>
      <c r="C51" s="18">
        <v>8</v>
      </c>
      <c r="D51" s="18">
        <f t="shared" si="0"/>
        <v>5.0956521739130434</v>
      </c>
      <c r="E51" s="18">
        <v>586</v>
      </c>
      <c r="F51" s="18">
        <f t="shared" si="1"/>
        <v>6.9565217391304349E-2</v>
      </c>
      <c r="G51" s="32">
        <v>1.30384048104052</v>
      </c>
      <c r="I51" s="18" t="s">
        <v>79</v>
      </c>
      <c r="J51" s="18">
        <v>55</v>
      </c>
      <c r="K51" s="18">
        <v>6</v>
      </c>
      <c r="L51" s="18">
        <f t="shared" si="34"/>
        <v>4.6363636363636367</v>
      </c>
      <c r="M51" s="18">
        <v>255</v>
      </c>
      <c r="N51" s="18">
        <f t="shared" si="35"/>
        <v>0.10909090909090909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123</v>
      </c>
      <c r="J52" s="18">
        <v>46</v>
      </c>
      <c r="K52" s="18">
        <v>6</v>
      </c>
      <c r="L52" s="18">
        <f t="shared" si="34"/>
        <v>4.3913043478260869</v>
      </c>
      <c r="M52" s="18">
        <v>202</v>
      </c>
      <c r="N52" s="18">
        <f t="shared" si="35"/>
        <v>0.13043478260869565</v>
      </c>
    </row>
    <row r="53" spans="1:14" x14ac:dyDescent="0.35">
      <c r="A53" s="18" t="s">
        <v>175</v>
      </c>
      <c r="B53" s="18">
        <v>72</v>
      </c>
      <c r="C53" s="18">
        <v>19</v>
      </c>
      <c r="D53" s="18">
        <f t="shared" si="0"/>
        <v>3.4583333333333335</v>
      </c>
      <c r="E53" s="18">
        <v>249</v>
      </c>
      <c r="F53" s="18">
        <f t="shared" si="1"/>
        <v>0.2638888888888889</v>
      </c>
      <c r="G53" s="32">
        <v>2</v>
      </c>
      <c r="I53" s="18" t="s">
        <v>22</v>
      </c>
      <c r="J53" s="18">
        <v>185</v>
      </c>
      <c r="K53" s="18">
        <v>30</v>
      </c>
      <c r="L53" s="18">
        <f>M53/J53</f>
        <v>4.1243243243243244</v>
      </c>
      <c r="M53" s="18">
        <v>763</v>
      </c>
      <c r="N53" s="18">
        <f>K53/J53</f>
        <v>0.16216216216216217</v>
      </c>
    </row>
    <row r="54" spans="1:14" x14ac:dyDescent="0.35">
      <c r="A54" s="18" t="s">
        <v>61</v>
      </c>
      <c r="B54" s="18">
        <v>75</v>
      </c>
      <c r="C54" s="18">
        <v>16</v>
      </c>
      <c r="D54" s="18">
        <f t="shared" si="0"/>
        <v>4.4000000000000004</v>
      </c>
      <c r="E54" s="18">
        <v>330</v>
      </c>
      <c r="F54" s="18">
        <f>C54/B54</f>
        <v>0.21333333333333335</v>
      </c>
      <c r="G54" s="32">
        <v>3.2403703492039302</v>
      </c>
      <c r="I54" s="18" t="s">
        <v>33</v>
      </c>
      <c r="J54" s="18">
        <v>67</v>
      </c>
      <c r="K54" s="18">
        <v>4</v>
      </c>
      <c r="L54" s="18">
        <f t="shared" ref="L54:L55" si="36">M54/J54</f>
        <v>5.5373134328358207</v>
      </c>
      <c r="M54" s="18">
        <v>371</v>
      </c>
      <c r="N54" s="18">
        <f t="shared" ref="N54:N55" si="37">K54/J54</f>
        <v>5.9701492537313432E-2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129</v>
      </c>
      <c r="J55" s="18">
        <v>49</v>
      </c>
      <c r="K55" s="18">
        <v>8</v>
      </c>
      <c r="L55" s="18">
        <f t="shared" si="36"/>
        <v>4.5306122448979593</v>
      </c>
      <c r="M55" s="18">
        <v>222</v>
      </c>
      <c r="N55" s="18">
        <f t="shared" si="37"/>
        <v>0.16326530612244897</v>
      </c>
    </row>
    <row r="56" spans="1:14" x14ac:dyDescent="0.35">
      <c r="A56" s="18" t="s">
        <v>115</v>
      </c>
      <c r="B56" s="18">
        <v>40</v>
      </c>
      <c r="C56" s="18">
        <v>3</v>
      </c>
      <c r="D56" s="18">
        <f t="shared" si="0"/>
        <v>4.4749999999999996</v>
      </c>
      <c r="E56" s="18">
        <v>179</v>
      </c>
      <c r="F56" s="18">
        <f t="shared" si="1"/>
        <v>7.4999999999999997E-2</v>
      </c>
      <c r="G56" s="32">
        <v>1.71824938596844</v>
      </c>
      <c r="I56" s="18" t="s">
        <v>113</v>
      </c>
      <c r="J56" s="18">
        <v>40</v>
      </c>
      <c r="K56" s="18">
        <v>1</v>
      </c>
      <c r="L56" s="18">
        <f t="shared" ref="L56:L57" si="38">M56/J56</f>
        <v>4.2750000000000004</v>
      </c>
      <c r="M56" s="18">
        <v>171</v>
      </c>
      <c r="N56" s="18">
        <f t="shared" ref="N56:N57" si="39">K56/J56</f>
        <v>2.5000000000000001E-2</v>
      </c>
    </row>
    <row r="57" spans="1:14" x14ac:dyDescent="0.3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 t="s">
        <v>35</v>
      </c>
      <c r="J57" s="18">
        <v>196</v>
      </c>
      <c r="K57" s="18">
        <v>47</v>
      </c>
      <c r="L57" s="18">
        <f t="shared" si="38"/>
        <v>3.5408163265306123</v>
      </c>
      <c r="M57" s="18">
        <v>694</v>
      </c>
      <c r="N57" s="18">
        <f t="shared" si="39"/>
        <v>0.23979591836734693</v>
      </c>
    </row>
    <row r="58" spans="1:14" x14ac:dyDescent="0.35">
      <c r="A58" t="s">
        <v>116</v>
      </c>
      <c r="B58">
        <v>36</v>
      </c>
      <c r="C58">
        <v>5</v>
      </c>
      <c r="D58">
        <f t="shared" si="0"/>
        <v>3.8611111111111112</v>
      </c>
      <c r="E58">
        <v>139</v>
      </c>
      <c r="F58">
        <f t="shared" si="1"/>
        <v>0.1388888888888889</v>
      </c>
      <c r="G58" s="32">
        <v>1.7043362064926899</v>
      </c>
      <c r="I58" s="18" t="s">
        <v>26</v>
      </c>
      <c r="J58" s="18">
        <v>111</v>
      </c>
      <c r="K58" s="18">
        <v>6</v>
      </c>
      <c r="L58" s="18">
        <f t="shared" ref="L58:L61" si="40">M58/J58</f>
        <v>5.2252252252252251</v>
      </c>
      <c r="M58" s="18">
        <v>580</v>
      </c>
      <c r="N58" s="18">
        <f t="shared" ref="N58:N61" si="41">K58/J58</f>
        <v>5.4054054054054057E-2</v>
      </c>
    </row>
    <row r="59" spans="1:14" x14ac:dyDescent="0.3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  <c r="I59" s="18" t="s">
        <v>122</v>
      </c>
      <c r="J59" s="18">
        <v>178</v>
      </c>
      <c r="K59" s="18">
        <v>20</v>
      </c>
      <c r="L59" s="18">
        <f t="shared" si="40"/>
        <v>3.9719101123595504</v>
      </c>
      <c r="M59" s="18">
        <v>707</v>
      </c>
      <c r="N59" s="18">
        <f t="shared" si="41"/>
        <v>0.11235955056179775</v>
      </c>
    </row>
    <row r="60" spans="1:14" x14ac:dyDescent="0.3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  <c r="I60" s="18" t="s">
        <v>49</v>
      </c>
      <c r="J60" s="18">
        <v>151</v>
      </c>
      <c r="K60" s="18">
        <v>9</v>
      </c>
      <c r="L60" s="18">
        <f t="shared" si="40"/>
        <v>5.0596026490066226</v>
      </c>
      <c r="M60" s="18">
        <v>764</v>
      </c>
      <c r="N60" s="18">
        <f t="shared" si="41"/>
        <v>5.9602649006622516E-2</v>
      </c>
    </row>
    <row r="61" spans="1:14" x14ac:dyDescent="0.35">
      <c r="A61" s="18" t="s">
        <v>30</v>
      </c>
      <c r="B61" s="18">
        <v>65</v>
      </c>
      <c r="C61" s="18">
        <v>5</v>
      </c>
      <c r="D61" s="18">
        <f t="shared" si="0"/>
        <v>5.1230769230769226</v>
      </c>
      <c r="E61" s="18">
        <v>333</v>
      </c>
      <c r="F61" s="18">
        <f t="shared" si="1"/>
        <v>7.6923076923076927E-2</v>
      </c>
      <c r="G61" s="32">
        <v>2.5226248955475601</v>
      </c>
      <c r="I61" s="18" t="s">
        <v>3</v>
      </c>
      <c r="J61" s="18">
        <v>52</v>
      </c>
      <c r="K61" s="18">
        <v>7</v>
      </c>
      <c r="L61" s="18">
        <f t="shared" si="40"/>
        <v>4.3461538461538458</v>
      </c>
      <c r="M61" s="18">
        <v>226</v>
      </c>
      <c r="N61" s="18">
        <f t="shared" si="41"/>
        <v>0.13461538461538461</v>
      </c>
    </row>
    <row r="62" spans="1:14" x14ac:dyDescent="0.35">
      <c r="A62" s="18" t="s">
        <v>29</v>
      </c>
      <c r="B62" s="18">
        <v>141</v>
      </c>
      <c r="C62" s="18">
        <v>20</v>
      </c>
      <c r="D62" s="18">
        <f t="shared" si="0"/>
        <v>3.9716312056737588</v>
      </c>
      <c r="E62" s="18">
        <v>560</v>
      </c>
      <c r="F62" s="18">
        <f t="shared" si="1"/>
        <v>0.14184397163120568</v>
      </c>
      <c r="G62" s="32">
        <v>2.0875571218153701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</row>
    <row r="64" spans="1:14" x14ac:dyDescent="0.3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</row>
    <row r="65" spans="1:7" x14ac:dyDescent="0.3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</row>
    <row r="66" spans="1:7" x14ac:dyDescent="0.3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7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3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</row>
    <row r="69" spans="1:7" x14ac:dyDescent="0.3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7" x14ac:dyDescent="0.35">
      <c r="A70" s="18" t="s">
        <v>123</v>
      </c>
      <c r="B70" s="18">
        <v>46</v>
      </c>
      <c r="C70" s="18">
        <v>6</v>
      </c>
      <c r="D70" s="18">
        <f t="shared" si="0"/>
        <v>4.3913043478260869</v>
      </c>
      <c r="E70" s="18">
        <v>202</v>
      </c>
      <c r="F70" s="18">
        <f t="shared" si="1"/>
        <v>0.13043478260869565</v>
      </c>
      <c r="G70" s="32">
        <v>2</v>
      </c>
    </row>
    <row r="71" spans="1:7" x14ac:dyDescent="0.3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</row>
    <row r="72" spans="1:7" x14ac:dyDescent="0.3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</row>
    <row r="73" spans="1:7" x14ac:dyDescent="0.3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7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3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7" x14ac:dyDescent="0.35">
      <c r="A76" t="s">
        <v>82</v>
      </c>
      <c r="B76">
        <v>30</v>
      </c>
      <c r="C76">
        <v>1</v>
      </c>
      <c r="D76">
        <f t="shared" ref="D76:D91" si="42">E76/B76</f>
        <v>5.2</v>
      </c>
      <c r="E76">
        <v>156</v>
      </c>
      <c r="F76">
        <f>C76/B76</f>
        <v>3.3333333333333333E-2</v>
      </c>
      <c r="G76" s="32">
        <v>2</v>
      </c>
    </row>
    <row r="77" spans="1:7" x14ac:dyDescent="0.35">
      <c r="A77" s="18" t="s">
        <v>33</v>
      </c>
      <c r="B77" s="18">
        <v>67</v>
      </c>
      <c r="C77" s="18">
        <v>4</v>
      </c>
      <c r="D77" s="18">
        <f t="shared" si="42"/>
        <v>5.5373134328358207</v>
      </c>
      <c r="E77" s="18">
        <v>371</v>
      </c>
      <c r="F77" s="18">
        <f t="shared" ref="F77:F91" si="43">C77/B77</f>
        <v>5.9701492537313432E-2</v>
      </c>
      <c r="G77" s="32">
        <v>2.14993539954627</v>
      </c>
    </row>
    <row r="78" spans="1:7" x14ac:dyDescent="0.35">
      <c r="A78" t="s">
        <v>99</v>
      </c>
      <c r="B78">
        <v>30</v>
      </c>
      <c r="C78">
        <v>2</v>
      </c>
      <c r="D78">
        <f t="shared" si="42"/>
        <v>5.2</v>
      </c>
      <c r="E78">
        <v>156</v>
      </c>
      <c r="F78">
        <f t="shared" si="43"/>
        <v>6.6666666666666666E-2</v>
      </c>
      <c r="G78" s="32">
        <v>2.6687491868330699</v>
      </c>
    </row>
    <row r="79" spans="1:7" x14ac:dyDescent="0.35">
      <c r="A79" t="s">
        <v>7</v>
      </c>
      <c r="B79">
        <v>31</v>
      </c>
      <c r="C79">
        <v>7</v>
      </c>
      <c r="D79">
        <f t="shared" si="42"/>
        <v>3.870967741935484</v>
      </c>
      <c r="E79">
        <v>120</v>
      </c>
      <c r="F79">
        <f t="shared" si="43"/>
        <v>0.22580645161290322</v>
      </c>
      <c r="G79" s="32">
        <v>2.7888667551135802</v>
      </c>
    </row>
    <row r="80" spans="1:7" x14ac:dyDescent="0.35">
      <c r="A80" s="41" t="s">
        <v>138</v>
      </c>
      <c r="B80" s="41">
        <v>5</v>
      </c>
      <c r="C80" s="41">
        <v>1</v>
      </c>
      <c r="D80" s="41">
        <f t="shared" si="42"/>
        <v>4</v>
      </c>
      <c r="E80" s="41">
        <v>20</v>
      </c>
      <c r="F80" s="41">
        <f t="shared" si="43"/>
        <v>0.2</v>
      </c>
      <c r="G80" s="32">
        <v>2.2173557826083399</v>
      </c>
    </row>
    <row r="81" spans="1:7" x14ac:dyDescent="0.35">
      <c r="A81" s="41" t="s">
        <v>137</v>
      </c>
      <c r="B81" s="41">
        <v>11</v>
      </c>
      <c r="C81" s="41">
        <v>1</v>
      </c>
      <c r="D81" s="41">
        <f t="shared" si="42"/>
        <v>4.1818181818181817</v>
      </c>
      <c r="E81" s="41">
        <v>46</v>
      </c>
      <c r="F81" s="41">
        <f t="shared" si="43"/>
        <v>9.0909090909090912E-2</v>
      </c>
      <c r="G81" s="32">
        <v>1.8618986725025199</v>
      </c>
    </row>
    <row r="82" spans="1:7" x14ac:dyDescent="0.35">
      <c r="A82" s="18" t="s">
        <v>129</v>
      </c>
      <c r="B82" s="18">
        <v>49</v>
      </c>
      <c r="C82" s="18">
        <v>8</v>
      </c>
      <c r="D82" s="18">
        <f t="shared" si="42"/>
        <v>4.5306122448979593</v>
      </c>
      <c r="E82" s="18">
        <v>222</v>
      </c>
      <c r="F82" s="18">
        <f t="shared" si="43"/>
        <v>0.16326530612244897</v>
      </c>
      <c r="G82" s="32">
        <v>2.1315096371664199</v>
      </c>
    </row>
    <row r="83" spans="1:7" x14ac:dyDescent="0.35">
      <c r="A83" s="18" t="s">
        <v>113</v>
      </c>
      <c r="B83" s="18">
        <v>40</v>
      </c>
      <c r="C83" s="18">
        <v>1</v>
      </c>
      <c r="D83" s="18">
        <f t="shared" si="42"/>
        <v>4.2750000000000004</v>
      </c>
      <c r="E83" s="18">
        <v>171</v>
      </c>
      <c r="F83" s="18">
        <f t="shared" si="43"/>
        <v>2.5000000000000001E-2</v>
      </c>
      <c r="G83" s="32">
        <v>2.4899799195977401</v>
      </c>
    </row>
    <row r="84" spans="1:7" x14ac:dyDescent="0.35">
      <c r="A84" s="18" t="s">
        <v>35</v>
      </c>
      <c r="B84" s="18">
        <v>196</v>
      </c>
      <c r="C84" s="18">
        <v>47</v>
      </c>
      <c r="D84" s="18">
        <f t="shared" si="42"/>
        <v>3.5408163265306123</v>
      </c>
      <c r="E84" s="18">
        <v>694</v>
      </c>
      <c r="F84" s="18">
        <f t="shared" si="43"/>
        <v>0.23979591836734693</v>
      </c>
      <c r="G84" s="32">
        <v>2.6214406763289899</v>
      </c>
    </row>
    <row r="85" spans="1:7" x14ac:dyDescent="0.35">
      <c r="A85" s="18" t="s">
        <v>26</v>
      </c>
      <c r="B85" s="18">
        <v>111</v>
      </c>
      <c r="C85" s="18">
        <v>6</v>
      </c>
      <c r="D85" s="18">
        <f t="shared" si="42"/>
        <v>5.2252252252252251</v>
      </c>
      <c r="E85" s="18">
        <v>580</v>
      </c>
      <c r="F85" s="18">
        <f t="shared" si="43"/>
        <v>5.4054054054054057E-2</v>
      </c>
      <c r="G85" s="32">
        <v>2.4494897427831699</v>
      </c>
    </row>
    <row r="86" spans="1:7" x14ac:dyDescent="0.35">
      <c r="A86" s="18" t="s">
        <v>122</v>
      </c>
      <c r="B86" s="18">
        <v>178</v>
      </c>
      <c r="C86" s="18">
        <v>20</v>
      </c>
      <c r="D86" s="18">
        <f t="shared" si="42"/>
        <v>3.9719101123595504</v>
      </c>
      <c r="E86" s="18">
        <v>707</v>
      </c>
      <c r="F86" s="18">
        <f t="shared" si="43"/>
        <v>0.11235955056179775</v>
      </c>
      <c r="G86" s="32">
        <v>1.6329931618554501</v>
      </c>
    </row>
    <row r="87" spans="1:7" x14ac:dyDescent="0.35">
      <c r="A87" s="18" t="s">
        <v>49</v>
      </c>
      <c r="B87" s="18">
        <v>151</v>
      </c>
      <c r="C87" s="18">
        <v>9</v>
      </c>
      <c r="D87" s="18">
        <f t="shared" si="42"/>
        <v>5.0596026490066226</v>
      </c>
      <c r="E87" s="18">
        <v>764</v>
      </c>
      <c r="F87" s="18">
        <f t="shared" si="43"/>
        <v>5.9602649006622516E-2</v>
      </c>
      <c r="G87" s="32">
        <v>2.79455252402308</v>
      </c>
    </row>
    <row r="88" spans="1:7" x14ac:dyDescent="0.35">
      <c r="A88" s="18" t="s">
        <v>3</v>
      </c>
      <c r="B88" s="18">
        <v>52</v>
      </c>
      <c r="C88" s="18">
        <v>7</v>
      </c>
      <c r="D88" s="18">
        <f t="shared" si="42"/>
        <v>4.3461538461538458</v>
      </c>
      <c r="E88" s="18">
        <v>226</v>
      </c>
      <c r="F88" s="18">
        <f t="shared" si="43"/>
        <v>0.13461538461538461</v>
      </c>
      <c r="G88" s="32">
        <v>2.3731557327466102</v>
      </c>
    </row>
    <row r="89" spans="1:7" x14ac:dyDescent="0.35">
      <c r="A89" t="s">
        <v>230</v>
      </c>
      <c r="B89">
        <v>30</v>
      </c>
      <c r="C89">
        <v>4</v>
      </c>
      <c r="D89">
        <f t="shared" si="42"/>
        <v>4.9666666666666668</v>
      </c>
      <c r="E89">
        <v>149</v>
      </c>
      <c r="F89">
        <f t="shared" si="43"/>
        <v>0.13333333333333333</v>
      </c>
      <c r="G89" s="32">
        <v>2.7748873851023199</v>
      </c>
    </row>
    <row r="90" spans="1:7" x14ac:dyDescent="0.35">
      <c r="A90" t="s">
        <v>2</v>
      </c>
      <c r="B90">
        <v>35</v>
      </c>
      <c r="C90">
        <v>9</v>
      </c>
      <c r="D90">
        <f t="shared" si="42"/>
        <v>3.7142857142857144</v>
      </c>
      <c r="E90">
        <v>130</v>
      </c>
      <c r="F90">
        <f t="shared" si="43"/>
        <v>0.25714285714285712</v>
      </c>
      <c r="G90" s="32">
        <v>2.5876449587894599</v>
      </c>
    </row>
    <row r="91" spans="1:7" x14ac:dyDescent="0.35">
      <c r="A91" t="s">
        <v>124</v>
      </c>
      <c r="B91">
        <v>33</v>
      </c>
      <c r="C91">
        <v>1</v>
      </c>
      <c r="D91">
        <f t="shared" si="42"/>
        <v>5.0606060606060606</v>
      </c>
      <c r="E91">
        <v>167</v>
      </c>
      <c r="F91">
        <f t="shared" si="43"/>
        <v>3.0303030303030304E-2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9"/>
  <sheetViews>
    <sheetView workbookViewId="0">
      <selection activeCell="AG6" sqref="AG6"/>
    </sheetView>
  </sheetViews>
  <sheetFormatPr defaultRowHeight="14.5" x14ac:dyDescent="0.35"/>
  <cols>
    <col min="8" max="8" width="17.7265625" bestFit="1" customWidth="1"/>
    <col min="9" max="9" width="7.1796875" bestFit="1" customWidth="1"/>
    <col min="10" max="10" width="8.7265625" bestFit="1" customWidth="1"/>
    <col min="11" max="12" width="12" bestFit="1" customWidth="1"/>
    <col min="13" max="13" width="5" bestFit="1" customWidth="1"/>
  </cols>
  <sheetData>
    <row r="1" spans="1:13" x14ac:dyDescent="0.3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3" x14ac:dyDescent="0.3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</row>
    <row r="3" spans="1:13" x14ac:dyDescent="0.3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</row>
    <row r="4" spans="1:13" x14ac:dyDescent="0.3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</row>
    <row r="5" spans="1:13" x14ac:dyDescent="0.3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</row>
    <row r="6" spans="1:13" x14ac:dyDescent="0.3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</row>
    <row r="7" spans="1:13" x14ac:dyDescent="0.3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</row>
    <row r="8" spans="1:13" x14ac:dyDescent="0.3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</row>
    <row r="9" spans="1:13" x14ac:dyDescent="0.3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</row>
    <row r="10" spans="1:13" x14ac:dyDescent="0.3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</row>
    <row r="11" spans="1:13" x14ac:dyDescent="0.3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</row>
    <row r="12" spans="1:13" x14ac:dyDescent="0.3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</row>
    <row r="13" spans="1:13" x14ac:dyDescent="0.3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</row>
    <row r="14" spans="1:13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</row>
    <row r="15" spans="1:13" x14ac:dyDescent="0.3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</row>
    <row r="16" spans="1:13" x14ac:dyDescent="0.3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</row>
    <row r="17" spans="1:13" x14ac:dyDescent="0.3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</row>
    <row r="18" spans="1:13" x14ac:dyDescent="0.3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</row>
    <row r="19" spans="1:13" x14ac:dyDescent="0.3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</row>
    <row r="20" spans="1:13" x14ac:dyDescent="0.3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</row>
    <row r="21" spans="1:13" x14ac:dyDescent="0.3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</row>
    <row r="22" spans="1:13" x14ac:dyDescent="0.3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</row>
    <row r="23" spans="1:13" x14ac:dyDescent="0.3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</row>
    <row r="24" spans="1:13" x14ac:dyDescent="0.3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</row>
    <row r="25" spans="1:13" x14ac:dyDescent="0.3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</row>
    <row r="26" spans="1:13" x14ac:dyDescent="0.3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</row>
    <row r="27" spans="1:13" x14ac:dyDescent="0.3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</row>
    <row r="28" spans="1:13" x14ac:dyDescent="0.3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</row>
    <row r="29" spans="1:13" x14ac:dyDescent="0.3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</row>
    <row r="30" spans="1:13" x14ac:dyDescent="0.3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</row>
    <row r="31" spans="1:13" x14ac:dyDescent="0.3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</row>
    <row r="32" spans="1:13" x14ac:dyDescent="0.3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</row>
    <row r="33" spans="1:13" x14ac:dyDescent="0.3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</row>
    <row r="34" spans="1:13" x14ac:dyDescent="0.3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</row>
    <row r="35" spans="1:13" x14ac:dyDescent="0.3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</row>
    <row r="36" spans="1:13" x14ac:dyDescent="0.3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</row>
    <row r="37" spans="1:13" x14ac:dyDescent="0.3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</row>
    <row r="38" spans="1:13" x14ac:dyDescent="0.3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</row>
    <row r="39" spans="1:13" x14ac:dyDescent="0.3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</row>
    <row r="40" spans="1:13" x14ac:dyDescent="0.3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</row>
    <row r="41" spans="1:13" x14ac:dyDescent="0.3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</row>
    <row r="42" spans="1:13" x14ac:dyDescent="0.3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</row>
    <row r="43" spans="1:13" x14ac:dyDescent="0.3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</row>
    <row r="44" spans="1:13" x14ac:dyDescent="0.3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</row>
    <row r="45" spans="1:13" x14ac:dyDescent="0.3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</row>
    <row r="46" spans="1:13" x14ac:dyDescent="0.3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</row>
    <row r="47" spans="1:13" x14ac:dyDescent="0.3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</row>
    <row r="48" spans="1:13" x14ac:dyDescent="0.3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</row>
    <row r="49" spans="8:13" x14ac:dyDescent="0.3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</row>
  </sheetData>
  <sortState ref="H2:M49">
    <sortCondition ref="K2:K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2026-08-02T21:45:21Z</dcterms:modified>
</cp:coreProperties>
</file>