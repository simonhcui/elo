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89417FDD-06C1-454C-9667-68C5BB3C7F6C}" xr6:coauthVersionLast="47" xr6:coauthVersionMax="47" xr10:uidLastSave="{00000000-0000-0000-0000-000000000000}"/>
  <bookViews>
    <workbookView xWindow="38280" yWindow="5280" windowWidth="29040" windowHeight="15720" firstSheet="2" activeTab="9" xr2:uid="{00000000-000D-0000-FFFF-FFFF00000000}"/>
  </bookViews>
  <sheets>
    <sheet name="Sheet1" sheetId="1" state="hidden" r:id="rId1"/>
    <sheet name="Sheet2" sheetId="2" state="hidden" r:id="rId2"/>
    <sheet name="Sheet3" sheetId="3" r:id="rId3"/>
    <sheet name="Sheet4" sheetId="4" r:id="rId4"/>
    <sheet name="Prep 2.0" sheetId="6" state="hidden" r:id="rId5"/>
    <sheet name="2.0" sheetId="5" state="hidden" r:id="rId6"/>
    <sheet name="Prep 3.0" sheetId="7" state="hidden" r:id="rId7"/>
    <sheet name="3.0" sheetId="8" state="hidden" r:id="rId8"/>
    <sheet name="Prep 4.0" sheetId="10" state="hidden" r:id="rId9"/>
    <sheet name="Prep 5.0" sheetId="13" r:id="rId10"/>
    <sheet name="4.0" sheetId="11" state="hidden" r:id="rId11"/>
    <sheet name="5.0" sheetId="14" r:id="rId12"/>
    <sheet name="WE25" sheetId="12" r:id="rId13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" i="13" l="1"/>
  <c r="L33" i="13"/>
  <c r="N64" i="13"/>
  <c r="L64" i="13"/>
  <c r="N28" i="13"/>
  <c r="L28" i="13"/>
  <c r="N14" i="13"/>
  <c r="L14" i="13"/>
  <c r="N57" i="13"/>
  <c r="L57" i="13"/>
  <c r="N66" i="13"/>
  <c r="L66" i="13"/>
  <c r="N54" i="13"/>
  <c r="L54" i="13"/>
  <c r="L60" i="13"/>
  <c r="N60" i="13"/>
  <c r="N37" i="13"/>
  <c r="L37" i="13"/>
  <c r="N26" i="13"/>
  <c r="L26" i="13"/>
  <c r="N34" i="13"/>
  <c r="L34" i="13"/>
  <c r="N40" i="13"/>
  <c r="L40" i="13"/>
  <c r="N65" i="13"/>
  <c r="L65" i="13"/>
  <c r="N45" i="13"/>
  <c r="L45" i="13"/>
  <c r="N46" i="13"/>
  <c r="L46" i="13"/>
  <c r="N15" i="13"/>
  <c r="L15" i="13"/>
  <c r="N55" i="13"/>
  <c r="L55" i="13"/>
  <c r="N53" i="13"/>
  <c r="L53" i="13"/>
  <c r="L56" i="13"/>
  <c r="N56" i="13"/>
  <c r="L58" i="13"/>
  <c r="N58" i="13"/>
  <c r="L59" i="13"/>
  <c r="N59" i="13"/>
  <c r="L61" i="13"/>
  <c r="N61" i="13"/>
  <c r="L62" i="13"/>
  <c r="N62" i="13"/>
  <c r="L63" i="13"/>
  <c r="N63" i="13"/>
  <c r="L67" i="13"/>
  <c r="N67" i="13"/>
  <c r="L68" i="13"/>
  <c r="N68" i="13"/>
  <c r="N52" i="13"/>
  <c r="L52" i="13"/>
  <c r="N23" i="13"/>
  <c r="L23" i="13"/>
  <c r="N17" i="13"/>
  <c r="L17" i="13"/>
  <c r="N47" i="13"/>
  <c r="L47" i="13"/>
  <c r="N49" i="13"/>
  <c r="L49" i="13"/>
  <c r="N36" i="13"/>
  <c r="L36" i="13"/>
  <c r="N32" i="13"/>
  <c r="L32" i="13"/>
  <c r="N13" i="13"/>
  <c r="L13" i="13"/>
  <c r="N22" i="13"/>
  <c r="L22" i="13"/>
  <c r="N18" i="13" l="1"/>
  <c r="L18" i="13"/>
  <c r="N16" i="13"/>
  <c r="L16" i="13"/>
  <c r="N48" i="13"/>
  <c r="L48" i="13"/>
  <c r="N39" i="13"/>
  <c r="L39" i="13"/>
  <c r="N43" i="13"/>
  <c r="L43" i="13"/>
  <c r="N41" i="13"/>
  <c r="L41" i="13"/>
  <c r="N42" i="13" l="1"/>
  <c r="L42" i="13"/>
  <c r="D39" i="14"/>
  <c r="E39" i="14"/>
  <c r="E40" i="14"/>
  <c r="D40" i="14"/>
  <c r="E38" i="14"/>
  <c r="D38" i="14"/>
  <c r="E37" i="14"/>
  <c r="D37" i="14"/>
  <c r="E36" i="14"/>
  <c r="D36" i="14"/>
  <c r="E35" i="14"/>
  <c r="D35" i="14"/>
  <c r="E34" i="14"/>
  <c r="D34" i="14"/>
  <c r="E33" i="14"/>
  <c r="D33" i="14"/>
  <c r="E32" i="14"/>
  <c r="D32" i="14"/>
  <c r="E31" i="14"/>
  <c r="D31" i="14"/>
  <c r="E30" i="14"/>
  <c r="D30" i="14"/>
  <c r="E29" i="14"/>
  <c r="D29" i="14"/>
  <c r="E28" i="14"/>
  <c r="D28" i="14"/>
  <c r="E27" i="14"/>
  <c r="D27" i="14"/>
  <c r="E26" i="14"/>
  <c r="D26" i="14"/>
  <c r="E25" i="14"/>
  <c r="D25" i="14"/>
  <c r="E24" i="14"/>
  <c r="D24" i="14"/>
  <c r="E23" i="14"/>
  <c r="D23" i="14"/>
  <c r="E22" i="14"/>
  <c r="D22" i="14"/>
  <c r="E21" i="14"/>
  <c r="D21" i="14"/>
  <c r="E20" i="14"/>
  <c r="D20" i="14"/>
  <c r="E19" i="14"/>
  <c r="D19" i="14"/>
  <c r="E18" i="14"/>
  <c r="D18" i="14"/>
  <c r="E17" i="14"/>
  <c r="D17" i="14"/>
  <c r="E16" i="14"/>
  <c r="D16" i="14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E8" i="14"/>
  <c r="D8" i="14"/>
  <c r="E7" i="14"/>
  <c r="D7" i="14"/>
  <c r="E6" i="14"/>
  <c r="D6" i="14"/>
  <c r="E5" i="14"/>
  <c r="D5" i="14"/>
  <c r="E4" i="14"/>
  <c r="D4" i="14"/>
  <c r="E3" i="14"/>
  <c r="D3" i="14"/>
  <c r="E2" i="14"/>
  <c r="D2" i="14"/>
  <c r="M14" i="14"/>
  <c r="L14" i="14"/>
  <c r="M39" i="14"/>
  <c r="L39" i="14"/>
  <c r="M13" i="14"/>
  <c r="L13" i="14"/>
  <c r="M42" i="14"/>
  <c r="L42" i="14"/>
  <c r="M4" i="14"/>
  <c r="L4" i="14"/>
  <c r="M26" i="14"/>
  <c r="L26" i="14"/>
  <c r="M47" i="14"/>
  <c r="L47" i="14"/>
  <c r="M12" i="14"/>
  <c r="L12" i="14"/>
  <c r="M22" i="14"/>
  <c r="L22" i="14"/>
  <c r="M29" i="14"/>
  <c r="L29" i="14"/>
  <c r="M6" i="14"/>
  <c r="L6" i="14"/>
  <c r="M10" i="14"/>
  <c r="L10" i="14"/>
  <c r="M38" i="14"/>
  <c r="L38" i="14"/>
  <c r="M24" i="14"/>
  <c r="L24" i="14"/>
  <c r="M20" i="14"/>
  <c r="L20" i="14"/>
  <c r="M35" i="14"/>
  <c r="L35" i="14"/>
  <c r="M2" i="14"/>
  <c r="L2" i="14"/>
  <c r="M45" i="14"/>
  <c r="L45" i="14"/>
  <c r="M50" i="14"/>
  <c r="L50" i="14"/>
  <c r="M28" i="14"/>
  <c r="L28" i="14"/>
  <c r="M15" i="14"/>
  <c r="L15" i="14"/>
  <c r="M36" i="14"/>
  <c r="L36" i="14"/>
  <c r="M18" i="14"/>
  <c r="L18" i="14"/>
  <c r="M7" i="14"/>
  <c r="L7" i="14"/>
  <c r="M8" i="14"/>
  <c r="L8" i="14"/>
  <c r="M33" i="14"/>
  <c r="L33" i="14"/>
  <c r="M9" i="14"/>
  <c r="L9" i="14"/>
  <c r="M32" i="14"/>
  <c r="L32" i="14"/>
  <c r="M27" i="14"/>
  <c r="L27" i="14"/>
  <c r="M46" i="14"/>
  <c r="L46" i="14"/>
  <c r="M21" i="14"/>
  <c r="L21" i="14"/>
  <c r="M16" i="14"/>
  <c r="L16" i="14"/>
  <c r="M25" i="14"/>
  <c r="L25" i="14"/>
  <c r="M41" i="14"/>
  <c r="L41" i="14"/>
  <c r="M19" i="14"/>
  <c r="L19" i="14"/>
  <c r="M34" i="14"/>
  <c r="L34" i="14"/>
  <c r="M5" i="14"/>
  <c r="L5" i="14"/>
  <c r="M48" i="14"/>
  <c r="L48" i="14"/>
  <c r="M37" i="14"/>
  <c r="L37" i="14"/>
  <c r="M40" i="14"/>
  <c r="L40" i="14"/>
  <c r="M44" i="14"/>
  <c r="L44" i="14"/>
  <c r="M49" i="14"/>
  <c r="L49" i="14"/>
  <c r="M31" i="14"/>
  <c r="L31" i="14"/>
  <c r="M23" i="14"/>
  <c r="L23" i="14"/>
  <c r="M3" i="14"/>
  <c r="L3" i="14"/>
  <c r="M30" i="14"/>
  <c r="L30" i="14"/>
  <c r="M43" i="14"/>
  <c r="L43" i="14"/>
  <c r="M17" i="14"/>
  <c r="L17" i="14"/>
  <c r="M11" i="14"/>
  <c r="L11" i="14"/>
  <c r="N38" i="13"/>
  <c r="L38" i="13"/>
  <c r="N30" i="13"/>
  <c r="L30" i="13"/>
  <c r="N29" i="13"/>
  <c r="L29" i="13"/>
  <c r="N51" i="13" l="1"/>
  <c r="L51" i="13"/>
  <c r="N27" i="13" l="1"/>
  <c r="L27" i="13"/>
  <c r="N25" i="13" l="1"/>
  <c r="L25" i="13"/>
  <c r="N24" i="13"/>
  <c r="L24" i="13"/>
  <c r="F30" i="13" l="1"/>
  <c r="D30" i="13"/>
  <c r="N20" i="13" l="1"/>
  <c r="L20" i="13"/>
  <c r="F91" i="13"/>
  <c r="D91" i="13"/>
  <c r="F90" i="13"/>
  <c r="D90" i="13"/>
  <c r="F89" i="13"/>
  <c r="D89" i="13"/>
  <c r="F88" i="13"/>
  <c r="D88" i="13"/>
  <c r="F87" i="13"/>
  <c r="D87" i="13"/>
  <c r="F86" i="13"/>
  <c r="D86" i="13"/>
  <c r="F85" i="13"/>
  <c r="D85" i="13"/>
  <c r="F84" i="13"/>
  <c r="D84" i="13"/>
  <c r="F83" i="13"/>
  <c r="D83" i="13"/>
  <c r="F82" i="13"/>
  <c r="D82" i="13"/>
  <c r="F81" i="13"/>
  <c r="D81" i="13"/>
  <c r="F80" i="13"/>
  <c r="D80" i="13"/>
  <c r="F79" i="13"/>
  <c r="D79" i="13"/>
  <c r="F78" i="13"/>
  <c r="D78" i="13"/>
  <c r="F77" i="13"/>
  <c r="D77" i="13"/>
  <c r="F76" i="13"/>
  <c r="D76" i="13"/>
  <c r="F75" i="13"/>
  <c r="D75" i="13"/>
  <c r="F74" i="13"/>
  <c r="D74" i="13"/>
  <c r="F73" i="13"/>
  <c r="D73" i="13"/>
  <c r="F72" i="13"/>
  <c r="D72" i="13"/>
  <c r="F71" i="13"/>
  <c r="D71" i="13"/>
  <c r="F70" i="13"/>
  <c r="D70" i="13"/>
  <c r="F69" i="13"/>
  <c r="D69" i="13"/>
  <c r="F68" i="13"/>
  <c r="D68" i="13"/>
  <c r="F67" i="13"/>
  <c r="D67" i="13"/>
  <c r="F66" i="13"/>
  <c r="D66" i="13"/>
  <c r="F65" i="13"/>
  <c r="D65" i="13"/>
  <c r="F64" i="13"/>
  <c r="D64" i="13"/>
  <c r="F63" i="13"/>
  <c r="D63" i="13"/>
  <c r="F62" i="13"/>
  <c r="D62" i="13"/>
  <c r="F61" i="13"/>
  <c r="D61" i="13"/>
  <c r="F60" i="13"/>
  <c r="D60" i="13"/>
  <c r="F59" i="13"/>
  <c r="D59" i="13"/>
  <c r="F58" i="13"/>
  <c r="D58" i="13"/>
  <c r="F57" i="13"/>
  <c r="D57" i="13"/>
  <c r="F56" i="13"/>
  <c r="D56" i="13"/>
  <c r="F55" i="13"/>
  <c r="D55" i="13"/>
  <c r="N50" i="13"/>
  <c r="L50" i="13"/>
  <c r="F54" i="13"/>
  <c r="D54" i="13"/>
  <c r="F53" i="13"/>
  <c r="D53" i="13"/>
  <c r="F52" i="13"/>
  <c r="D52" i="13"/>
  <c r="F51" i="13"/>
  <c r="D51" i="13"/>
  <c r="F50" i="13"/>
  <c r="D50" i="13"/>
  <c r="F49" i="13"/>
  <c r="D49" i="13"/>
  <c r="N44" i="13"/>
  <c r="L44" i="13"/>
  <c r="F48" i="13"/>
  <c r="D48" i="13"/>
  <c r="F47" i="13"/>
  <c r="D47" i="13"/>
  <c r="F46" i="13"/>
  <c r="D46" i="13"/>
  <c r="F45" i="13"/>
  <c r="D45" i="13"/>
  <c r="F44" i="13"/>
  <c r="D44" i="13"/>
  <c r="F43" i="13"/>
  <c r="D43" i="13"/>
  <c r="F42" i="13"/>
  <c r="D42" i="13"/>
  <c r="F41" i="13"/>
  <c r="D41" i="13"/>
  <c r="F40" i="13"/>
  <c r="D40" i="13"/>
  <c r="N35" i="13"/>
  <c r="L35" i="13"/>
  <c r="F39" i="13"/>
  <c r="D39" i="13"/>
  <c r="F38" i="13"/>
  <c r="D38" i="13"/>
  <c r="F37" i="13"/>
  <c r="D37" i="13"/>
  <c r="F36" i="13"/>
  <c r="D36" i="13"/>
  <c r="N31" i="13"/>
  <c r="L31" i="13"/>
  <c r="F35" i="13"/>
  <c r="D35" i="13"/>
  <c r="F34" i="13"/>
  <c r="D34" i="13"/>
  <c r="F33" i="13"/>
  <c r="D33" i="13"/>
  <c r="F32" i="13"/>
  <c r="D32" i="13"/>
  <c r="F31" i="13"/>
  <c r="D31" i="13"/>
  <c r="F29" i="13"/>
  <c r="D29" i="13"/>
  <c r="F28" i="13"/>
  <c r="D28" i="13"/>
  <c r="F27" i="13"/>
  <c r="D27" i="13"/>
  <c r="F26" i="13"/>
  <c r="D26" i="13"/>
  <c r="F25" i="13"/>
  <c r="D25" i="13"/>
  <c r="F24" i="13"/>
  <c r="D24" i="13"/>
  <c r="F23" i="13"/>
  <c r="D23" i="13"/>
  <c r="N21" i="13"/>
  <c r="L21" i="13"/>
  <c r="F22" i="13"/>
  <c r="D22" i="13"/>
  <c r="F21" i="13"/>
  <c r="D21" i="13"/>
  <c r="N19" i="13"/>
  <c r="L19" i="13"/>
  <c r="F20" i="13"/>
  <c r="D20" i="13"/>
  <c r="F19" i="13"/>
  <c r="D19" i="13"/>
  <c r="F18" i="13"/>
  <c r="D18" i="13"/>
  <c r="F17" i="13"/>
  <c r="D17" i="13"/>
  <c r="F16" i="13"/>
  <c r="D16" i="13"/>
  <c r="F15" i="13"/>
  <c r="D15" i="13"/>
  <c r="F14" i="13"/>
  <c r="D14" i="13"/>
  <c r="F13" i="13"/>
  <c r="D13" i="13"/>
  <c r="M26" i="11" l="1"/>
  <c r="M70" i="11"/>
  <c r="L70" i="11"/>
  <c r="M18" i="11"/>
  <c r="L18" i="11"/>
  <c r="M42" i="11"/>
  <c r="L42" i="11"/>
  <c r="M21" i="11"/>
  <c r="L21" i="11"/>
  <c r="M59" i="11"/>
  <c r="L59" i="11"/>
  <c r="M25" i="11"/>
  <c r="L25" i="11"/>
  <c r="M57" i="11"/>
  <c r="L57" i="11"/>
  <c r="M4" i="11"/>
  <c r="L4" i="11"/>
  <c r="M28" i="11"/>
  <c r="L28" i="11"/>
  <c r="M32" i="11"/>
  <c r="L32" i="11"/>
  <c r="M16" i="11"/>
  <c r="L16" i="11"/>
  <c r="M55" i="11"/>
  <c r="L55" i="11"/>
  <c r="M61" i="11"/>
  <c r="L61" i="11"/>
  <c r="M60" i="11"/>
  <c r="L60" i="11"/>
  <c r="M71" i="11"/>
  <c r="L71" i="11"/>
  <c r="M17" i="11"/>
  <c r="L17" i="11"/>
  <c r="M64" i="11"/>
  <c r="L64" i="11"/>
  <c r="M46" i="11"/>
  <c r="L46" i="11"/>
  <c r="M38" i="11"/>
  <c r="L38" i="11"/>
  <c r="M41" i="11"/>
  <c r="L41" i="11"/>
  <c r="M63" i="11"/>
  <c r="L63" i="11"/>
  <c r="M40" i="11"/>
  <c r="L40" i="11"/>
  <c r="M15" i="11"/>
  <c r="L15" i="11"/>
  <c r="M19" i="11"/>
  <c r="L19" i="11"/>
  <c r="M7" i="11"/>
  <c r="L7" i="11"/>
  <c r="M10" i="11"/>
  <c r="L10" i="11"/>
  <c r="M58" i="11"/>
  <c r="L58" i="11"/>
  <c r="M8" i="11"/>
  <c r="L8" i="11"/>
  <c r="M39" i="11"/>
  <c r="L39" i="11"/>
  <c r="M13" i="11"/>
  <c r="L13" i="11"/>
  <c r="M36" i="11"/>
  <c r="L36" i="11"/>
  <c r="M30" i="11"/>
  <c r="L30" i="11"/>
  <c r="M43" i="11"/>
  <c r="L43" i="11"/>
  <c r="M2" i="11"/>
  <c r="L2" i="11"/>
  <c r="M69" i="11"/>
  <c r="L69" i="11"/>
  <c r="M73" i="11"/>
  <c r="L73" i="11"/>
  <c r="M37" i="11"/>
  <c r="L37" i="11"/>
  <c r="M20" i="11"/>
  <c r="L20" i="11"/>
  <c r="M47" i="11"/>
  <c r="L47" i="11"/>
  <c r="M51" i="11"/>
  <c r="L51" i="11"/>
  <c r="M29" i="11"/>
  <c r="L29" i="11"/>
  <c r="M12" i="11"/>
  <c r="L12" i="11"/>
  <c r="M11" i="11"/>
  <c r="L11" i="11"/>
  <c r="M52" i="11"/>
  <c r="L52" i="11"/>
  <c r="M23" i="11"/>
  <c r="L23" i="11"/>
  <c r="M9" i="11"/>
  <c r="L9" i="11"/>
  <c r="M45" i="11"/>
  <c r="L45" i="11"/>
  <c r="M35" i="11"/>
  <c r="L35" i="11"/>
  <c r="M72" i="11"/>
  <c r="L72" i="11"/>
  <c r="M27" i="11"/>
  <c r="L27" i="11"/>
  <c r="M31" i="11"/>
  <c r="L31" i="11"/>
  <c r="M22" i="11"/>
  <c r="L22" i="11"/>
  <c r="M34" i="11"/>
  <c r="L34" i="11"/>
  <c r="M56" i="11"/>
  <c r="L56" i="11"/>
  <c r="M24" i="11"/>
  <c r="L24" i="11"/>
  <c r="M48" i="11"/>
  <c r="L48" i="11"/>
  <c r="M6" i="11"/>
  <c r="L6" i="11"/>
  <c r="M74" i="11"/>
  <c r="L74" i="11"/>
  <c r="M53" i="11"/>
  <c r="L53" i="11"/>
  <c r="M62" i="11"/>
  <c r="L62" i="11"/>
  <c r="M5" i="11"/>
  <c r="L5" i="11"/>
  <c r="M54" i="11"/>
  <c r="L54" i="11"/>
  <c r="M65" i="11"/>
  <c r="L65" i="11"/>
  <c r="M67" i="11"/>
  <c r="L67" i="11"/>
  <c r="M68" i="11"/>
  <c r="L68" i="11"/>
  <c r="M44" i="11"/>
  <c r="L44" i="11"/>
  <c r="M50" i="11"/>
  <c r="L50" i="11"/>
  <c r="M33" i="11"/>
  <c r="L33" i="11"/>
  <c r="M3" i="11"/>
  <c r="L3" i="11"/>
  <c r="M49" i="11"/>
  <c r="L49" i="11"/>
  <c r="M66" i="11"/>
  <c r="L66" i="11"/>
  <c r="L26" i="11"/>
  <c r="M14" i="11"/>
  <c r="L14" i="11"/>
  <c r="N28" i="10"/>
  <c r="L28" i="10"/>
  <c r="N51" i="10"/>
  <c r="L51" i="10"/>
  <c r="N55" i="10"/>
  <c r="L55" i="10"/>
  <c r="N53" i="10"/>
  <c r="L53" i="10"/>
  <c r="N60" i="10"/>
  <c r="L60" i="10"/>
  <c r="N44" i="10"/>
  <c r="L44" i="10"/>
  <c r="N85" i="10"/>
  <c r="L85" i="10"/>
  <c r="N79" i="10"/>
  <c r="L79" i="10"/>
  <c r="N81" i="10"/>
  <c r="L81" i="10"/>
  <c r="F54" i="10"/>
  <c r="N83" i="10"/>
  <c r="L83" i="10"/>
  <c r="N32" i="10"/>
  <c r="L32" i="10"/>
  <c r="N14" i="10"/>
  <c r="L14" i="10"/>
  <c r="N59" i="10"/>
  <c r="L59" i="10"/>
  <c r="N45" i="10"/>
  <c r="L45" i="10"/>
  <c r="T798" i="4"/>
  <c r="U798" i="4"/>
  <c r="T799" i="4"/>
  <c r="U799" i="4"/>
  <c r="T800" i="4"/>
  <c r="U800" i="4"/>
  <c r="T801" i="4"/>
  <c r="U801" i="4"/>
  <c r="T802" i="4"/>
  <c r="U802" i="4"/>
  <c r="T803" i="4"/>
  <c r="U803" i="4"/>
  <c r="T804" i="4"/>
  <c r="U804" i="4"/>
  <c r="T805" i="4"/>
  <c r="U805" i="4"/>
  <c r="T806" i="4"/>
  <c r="U806" i="4"/>
  <c r="T807" i="4"/>
  <c r="U807" i="4"/>
  <c r="T808" i="4"/>
  <c r="U808" i="4"/>
  <c r="T809" i="4"/>
  <c r="U809" i="4"/>
  <c r="T810" i="4"/>
  <c r="U810" i="4"/>
  <c r="T811" i="4"/>
  <c r="U811" i="4"/>
  <c r="T812" i="4"/>
  <c r="U812" i="4"/>
  <c r="T813" i="4"/>
  <c r="U813" i="4"/>
  <c r="T814" i="4"/>
  <c r="U814" i="4"/>
  <c r="T815" i="4"/>
  <c r="U815" i="4"/>
  <c r="T816" i="4"/>
  <c r="U816" i="4"/>
  <c r="T817" i="4"/>
  <c r="U817" i="4"/>
  <c r="T818" i="4"/>
  <c r="U818" i="4"/>
  <c r="T819" i="4"/>
  <c r="U819" i="4"/>
  <c r="T820" i="4"/>
  <c r="U820" i="4"/>
  <c r="T821" i="4"/>
  <c r="U821" i="4"/>
  <c r="T822" i="4"/>
  <c r="U822" i="4"/>
  <c r="T823" i="4"/>
  <c r="U823" i="4"/>
  <c r="T824" i="4"/>
  <c r="U824" i="4"/>
  <c r="T825" i="4"/>
  <c r="U825" i="4"/>
  <c r="T826" i="4"/>
  <c r="U826" i="4"/>
  <c r="T827" i="4"/>
  <c r="U827" i="4"/>
  <c r="T828" i="4"/>
  <c r="U828" i="4"/>
  <c r="T829" i="4"/>
  <c r="U829" i="4"/>
  <c r="T830" i="4"/>
  <c r="U830" i="4"/>
  <c r="T831" i="4"/>
  <c r="U831" i="4"/>
  <c r="T832" i="4"/>
  <c r="U832" i="4"/>
  <c r="T833" i="4"/>
  <c r="U833" i="4"/>
  <c r="T834" i="4"/>
  <c r="U834" i="4"/>
  <c r="T835" i="4"/>
  <c r="U835" i="4"/>
  <c r="T836" i="4"/>
  <c r="U836" i="4"/>
  <c r="T837" i="4"/>
  <c r="U837" i="4"/>
  <c r="T838" i="4"/>
  <c r="U838" i="4"/>
  <c r="T839" i="4"/>
  <c r="U839" i="4"/>
  <c r="T840" i="4"/>
  <c r="U840" i="4"/>
  <c r="T841" i="4"/>
  <c r="U841" i="4"/>
  <c r="T842" i="4"/>
  <c r="U842" i="4"/>
  <c r="T843" i="4"/>
  <c r="U843" i="4"/>
  <c r="T844" i="4"/>
  <c r="U844" i="4"/>
  <c r="T845" i="4"/>
  <c r="U845" i="4"/>
  <c r="T846" i="4"/>
  <c r="U846" i="4"/>
  <c r="T847" i="4"/>
  <c r="U847" i="4"/>
  <c r="T848" i="4"/>
  <c r="U848" i="4"/>
  <c r="T849" i="4"/>
  <c r="U849" i="4"/>
  <c r="T850" i="4"/>
  <c r="U850" i="4"/>
  <c r="T851" i="4"/>
  <c r="U851" i="4"/>
  <c r="T852" i="4"/>
  <c r="U852" i="4"/>
  <c r="T853" i="4"/>
  <c r="U853" i="4"/>
  <c r="T854" i="4"/>
  <c r="U854" i="4"/>
  <c r="T855" i="4"/>
  <c r="U855" i="4"/>
  <c r="T856" i="4"/>
  <c r="U856" i="4"/>
  <c r="T857" i="4"/>
  <c r="U857" i="4"/>
  <c r="D798" i="4"/>
  <c r="E798" i="4"/>
  <c r="I798" i="4"/>
  <c r="M798" i="4"/>
  <c r="O798" i="4"/>
  <c r="D799" i="4"/>
  <c r="E799" i="4"/>
  <c r="I799" i="4"/>
  <c r="M799" i="4"/>
  <c r="O799" i="4"/>
  <c r="D800" i="4"/>
  <c r="E800" i="4"/>
  <c r="I800" i="4"/>
  <c r="M800" i="4"/>
  <c r="O800" i="4"/>
  <c r="D801" i="4"/>
  <c r="E801" i="4"/>
  <c r="I801" i="4"/>
  <c r="M801" i="4"/>
  <c r="O801" i="4"/>
  <c r="D802" i="4"/>
  <c r="E802" i="4"/>
  <c r="I802" i="4"/>
  <c r="M802" i="4"/>
  <c r="O802" i="4"/>
  <c r="D803" i="4"/>
  <c r="E803" i="4"/>
  <c r="I803" i="4"/>
  <c r="M803" i="4"/>
  <c r="O803" i="4"/>
  <c r="D804" i="4"/>
  <c r="E804" i="4"/>
  <c r="I804" i="4"/>
  <c r="M804" i="4"/>
  <c r="O804" i="4"/>
  <c r="D805" i="4"/>
  <c r="E805" i="4"/>
  <c r="I805" i="4"/>
  <c r="M805" i="4"/>
  <c r="O805" i="4"/>
  <c r="D806" i="4"/>
  <c r="E806" i="4"/>
  <c r="I806" i="4"/>
  <c r="M806" i="4"/>
  <c r="O806" i="4"/>
  <c r="D807" i="4"/>
  <c r="E807" i="4"/>
  <c r="I807" i="4"/>
  <c r="M807" i="4"/>
  <c r="O807" i="4"/>
  <c r="D808" i="4"/>
  <c r="E808" i="4"/>
  <c r="I808" i="4"/>
  <c r="M808" i="4"/>
  <c r="O808" i="4"/>
  <c r="D809" i="4"/>
  <c r="E809" i="4"/>
  <c r="I809" i="4"/>
  <c r="M809" i="4"/>
  <c r="O809" i="4"/>
  <c r="D810" i="4"/>
  <c r="E810" i="4"/>
  <c r="I810" i="4"/>
  <c r="M810" i="4"/>
  <c r="O810" i="4"/>
  <c r="D811" i="4"/>
  <c r="E811" i="4"/>
  <c r="I811" i="4"/>
  <c r="M811" i="4"/>
  <c r="O811" i="4"/>
  <c r="D812" i="4"/>
  <c r="E812" i="4"/>
  <c r="I812" i="4"/>
  <c r="M812" i="4"/>
  <c r="O812" i="4"/>
  <c r="D813" i="4"/>
  <c r="E813" i="4"/>
  <c r="I813" i="4"/>
  <c r="M813" i="4"/>
  <c r="O813" i="4"/>
  <c r="D814" i="4"/>
  <c r="E814" i="4"/>
  <c r="I814" i="4"/>
  <c r="M814" i="4"/>
  <c r="O814" i="4"/>
  <c r="D815" i="4"/>
  <c r="E815" i="4"/>
  <c r="I815" i="4"/>
  <c r="M815" i="4"/>
  <c r="O815" i="4"/>
  <c r="D816" i="4"/>
  <c r="E816" i="4"/>
  <c r="I816" i="4"/>
  <c r="M816" i="4"/>
  <c r="O816" i="4"/>
  <c r="D817" i="4"/>
  <c r="E817" i="4"/>
  <c r="I817" i="4"/>
  <c r="M817" i="4"/>
  <c r="O817" i="4"/>
  <c r="D818" i="4"/>
  <c r="E818" i="4"/>
  <c r="I818" i="4"/>
  <c r="M818" i="4"/>
  <c r="O818" i="4"/>
  <c r="D819" i="4"/>
  <c r="E819" i="4"/>
  <c r="I819" i="4"/>
  <c r="M819" i="4"/>
  <c r="O819" i="4"/>
  <c r="D820" i="4"/>
  <c r="E820" i="4"/>
  <c r="I820" i="4"/>
  <c r="M820" i="4"/>
  <c r="O820" i="4"/>
  <c r="D821" i="4"/>
  <c r="E821" i="4"/>
  <c r="I821" i="4"/>
  <c r="M821" i="4"/>
  <c r="O821" i="4"/>
  <c r="D822" i="4"/>
  <c r="E822" i="4"/>
  <c r="I822" i="4"/>
  <c r="M822" i="4"/>
  <c r="O822" i="4"/>
  <c r="D823" i="4"/>
  <c r="E823" i="4"/>
  <c r="I823" i="4"/>
  <c r="M823" i="4"/>
  <c r="O823" i="4"/>
  <c r="D824" i="4"/>
  <c r="E824" i="4"/>
  <c r="I824" i="4"/>
  <c r="M824" i="4"/>
  <c r="O824" i="4"/>
  <c r="D825" i="4"/>
  <c r="E825" i="4"/>
  <c r="I825" i="4"/>
  <c r="M825" i="4"/>
  <c r="O825" i="4"/>
  <c r="D826" i="4"/>
  <c r="E826" i="4"/>
  <c r="I826" i="4"/>
  <c r="M826" i="4"/>
  <c r="O826" i="4"/>
  <c r="D827" i="4"/>
  <c r="E827" i="4"/>
  <c r="I827" i="4"/>
  <c r="M827" i="4"/>
  <c r="O827" i="4"/>
  <c r="D828" i="4"/>
  <c r="E828" i="4"/>
  <c r="I828" i="4"/>
  <c r="M828" i="4"/>
  <c r="O828" i="4"/>
  <c r="D829" i="4"/>
  <c r="E829" i="4"/>
  <c r="I829" i="4"/>
  <c r="M829" i="4"/>
  <c r="O829" i="4"/>
  <c r="D830" i="4"/>
  <c r="E830" i="4"/>
  <c r="I830" i="4"/>
  <c r="M830" i="4"/>
  <c r="O830" i="4"/>
  <c r="D831" i="4"/>
  <c r="E831" i="4"/>
  <c r="I831" i="4"/>
  <c r="M831" i="4"/>
  <c r="O831" i="4"/>
  <c r="D832" i="4"/>
  <c r="E832" i="4"/>
  <c r="I832" i="4"/>
  <c r="M832" i="4"/>
  <c r="O832" i="4"/>
  <c r="D833" i="4"/>
  <c r="E833" i="4"/>
  <c r="I833" i="4"/>
  <c r="M833" i="4"/>
  <c r="O833" i="4"/>
  <c r="D834" i="4"/>
  <c r="E834" i="4"/>
  <c r="I834" i="4"/>
  <c r="M834" i="4"/>
  <c r="O834" i="4"/>
  <c r="D835" i="4"/>
  <c r="E835" i="4"/>
  <c r="I835" i="4"/>
  <c r="M835" i="4"/>
  <c r="O835" i="4"/>
  <c r="D836" i="4"/>
  <c r="E836" i="4"/>
  <c r="I836" i="4"/>
  <c r="M836" i="4"/>
  <c r="O836" i="4"/>
  <c r="D837" i="4"/>
  <c r="E837" i="4"/>
  <c r="I837" i="4"/>
  <c r="M837" i="4"/>
  <c r="O837" i="4"/>
  <c r="D838" i="4"/>
  <c r="E838" i="4"/>
  <c r="I838" i="4"/>
  <c r="M838" i="4"/>
  <c r="O838" i="4"/>
  <c r="D839" i="4"/>
  <c r="E839" i="4"/>
  <c r="I839" i="4"/>
  <c r="M839" i="4"/>
  <c r="O839" i="4"/>
  <c r="D840" i="4"/>
  <c r="E840" i="4"/>
  <c r="I840" i="4"/>
  <c r="M840" i="4"/>
  <c r="O840" i="4"/>
  <c r="D841" i="4"/>
  <c r="E841" i="4"/>
  <c r="I841" i="4"/>
  <c r="M841" i="4"/>
  <c r="O841" i="4"/>
  <c r="D842" i="4"/>
  <c r="E842" i="4"/>
  <c r="I842" i="4"/>
  <c r="M842" i="4"/>
  <c r="O842" i="4"/>
  <c r="D843" i="4"/>
  <c r="E843" i="4"/>
  <c r="I843" i="4"/>
  <c r="M843" i="4"/>
  <c r="O843" i="4"/>
  <c r="D844" i="4"/>
  <c r="E844" i="4"/>
  <c r="I844" i="4"/>
  <c r="M844" i="4"/>
  <c r="O844" i="4"/>
  <c r="D845" i="4"/>
  <c r="E845" i="4"/>
  <c r="I845" i="4"/>
  <c r="M845" i="4"/>
  <c r="O845" i="4"/>
  <c r="D846" i="4"/>
  <c r="E846" i="4"/>
  <c r="I846" i="4"/>
  <c r="M846" i="4"/>
  <c r="O846" i="4"/>
  <c r="D847" i="4"/>
  <c r="E847" i="4"/>
  <c r="I847" i="4"/>
  <c r="M847" i="4"/>
  <c r="O847" i="4"/>
  <c r="D848" i="4"/>
  <c r="E848" i="4"/>
  <c r="I848" i="4"/>
  <c r="M848" i="4"/>
  <c r="O848" i="4"/>
  <c r="D849" i="4"/>
  <c r="E849" i="4"/>
  <c r="I849" i="4"/>
  <c r="M849" i="4"/>
  <c r="O849" i="4"/>
  <c r="D850" i="4"/>
  <c r="E850" i="4"/>
  <c r="I850" i="4"/>
  <c r="M850" i="4"/>
  <c r="O850" i="4"/>
  <c r="D851" i="4"/>
  <c r="E851" i="4"/>
  <c r="I851" i="4"/>
  <c r="M851" i="4"/>
  <c r="O851" i="4"/>
  <c r="D852" i="4"/>
  <c r="E852" i="4"/>
  <c r="I852" i="4"/>
  <c r="M852" i="4"/>
  <c r="O852" i="4"/>
  <c r="D853" i="4"/>
  <c r="E853" i="4"/>
  <c r="I853" i="4"/>
  <c r="M853" i="4"/>
  <c r="O853" i="4"/>
  <c r="D854" i="4"/>
  <c r="E854" i="4"/>
  <c r="I854" i="4"/>
  <c r="M854" i="4"/>
  <c r="O854" i="4"/>
  <c r="D855" i="4"/>
  <c r="E855" i="4"/>
  <c r="I855" i="4"/>
  <c r="M855" i="4"/>
  <c r="O855" i="4"/>
  <c r="D856" i="4"/>
  <c r="E856" i="4"/>
  <c r="I856" i="4"/>
  <c r="M856" i="4"/>
  <c r="O856" i="4"/>
  <c r="D857" i="4"/>
  <c r="E857" i="4"/>
  <c r="I857" i="4"/>
  <c r="M857" i="4"/>
  <c r="O857" i="4"/>
  <c r="D858" i="4"/>
  <c r="E858" i="4"/>
  <c r="I858" i="4"/>
  <c r="M858" i="4"/>
  <c r="O858" i="4"/>
  <c r="D859" i="4"/>
  <c r="E859" i="4"/>
  <c r="I859" i="4"/>
  <c r="M859" i="4"/>
  <c r="O859" i="4"/>
  <c r="D860" i="4"/>
  <c r="E860" i="4"/>
  <c r="I860" i="4"/>
  <c r="M860" i="4"/>
  <c r="O860" i="4"/>
  <c r="D861" i="4"/>
  <c r="E861" i="4"/>
  <c r="I861" i="4"/>
  <c r="M861" i="4"/>
  <c r="O861" i="4"/>
  <c r="D862" i="4"/>
  <c r="E862" i="4"/>
  <c r="I862" i="4"/>
  <c r="M862" i="4"/>
  <c r="O862" i="4"/>
  <c r="N15" i="10"/>
  <c r="L15" i="10"/>
  <c r="N30" i="10"/>
  <c r="L30" i="10"/>
  <c r="N80" i="10"/>
  <c r="L80" i="10"/>
  <c r="N63" i="10"/>
  <c r="L63" i="10"/>
  <c r="N49" i="10"/>
  <c r="L49" i="10"/>
  <c r="N29" i="10"/>
  <c r="L29" i="10"/>
  <c r="N27" i="10"/>
  <c r="L27" i="10"/>
  <c r="N17" i="10"/>
  <c r="L17" i="10"/>
  <c r="N61" i="10"/>
  <c r="L61" i="10"/>
  <c r="N52" i="10"/>
  <c r="L52" i="10"/>
  <c r="N70" i="10"/>
  <c r="L70" i="10"/>
  <c r="N38" i="10"/>
  <c r="L38" i="10"/>
  <c r="N47" i="10"/>
  <c r="L47" i="10"/>
  <c r="N78" i="10"/>
  <c r="L78" i="10"/>
  <c r="N24" i="10"/>
  <c r="L24" i="10"/>
  <c r="N82" i="10" l="1"/>
  <c r="L82" i="10"/>
  <c r="N37" i="10"/>
  <c r="L37" i="10"/>
  <c r="N67" i="10"/>
  <c r="L67" i="10"/>
  <c r="N36" i="10"/>
  <c r="L36" i="10"/>
  <c r="N58" i="10"/>
  <c r="L58" i="10"/>
  <c r="N43" i="10"/>
  <c r="L43" i="10"/>
  <c r="N13" i="10"/>
  <c r="L13" i="10"/>
  <c r="N72" i="10" l="1"/>
  <c r="L72" i="10"/>
  <c r="N16" i="10"/>
  <c r="L16" i="10"/>
  <c r="N23" i="10"/>
  <c r="L23" i="10"/>
  <c r="N33" i="10"/>
  <c r="L33" i="10"/>
  <c r="L26" i="10"/>
  <c r="N26" i="10"/>
  <c r="N77" i="10"/>
  <c r="L77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L54" i="10" l="1"/>
  <c r="N54" i="10"/>
  <c r="N66" i="10"/>
  <c r="L66" i="10"/>
  <c r="N57" i="10"/>
  <c r="L57" i="10"/>
  <c r="N48" i="10"/>
  <c r="L48" i="10"/>
  <c r="N46" i="10"/>
  <c r="L4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E16" i="11"/>
  <c r="D16" i="11"/>
  <c r="E15" i="11"/>
  <c r="D15" i="11"/>
  <c r="E59" i="11"/>
  <c r="D59" i="11"/>
  <c r="E22" i="11"/>
  <c r="D22" i="11"/>
  <c r="E62" i="11"/>
  <c r="D62" i="11"/>
  <c r="E4" i="11"/>
  <c r="D4" i="11"/>
  <c r="E30" i="11"/>
  <c r="D30" i="11"/>
  <c r="E14" i="11"/>
  <c r="D14" i="11"/>
  <c r="E48" i="11"/>
  <c r="D48" i="11"/>
  <c r="E50" i="11"/>
  <c r="D50" i="11"/>
  <c r="E63" i="11"/>
  <c r="D63" i="11"/>
  <c r="E20" i="11"/>
  <c r="D20" i="11"/>
  <c r="E55" i="11"/>
  <c r="D55" i="11"/>
  <c r="E41" i="11"/>
  <c r="D41" i="11"/>
  <c r="E36" i="11"/>
  <c r="D36" i="11"/>
  <c r="E35" i="11"/>
  <c r="D35" i="11"/>
  <c r="E54" i="11"/>
  <c r="D54" i="11"/>
  <c r="E37" i="11"/>
  <c r="D37" i="11"/>
  <c r="E26" i="11"/>
  <c r="D26" i="11"/>
  <c r="E18" i="11"/>
  <c r="D18" i="11"/>
  <c r="E7" i="11"/>
  <c r="D7" i="11"/>
  <c r="E8" i="11"/>
  <c r="D8" i="11"/>
  <c r="E53" i="11"/>
  <c r="D53" i="11"/>
  <c r="E17" i="11"/>
  <c r="D17" i="11"/>
  <c r="E13" i="11"/>
  <c r="D13" i="11"/>
  <c r="E33" i="11"/>
  <c r="D33" i="11"/>
  <c r="E27" i="11"/>
  <c r="D27" i="11"/>
  <c r="E39" i="11"/>
  <c r="D39" i="11"/>
  <c r="E3" i="11"/>
  <c r="D3" i="11"/>
  <c r="E56" i="11"/>
  <c r="D56" i="11"/>
  <c r="E64" i="11"/>
  <c r="D64" i="11"/>
  <c r="E34" i="11"/>
  <c r="D34" i="11"/>
  <c r="E19" i="11"/>
  <c r="D19" i="11"/>
  <c r="E49" i="11"/>
  <c r="D49" i="11"/>
  <c r="E28" i="11"/>
  <c r="D28" i="11"/>
  <c r="E10" i="11"/>
  <c r="D10" i="11"/>
  <c r="E11" i="11"/>
  <c r="D11" i="11"/>
  <c r="E44" i="11"/>
  <c r="D44" i="11"/>
  <c r="E23" i="11"/>
  <c r="D23" i="11"/>
  <c r="E9" i="11"/>
  <c r="D9" i="11"/>
  <c r="E40" i="11"/>
  <c r="D40" i="11"/>
  <c r="E32" i="11"/>
  <c r="D32" i="11"/>
  <c r="E65" i="11"/>
  <c r="D65" i="11"/>
  <c r="E29" i="11"/>
  <c r="D29" i="11"/>
  <c r="E21" i="11"/>
  <c r="D21" i="11"/>
  <c r="E45" i="11"/>
  <c r="D45" i="11"/>
  <c r="E25" i="11"/>
  <c r="D25" i="11"/>
  <c r="E42" i="11"/>
  <c r="D42" i="11"/>
  <c r="E5" i="11"/>
  <c r="D5" i="11"/>
  <c r="E46" i="11"/>
  <c r="D46" i="11"/>
  <c r="E51" i="11"/>
  <c r="D51" i="11"/>
  <c r="E6" i="11"/>
  <c r="D6" i="11"/>
  <c r="E57" i="11"/>
  <c r="D57" i="11"/>
  <c r="E60" i="11"/>
  <c r="D60" i="11"/>
  <c r="E58" i="11"/>
  <c r="D58" i="11"/>
  <c r="E61" i="11"/>
  <c r="D61" i="11"/>
  <c r="E38" i="11"/>
  <c r="D38" i="11"/>
  <c r="E43" i="11"/>
  <c r="D43" i="11"/>
  <c r="E31" i="11"/>
  <c r="D31" i="11"/>
  <c r="E2" i="11"/>
  <c r="D2" i="11"/>
  <c r="E47" i="11"/>
  <c r="D47" i="11"/>
  <c r="E52" i="11"/>
  <c r="D52" i="11"/>
  <c r="E24" i="11"/>
  <c r="D24" i="11"/>
  <c r="E12" i="11"/>
  <c r="D12" i="11"/>
  <c r="N69" i="10"/>
  <c r="L69" i="10"/>
  <c r="N62" i="10"/>
  <c r="L62" i="10"/>
  <c r="N65" i="10"/>
  <c r="L65" i="10"/>
  <c r="N73" i="10"/>
  <c r="L73" i="10"/>
  <c r="N40" i="10"/>
  <c r="L40" i="10"/>
  <c r="N75" i="10"/>
  <c r="L75" i="10"/>
  <c r="N68" i="10"/>
  <c r="L68" i="10"/>
  <c r="N42" i="10"/>
  <c r="L42" i="10"/>
  <c r="N25" i="10"/>
  <c r="L25" i="10"/>
  <c r="N50" i="10"/>
  <c r="L50" i="10"/>
  <c r="N34" i="10"/>
  <c r="L34" i="10"/>
  <c r="N74" i="10"/>
  <c r="L74" i="10"/>
  <c r="N35" i="10"/>
  <c r="L35" i="10"/>
  <c r="N41" i="10"/>
  <c r="L41" i="10"/>
  <c r="N71" i="10"/>
  <c r="L71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6" i="10"/>
  <c r="L56" i="10"/>
  <c r="N31" i="10"/>
  <c r="L31" i="10"/>
  <c r="N18" i="10"/>
  <c r="L18" i="10"/>
  <c r="N39" i="10"/>
  <c r="L39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4" i="10"/>
  <c r="L64" i="10"/>
  <c r="N76" i="10"/>
  <c r="L76" i="10"/>
  <c r="N84" i="10"/>
  <c r="L84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<sst xmlns="http://schemas.openxmlformats.org/spreadsheetml/2006/main" count="16466" uniqueCount="593">
  <si>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</si>
  <si>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</si>
  <si>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</si>
  <si>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</si>
  <si>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</si>
  <si>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</si>
  <si>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</si>
  <si>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</si>
  <si>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</si>
  <si>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</si>
  <si>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</si>
  <si>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</si>
  <si>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</si>
  <si>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</si>
  <si>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</si>
  <si>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</si>
  <si>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</si>
  <si>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</si>
  <si>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</si>
  <si>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</si>
  <si>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</si>
  <si>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</si>
  <si>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</si>
  <si>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</si>
  <si>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</si>
  <si>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</si>
  <si>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</si>
  <si>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</si>
  <si>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</si>
  <si>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</si>
  <si>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</si>
  <si>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</si>
  <si>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</si>
  <si>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</si>
  <si>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</si>
  <si>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</si>
  <si>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</si>
  <si>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</si>
  <si>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</si>
  <si>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</si>
  <si>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</si>
  <si>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</si>
  <si>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</si>
  <si>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</si>
  <si>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</si>
  <si>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</si>
  <si>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</si>
  <si>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</si>
  <si>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</si>
  <si>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</si>
  <si>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</si>
  <si>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</si>
  <si>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</si>
  <si>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</si>
  <si>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</si>
  <si>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</si>
  <si>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</si>
  <si>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</si>
  <si>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</si>
  <si>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</si>
  <si>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</si>
  <si>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</si>
  <si>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</si>
  <si>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</si>
  <si>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</si>
  <si>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</si>
  <si>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</si>
  <si>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</si>
  <si>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</si>
  <si>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</si>
  <si>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</si>
  <si>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</si>
  <si>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</si>
  <si>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</si>
  <si>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</si>
  <si>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</si>
  <si>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</si>
  <si>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</si>
  <si>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</si>
  <si>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</si>
  <si>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</si>
  <si>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</si>
  <si>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</si>
  <si>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</si>
  <si>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</si>
  <si>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</si>
  <si>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</si>
  <si>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</si>
  <si>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</si>
  <si>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</si>
  <si>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</si>
  <si>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</si>
  <si>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</si>
  <si>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</si>
  <si>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</si>
  <si>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</si>
  <si>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</si>
  <si>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</si>
  <si>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</si>
  <si>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</si>
  <si>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</si>
  <si>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</si>
  <si>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</si>
  <si>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</si>
  <si>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</si>
  <si>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</si>
  <si>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</si>
  <si>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</si>
  <si>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</si>
  <si>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</si>
  <si>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</si>
  <si>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</si>
  <si>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</si>
  <si>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</si>
  <si>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</si>
  <si>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</si>
  <si>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</si>
  <si>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</si>
  <si>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</si>
  <si>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</si>
  <si>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</si>
  <si>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</si>
  <si>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</si>
  <si>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</si>
  <si>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</si>
  <si>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</si>
  <si>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</si>
  <si>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</si>
  <si>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</si>
  <si>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</si>
  <si>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</si>
  <si>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</si>
  <si>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</si>
  <si>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</si>
  <si>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</si>
  <si>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</si>
  <si>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</si>
  <si>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</si>
  <si>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</si>
  <si>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</si>
  <si>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</si>
  <si>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</si>
  <si>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</si>
  <si>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</si>
  <si>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</si>
  <si>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</si>
  <si>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</si>
  <si>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</si>
  <si>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</si>
  <si>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</si>
  <si>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</si>
  <si>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</si>
  <si>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</si>
  <si>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</si>
  <si>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</si>
  <si>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</si>
  <si>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</si>
  <si>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</si>
  <si>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</si>
  <si>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</si>
  <si>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</si>
  <si>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</si>
  <si>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</si>
  <si>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</si>
  <si>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</si>
  <si>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</si>
  <si>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</si>
  <si>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</si>
  <si>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</si>
  <si>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</si>
  <si>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</si>
  <si>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</si>
  <si>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</si>
  <si>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</si>
  <si>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</si>
  <si>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</si>
  <si>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</si>
  <si>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</si>
  <si>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</si>
  <si>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</si>
  <si>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</si>
  <si>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</si>
  <si>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</si>
  <si>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</si>
  <si>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</si>
  <si>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</si>
  <si>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</si>
  <si>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</si>
  <si>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</si>
  <si>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</si>
  <si>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</si>
  <si>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</si>
  <si>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</si>
  <si>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</si>
  <si>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</si>
  <si>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</si>
  <si>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</si>
  <si>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</si>
  <si>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</si>
  <si>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</si>
  <si>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</si>
  <si>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</si>
  <si>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</si>
  <si>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</si>
  <si>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</si>
  <si>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</si>
  <si>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</si>
  <si>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</si>
  <si>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</si>
  <si>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</si>
  <si>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</si>
  <si>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</si>
  <si>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</si>
  <si>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</si>
  <si>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</si>
  <si>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</si>
  <si>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</si>
  <si>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</si>
  <si>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</si>
  <si>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</si>
  <si>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</si>
  <si>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</si>
  <si>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</si>
  <si>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</si>
  <si>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</si>
  <si>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</si>
  <si>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</si>
  <si>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</si>
  <si>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</si>
  <si>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</si>
  <si>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</si>
  <si>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</si>
  <si>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</si>
  <si>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</si>
  <si>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</si>
  <si>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</si>
  <si>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</si>
  <si>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</si>
  <si>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</si>
  <si>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</si>
  <si>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</si>
  <si>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</si>
  <si>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</si>
  <si>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</si>
  <si>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</si>
  <si>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</si>
  <si>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</si>
  <si>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</si>
  <si>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</si>
  <si>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</si>
  <si>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</si>
  <si>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</si>
  <si>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</si>
  <si>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</si>
  <si>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</si>
  <si>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</si>
  <si>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</si>
  <si>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</si>
  <si>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</si>
  <si>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</si>
  <si>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</si>
  <si>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</si>
  <si>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</si>
  <si>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</si>
  <si>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</si>
  <si>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</si>
  <si>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</si>
  <si>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</si>
  <si>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</si>
  <si>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</si>
  <si>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</si>
  <si>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</si>
  <si>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</si>
  <si>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</si>
  <si>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</si>
  <si>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</si>
  <si>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</si>
  <si>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</si>
  <si>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</si>
  <si>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</si>
  <si>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</si>
  <si>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</si>
  <si>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</si>
  <si>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</si>
  <si>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</si>
  <si>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</si>
  <si>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</si>
  <si>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</si>
  <si>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</si>
  <si>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</si>
  <si>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</si>
  <si>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</si>
  <si>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</si>
  <si>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</si>
  <si>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</si>
  <si>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</si>
  <si>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</si>
  <si>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</si>
  <si>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</si>
  <si>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</si>
  <si>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</si>
  <si>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</si>
  <si>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</si>
  <si>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</si>
  <si>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</si>
  <si>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</si>
  <si>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</si>
  <si>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</si>
  <si>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</si>
  <si>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</si>
  <si>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</si>
  <si>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</si>
  <si>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</si>
  <si>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</si>
  <si>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</si>
  <si>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</si>
  <si>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</si>
  <si>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</si>
  <si>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</si>
  <si>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</si>
  <si>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</si>
  <si>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</si>
  <si>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</si>
  <si>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</si>
  <si>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</si>
  <si>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</si>
  <si>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</si>
  <si>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</si>
  <si>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</si>
  <si>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</si>
  <si>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</si>
  <si>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</si>
  <si>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</si>
  <si>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</si>
  <si>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</si>
  <si>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</si>
  <si>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</si>
  <si>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</si>
  <si>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</si>
  <si>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</si>
  <si>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</si>
  <si>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</si>
  <si>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</si>
  <si>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</si>
  <si>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</si>
  <si>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</si>
  <si>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</si>
  <si>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</si>
  <si>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</si>
  <si>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</si>
  <si>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</si>
  <si>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</si>
  <si>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</si>
  <si>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</si>
  <si>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</si>
  <si>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</si>
  <si>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</si>
  <si>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</si>
  <si>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</si>
  <si>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</si>
  <si>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</si>
  <si>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</si>
  <si>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</si>
  <si>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</si>
  <si>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</si>
  <si>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</si>
  <si>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</si>
  <si>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</si>
  <si>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</si>
  <si>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</si>
  <si>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</si>
  <si>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</si>
  <si>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</si>
  <si>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</si>
  <si>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</si>
  <si>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</si>
  <si>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</si>
  <si>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</si>
  <si>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</si>
  <si>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</si>
  <si>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</si>
  <si>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</si>
  <si>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</si>
  <si>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</si>
  <si>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</si>
  <si>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</si>
  <si>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</si>
  <si>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</si>
  <si>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</si>
  <si>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</si>
  <si>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</si>
  <si>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</si>
  <si>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</si>
  <si>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</si>
  <si>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</si>
  <si>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</si>
  <si>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</si>
  <si>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</si>
  <si>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</si>
  <si>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</si>
  <si>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</si>
  <si>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</si>
  <si>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</si>
  <si>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</si>
  <si>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</si>
  <si>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</si>
  <si>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</si>
  <si>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</si>
  <si>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</si>
  <si>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</si>
  <si>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</si>
  <si>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</si>
  <si>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</si>
  <si>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</si>
  <si>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</si>
  <si>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</si>
  <si>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</si>
  <si>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</si>
  <si>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</si>
  <si>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</si>
  <si>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</si>
  <si>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</si>
  <si>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</si>
  <si>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</si>
  <si>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</si>
  <si>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</si>
  <si>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</si>
  <si>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</si>
  <si>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</si>
  <si>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</si>
  <si>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</si>
  <si>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</si>
  <si>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</si>
  <si>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</si>
  <si>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</si>
  <si>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</si>
  <si>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</si>
  <si>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</si>
  <si>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</si>
  <si>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</si>
  <si>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</si>
  <si>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</si>
  <si>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</si>
  <si>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</si>
  <si>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</si>
  <si>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</si>
  <si>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</si>
  <si>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</si>
  <si>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</si>
  <si>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</si>
  <si>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</si>
  <si>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</si>
  <si>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</si>
  <si>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</si>
  <si>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</si>
  <si>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</si>
  <si>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</si>
  <si>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</si>
  <si>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</si>
  <si>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</si>
  <si>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</si>
  <si>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</si>
  <si>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</si>
  <si>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</si>
  <si>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</si>
  <si>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</si>
  <si>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</si>
  <si>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</si>
  <si>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</si>
  <si>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</si>
  <si>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</si>
  <si>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</si>
  <si>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</si>
  <si>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</si>
  <si>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</si>
  <si>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</si>
  <si>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</si>
  <si>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</si>
  <si>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</si>
  <si>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</si>
  <si>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</si>
  <si>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</si>
  <si>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</si>
  <si>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</si>
  <si>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</si>
  <si>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</si>
  <si>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</si>
  <si>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</si>
  <si>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</si>
  <si>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</si>
  <si>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</si>
  <si>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</si>
  <si>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</si>
  <si>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</si>
  <si>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</si>
  <si>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</si>
  <si>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</si>
  <si>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</si>
  <si>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</si>
  <si>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</si>
  <si>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</si>
  <si>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</si>
  <si>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</si>
  <si>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</si>
  <si>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</si>
  <si>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</si>
  <si>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</si>
  <si>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</si>
  <si>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</si>
  <si>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</si>
  <si>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</si>
  <si>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</si>
  <si>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</si>
  <si>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</si>
  <si>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</si>
  <si>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</si>
  <si>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</si>
  <si>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</si>
  <si>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</si>
  <si>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</si>
  <si>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</si>
  <si>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</si>
  <si>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</si>
  <si>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</si>
  <si>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</si>
  <si>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</si>
  <si>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</si>
  <si>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</si>
  <si>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</si>
  <si>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</si>
  <si>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</si>
  <si>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</si>
  <si>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</si>
  <si>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</si>
  <si>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</si>
  <si>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</si>
  <si>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</si>
  <si>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</si>
  <si>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</si>
  <si>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</si>
  <si>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</si>
  <si>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</si>
  <si>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</si>
  <si>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</si>
  <si>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</si>
  <si>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</si>
  <si>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</si>
  <si>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</si>
  <si>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</si>
  <si>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</si>
  <si>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</si>
  <si>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</si>
  <si>
    <t>Gunner</t>
  </si>
  <si>
    <t>Swordfighter</t>
  </si>
  <si>
    <t>Mii Sword Figher</t>
  </si>
  <si>
    <t>▼6 💀</t>
  </si>
  <si>
    <t>New Lorwyn Leaks</t>
  </si>
  <si>
    <t>New foreboding future ONE Draft</t>
  </si>
  <si>
    <t>▼1🐐</t>
  </si>
  <si>
    <t>Gruul in lorwyn</t>
  </si>
  <si>
    <t>Simic in lorwyn</t>
  </si>
  <si>
    <t>New Design by Committee Felix Cube</t>
  </si>
  <si>
    <t>New worthless human who loves plastic models and social games</t>
  </si>
  <si>
    <r>
      <t xml:space="preserve">New casinostone discourse in my </t>
    </r>
    <r>
      <rPr>
        <i/>
        <sz val="11"/>
        <color rgb="FFFF0000"/>
        <rFont val="Arial"/>
        <family val="2"/>
      </rPr>
      <t>Advertisements Within</t>
    </r>
    <r>
      <rPr>
        <sz val="11"/>
        <color rgb="FFFF0000"/>
        <rFont val="Arial"/>
        <family val="2"/>
      </rPr>
      <t>™ server</t>
    </r>
  </si>
  <si>
    <t>▼11 💀💀</t>
  </si>
  <si>
    <t>New Simic in Lorwyn</t>
  </si>
  <si>
    <t>▼14 💀💀</t>
  </si>
  <si>
    <t>▼13 💀💀</t>
  </si>
  <si>
    <t>New Gruul in Lorwyn</t>
  </si>
  <si>
    <t>New Dubious Vanguard Violence</t>
  </si>
  <si>
    <t>New Sonny Last Seat 🐐</t>
  </si>
  <si>
    <t>Mii Sword</t>
  </si>
  <si>
    <t>Swordfight</t>
  </si>
  <si>
    <t>Meta-Knight</t>
  </si>
  <si>
    <t>Brawler</t>
  </si>
  <si>
    <t>New Violence of the Crystalline Variety</t>
  </si>
  <si>
    <t>New hunt for the un-EDH priced Mox Amber</t>
  </si>
  <si>
    <t>New Tragedy of the Cowabunga™! Prerelease Turnout Variety</t>
  </si>
  <si>
    <t>New Bonny Pall Lore of the Lumberjack Folk Hero, Midnight Ride, Aspiration Employee, Founding Father, Abolitionist, and Large Fruit Residing Variety</t>
  </si>
  <si>
    <r>
      <t xml:space="preserve">New Nathan's Goat </t>
    </r>
    <r>
      <rPr>
        <strike/>
        <sz val="11"/>
        <color rgb="FFFF0000"/>
        <rFont val="Calibri"/>
        <family val="2"/>
      </rPr>
      <t>of the trash variety, but that doesn't fit the narrative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</si>
  <si>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Sol Ring Variety</t>
    </r>
  </si>
  <si>
    <r>
      <t xml:space="preserve">New Violence of the </t>
    </r>
    <r>
      <rPr>
        <i/>
        <sz val="11"/>
        <color rgb="FFFF0000"/>
        <rFont val="Calibri"/>
        <family val="2"/>
      </rPr>
      <t>Cowabunga</t>
    </r>
    <r>
      <rPr>
        <sz val="11"/>
        <color rgb="FFFF0000"/>
        <rFont val="Calibri"/>
        <family val="2"/>
      </rPr>
      <t>™! Jitte Variety</t>
    </r>
  </si>
  <si>
    <r>
      <rPr>
        <strike/>
        <sz val="11"/>
        <color rgb="FFFF0000"/>
        <rFont val="Calibri"/>
        <family val="2"/>
      </rPr>
      <t>Ever-Persistent</t>
    </r>
    <r>
      <rPr>
        <sz val="11"/>
        <color rgb="FFFF0000"/>
        <rFont val="Calibri"/>
        <family val="2"/>
      </rPr>
      <t xml:space="preserve"> New Violence of the Frosted Variety</t>
    </r>
  </si>
  <si>
    <r>
      <t xml:space="preserve">New </t>
    </r>
    <r>
      <rPr>
        <i/>
        <sz val="11"/>
        <color rgb="FFFF0000"/>
        <rFont val="Calibri"/>
        <family val="2"/>
      </rPr>
      <t>Cowabunga™</t>
    </r>
    <r>
      <rPr>
        <sz val="11"/>
        <color rgb="FFFF0000"/>
        <rFont val="Calibri"/>
        <family val="2"/>
      </rPr>
      <t>!</t>
    </r>
    <r>
      <rPr>
        <i/>
        <sz val="11"/>
        <color rgb="FFFF0000"/>
        <rFont val="Calibri"/>
        <family val="2"/>
      </rPr>
      <t xml:space="preserve"> The Gathering</t>
    </r>
    <r>
      <rPr>
        <sz val="11"/>
        <color rgb="FFFF0000"/>
        <rFont val="Calibri"/>
        <family val="2"/>
      </rPr>
      <t xml:space="preserve"> season</t>
    </r>
  </si>
  <si>
    <t>New Copium Modern Staple of the $60 Urza's Saga Target Variety</t>
  </si>
  <si>
    <t>Peach</t>
  </si>
  <si>
    <t>Climbers</t>
  </si>
  <si>
    <t>Dedede</t>
  </si>
  <si>
    <t>Banjo</t>
  </si>
  <si>
    <t>Metaknight</t>
  </si>
  <si>
    <t>Meta knight</t>
  </si>
  <si>
    <t>Ganon</t>
  </si>
  <si>
    <t>Wii Fit Trainr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</si>
</sst>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  <font>
      <strike/>
      <sz val="11"/>
      <color rgb="FFFF0000"/>
      <name val="Calibri"/>
      <family val="2"/>
    </font>
    <font>
      <i/>
      <sz val="11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  <xf numFmtId="0" fontId="17" fillId="0" borderId="0" xfId="0" applyFont="1" applyAlignment="1">
      <alignment vertical="center"/>
    </xf>
    <xf numFmtId="0" fontId="4" fillId="2" borderId="0" xfId="0" applyFont="1" applyFill="1"/>
    <xf numFmtId="0" fontId="29" fillId="0" borderId="0" xfId="0" applyFont="1"/>
    <xf numFmtId="0" fontId="14" fillId="0" borderId="0" xfId="0" applyFont="1"/>
    <xf numFmtId="0" fontId="2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310"/>
  <sheetViews>
    <sheetView topLeftCell="A271" zoomScaleNormal="100" workbookViewId="0">
      <selection activeCell="V302" sqref="V302:AD31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  <row r="242" spans="10:29" x14ac:dyDescent="0.25">
      <c r="J242" s="1">
        <v>46004</v>
      </c>
      <c r="K242" s="1">
        <v>46004</v>
      </c>
      <c r="L242" s="1">
        <v>46004</v>
      </c>
      <c r="M242" s="1">
        <v>46004</v>
      </c>
      <c r="N242" s="1">
        <v>46004</v>
      </c>
      <c r="O242" s="1">
        <v>46004</v>
      </c>
      <c r="P242" s="1">
        <v>46004</v>
      </c>
      <c r="Q242" s="1">
        <v>46004</v>
      </c>
      <c r="R242" s="1">
        <v>46004</v>
      </c>
      <c r="S242" s="1">
        <v>46004</v>
      </c>
      <c r="U242" s="71">
        <v>46004</v>
      </c>
      <c r="V242" s="71">
        <v>46004</v>
      </c>
      <c r="W242" s="71">
        <v>46004</v>
      </c>
      <c r="X242" s="71">
        <v>46004</v>
      </c>
      <c r="Y242" s="71">
        <v>46004</v>
      </c>
      <c r="Z242" s="71">
        <v>46004</v>
      </c>
      <c r="AA242" s="71">
        <v>46004</v>
      </c>
      <c r="AB242" s="71">
        <v>46004</v>
      </c>
      <c r="AC242" s="71">
        <v>46004</v>
      </c>
    </row>
    <row r="243" spans="10:29" x14ac:dyDescent="0.25">
      <c r="J243" t="s">
        <v>121</v>
      </c>
      <c r="K243" t="s">
        <v>87</v>
      </c>
      <c r="L243" t="s">
        <v>61</v>
      </c>
      <c r="M243" t="s">
        <v>128</v>
      </c>
      <c r="N243" t="s">
        <v>22</v>
      </c>
      <c r="O243" t="s">
        <v>232</v>
      </c>
      <c r="P243" t="s">
        <v>230</v>
      </c>
      <c r="Q243" t="s">
        <v>147</v>
      </c>
      <c r="R243" t="s">
        <v>122</v>
      </c>
      <c r="S243" t="s">
        <v>232</v>
      </c>
      <c r="U243" t="s">
        <v>230</v>
      </c>
      <c r="V243" t="s">
        <v>403</v>
      </c>
      <c r="W243" t="s">
        <v>125</v>
      </c>
      <c r="X243" t="s">
        <v>24</v>
      </c>
      <c r="Y243" t="s">
        <v>104</v>
      </c>
      <c r="Z243" t="s">
        <v>128</v>
      </c>
      <c r="AA243" t="s">
        <v>22</v>
      </c>
      <c r="AB243" t="s">
        <v>128</v>
      </c>
      <c r="AC243" t="s">
        <v>58</v>
      </c>
    </row>
    <row r="244" spans="10:29" x14ac:dyDescent="0.25">
      <c r="J244" t="s">
        <v>24</v>
      </c>
      <c r="K244" t="s">
        <v>25</v>
      </c>
      <c r="L244" t="s">
        <v>110</v>
      </c>
      <c r="M244" t="s">
        <v>175</v>
      </c>
      <c r="N244" t="s">
        <v>35</v>
      </c>
      <c r="O244" t="s">
        <v>147</v>
      </c>
      <c r="P244" t="s">
        <v>49</v>
      </c>
      <c r="Q244" t="s">
        <v>124</v>
      </c>
      <c r="R244" t="s">
        <v>26</v>
      </c>
      <c r="S244" t="s">
        <v>117</v>
      </c>
      <c r="U244" t="s">
        <v>56</v>
      </c>
      <c r="V244" t="s">
        <v>30</v>
      </c>
      <c r="W244" t="s">
        <v>35</v>
      </c>
      <c r="X244" t="s">
        <v>122</v>
      </c>
      <c r="Y244" t="s">
        <v>30</v>
      </c>
      <c r="Z244" t="s">
        <v>147</v>
      </c>
      <c r="AA244" t="s">
        <v>58</v>
      </c>
      <c r="AB244" t="s">
        <v>122</v>
      </c>
      <c r="AC244" t="s">
        <v>35</v>
      </c>
    </row>
    <row r="245" spans="10:29" x14ac:dyDescent="0.25">
      <c r="J245" t="s">
        <v>30</v>
      </c>
      <c r="K245" t="s">
        <v>36</v>
      </c>
      <c r="L245" t="s">
        <v>26</v>
      </c>
      <c r="M245" t="s">
        <v>61</v>
      </c>
      <c r="N245" t="s">
        <v>122</v>
      </c>
      <c r="O245" t="s">
        <v>22</v>
      </c>
      <c r="P245" t="s">
        <v>26</v>
      </c>
      <c r="Q245" t="s">
        <v>58</v>
      </c>
      <c r="R245" t="s">
        <v>232</v>
      </c>
      <c r="S245" t="s">
        <v>25</v>
      </c>
      <c r="U245" t="s">
        <v>49</v>
      </c>
      <c r="V245" t="s">
        <v>49</v>
      </c>
      <c r="W245" t="s">
        <v>58</v>
      </c>
      <c r="X245" t="s">
        <v>15</v>
      </c>
      <c r="Y245" t="s">
        <v>110</v>
      </c>
      <c r="Z245" t="s">
        <v>121</v>
      </c>
      <c r="AA245" t="s">
        <v>35</v>
      </c>
      <c r="AB245" t="s">
        <v>87</v>
      </c>
      <c r="AC245" t="s">
        <v>24</v>
      </c>
    </row>
    <row r="246" spans="10:29" x14ac:dyDescent="0.25">
      <c r="J246" t="s">
        <v>25</v>
      </c>
      <c r="K246" t="s">
        <v>24</v>
      </c>
      <c r="L246" t="s">
        <v>49</v>
      </c>
      <c r="M246" t="s">
        <v>104</v>
      </c>
      <c r="N246" t="s">
        <v>232</v>
      </c>
      <c r="O246" t="s">
        <v>15</v>
      </c>
      <c r="P246" t="s">
        <v>104</v>
      </c>
      <c r="Q246" t="s">
        <v>25</v>
      </c>
      <c r="R246" t="s">
        <v>230</v>
      </c>
      <c r="S246" t="s">
        <v>124</v>
      </c>
      <c r="U246" t="s">
        <v>30</v>
      </c>
      <c r="V246" t="s">
        <v>110</v>
      </c>
      <c r="W246" t="s">
        <v>22</v>
      </c>
      <c r="X246" t="s">
        <v>25</v>
      </c>
      <c r="Y246" t="s">
        <v>87</v>
      </c>
      <c r="Z246" t="s">
        <v>87</v>
      </c>
      <c r="AA246" t="s">
        <v>15</v>
      </c>
      <c r="AB246" t="s">
        <v>24</v>
      </c>
      <c r="AC246" t="s">
        <v>22</v>
      </c>
    </row>
    <row r="247" spans="10:29" x14ac:dyDescent="0.25">
      <c r="J247" t="s">
        <v>31</v>
      </c>
      <c r="K247" t="s">
        <v>121</v>
      </c>
      <c r="L247" t="s">
        <v>104</v>
      </c>
      <c r="M247" t="s">
        <v>49</v>
      </c>
      <c r="N247" t="s">
        <v>25</v>
      </c>
      <c r="O247" t="s">
        <v>122</v>
      </c>
      <c r="P247" t="s">
        <v>122</v>
      </c>
      <c r="Q247" t="s">
        <v>232</v>
      </c>
      <c r="R247" t="s">
        <v>81</v>
      </c>
      <c r="S247" t="s">
        <v>122</v>
      </c>
      <c r="U247" t="s">
        <v>89</v>
      </c>
      <c r="V247" t="s">
        <v>26</v>
      </c>
      <c r="W247" t="s">
        <v>121</v>
      </c>
      <c r="X247" t="s">
        <v>78</v>
      </c>
      <c r="Y247" t="s">
        <v>78</v>
      </c>
      <c r="Z247" t="s">
        <v>104</v>
      </c>
      <c r="AA247" t="s">
        <v>25</v>
      </c>
      <c r="AB247" t="s">
        <v>147</v>
      </c>
      <c r="AC247" t="s">
        <v>122</v>
      </c>
    </row>
    <row r="248" spans="10:29" x14ac:dyDescent="0.25">
      <c r="J248" t="s">
        <v>36</v>
      </c>
      <c r="K248" t="s">
        <v>230</v>
      </c>
      <c r="L248" t="s">
        <v>175</v>
      </c>
      <c r="M248" t="s">
        <v>110</v>
      </c>
      <c r="N248" t="s">
        <v>34</v>
      </c>
      <c r="O248" t="s">
        <v>253</v>
      </c>
      <c r="P248" t="s">
        <v>29</v>
      </c>
      <c r="Q248" t="s">
        <v>31</v>
      </c>
      <c r="R248" t="s">
        <v>104</v>
      </c>
      <c r="S248" t="s">
        <v>104</v>
      </c>
      <c r="U248" t="s">
        <v>34</v>
      </c>
      <c r="V248" t="s">
        <v>56</v>
      </c>
      <c r="W248" t="s">
        <v>128</v>
      </c>
      <c r="X248" t="s">
        <v>21</v>
      </c>
      <c r="Y248" t="s">
        <v>403</v>
      </c>
      <c r="Z248" t="s">
        <v>232</v>
      </c>
      <c r="AA248" t="s">
        <v>24</v>
      </c>
      <c r="AB248" t="s">
        <v>125</v>
      </c>
      <c r="AC248" t="s">
        <v>87</v>
      </c>
    </row>
    <row r="249" spans="10:29" x14ac:dyDescent="0.25">
      <c r="J249" t="s">
        <v>87</v>
      </c>
      <c r="K249" t="s">
        <v>551</v>
      </c>
      <c r="L249" t="s">
        <v>81</v>
      </c>
      <c r="M249" t="s">
        <v>26</v>
      </c>
      <c r="N249" t="s">
        <v>15</v>
      </c>
      <c r="O249" t="s">
        <v>34</v>
      </c>
      <c r="P249" t="s">
        <v>15</v>
      </c>
      <c r="Q249" t="s">
        <v>24</v>
      </c>
      <c r="R249" t="s">
        <v>25</v>
      </c>
      <c r="S249" t="s">
        <v>26</v>
      </c>
      <c r="U249" t="s">
        <v>31</v>
      </c>
      <c r="V249" t="s">
        <v>81</v>
      </c>
      <c r="W249" t="s">
        <v>232</v>
      </c>
      <c r="X249" t="s">
        <v>104</v>
      </c>
      <c r="Y249" t="s">
        <v>21</v>
      </c>
      <c r="Z249" t="s">
        <v>110</v>
      </c>
      <c r="AA249" t="s">
        <v>125</v>
      </c>
      <c r="AB249" t="s">
        <v>121</v>
      </c>
      <c r="AC249" t="s">
        <v>15</v>
      </c>
    </row>
    <row r="250" spans="10:29" x14ac:dyDescent="0.25">
      <c r="J250" t="s">
        <v>113</v>
      </c>
      <c r="K250" t="s">
        <v>110</v>
      </c>
      <c r="L250" t="s">
        <v>128</v>
      </c>
      <c r="M250" t="s">
        <v>81</v>
      </c>
      <c r="N250" t="s">
        <v>147</v>
      </c>
      <c r="O250" t="s">
        <v>61</v>
      </c>
      <c r="P250" t="s">
        <v>81</v>
      </c>
      <c r="Q250" t="s">
        <v>87</v>
      </c>
      <c r="R250" t="s">
        <v>124</v>
      </c>
      <c r="S250" t="s">
        <v>81</v>
      </c>
      <c r="U250" t="s">
        <v>124</v>
      </c>
      <c r="V250" t="s">
        <v>230</v>
      </c>
      <c r="W250" t="s">
        <v>147</v>
      </c>
      <c r="X250" t="s">
        <v>87</v>
      </c>
      <c r="Y250" t="s">
        <v>49</v>
      </c>
      <c r="Z250" t="s">
        <v>30</v>
      </c>
      <c r="AA250" t="s">
        <v>122</v>
      </c>
      <c r="AB250" t="s">
        <v>25</v>
      </c>
      <c r="AC250" t="s">
        <v>128</v>
      </c>
    </row>
    <row r="252" spans="10:29" x14ac:dyDescent="0.25">
      <c r="J252" s="1">
        <v>46009</v>
      </c>
      <c r="K252" s="1">
        <v>46009</v>
      </c>
      <c r="L252" s="1">
        <v>46009</v>
      </c>
      <c r="M252" s="1">
        <v>46009</v>
      </c>
      <c r="N252" s="1">
        <v>46014</v>
      </c>
      <c r="O252" s="1">
        <v>46014</v>
      </c>
      <c r="P252" s="1">
        <v>46014</v>
      </c>
      <c r="R252" s="1">
        <v>46019</v>
      </c>
      <c r="S252" s="1">
        <v>46019</v>
      </c>
      <c r="T252" s="1">
        <v>45658</v>
      </c>
      <c r="U252" s="1">
        <v>45658</v>
      </c>
      <c r="V252" s="1">
        <v>45658</v>
      </c>
      <c r="W252" s="1">
        <v>45658</v>
      </c>
      <c r="X252" s="1">
        <v>45658</v>
      </c>
      <c r="Y252" s="1">
        <v>45658</v>
      </c>
      <c r="Z252" s="1">
        <v>45658</v>
      </c>
      <c r="AA252" s="1">
        <v>45658</v>
      </c>
    </row>
    <row r="253" spans="10:29" x14ac:dyDescent="0.25">
      <c r="J253" t="s">
        <v>122</v>
      </c>
      <c r="K253" t="s">
        <v>21</v>
      </c>
      <c r="L253" t="s">
        <v>81</v>
      </c>
      <c r="M253" t="s">
        <v>81</v>
      </c>
      <c r="N253" t="s">
        <v>19</v>
      </c>
      <c r="O253" t="s">
        <v>87</v>
      </c>
      <c r="P253" t="s">
        <v>29</v>
      </c>
      <c r="R253" t="s">
        <v>1</v>
      </c>
      <c r="S253" t="s">
        <v>552</v>
      </c>
      <c r="T253" t="s">
        <v>34</v>
      </c>
      <c r="U253" t="s">
        <v>139</v>
      </c>
      <c r="V253" t="s">
        <v>147</v>
      </c>
      <c r="W253" t="s">
        <v>25</v>
      </c>
      <c r="X253" t="s">
        <v>230</v>
      </c>
      <c r="Y253" t="s">
        <v>21</v>
      </c>
      <c r="Z253" t="s">
        <v>232</v>
      </c>
      <c r="AA253" t="s">
        <v>26</v>
      </c>
    </row>
    <row r="254" spans="10:29" x14ac:dyDescent="0.25">
      <c r="J254" t="s">
        <v>117</v>
      </c>
      <c r="K254" t="s">
        <v>122</v>
      </c>
      <c r="L254" t="s">
        <v>49</v>
      </c>
      <c r="M254" t="s">
        <v>104</v>
      </c>
      <c r="N254" t="s">
        <v>128</v>
      </c>
      <c r="O254" t="s">
        <v>21</v>
      </c>
      <c r="P254" t="s">
        <v>35</v>
      </c>
      <c r="R254" t="s">
        <v>122</v>
      </c>
      <c r="S254" t="s">
        <v>232</v>
      </c>
      <c r="T254" t="s">
        <v>21</v>
      </c>
      <c r="U254" t="s">
        <v>232</v>
      </c>
      <c r="V254" t="s">
        <v>139</v>
      </c>
      <c r="W254" t="s">
        <v>147</v>
      </c>
      <c r="X254" t="s">
        <v>81</v>
      </c>
      <c r="Y254" t="s">
        <v>29</v>
      </c>
      <c r="Z254" t="s">
        <v>230</v>
      </c>
      <c r="AA254" t="s">
        <v>124</v>
      </c>
    </row>
    <row r="255" spans="10:29" x14ac:dyDescent="0.25">
      <c r="J255" t="s">
        <v>1</v>
      </c>
      <c r="K255" t="s">
        <v>31</v>
      </c>
      <c r="L255" t="s">
        <v>15</v>
      </c>
      <c r="M255" t="s">
        <v>89</v>
      </c>
      <c r="N255" t="s">
        <v>232</v>
      </c>
      <c r="O255" t="s">
        <v>232</v>
      </c>
      <c r="P255" t="s">
        <v>78</v>
      </c>
      <c r="R255" t="s">
        <v>232</v>
      </c>
      <c r="S255" t="s">
        <v>553</v>
      </c>
      <c r="T255" t="s">
        <v>31</v>
      </c>
      <c r="U255" t="s">
        <v>124</v>
      </c>
      <c r="V255" t="s">
        <v>1</v>
      </c>
      <c r="W255" t="s">
        <v>1</v>
      </c>
      <c r="X255" t="s">
        <v>124</v>
      </c>
      <c r="Y255" t="s">
        <v>26</v>
      </c>
      <c r="Z255" t="s">
        <v>361</v>
      </c>
      <c r="AA255" t="s">
        <v>232</v>
      </c>
    </row>
    <row r="256" spans="10:29" x14ac:dyDescent="0.25">
      <c r="J256" t="s">
        <v>31</v>
      </c>
      <c r="K256" t="s">
        <v>1</v>
      </c>
      <c r="L256" t="s">
        <v>30</v>
      </c>
      <c r="M256" t="s">
        <v>35</v>
      </c>
      <c r="N256" t="s">
        <v>87</v>
      </c>
      <c r="O256" t="s">
        <v>25</v>
      </c>
      <c r="P256" t="s">
        <v>15</v>
      </c>
      <c r="R256" t="s">
        <v>148</v>
      </c>
      <c r="S256" t="s">
        <v>148</v>
      </c>
      <c r="T256" t="s">
        <v>25</v>
      </c>
      <c r="U256" t="s">
        <v>122</v>
      </c>
      <c r="V256" t="s">
        <v>87</v>
      </c>
      <c r="W256" t="s">
        <v>139</v>
      </c>
      <c r="X256" t="s">
        <v>104</v>
      </c>
      <c r="Y256" t="s">
        <v>49</v>
      </c>
      <c r="Z256" t="s">
        <v>29</v>
      </c>
      <c r="AA256" t="s">
        <v>29</v>
      </c>
    </row>
    <row r="257" spans="10:27" x14ac:dyDescent="0.25">
      <c r="J257" t="s">
        <v>21</v>
      </c>
      <c r="K257" t="s">
        <v>117</v>
      </c>
      <c r="L257" t="s">
        <v>3</v>
      </c>
      <c r="M257" t="s">
        <v>49</v>
      </c>
      <c r="N257" t="s">
        <v>21</v>
      </c>
      <c r="O257" t="s">
        <v>34</v>
      </c>
      <c r="P257" t="s">
        <v>22</v>
      </c>
      <c r="R257" t="s">
        <v>175</v>
      </c>
      <c r="S257" t="s">
        <v>87</v>
      </c>
      <c r="T257" t="s">
        <v>139</v>
      </c>
      <c r="U257" t="s">
        <v>87</v>
      </c>
      <c r="V257" t="s">
        <v>21</v>
      </c>
      <c r="W257" t="s">
        <v>122</v>
      </c>
      <c r="X257" t="s">
        <v>49</v>
      </c>
      <c r="Y257" t="s">
        <v>30</v>
      </c>
      <c r="Z257" t="s">
        <v>49</v>
      </c>
      <c r="AA257" t="s">
        <v>554</v>
      </c>
    </row>
    <row r="258" spans="10:27" x14ac:dyDescent="0.25">
      <c r="J258" t="s">
        <v>87</v>
      </c>
      <c r="K258" t="s">
        <v>25</v>
      </c>
      <c r="L258" t="s">
        <v>29</v>
      </c>
      <c r="M258" t="s">
        <v>15</v>
      </c>
      <c r="N258" t="s">
        <v>78</v>
      </c>
      <c r="O258" t="s">
        <v>31</v>
      </c>
      <c r="P258" t="s">
        <v>30</v>
      </c>
      <c r="R258" t="s">
        <v>25</v>
      </c>
      <c r="S258" t="s">
        <v>124</v>
      </c>
      <c r="T258" t="s">
        <v>122</v>
      </c>
      <c r="U258" t="s">
        <v>128</v>
      </c>
      <c r="V258" t="s">
        <v>31</v>
      </c>
      <c r="W258" t="s">
        <v>87</v>
      </c>
      <c r="X258" t="s">
        <v>30</v>
      </c>
      <c r="Y258" t="s">
        <v>104</v>
      </c>
      <c r="Z258" t="s">
        <v>26</v>
      </c>
      <c r="AA258" t="s">
        <v>24</v>
      </c>
    </row>
    <row r="259" spans="10:27" x14ac:dyDescent="0.25">
      <c r="J259" t="s">
        <v>123</v>
      </c>
      <c r="K259" t="s">
        <v>123</v>
      </c>
      <c r="L259" t="s">
        <v>232</v>
      </c>
      <c r="M259" t="s">
        <v>29</v>
      </c>
      <c r="N259" t="s">
        <v>25</v>
      </c>
      <c r="O259" t="s">
        <v>128</v>
      </c>
      <c r="P259" t="s">
        <v>34</v>
      </c>
      <c r="R259" t="s">
        <v>31</v>
      </c>
      <c r="S259" t="s">
        <v>31</v>
      </c>
      <c r="T259" t="s">
        <v>87</v>
      </c>
      <c r="U259" t="s">
        <v>25</v>
      </c>
      <c r="V259" t="s">
        <v>122</v>
      </c>
      <c r="W259" t="s">
        <v>21</v>
      </c>
      <c r="X259" t="s">
        <v>26</v>
      </c>
      <c r="Y259" t="s">
        <v>81</v>
      </c>
      <c r="Z259" t="s">
        <v>253</v>
      </c>
      <c r="AA259" t="s">
        <v>253</v>
      </c>
    </row>
    <row r="260" spans="10:27" x14ac:dyDescent="0.25">
      <c r="J260" t="s">
        <v>25</v>
      </c>
      <c r="K260" t="s">
        <v>87</v>
      </c>
      <c r="L260" t="s">
        <v>35</v>
      </c>
      <c r="M260" t="s">
        <v>3</v>
      </c>
      <c r="N260" t="s">
        <v>31</v>
      </c>
      <c r="O260" t="s">
        <v>78</v>
      </c>
      <c r="P260" t="s">
        <v>124</v>
      </c>
      <c r="R260" t="s">
        <v>87</v>
      </c>
      <c r="S260" t="s">
        <v>25</v>
      </c>
      <c r="T260" t="s">
        <v>124</v>
      </c>
      <c r="U260" t="s">
        <v>31</v>
      </c>
      <c r="V260" t="s">
        <v>25</v>
      </c>
      <c r="W260" t="s">
        <v>31</v>
      </c>
      <c r="X260" t="s">
        <v>232</v>
      </c>
      <c r="Y260" t="s">
        <v>124</v>
      </c>
      <c r="Z260" t="s">
        <v>24</v>
      </c>
      <c r="AA260" t="s">
        <v>34</v>
      </c>
    </row>
    <row r="262" spans="10:27" x14ac:dyDescent="0.25">
      <c r="J262" s="1">
        <v>46030</v>
      </c>
      <c r="K262" s="1">
        <v>46030</v>
      </c>
      <c r="L262" s="1">
        <v>46030</v>
      </c>
      <c r="M262" s="1">
        <v>46030</v>
      </c>
      <c r="O262" s="1">
        <v>46032</v>
      </c>
      <c r="P262" s="1">
        <v>46032</v>
      </c>
      <c r="Q262" s="1">
        <v>46032</v>
      </c>
      <c r="R262" s="1">
        <v>46032</v>
      </c>
      <c r="S262" s="1">
        <v>46032</v>
      </c>
      <c r="T262" s="1">
        <v>46032</v>
      </c>
      <c r="U262" s="1">
        <v>46032</v>
      </c>
      <c r="V262" s="1">
        <v>46032</v>
      </c>
      <c r="W262" s="1">
        <v>46032</v>
      </c>
      <c r="X262" s="1">
        <v>46032</v>
      </c>
    </row>
    <row r="263" spans="10:27" x14ac:dyDescent="0.25">
      <c r="J263" t="s">
        <v>21</v>
      </c>
      <c r="K263" t="s">
        <v>21</v>
      </c>
      <c r="L263" t="s">
        <v>147</v>
      </c>
      <c r="M263" t="s">
        <v>35</v>
      </c>
      <c r="O263" t="s">
        <v>403</v>
      </c>
      <c r="P263" t="s">
        <v>81</v>
      </c>
      <c r="Q263" t="s">
        <v>403</v>
      </c>
      <c r="R263" t="s">
        <v>403</v>
      </c>
      <c r="S263" t="s">
        <v>122</v>
      </c>
      <c r="T263" t="s">
        <v>122</v>
      </c>
      <c r="U263" t="s">
        <v>122</v>
      </c>
      <c r="V263" t="s">
        <v>121</v>
      </c>
      <c r="W263" t="s">
        <v>147</v>
      </c>
      <c r="X263" t="s">
        <v>58</v>
      </c>
    </row>
    <row r="264" spans="10:27" x14ac:dyDescent="0.25">
      <c r="J264" t="s">
        <v>230</v>
      </c>
      <c r="K264" t="s">
        <v>31</v>
      </c>
      <c r="L264" t="s">
        <v>104</v>
      </c>
      <c r="M264" t="s">
        <v>104</v>
      </c>
      <c r="O264" t="s">
        <v>125</v>
      </c>
      <c r="P264" t="s">
        <v>31</v>
      </c>
      <c r="Q264" t="s">
        <v>125</v>
      </c>
      <c r="R264" t="s">
        <v>232</v>
      </c>
      <c r="S264" t="s">
        <v>21</v>
      </c>
      <c r="T264" t="s">
        <v>125</v>
      </c>
      <c r="U264" t="s">
        <v>104</v>
      </c>
      <c r="V264" t="s">
        <v>87</v>
      </c>
      <c r="W264" t="s">
        <v>553</v>
      </c>
      <c r="X264" t="s">
        <v>31</v>
      </c>
    </row>
    <row r="265" spans="10:27" x14ac:dyDescent="0.25">
      <c r="J265" t="s">
        <v>122</v>
      </c>
      <c r="K265" t="s">
        <v>24</v>
      </c>
      <c r="L265" t="s">
        <v>34</v>
      </c>
      <c r="M265" t="s">
        <v>34</v>
      </c>
      <c r="O265" t="s">
        <v>26</v>
      </c>
      <c r="P265" t="s">
        <v>104</v>
      </c>
      <c r="Q265" t="s">
        <v>232</v>
      </c>
      <c r="R265" t="s">
        <v>31</v>
      </c>
      <c r="S265" t="s">
        <v>125</v>
      </c>
      <c r="T265" t="s">
        <v>87</v>
      </c>
      <c r="U265" t="s">
        <v>26</v>
      </c>
      <c r="V265" t="s">
        <v>232</v>
      </c>
      <c r="W265" t="s">
        <v>552</v>
      </c>
      <c r="X265" t="s">
        <v>232</v>
      </c>
    </row>
    <row r="266" spans="10:27" x14ac:dyDescent="0.25">
      <c r="J266" t="s">
        <v>25</v>
      </c>
      <c r="K266" t="s">
        <v>122</v>
      </c>
      <c r="L266" t="s">
        <v>35</v>
      </c>
      <c r="M266" t="s">
        <v>553</v>
      </c>
      <c r="O266" t="s">
        <v>49</v>
      </c>
      <c r="P266" t="s">
        <v>125</v>
      </c>
      <c r="Q266" t="s">
        <v>20</v>
      </c>
      <c r="R266" t="s">
        <v>52</v>
      </c>
      <c r="S266" t="s">
        <v>147</v>
      </c>
      <c r="T266" t="s">
        <v>105</v>
      </c>
      <c r="U266" t="s">
        <v>81</v>
      </c>
      <c r="V266" t="s">
        <v>31</v>
      </c>
      <c r="W266" t="s">
        <v>122</v>
      </c>
      <c r="X266" t="s">
        <v>552</v>
      </c>
    </row>
    <row r="267" spans="10:27" x14ac:dyDescent="0.25">
      <c r="J267" t="s">
        <v>31</v>
      </c>
      <c r="K267" t="s">
        <v>87</v>
      </c>
      <c r="L267" t="s">
        <v>128</v>
      </c>
      <c r="M267" t="s">
        <v>26</v>
      </c>
      <c r="O267" t="s">
        <v>15</v>
      </c>
      <c r="P267" t="s">
        <v>52</v>
      </c>
      <c r="Q267" t="s">
        <v>52</v>
      </c>
      <c r="R267" t="s">
        <v>125</v>
      </c>
      <c r="S267" t="s">
        <v>34</v>
      </c>
      <c r="T267" t="s">
        <v>21</v>
      </c>
      <c r="U267" t="s">
        <v>34</v>
      </c>
      <c r="V267" t="s">
        <v>20</v>
      </c>
      <c r="W267" t="s">
        <v>105</v>
      </c>
      <c r="X267" t="s">
        <v>10</v>
      </c>
    </row>
    <row r="268" spans="10:27" x14ac:dyDescent="0.25">
      <c r="J268" t="s">
        <v>87</v>
      </c>
      <c r="K268" t="s">
        <v>49</v>
      </c>
      <c r="L268" t="s">
        <v>26</v>
      </c>
      <c r="M268" t="s">
        <v>147</v>
      </c>
      <c r="O268" t="s">
        <v>31</v>
      </c>
      <c r="P268" t="s">
        <v>403</v>
      </c>
      <c r="Q268" t="s">
        <v>31</v>
      </c>
      <c r="R268" t="s">
        <v>230</v>
      </c>
      <c r="S268" t="s">
        <v>105</v>
      </c>
      <c r="T268" t="s">
        <v>34</v>
      </c>
      <c r="U268" t="s">
        <v>50</v>
      </c>
      <c r="V268" t="s">
        <v>25</v>
      </c>
      <c r="W268" t="s">
        <v>113</v>
      </c>
      <c r="X268" t="s">
        <v>25</v>
      </c>
    </row>
    <row r="269" spans="10:27" x14ac:dyDescent="0.25">
      <c r="J269" t="s">
        <v>121</v>
      </c>
      <c r="K269" t="s">
        <v>25</v>
      </c>
      <c r="L269" t="s">
        <v>90</v>
      </c>
      <c r="M269" t="s">
        <v>552</v>
      </c>
      <c r="O269" t="s">
        <v>90</v>
      </c>
      <c r="P269" t="s">
        <v>49</v>
      </c>
      <c r="Q269" t="s">
        <v>129</v>
      </c>
      <c r="R269" t="s">
        <v>129</v>
      </c>
      <c r="S269" t="s">
        <v>87</v>
      </c>
      <c r="T269" t="s">
        <v>147</v>
      </c>
      <c r="U269" t="s">
        <v>105</v>
      </c>
      <c r="V269" t="s">
        <v>21</v>
      </c>
      <c r="W269" t="s">
        <v>26</v>
      </c>
      <c r="X269" t="s">
        <v>553</v>
      </c>
    </row>
    <row r="270" spans="10:27" x14ac:dyDescent="0.25">
      <c r="J270" t="s">
        <v>49</v>
      </c>
      <c r="K270" t="s">
        <v>232</v>
      </c>
      <c r="L270" t="s">
        <v>125</v>
      </c>
      <c r="M270" t="s">
        <v>90</v>
      </c>
      <c r="O270" t="s">
        <v>81</v>
      </c>
      <c r="P270" t="s">
        <v>26</v>
      </c>
      <c r="Q270" t="s">
        <v>230</v>
      </c>
      <c r="R270" t="s">
        <v>20</v>
      </c>
      <c r="S270" t="s">
        <v>25</v>
      </c>
      <c r="T270" t="s">
        <v>25</v>
      </c>
      <c r="U270" t="s">
        <v>30</v>
      </c>
      <c r="V270" t="s">
        <v>34</v>
      </c>
      <c r="W270" t="s">
        <v>81</v>
      </c>
      <c r="X270" t="s">
        <v>87</v>
      </c>
    </row>
    <row r="272" spans="10:27" x14ac:dyDescent="0.25">
      <c r="J272" s="1">
        <v>46037</v>
      </c>
      <c r="K272" s="1">
        <v>46037</v>
      </c>
      <c r="L272" s="1">
        <v>46037</v>
      </c>
      <c r="M272" s="1">
        <v>46037</v>
      </c>
      <c r="N272" s="1">
        <v>46044</v>
      </c>
      <c r="O272" s="1">
        <v>46044</v>
      </c>
      <c r="P272" s="1">
        <v>46051</v>
      </c>
      <c r="Q272" s="1">
        <v>46051</v>
      </c>
      <c r="S272" s="1">
        <v>46058</v>
      </c>
      <c r="T272" s="1">
        <v>46058</v>
      </c>
      <c r="U272" s="1">
        <v>46058</v>
      </c>
      <c r="V272" s="1">
        <v>46060</v>
      </c>
      <c r="W272" s="1">
        <v>46060</v>
      </c>
    </row>
    <row r="273" spans="10:34" x14ac:dyDescent="0.25">
      <c r="J273" t="s">
        <v>122</v>
      </c>
      <c r="K273" t="s">
        <v>123</v>
      </c>
      <c r="L273" t="s">
        <v>147</v>
      </c>
      <c r="M273" t="s">
        <v>52</v>
      </c>
      <c r="N273" t="s">
        <v>87</v>
      </c>
      <c r="O273" t="s">
        <v>35</v>
      </c>
      <c r="P273" t="s">
        <v>147</v>
      </c>
      <c r="Q273" t="s">
        <v>1</v>
      </c>
      <c r="S273" t="s">
        <v>3</v>
      </c>
      <c r="T273" t="s">
        <v>232</v>
      </c>
      <c r="U273" t="s">
        <v>35</v>
      </c>
      <c r="V273" t="s">
        <v>552</v>
      </c>
      <c r="W273" t="s">
        <v>139</v>
      </c>
    </row>
    <row r="274" spans="10:34" x14ac:dyDescent="0.25">
      <c r="J274" t="s">
        <v>128</v>
      </c>
      <c r="K274" t="s">
        <v>122</v>
      </c>
      <c r="L274" t="s">
        <v>3</v>
      </c>
      <c r="M274" t="s">
        <v>147</v>
      </c>
      <c r="N274" t="s">
        <v>147</v>
      </c>
      <c r="O274" t="s">
        <v>87</v>
      </c>
      <c r="P274" t="s">
        <v>128</v>
      </c>
      <c r="Q274" t="s">
        <v>50</v>
      </c>
      <c r="S274" t="s">
        <v>50</v>
      </c>
      <c r="T274" t="s">
        <v>31</v>
      </c>
      <c r="U274" t="s">
        <v>32</v>
      </c>
      <c r="V274" t="s">
        <v>232</v>
      </c>
      <c r="W274" t="s">
        <v>232</v>
      </c>
    </row>
    <row r="275" spans="10:34" x14ac:dyDescent="0.25">
      <c r="J275" t="s">
        <v>87</v>
      </c>
      <c r="K275" t="s">
        <v>21</v>
      </c>
      <c r="L275" t="s">
        <v>26</v>
      </c>
      <c r="M275" t="s">
        <v>49</v>
      </c>
      <c r="N275" t="s">
        <v>50</v>
      </c>
      <c r="O275" t="s">
        <v>147</v>
      </c>
      <c r="P275" t="s">
        <v>35</v>
      </c>
      <c r="Q275" t="s">
        <v>35</v>
      </c>
      <c r="S275" t="s">
        <v>49</v>
      </c>
      <c r="T275" t="s">
        <v>50</v>
      </c>
      <c r="U275" t="s">
        <v>29</v>
      </c>
      <c r="V275" t="s">
        <v>30</v>
      </c>
      <c r="W275" t="s">
        <v>31</v>
      </c>
    </row>
    <row r="276" spans="10:34" x14ac:dyDescent="0.25">
      <c r="J276" t="s">
        <v>31</v>
      </c>
      <c r="K276" t="s">
        <v>87</v>
      </c>
      <c r="L276" t="s">
        <v>52</v>
      </c>
      <c r="M276" t="s">
        <v>1</v>
      </c>
      <c r="N276" t="s">
        <v>25</v>
      </c>
      <c r="O276" t="s">
        <v>122</v>
      </c>
      <c r="P276" t="s">
        <v>31</v>
      </c>
      <c r="Q276" t="s">
        <v>87</v>
      </c>
      <c r="S276" t="s">
        <v>121</v>
      </c>
      <c r="T276" t="s">
        <v>36</v>
      </c>
      <c r="U276" t="s">
        <v>30</v>
      </c>
      <c r="V276" t="s">
        <v>31</v>
      </c>
      <c r="W276" t="s">
        <v>34</v>
      </c>
    </row>
    <row r="277" spans="10:34" x14ac:dyDescent="0.25">
      <c r="J277" t="s">
        <v>25</v>
      </c>
      <c r="K277" t="s">
        <v>50</v>
      </c>
      <c r="L277" t="s">
        <v>49</v>
      </c>
      <c r="M277" t="s">
        <v>26</v>
      </c>
      <c r="N277" t="s">
        <v>122</v>
      </c>
      <c r="O277" t="s">
        <v>232</v>
      </c>
      <c r="P277" t="s">
        <v>15</v>
      </c>
      <c r="Q277" t="s">
        <v>122</v>
      </c>
      <c r="S277" t="s">
        <v>113</v>
      </c>
      <c r="T277" t="s">
        <v>25</v>
      </c>
      <c r="U277" t="s">
        <v>15</v>
      </c>
      <c r="V277" t="s">
        <v>1</v>
      </c>
      <c r="W277" t="s">
        <v>25</v>
      </c>
    </row>
    <row r="278" spans="10:34" x14ac:dyDescent="0.25">
      <c r="J278" t="s">
        <v>21</v>
      </c>
      <c r="K278" t="s">
        <v>35</v>
      </c>
      <c r="L278" t="s">
        <v>104</v>
      </c>
      <c r="M278" t="s">
        <v>81</v>
      </c>
      <c r="N278" t="s">
        <v>35</v>
      </c>
      <c r="O278" t="s">
        <v>31</v>
      </c>
      <c r="P278" t="s">
        <v>25</v>
      </c>
      <c r="Q278" t="s">
        <v>25</v>
      </c>
      <c r="S278" t="s">
        <v>31</v>
      </c>
      <c r="T278" t="s">
        <v>34</v>
      </c>
      <c r="U278" t="s">
        <v>51</v>
      </c>
      <c r="V278" t="s">
        <v>25</v>
      </c>
      <c r="W278" t="s">
        <v>1</v>
      </c>
    </row>
    <row r="279" spans="10:34" x14ac:dyDescent="0.25">
      <c r="J279" t="s">
        <v>35</v>
      </c>
      <c r="K279" t="s">
        <v>25</v>
      </c>
      <c r="L279" t="s">
        <v>20</v>
      </c>
      <c r="M279" t="s">
        <v>20</v>
      </c>
      <c r="N279" t="s">
        <v>34</v>
      </c>
      <c r="O279" t="s">
        <v>123</v>
      </c>
      <c r="P279" t="s">
        <v>121</v>
      </c>
      <c r="Q279" t="s">
        <v>15</v>
      </c>
      <c r="S279" t="s">
        <v>25</v>
      </c>
      <c r="T279" t="s">
        <v>49</v>
      </c>
      <c r="U279" t="s">
        <v>175</v>
      </c>
      <c r="V279" t="s">
        <v>15</v>
      </c>
      <c r="W279" t="s">
        <v>15</v>
      </c>
    </row>
    <row r="280" spans="10:34" x14ac:dyDescent="0.25">
      <c r="J280" t="s">
        <v>1</v>
      </c>
      <c r="K280" t="s">
        <v>31</v>
      </c>
      <c r="L280" t="s">
        <v>81</v>
      </c>
      <c r="M280" t="s">
        <v>104</v>
      </c>
      <c r="N280" t="s">
        <v>31</v>
      </c>
      <c r="O280" t="s">
        <v>25</v>
      </c>
      <c r="P280" t="s">
        <v>87</v>
      </c>
      <c r="Q280" t="s">
        <v>31</v>
      </c>
      <c r="S280" t="s">
        <v>19</v>
      </c>
      <c r="T280" t="s">
        <v>3</v>
      </c>
      <c r="U280" t="s">
        <v>571</v>
      </c>
      <c r="V280" t="s">
        <v>147</v>
      </c>
      <c r="W280" t="s">
        <v>147</v>
      </c>
    </row>
    <row r="282" spans="10:34" x14ac:dyDescent="0.25">
      <c r="J282" s="1">
        <v>46065</v>
      </c>
      <c r="K282" s="1">
        <v>46065</v>
      </c>
      <c r="L282" s="1">
        <v>46065</v>
      </c>
      <c r="M282" s="1">
        <v>46065</v>
      </c>
      <c r="N282" s="1">
        <v>46079</v>
      </c>
      <c r="O282" s="1">
        <v>46079</v>
      </c>
      <c r="P282" s="1">
        <v>46079</v>
      </c>
      <c r="Q282" s="1">
        <v>46079</v>
      </c>
      <c r="R282" s="1">
        <v>46080</v>
      </c>
      <c r="T282" s="1">
        <v>46081</v>
      </c>
      <c r="U282" s="1">
        <v>46081</v>
      </c>
      <c r="V282" s="1">
        <v>46081</v>
      </c>
      <c r="W282" s="1">
        <v>46081</v>
      </c>
      <c r="X282" s="1">
        <v>46081</v>
      </c>
      <c r="Y282" s="1">
        <v>46081</v>
      </c>
      <c r="Z282" s="1">
        <v>46081</v>
      </c>
      <c r="AA282" s="1">
        <v>46081</v>
      </c>
      <c r="AB282" s="1">
        <v>46081</v>
      </c>
      <c r="AC282" s="1">
        <v>46081</v>
      </c>
      <c r="AD282" s="1">
        <v>46081</v>
      </c>
      <c r="AE282" s="1">
        <v>46081</v>
      </c>
      <c r="AF282" s="1">
        <v>46086</v>
      </c>
      <c r="AG282" s="1">
        <v>46086</v>
      </c>
      <c r="AH282" s="1">
        <v>46086</v>
      </c>
    </row>
    <row r="283" spans="10:34" x14ac:dyDescent="0.25">
      <c r="J283" t="s">
        <v>25</v>
      </c>
      <c r="K283" t="s">
        <v>25</v>
      </c>
      <c r="L283" t="s">
        <v>35</v>
      </c>
      <c r="M283" t="s">
        <v>232</v>
      </c>
      <c r="N283" t="s">
        <v>122</v>
      </c>
      <c r="O283" t="s">
        <v>25</v>
      </c>
      <c r="P283" t="s">
        <v>128</v>
      </c>
      <c r="Q283" t="s">
        <v>15</v>
      </c>
      <c r="R283" t="s">
        <v>24</v>
      </c>
      <c r="T283" t="s">
        <v>121</v>
      </c>
      <c r="U283" t="s">
        <v>63</v>
      </c>
      <c r="V283" t="s">
        <v>112</v>
      </c>
      <c r="W283" t="s">
        <v>4</v>
      </c>
      <c r="X283" t="s">
        <v>572</v>
      </c>
      <c r="Y283" t="s">
        <v>552</v>
      </c>
      <c r="Z283" t="s">
        <v>31</v>
      </c>
      <c r="AA283" t="s">
        <v>104</v>
      </c>
      <c r="AB283" t="s">
        <v>104</v>
      </c>
      <c r="AC283" t="s">
        <v>25</v>
      </c>
      <c r="AD283" t="s">
        <v>552</v>
      </c>
      <c r="AE283" t="s">
        <v>552</v>
      </c>
      <c r="AF283" t="s">
        <v>123</v>
      </c>
      <c r="AG283" t="s">
        <v>25</v>
      </c>
      <c r="AH283" t="s">
        <v>30</v>
      </c>
    </row>
    <row r="284" spans="10:34" x14ac:dyDescent="0.25">
      <c r="J284" t="s">
        <v>121</v>
      </c>
      <c r="K284" t="s">
        <v>36</v>
      </c>
      <c r="L284" t="s">
        <v>49</v>
      </c>
      <c r="M284" t="s">
        <v>35</v>
      </c>
      <c r="N284" t="s">
        <v>121</v>
      </c>
      <c r="O284" t="s">
        <v>21</v>
      </c>
      <c r="P284" t="s">
        <v>15</v>
      </c>
      <c r="Q284" t="s">
        <v>175</v>
      </c>
      <c r="R284" t="s">
        <v>25</v>
      </c>
      <c r="T284" t="s">
        <v>36</v>
      </c>
      <c r="U284" t="s">
        <v>49</v>
      </c>
      <c r="V284" t="s">
        <v>21</v>
      </c>
      <c r="W284" t="s">
        <v>112</v>
      </c>
      <c r="X284" t="s">
        <v>104</v>
      </c>
      <c r="Y284" t="s">
        <v>104</v>
      </c>
      <c r="Z284" t="s">
        <v>4</v>
      </c>
      <c r="AA284" t="s">
        <v>4</v>
      </c>
      <c r="AB284" t="s">
        <v>232</v>
      </c>
      <c r="AC284" t="s">
        <v>124</v>
      </c>
      <c r="AD284" t="s">
        <v>232</v>
      </c>
      <c r="AE284" t="s">
        <v>553</v>
      </c>
      <c r="AF284" t="s">
        <v>128</v>
      </c>
      <c r="AG284" t="s">
        <v>21</v>
      </c>
      <c r="AH284" t="s">
        <v>122</v>
      </c>
    </row>
    <row r="285" spans="10:34" x14ac:dyDescent="0.25">
      <c r="J285" t="s">
        <v>19</v>
      </c>
      <c r="K285" t="s">
        <v>139</v>
      </c>
      <c r="L285" t="s">
        <v>29</v>
      </c>
      <c r="M285" t="s">
        <v>29</v>
      </c>
      <c r="N285" t="s">
        <v>21</v>
      </c>
      <c r="O285" t="s">
        <v>122</v>
      </c>
      <c r="P285" t="s">
        <v>32</v>
      </c>
      <c r="Q285" t="s">
        <v>51</v>
      </c>
      <c r="R285" t="s">
        <v>148</v>
      </c>
      <c r="T285" t="s">
        <v>78</v>
      </c>
      <c r="U285" t="s">
        <v>36</v>
      </c>
      <c r="V285" t="s">
        <v>63</v>
      </c>
      <c r="W285" t="s">
        <v>121</v>
      </c>
      <c r="X285" t="s">
        <v>26</v>
      </c>
      <c r="Y285" t="s">
        <v>32</v>
      </c>
      <c r="Z285" t="s">
        <v>122</v>
      </c>
      <c r="AA285" t="s">
        <v>26</v>
      </c>
      <c r="AB285" t="s">
        <v>4</v>
      </c>
      <c r="AC285" t="s">
        <v>87</v>
      </c>
      <c r="AD285" t="s">
        <v>28</v>
      </c>
      <c r="AE285" t="s">
        <v>124</v>
      </c>
      <c r="AF285" t="s">
        <v>35</v>
      </c>
      <c r="AG285" t="s">
        <v>87</v>
      </c>
      <c r="AH285" t="s">
        <v>49</v>
      </c>
    </row>
    <row r="286" spans="10:34" x14ac:dyDescent="0.25">
      <c r="J286" t="s">
        <v>36</v>
      </c>
      <c r="K286" t="s">
        <v>87</v>
      </c>
      <c r="L286" t="s">
        <v>51</v>
      </c>
      <c r="M286" t="s">
        <v>51</v>
      </c>
      <c r="N286" t="s">
        <v>25</v>
      </c>
      <c r="O286" t="s">
        <v>87</v>
      </c>
      <c r="P286" t="s">
        <v>175</v>
      </c>
      <c r="Q286" t="s">
        <v>49</v>
      </c>
      <c r="R286" t="s">
        <v>87</v>
      </c>
      <c r="T286" t="s">
        <v>87</v>
      </c>
      <c r="U286" t="s">
        <v>21</v>
      </c>
      <c r="V286" t="s">
        <v>122</v>
      </c>
      <c r="W286" t="s">
        <v>25</v>
      </c>
      <c r="X286" t="s">
        <v>253</v>
      </c>
      <c r="Y286" t="s">
        <v>572</v>
      </c>
      <c r="Z286" t="s">
        <v>87</v>
      </c>
      <c r="AA286" t="s">
        <v>81</v>
      </c>
      <c r="AB286" t="s">
        <v>15</v>
      </c>
      <c r="AC286" t="s">
        <v>21</v>
      </c>
      <c r="AD286" t="s">
        <v>574</v>
      </c>
      <c r="AE286" t="s">
        <v>31</v>
      </c>
      <c r="AF286" t="s">
        <v>121</v>
      </c>
      <c r="AG286" t="s">
        <v>122</v>
      </c>
      <c r="AH286" t="s">
        <v>51</v>
      </c>
    </row>
    <row r="287" spans="10:34" x14ac:dyDescent="0.25">
      <c r="J287" t="s">
        <v>147</v>
      </c>
      <c r="K287" t="s">
        <v>31</v>
      </c>
      <c r="L287" t="s">
        <v>15</v>
      </c>
      <c r="M287" t="s">
        <v>49</v>
      </c>
      <c r="N287" t="s">
        <v>50</v>
      </c>
      <c r="O287" t="s">
        <v>232</v>
      </c>
      <c r="P287" t="s">
        <v>571</v>
      </c>
      <c r="Q287" t="s">
        <v>29</v>
      </c>
      <c r="R287" t="s">
        <v>37</v>
      </c>
      <c r="T287" t="s">
        <v>112</v>
      </c>
      <c r="U287" t="s">
        <v>31</v>
      </c>
      <c r="V287" t="s">
        <v>232</v>
      </c>
      <c r="W287" t="s">
        <v>87</v>
      </c>
      <c r="X287" t="s">
        <v>32</v>
      </c>
      <c r="Y287" t="s">
        <v>81</v>
      </c>
      <c r="Z287" t="s">
        <v>21</v>
      </c>
      <c r="AA287" t="s">
        <v>36</v>
      </c>
      <c r="AB287" t="s">
        <v>63</v>
      </c>
      <c r="AC287" t="s">
        <v>574</v>
      </c>
      <c r="AD287" t="s">
        <v>15</v>
      </c>
      <c r="AE287" t="s">
        <v>122</v>
      </c>
      <c r="AF287" t="s">
        <v>25</v>
      </c>
      <c r="AG287" t="s">
        <v>35</v>
      </c>
      <c r="AH287" t="s">
        <v>29</v>
      </c>
    </row>
    <row r="288" spans="10:34" x14ac:dyDescent="0.25">
      <c r="J288" t="s">
        <v>50</v>
      </c>
      <c r="K288" t="s">
        <v>50</v>
      </c>
      <c r="L288" t="s">
        <v>30</v>
      </c>
      <c r="M288" t="s">
        <v>15</v>
      </c>
      <c r="N288" t="s">
        <v>31</v>
      </c>
      <c r="O288" t="s">
        <v>50</v>
      </c>
      <c r="P288" t="s">
        <v>104</v>
      </c>
      <c r="Q288" t="s">
        <v>35</v>
      </c>
      <c r="R288" t="s">
        <v>31</v>
      </c>
      <c r="T288" t="s">
        <v>25</v>
      </c>
      <c r="U288" t="s">
        <v>232</v>
      </c>
      <c r="V288" t="s">
        <v>49</v>
      </c>
      <c r="W288" t="s">
        <v>36</v>
      </c>
      <c r="X288" t="s">
        <v>81</v>
      </c>
      <c r="Y288" t="s">
        <v>36</v>
      </c>
      <c r="Z288" t="s">
        <v>25</v>
      </c>
      <c r="AA288" t="s">
        <v>63</v>
      </c>
      <c r="AB288" t="s">
        <v>574</v>
      </c>
      <c r="AC288" t="s">
        <v>122</v>
      </c>
      <c r="AD288" t="s">
        <v>4</v>
      </c>
      <c r="AE288" t="s">
        <v>28</v>
      </c>
      <c r="AF288" t="s">
        <v>21</v>
      </c>
      <c r="AG288" t="s">
        <v>232</v>
      </c>
      <c r="AH288" t="s">
        <v>15</v>
      </c>
    </row>
    <row r="289" spans="10:34" x14ac:dyDescent="0.25">
      <c r="J289" t="s">
        <v>31</v>
      </c>
      <c r="K289" t="s">
        <v>24</v>
      </c>
      <c r="L289" t="s">
        <v>26</v>
      </c>
      <c r="M289" t="s">
        <v>81</v>
      </c>
      <c r="N289" t="s">
        <v>230</v>
      </c>
      <c r="O289" t="s">
        <v>31</v>
      </c>
      <c r="P289" t="s">
        <v>35</v>
      </c>
      <c r="Q289" t="s">
        <v>26</v>
      </c>
      <c r="R289" t="s">
        <v>573</v>
      </c>
      <c r="T289" t="s">
        <v>28</v>
      </c>
      <c r="U289" t="s">
        <v>15</v>
      </c>
      <c r="V289" t="s">
        <v>36</v>
      </c>
      <c r="W289" t="s">
        <v>31</v>
      </c>
      <c r="X289" t="s">
        <v>36</v>
      </c>
      <c r="Y289" t="s">
        <v>26</v>
      </c>
      <c r="Z289" t="s">
        <v>28</v>
      </c>
      <c r="AA289" t="s">
        <v>15</v>
      </c>
      <c r="AB289" t="s">
        <v>553</v>
      </c>
      <c r="AC289" t="s">
        <v>572</v>
      </c>
      <c r="AD289" t="s">
        <v>26</v>
      </c>
      <c r="AE289" t="s">
        <v>87</v>
      </c>
      <c r="AF289" t="s">
        <v>87</v>
      </c>
      <c r="AG289" t="s">
        <v>49</v>
      </c>
      <c r="AH289" t="s">
        <v>112</v>
      </c>
    </row>
    <row r="290" spans="10:34" x14ac:dyDescent="0.25">
      <c r="J290" t="s">
        <v>87</v>
      </c>
      <c r="K290" t="s">
        <v>19</v>
      </c>
      <c r="L290" t="s">
        <v>81</v>
      </c>
      <c r="M290" t="s">
        <v>26</v>
      </c>
      <c r="N290" t="s">
        <v>87</v>
      </c>
      <c r="O290" t="s">
        <v>104</v>
      </c>
      <c r="P290" t="s">
        <v>49</v>
      </c>
      <c r="Q290" t="s">
        <v>571</v>
      </c>
      <c r="R290" t="s">
        <v>28</v>
      </c>
      <c r="T290" t="s">
        <v>4</v>
      </c>
      <c r="U290" t="s">
        <v>122</v>
      </c>
      <c r="V290" t="s">
        <v>15</v>
      </c>
      <c r="W290" t="s">
        <v>28</v>
      </c>
      <c r="X290" t="s">
        <v>4</v>
      </c>
      <c r="Y290" t="s">
        <v>4</v>
      </c>
      <c r="Z290" t="s">
        <v>232</v>
      </c>
      <c r="AA290" t="s">
        <v>49</v>
      </c>
      <c r="AB290" t="s">
        <v>26</v>
      </c>
      <c r="AC290" t="s">
        <v>31</v>
      </c>
      <c r="AD290" t="s">
        <v>572</v>
      </c>
      <c r="AE290" t="s">
        <v>25</v>
      </c>
      <c r="AF290" t="s">
        <v>28</v>
      </c>
      <c r="AG290" t="s">
        <v>28</v>
      </c>
      <c r="AH290" t="s">
        <v>26</v>
      </c>
    </row>
    <row r="292" spans="10:34" x14ac:dyDescent="0.25">
      <c r="J292" s="1">
        <v>46087</v>
      </c>
      <c r="K292" s="1">
        <v>46087</v>
      </c>
      <c r="L292" s="1">
        <v>46093</v>
      </c>
      <c r="M292" s="1">
        <v>46093</v>
      </c>
      <c r="N292" s="1">
        <v>46093</v>
      </c>
      <c r="O292" s="1">
        <v>46093</v>
      </c>
      <c r="P292" s="1">
        <v>46094</v>
      </c>
      <c r="Q292" s="1">
        <v>46094</v>
      </c>
      <c r="S292" s="1">
        <v>46095</v>
      </c>
      <c r="T292" s="1">
        <v>46095</v>
      </c>
      <c r="U292" s="1">
        <v>46095</v>
      </c>
      <c r="V292" s="1">
        <v>46095</v>
      </c>
      <c r="W292" s="1">
        <v>46095</v>
      </c>
      <c r="X292" s="1">
        <v>46095</v>
      </c>
      <c r="Y292" s="1">
        <v>46095</v>
      </c>
      <c r="Z292" s="1">
        <v>46095</v>
      </c>
    </row>
    <row r="293" spans="10:34" x14ac:dyDescent="0.25">
      <c r="J293" t="s">
        <v>87</v>
      </c>
      <c r="K293" t="s">
        <v>124</v>
      </c>
      <c r="L293" t="s">
        <v>21</v>
      </c>
      <c r="M293" t="s">
        <v>25</v>
      </c>
      <c r="N293" t="s">
        <v>78</v>
      </c>
      <c r="O293" t="s">
        <v>15</v>
      </c>
      <c r="P293" t="s">
        <v>121</v>
      </c>
      <c r="Q293" t="s">
        <v>31</v>
      </c>
      <c r="S293" t="s">
        <v>117</v>
      </c>
      <c r="T293" t="s">
        <v>15</v>
      </c>
      <c r="U293" t="s">
        <v>104</v>
      </c>
      <c r="V293" t="s">
        <v>31</v>
      </c>
      <c r="W293" t="s">
        <v>232</v>
      </c>
      <c r="X293" t="s">
        <v>585</v>
      </c>
      <c r="Y293" t="s">
        <v>26</v>
      </c>
      <c r="Z293" t="s">
        <v>585</v>
      </c>
    </row>
    <row r="294" spans="10:34" x14ac:dyDescent="0.25">
      <c r="J294" t="s">
        <v>124</v>
      </c>
      <c r="K294" t="s">
        <v>232</v>
      </c>
      <c r="L294" t="s">
        <v>122</v>
      </c>
      <c r="M294" t="s">
        <v>31</v>
      </c>
      <c r="N294" t="s">
        <v>49</v>
      </c>
      <c r="O294" t="s">
        <v>78</v>
      </c>
      <c r="P294" t="s">
        <v>232</v>
      </c>
      <c r="Q294" t="s">
        <v>232</v>
      </c>
      <c r="S294" t="s">
        <v>232</v>
      </c>
      <c r="T294" t="s">
        <v>21</v>
      </c>
      <c r="U294" t="s">
        <v>81</v>
      </c>
      <c r="V294" t="s">
        <v>32</v>
      </c>
      <c r="W294" t="s">
        <v>63</v>
      </c>
      <c r="X294" t="s">
        <v>28</v>
      </c>
      <c r="Y294" t="s">
        <v>113</v>
      </c>
      <c r="Z294" t="s">
        <v>122</v>
      </c>
    </row>
    <row r="295" spans="10:34" x14ac:dyDescent="0.25">
      <c r="J295" t="s">
        <v>28</v>
      </c>
      <c r="K295" t="s">
        <v>4</v>
      </c>
      <c r="L295" t="s">
        <v>35</v>
      </c>
      <c r="M295" t="s">
        <v>35</v>
      </c>
      <c r="N295" t="s">
        <v>26</v>
      </c>
      <c r="O295" t="s">
        <v>117</v>
      </c>
      <c r="P295" t="s">
        <v>28</v>
      </c>
      <c r="Q295" t="s">
        <v>87</v>
      </c>
      <c r="S295" t="s">
        <v>21</v>
      </c>
      <c r="T295" t="s">
        <v>232</v>
      </c>
      <c r="U295" t="s">
        <v>124</v>
      </c>
      <c r="V295" t="s">
        <v>58</v>
      </c>
      <c r="W295" t="s">
        <v>104</v>
      </c>
      <c r="X295" t="s">
        <v>122</v>
      </c>
      <c r="Y295" t="s">
        <v>81</v>
      </c>
      <c r="Z295" t="s">
        <v>232</v>
      </c>
    </row>
    <row r="296" spans="10:34" x14ac:dyDescent="0.25">
      <c r="J296" t="s">
        <v>4</v>
      </c>
      <c r="K296" t="s">
        <v>28</v>
      </c>
      <c r="L296" t="s">
        <v>25</v>
      </c>
      <c r="M296" t="s">
        <v>122</v>
      </c>
      <c r="N296" t="s">
        <v>15</v>
      </c>
      <c r="O296" t="s">
        <v>29</v>
      </c>
      <c r="P296" t="s">
        <v>31</v>
      </c>
      <c r="Q296" t="s">
        <v>29</v>
      </c>
      <c r="S296" t="s">
        <v>87</v>
      </c>
      <c r="T296" t="s">
        <v>87</v>
      </c>
      <c r="U296" t="s">
        <v>121</v>
      </c>
      <c r="V296" t="s">
        <v>121</v>
      </c>
      <c r="W296" t="s">
        <v>15</v>
      </c>
      <c r="X296" t="s">
        <v>31</v>
      </c>
      <c r="Y296" t="s">
        <v>104</v>
      </c>
      <c r="Z296" t="s">
        <v>15</v>
      </c>
    </row>
    <row r="297" spans="10:34" x14ac:dyDescent="0.25">
      <c r="J297" t="s">
        <v>63</v>
      </c>
      <c r="K297" t="s">
        <v>31</v>
      </c>
      <c r="L297" t="s">
        <v>31</v>
      </c>
      <c r="M297" t="s">
        <v>21</v>
      </c>
      <c r="N297" t="s">
        <v>104</v>
      </c>
      <c r="O297" t="s">
        <v>49</v>
      </c>
      <c r="P297" t="s">
        <v>87</v>
      </c>
      <c r="Q297" t="s">
        <v>25</v>
      </c>
      <c r="S297" t="s">
        <v>124</v>
      </c>
      <c r="T297" t="s">
        <v>25</v>
      </c>
      <c r="U297" t="s">
        <v>32</v>
      </c>
      <c r="V297" t="s">
        <v>26</v>
      </c>
      <c r="W297" t="s">
        <v>26</v>
      </c>
      <c r="X297" t="s">
        <v>21</v>
      </c>
      <c r="Y297" t="s">
        <v>585</v>
      </c>
      <c r="Z297" t="s">
        <v>28</v>
      </c>
    </row>
    <row r="298" spans="10:34" x14ac:dyDescent="0.25">
      <c r="J298" t="s">
        <v>121</v>
      </c>
      <c r="K298" t="s">
        <v>87</v>
      </c>
      <c r="L298" t="s">
        <v>117</v>
      </c>
      <c r="M298" t="s">
        <v>78</v>
      </c>
      <c r="N298" t="s">
        <v>29</v>
      </c>
      <c r="O298" t="s">
        <v>26</v>
      </c>
      <c r="P298" t="s">
        <v>472</v>
      </c>
      <c r="Q298" t="s">
        <v>124</v>
      </c>
      <c r="S298" t="s">
        <v>78</v>
      </c>
      <c r="T298" t="s">
        <v>117</v>
      </c>
      <c r="U298" t="s">
        <v>31</v>
      </c>
      <c r="V298" t="s">
        <v>104</v>
      </c>
      <c r="W298" t="s">
        <v>29</v>
      </c>
      <c r="X298" t="s">
        <v>25</v>
      </c>
      <c r="Y298" t="s">
        <v>15</v>
      </c>
      <c r="Z298" t="s">
        <v>25</v>
      </c>
    </row>
    <row r="299" spans="10:34" x14ac:dyDescent="0.25">
      <c r="J299" t="s">
        <v>31</v>
      </c>
      <c r="K299" t="s">
        <v>63</v>
      </c>
      <c r="L299" t="s">
        <v>87</v>
      </c>
      <c r="M299" t="s">
        <v>117</v>
      </c>
      <c r="N299" t="s">
        <v>117</v>
      </c>
      <c r="O299" t="s">
        <v>104</v>
      </c>
      <c r="P299" t="s">
        <v>25</v>
      </c>
      <c r="Q299" t="s">
        <v>472</v>
      </c>
      <c r="S299" t="s">
        <v>25</v>
      </c>
      <c r="T299" t="s">
        <v>124</v>
      </c>
      <c r="U299" t="s">
        <v>26</v>
      </c>
      <c r="V299" t="s">
        <v>113</v>
      </c>
      <c r="W299" t="s">
        <v>117</v>
      </c>
      <c r="X299" t="s">
        <v>1</v>
      </c>
      <c r="Y299" t="s">
        <v>232</v>
      </c>
      <c r="Z299" t="s">
        <v>26</v>
      </c>
    </row>
    <row r="300" spans="10:34" x14ac:dyDescent="0.25">
      <c r="J300" t="s">
        <v>25</v>
      </c>
      <c r="K300" t="s">
        <v>25</v>
      </c>
      <c r="L300" t="s">
        <v>78</v>
      </c>
      <c r="M300" t="s">
        <v>87</v>
      </c>
      <c r="N300" t="s">
        <v>51</v>
      </c>
      <c r="O300" t="s">
        <v>51</v>
      </c>
      <c r="P300" t="s">
        <v>21</v>
      </c>
      <c r="Q300" t="s">
        <v>21</v>
      </c>
      <c r="S300" t="s">
        <v>15</v>
      </c>
      <c r="T300" t="s">
        <v>78</v>
      </c>
      <c r="U300" t="s">
        <v>63</v>
      </c>
      <c r="V300" t="s">
        <v>81</v>
      </c>
      <c r="W300" t="s">
        <v>81</v>
      </c>
      <c r="X300" t="s">
        <v>87</v>
      </c>
      <c r="Y300" t="s">
        <v>29</v>
      </c>
      <c r="Z300" t="s">
        <v>21</v>
      </c>
    </row>
    <row r="302" spans="10:34" x14ac:dyDescent="0.25">
      <c r="J302" s="1">
        <v>46100</v>
      </c>
      <c r="K302" s="1">
        <v>46100</v>
      </c>
      <c r="L302" s="1">
        <v>46101</v>
      </c>
      <c r="M302" s="1">
        <v>46101</v>
      </c>
      <c r="N302" s="1">
        <v>46101</v>
      </c>
      <c r="O302" s="1">
        <v>46107</v>
      </c>
      <c r="P302" s="1">
        <v>46107</v>
      </c>
      <c r="Q302" s="1">
        <v>46107</v>
      </c>
      <c r="R302" s="1">
        <v>46107</v>
      </c>
      <c r="S302" s="1">
        <v>46108</v>
      </c>
      <c r="T302" s="1">
        <v>46108</v>
      </c>
      <c r="V302" s="1">
        <v>46109</v>
      </c>
      <c r="W302" s="1">
        <v>46109</v>
      </c>
      <c r="X302" s="1">
        <v>46114</v>
      </c>
      <c r="Y302" s="1">
        <v>46114</v>
      </c>
      <c r="Z302" s="1">
        <v>46114</v>
      </c>
      <c r="AA302" s="1">
        <v>46114</v>
      </c>
      <c r="AB302" s="1">
        <v>46115</v>
      </c>
      <c r="AC302" s="1">
        <v>46115</v>
      </c>
      <c r="AD302" s="1">
        <v>46115</v>
      </c>
    </row>
    <row r="303" spans="10:34" x14ac:dyDescent="0.25">
      <c r="J303" t="s">
        <v>117</v>
      </c>
      <c r="K303" t="s">
        <v>78</v>
      </c>
      <c r="L303" t="s">
        <v>8</v>
      </c>
      <c r="M303" t="s">
        <v>232</v>
      </c>
      <c r="N303" t="s">
        <v>585</v>
      </c>
      <c r="O303" t="s">
        <v>58</v>
      </c>
      <c r="P303" t="s">
        <v>9</v>
      </c>
      <c r="Q303" t="s">
        <v>572</v>
      </c>
      <c r="R303" t="s">
        <v>35</v>
      </c>
      <c r="S303" t="s">
        <v>232</v>
      </c>
      <c r="T303" t="s">
        <v>586</v>
      </c>
      <c r="V303" t="s">
        <v>31</v>
      </c>
      <c r="W303" t="s">
        <v>574</v>
      </c>
      <c r="X303" t="s">
        <v>128</v>
      </c>
      <c r="Y303" t="s">
        <v>116</v>
      </c>
      <c r="Z303" t="s">
        <v>122</v>
      </c>
      <c r="AA303" t="s">
        <v>29</v>
      </c>
      <c r="AB303" t="s">
        <v>25</v>
      </c>
      <c r="AC303" t="s">
        <v>232</v>
      </c>
      <c r="AD303" t="s">
        <v>117</v>
      </c>
    </row>
    <row r="304" spans="10:34" x14ac:dyDescent="0.25">
      <c r="J304" t="s">
        <v>25</v>
      </c>
      <c r="K304" t="s">
        <v>232</v>
      </c>
      <c r="L304" t="s">
        <v>35</v>
      </c>
      <c r="M304" t="s">
        <v>87</v>
      </c>
      <c r="N304" t="s">
        <v>56</v>
      </c>
      <c r="O304" t="s">
        <v>9</v>
      </c>
      <c r="P304" t="s">
        <v>586</v>
      </c>
      <c r="Q304" t="s">
        <v>122</v>
      </c>
      <c r="R304" t="s">
        <v>122</v>
      </c>
      <c r="S304" t="s">
        <v>123</v>
      </c>
      <c r="T304" t="s">
        <v>232</v>
      </c>
      <c r="V304" t="s">
        <v>232</v>
      </c>
      <c r="W304" t="s">
        <v>590</v>
      </c>
      <c r="X304" t="s">
        <v>35</v>
      </c>
      <c r="Y304" t="s">
        <v>31</v>
      </c>
      <c r="Z304" t="s">
        <v>9</v>
      </c>
      <c r="AA304" t="s">
        <v>104</v>
      </c>
      <c r="AB304" t="s">
        <v>232</v>
      </c>
      <c r="AC304" t="s">
        <v>117</v>
      </c>
      <c r="AD304" t="s">
        <v>10</v>
      </c>
    </row>
    <row r="305" spans="10:30" x14ac:dyDescent="0.25">
      <c r="J305" t="s">
        <v>116</v>
      </c>
      <c r="K305" t="s">
        <v>123</v>
      </c>
      <c r="L305" t="s">
        <v>31</v>
      </c>
      <c r="M305" t="s">
        <v>8</v>
      </c>
      <c r="N305" t="s">
        <v>175</v>
      </c>
      <c r="O305" t="s">
        <v>25</v>
      </c>
      <c r="P305" t="s">
        <v>28</v>
      </c>
      <c r="Q305" t="s">
        <v>35</v>
      </c>
      <c r="R305" t="s">
        <v>232</v>
      </c>
      <c r="S305" t="s">
        <v>28</v>
      </c>
      <c r="T305" t="s">
        <v>123</v>
      </c>
      <c r="V305" t="s">
        <v>589</v>
      </c>
      <c r="W305" t="s">
        <v>232</v>
      </c>
      <c r="X305" t="s">
        <v>10</v>
      </c>
      <c r="Y305" t="s">
        <v>122</v>
      </c>
      <c r="Z305" t="s">
        <v>49</v>
      </c>
      <c r="AA305" t="s">
        <v>122</v>
      </c>
      <c r="AB305" t="s">
        <v>31</v>
      </c>
      <c r="AC305" t="s">
        <v>588</v>
      </c>
      <c r="AD305" t="s">
        <v>574</v>
      </c>
    </row>
    <row r="306" spans="10:30" x14ac:dyDescent="0.25">
      <c r="J306" t="s">
        <v>78</v>
      </c>
      <c r="K306" t="s">
        <v>25</v>
      </c>
      <c r="L306" t="s">
        <v>121</v>
      </c>
      <c r="M306" t="s">
        <v>28</v>
      </c>
      <c r="N306" t="s">
        <v>232</v>
      </c>
      <c r="O306" t="s">
        <v>31</v>
      </c>
      <c r="P306" t="s">
        <v>129</v>
      </c>
      <c r="Q306" t="s">
        <v>104</v>
      </c>
      <c r="R306" t="s">
        <v>26</v>
      </c>
      <c r="S306" t="s">
        <v>588</v>
      </c>
      <c r="T306" t="s">
        <v>25</v>
      </c>
      <c r="V306" t="s">
        <v>124</v>
      </c>
      <c r="W306" t="s">
        <v>553</v>
      </c>
      <c r="X306" t="s">
        <v>25</v>
      </c>
      <c r="Y306" t="s">
        <v>19</v>
      </c>
      <c r="Z306" t="s">
        <v>116</v>
      </c>
      <c r="AA306" t="s">
        <v>49</v>
      </c>
      <c r="AB306" t="s">
        <v>28</v>
      </c>
      <c r="AC306" t="s">
        <v>587</v>
      </c>
      <c r="AD306" t="s">
        <v>553</v>
      </c>
    </row>
    <row r="307" spans="10:30" x14ac:dyDescent="0.25">
      <c r="J307" t="s">
        <v>28</v>
      </c>
      <c r="K307" t="s">
        <v>117</v>
      </c>
      <c r="L307" t="s">
        <v>28</v>
      </c>
      <c r="M307" t="s">
        <v>31</v>
      </c>
      <c r="N307" t="s">
        <v>31</v>
      </c>
      <c r="O307" t="s">
        <v>10</v>
      </c>
      <c r="P307" t="s">
        <v>10</v>
      </c>
      <c r="Q307" t="s">
        <v>26</v>
      </c>
      <c r="R307" t="s">
        <v>58</v>
      </c>
      <c r="S307" t="s">
        <v>25</v>
      </c>
      <c r="T307" t="s">
        <v>28</v>
      </c>
      <c r="V307" t="s">
        <v>28</v>
      </c>
      <c r="W307" t="s">
        <v>31</v>
      </c>
      <c r="X307" t="s">
        <v>586</v>
      </c>
      <c r="Y307" t="s">
        <v>35</v>
      </c>
      <c r="Z307" t="s">
        <v>30</v>
      </c>
      <c r="AA307" t="s">
        <v>26</v>
      </c>
      <c r="AB307" t="s">
        <v>586</v>
      </c>
      <c r="AC307" t="s">
        <v>10</v>
      </c>
      <c r="AD307" t="s">
        <v>28</v>
      </c>
    </row>
    <row r="308" spans="10:30" x14ac:dyDescent="0.25">
      <c r="J308" t="s">
        <v>31</v>
      </c>
      <c r="K308" t="s">
        <v>31</v>
      </c>
      <c r="L308" t="s">
        <v>232</v>
      </c>
      <c r="M308" t="s">
        <v>585</v>
      </c>
      <c r="N308" t="s">
        <v>28</v>
      </c>
      <c r="O308" t="s">
        <v>19</v>
      </c>
      <c r="P308" t="s">
        <v>116</v>
      </c>
      <c r="Q308" t="s">
        <v>29</v>
      </c>
      <c r="R308" t="s">
        <v>587</v>
      </c>
      <c r="S308" t="s">
        <v>403</v>
      </c>
      <c r="T308" t="s">
        <v>31</v>
      </c>
      <c r="V308" t="s">
        <v>116</v>
      </c>
      <c r="W308" t="s">
        <v>586</v>
      </c>
      <c r="X308" t="s">
        <v>31</v>
      </c>
      <c r="Y308" t="s">
        <v>25</v>
      </c>
      <c r="Z308" t="s">
        <v>29</v>
      </c>
      <c r="AA308" t="s">
        <v>9</v>
      </c>
      <c r="AB308" t="s">
        <v>587</v>
      </c>
      <c r="AC308" t="s">
        <v>28</v>
      </c>
      <c r="AD308" t="s">
        <v>31</v>
      </c>
    </row>
    <row r="309" spans="10:30" x14ac:dyDescent="0.25">
      <c r="J309" t="s">
        <v>87</v>
      </c>
      <c r="K309" t="s">
        <v>28</v>
      </c>
      <c r="L309" t="s">
        <v>87</v>
      </c>
      <c r="M309" t="s">
        <v>25</v>
      </c>
      <c r="N309" t="s">
        <v>25</v>
      </c>
      <c r="O309" t="s">
        <v>28</v>
      </c>
      <c r="P309" t="s">
        <v>31</v>
      </c>
      <c r="Q309" t="s">
        <v>587</v>
      </c>
      <c r="R309" t="s">
        <v>29</v>
      </c>
      <c r="S309" t="s">
        <v>586</v>
      </c>
      <c r="T309" t="s">
        <v>588</v>
      </c>
      <c r="V309" t="s">
        <v>8</v>
      </c>
      <c r="W309" t="s">
        <v>25</v>
      </c>
      <c r="X309" t="s">
        <v>116</v>
      </c>
      <c r="Y309" t="s">
        <v>586</v>
      </c>
      <c r="Z309" t="s">
        <v>26</v>
      </c>
      <c r="AA309" t="s">
        <v>30</v>
      </c>
      <c r="AB309" t="s">
        <v>10</v>
      </c>
      <c r="AC309" t="s">
        <v>591</v>
      </c>
      <c r="AD309" t="s">
        <v>12</v>
      </c>
    </row>
    <row r="310" spans="10:30" x14ac:dyDescent="0.25">
      <c r="J310" t="s">
        <v>128</v>
      </c>
      <c r="K310" t="s">
        <v>87</v>
      </c>
      <c r="L310" t="s">
        <v>25</v>
      </c>
      <c r="M310" t="s">
        <v>35</v>
      </c>
      <c r="N310" t="s">
        <v>571</v>
      </c>
      <c r="O310" t="s">
        <v>586</v>
      </c>
      <c r="P310" t="s">
        <v>25</v>
      </c>
      <c r="Q310" t="s">
        <v>574</v>
      </c>
      <c r="R310" t="s">
        <v>104</v>
      </c>
      <c r="S310" t="s">
        <v>31</v>
      </c>
      <c r="T310" t="s">
        <v>403</v>
      </c>
      <c r="V310" t="s">
        <v>586</v>
      </c>
      <c r="W310" t="s">
        <v>28</v>
      </c>
      <c r="X310" t="s">
        <v>28</v>
      </c>
      <c r="Y310" t="s">
        <v>28</v>
      </c>
      <c r="Z310" t="s">
        <v>104</v>
      </c>
      <c r="AA310" t="s">
        <v>116</v>
      </c>
      <c r="AB310" t="s">
        <v>588</v>
      </c>
      <c r="AC310" t="s">
        <v>31</v>
      </c>
      <c r="AD310" t="s">
        <v>591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862"/>
  <sheetViews>
    <sheetView topLeftCell="A778" workbookViewId="0">
      <selection activeCell="Q797" sqref="Q797:W85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1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1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1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1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1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1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1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1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1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1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1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1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1:39" x14ac:dyDescent="0.25">
      <c r="A797" s="4" t="s">
        <v>42</v>
      </c>
      <c r="B797" s="4" t="s">
        <v>38</v>
      </c>
      <c r="C797" s="4" t="s">
        <v>39</v>
      </c>
      <c r="D797" s="4" t="s">
        <v>40</v>
      </c>
      <c r="E797" s="4" t="s">
        <v>111</v>
      </c>
      <c r="J797" s="4" t="s">
        <v>42</v>
      </c>
      <c r="K797" s="4" t="s">
        <v>38</v>
      </c>
      <c r="L797" s="4" t="s">
        <v>39</v>
      </c>
      <c r="M797" s="4" t="s">
        <v>40</v>
      </c>
      <c r="O797" s="4" t="s">
        <v>111</v>
      </c>
      <c r="Q797" s="4" t="s">
        <v>42</v>
      </c>
      <c r="R797" s="4" t="s">
        <v>38</v>
      </c>
      <c r="S797" s="4" t="s">
        <v>39</v>
      </c>
      <c r="T797" s="4" t="s">
        <v>40</v>
      </c>
      <c r="U797" s="4" t="s">
        <v>111</v>
      </c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  <row r="798" spans="1:39" x14ac:dyDescent="0.25">
      <c r="A798" s="18" t="s">
        <v>128</v>
      </c>
      <c r="B798" s="18">
        <v>90</v>
      </c>
      <c r="C798" s="18">
        <v>28</v>
      </c>
      <c r="D798" s="18">
        <f t="shared" ref="D798:D829" si="81">G798/B798</f>
        <v>3.0555555555555554</v>
      </c>
      <c r="E798" s="18">
        <f t="shared" ref="E798:E829" si="82">C798/B798</f>
        <v>0.31111111111111112</v>
      </c>
      <c r="G798" s="18">
        <v>275</v>
      </c>
      <c r="I798">
        <f t="shared" ref="I798:I829" si="83">ROW(I798)-1</f>
        <v>797</v>
      </c>
      <c r="J798" s="18" t="s">
        <v>128</v>
      </c>
      <c r="K798" s="18">
        <v>92</v>
      </c>
      <c r="L798" s="18">
        <v>28</v>
      </c>
      <c r="M798" s="18">
        <f t="shared" ref="M798:M829" si="84">N798/K798</f>
        <v>3.1413043478260869</v>
      </c>
      <c r="N798" s="18">
        <v>289</v>
      </c>
      <c r="O798" s="18">
        <f t="shared" ref="O798:O829" si="85">L798/K798</f>
        <v>0.30434782608695654</v>
      </c>
      <c r="Q798" s="60" t="s">
        <v>128</v>
      </c>
      <c r="R798" s="60">
        <v>84</v>
      </c>
      <c r="S798" s="60">
        <v>26</v>
      </c>
      <c r="T798" s="60">
        <f t="shared" ref="T798:T829" si="86">W798/R798</f>
        <v>3.0714285714285716</v>
      </c>
      <c r="U798" s="63">
        <f t="shared" ref="U798:U829" si="87">S798/R798</f>
        <v>0.30952380952380953</v>
      </c>
      <c r="W798" s="18">
        <v>258</v>
      </c>
    </row>
    <row r="799" spans="1:39" x14ac:dyDescent="0.25">
      <c r="A799" s="59" t="s">
        <v>175</v>
      </c>
      <c r="B799" s="59">
        <v>33</v>
      </c>
      <c r="C799" s="59">
        <v>8</v>
      </c>
      <c r="D799" s="59">
        <f t="shared" si="81"/>
        <v>3.2424242424242422</v>
      </c>
      <c r="E799" s="59">
        <f t="shared" si="82"/>
        <v>0.24242424242424243</v>
      </c>
      <c r="G799" s="18">
        <v>107</v>
      </c>
      <c r="I799">
        <f t="shared" si="83"/>
        <v>798</v>
      </c>
      <c r="J799" s="18" t="s">
        <v>175</v>
      </c>
      <c r="K799" s="18">
        <v>34</v>
      </c>
      <c r="L799" s="18">
        <v>8</v>
      </c>
      <c r="M799" s="18">
        <f t="shared" si="84"/>
        <v>3.2058823529411766</v>
      </c>
      <c r="N799" s="18">
        <v>109</v>
      </c>
      <c r="O799" s="18">
        <f t="shared" si="85"/>
        <v>0.23529411764705882</v>
      </c>
      <c r="Q799" s="59" t="s">
        <v>175</v>
      </c>
      <c r="R799" s="59">
        <v>30</v>
      </c>
      <c r="S799" s="59">
        <v>8</v>
      </c>
      <c r="T799" s="59">
        <f t="shared" si="86"/>
        <v>3.2333333333333334</v>
      </c>
      <c r="U799" s="59">
        <f t="shared" si="87"/>
        <v>0.26666666666666666</v>
      </c>
      <c r="W799" s="18">
        <v>97</v>
      </c>
    </row>
    <row r="800" spans="1:39" x14ac:dyDescent="0.25">
      <c r="A800" s="59" t="s">
        <v>35</v>
      </c>
      <c r="B800" s="59">
        <v>137</v>
      </c>
      <c r="C800" s="59">
        <v>37</v>
      </c>
      <c r="D800" s="59">
        <f t="shared" si="81"/>
        <v>3.5839416058394162</v>
      </c>
      <c r="E800" s="59">
        <f t="shared" si="82"/>
        <v>0.27007299270072993</v>
      </c>
      <c r="G800" s="18">
        <v>491</v>
      </c>
      <c r="I800">
        <f t="shared" si="83"/>
        <v>799</v>
      </c>
      <c r="J800" s="18" t="s">
        <v>35</v>
      </c>
      <c r="K800" s="18">
        <v>141</v>
      </c>
      <c r="L800" s="18">
        <v>38</v>
      </c>
      <c r="M800" s="18">
        <f t="shared" si="84"/>
        <v>3.5531914893617023</v>
      </c>
      <c r="N800" s="18">
        <v>501</v>
      </c>
      <c r="O800" s="18">
        <f t="shared" si="85"/>
        <v>0.26950354609929078</v>
      </c>
      <c r="Q800" s="59" t="s">
        <v>35</v>
      </c>
      <c r="R800" s="59">
        <v>120</v>
      </c>
      <c r="S800" s="64">
        <v>34</v>
      </c>
      <c r="T800" s="59">
        <f t="shared" si="86"/>
        <v>3.5750000000000002</v>
      </c>
      <c r="U800" s="59">
        <f t="shared" si="87"/>
        <v>0.28333333333333333</v>
      </c>
      <c r="W800" s="18">
        <v>429</v>
      </c>
    </row>
    <row r="801" spans="1:23" x14ac:dyDescent="0.25">
      <c r="A801" s="59" t="s">
        <v>52</v>
      </c>
      <c r="B801" s="59">
        <v>22</v>
      </c>
      <c r="C801" s="59">
        <v>2</v>
      </c>
      <c r="D801" s="59">
        <f t="shared" si="81"/>
        <v>3.6363636363636362</v>
      </c>
      <c r="E801" s="59">
        <f t="shared" si="82"/>
        <v>9.0909090909090912E-2</v>
      </c>
      <c r="F801" s="2" t="s">
        <v>44</v>
      </c>
      <c r="G801" s="18">
        <v>80</v>
      </c>
      <c r="I801">
        <f t="shared" si="83"/>
        <v>800</v>
      </c>
      <c r="J801" s="18" t="s">
        <v>52</v>
      </c>
      <c r="K801" s="18">
        <v>22</v>
      </c>
      <c r="L801" s="18">
        <v>2</v>
      </c>
      <c r="M801" s="18">
        <f t="shared" si="84"/>
        <v>3.6363636363636362</v>
      </c>
      <c r="N801" s="18">
        <v>80</v>
      </c>
      <c r="O801" s="18">
        <f t="shared" si="85"/>
        <v>9.0909090909090912E-2</v>
      </c>
      <c r="Q801" s="59" t="s">
        <v>52</v>
      </c>
      <c r="R801" s="59">
        <v>22</v>
      </c>
      <c r="S801" s="59">
        <v>2</v>
      </c>
      <c r="T801" s="59">
        <f t="shared" si="86"/>
        <v>3.6363636363636362</v>
      </c>
      <c r="U801" s="59">
        <f t="shared" si="87"/>
        <v>9.0909090909090912E-2</v>
      </c>
      <c r="V801" s="2" t="s">
        <v>47</v>
      </c>
      <c r="W801" s="18">
        <v>80</v>
      </c>
    </row>
    <row r="802" spans="1:23" x14ac:dyDescent="0.25">
      <c r="A802" s="59" t="s">
        <v>148</v>
      </c>
      <c r="B802" s="59">
        <v>37</v>
      </c>
      <c r="C802" s="59">
        <v>8</v>
      </c>
      <c r="D802" s="59">
        <f t="shared" si="81"/>
        <v>3.7297297297297298</v>
      </c>
      <c r="E802" s="59">
        <f t="shared" si="82"/>
        <v>0.21621621621621623</v>
      </c>
      <c r="F802" s="2" t="s">
        <v>44</v>
      </c>
      <c r="G802" s="18">
        <v>138</v>
      </c>
      <c r="I802">
        <f t="shared" si="83"/>
        <v>801</v>
      </c>
      <c r="J802" s="18" t="s">
        <v>147</v>
      </c>
      <c r="K802" s="18">
        <v>102</v>
      </c>
      <c r="L802" s="18">
        <v>19</v>
      </c>
      <c r="M802" s="18">
        <f t="shared" si="84"/>
        <v>3.6960784313725492</v>
      </c>
      <c r="N802" s="18">
        <v>377</v>
      </c>
      <c r="O802" s="18">
        <f t="shared" si="85"/>
        <v>0.18627450980392157</v>
      </c>
      <c r="Q802" s="59" t="s">
        <v>147</v>
      </c>
      <c r="R802" s="59">
        <v>75</v>
      </c>
      <c r="S802" s="59">
        <v>15</v>
      </c>
      <c r="T802" s="59">
        <f t="shared" si="86"/>
        <v>3.7066666666666666</v>
      </c>
      <c r="U802" s="59">
        <f t="shared" si="87"/>
        <v>0.2</v>
      </c>
      <c r="V802" s="3" t="s">
        <v>46</v>
      </c>
      <c r="W802" s="18">
        <v>278</v>
      </c>
    </row>
    <row r="803" spans="1:23" x14ac:dyDescent="0.25">
      <c r="A803" s="59" t="s">
        <v>147</v>
      </c>
      <c r="B803" s="59">
        <v>98</v>
      </c>
      <c r="C803" s="59">
        <v>18</v>
      </c>
      <c r="D803" s="59">
        <f t="shared" si="81"/>
        <v>3.7346938775510203</v>
      </c>
      <c r="E803" s="59">
        <f t="shared" si="82"/>
        <v>0.18367346938775511</v>
      </c>
      <c r="F803" s="3" t="s">
        <v>45</v>
      </c>
      <c r="G803" s="18">
        <v>366</v>
      </c>
      <c r="I803">
        <f t="shared" si="83"/>
        <v>802</v>
      </c>
      <c r="J803" s="18" t="s">
        <v>148</v>
      </c>
      <c r="K803" s="18">
        <v>39</v>
      </c>
      <c r="L803" s="18">
        <v>8</v>
      </c>
      <c r="M803" s="18">
        <f t="shared" si="84"/>
        <v>3.7435897435897436</v>
      </c>
      <c r="N803" s="18">
        <v>146</v>
      </c>
      <c r="O803" s="18">
        <f t="shared" si="85"/>
        <v>0.20512820512820512</v>
      </c>
      <c r="Q803" s="59" t="s">
        <v>121</v>
      </c>
      <c r="R803" s="59">
        <v>69</v>
      </c>
      <c r="S803" s="59">
        <v>16</v>
      </c>
      <c r="T803" s="59">
        <f t="shared" si="86"/>
        <v>3.8260869565217392</v>
      </c>
      <c r="U803" s="59">
        <f t="shared" si="87"/>
        <v>0.2318840579710145</v>
      </c>
      <c r="V803" s="2" t="s">
        <v>47</v>
      </c>
      <c r="W803" s="18">
        <v>264</v>
      </c>
    </row>
    <row r="804" spans="1:23" x14ac:dyDescent="0.25">
      <c r="A804" s="59" t="s">
        <v>10</v>
      </c>
      <c r="B804" s="59">
        <v>66</v>
      </c>
      <c r="C804" s="59">
        <v>13</v>
      </c>
      <c r="D804" s="59">
        <f t="shared" si="81"/>
        <v>3.8787878787878789</v>
      </c>
      <c r="E804" s="59">
        <f t="shared" si="82"/>
        <v>0.19696969696969696</v>
      </c>
      <c r="F804" s="2" t="s">
        <v>44</v>
      </c>
      <c r="G804" s="18">
        <v>256</v>
      </c>
      <c r="I804">
        <f t="shared" si="83"/>
        <v>803</v>
      </c>
      <c r="J804" s="18" t="s">
        <v>10</v>
      </c>
      <c r="K804" s="18">
        <v>66</v>
      </c>
      <c r="L804" s="18">
        <v>13</v>
      </c>
      <c r="M804" s="18">
        <f t="shared" si="84"/>
        <v>3.8787878787878789</v>
      </c>
      <c r="N804" s="18">
        <v>256</v>
      </c>
      <c r="O804" s="18">
        <f t="shared" si="85"/>
        <v>0.19696969696969696</v>
      </c>
      <c r="Q804" s="59" t="s">
        <v>232</v>
      </c>
      <c r="R804" s="59">
        <v>49</v>
      </c>
      <c r="S804" s="59">
        <v>11</v>
      </c>
      <c r="T804" s="59">
        <f t="shared" si="86"/>
        <v>3.8571428571428572</v>
      </c>
      <c r="U804" s="59">
        <f t="shared" si="87"/>
        <v>0.22448979591836735</v>
      </c>
      <c r="W804" s="18">
        <v>189</v>
      </c>
    </row>
    <row r="805" spans="1:23" x14ac:dyDescent="0.25">
      <c r="A805" s="59" t="s">
        <v>29</v>
      </c>
      <c r="B805" s="59">
        <v>102</v>
      </c>
      <c r="C805" s="59">
        <v>15</v>
      </c>
      <c r="D805" s="59">
        <f t="shared" si="81"/>
        <v>3.892156862745098</v>
      </c>
      <c r="E805" s="59">
        <f t="shared" si="82"/>
        <v>0.14705882352941177</v>
      </c>
      <c r="F805" s="3" t="s">
        <v>46</v>
      </c>
      <c r="G805" s="18">
        <v>397</v>
      </c>
      <c r="I805">
        <f t="shared" si="83"/>
        <v>804</v>
      </c>
      <c r="J805" s="18" t="s">
        <v>29</v>
      </c>
      <c r="K805" s="18">
        <v>103</v>
      </c>
      <c r="L805" s="18">
        <v>15</v>
      </c>
      <c r="M805" s="18">
        <f t="shared" si="84"/>
        <v>3.883495145631068</v>
      </c>
      <c r="N805" s="18">
        <v>400</v>
      </c>
      <c r="O805" s="18">
        <f t="shared" si="85"/>
        <v>0.14563106796116504</v>
      </c>
      <c r="Q805" s="59" t="s">
        <v>29</v>
      </c>
      <c r="R805" s="59">
        <v>88</v>
      </c>
      <c r="S805" s="59">
        <v>12</v>
      </c>
      <c r="T805" s="59">
        <f t="shared" si="86"/>
        <v>3.875</v>
      </c>
      <c r="U805" s="59">
        <f t="shared" si="87"/>
        <v>0.13636363636363635</v>
      </c>
      <c r="V805" s="2" t="s">
        <v>44</v>
      </c>
      <c r="W805" s="18">
        <v>341</v>
      </c>
    </row>
    <row r="806" spans="1:23" x14ac:dyDescent="0.25">
      <c r="A806" s="59" t="s">
        <v>121</v>
      </c>
      <c r="B806" s="59">
        <v>78</v>
      </c>
      <c r="C806" s="59">
        <v>18</v>
      </c>
      <c r="D806" s="59">
        <f t="shared" si="81"/>
        <v>3.9230769230769229</v>
      </c>
      <c r="E806" s="59">
        <f t="shared" si="82"/>
        <v>0.23076923076923078</v>
      </c>
      <c r="F806" s="2" t="s">
        <v>44</v>
      </c>
      <c r="G806" s="18">
        <v>306</v>
      </c>
      <c r="I806">
        <f t="shared" si="83"/>
        <v>805</v>
      </c>
      <c r="J806" s="18" t="s">
        <v>121</v>
      </c>
      <c r="K806" s="18">
        <v>79</v>
      </c>
      <c r="L806" s="18">
        <v>18</v>
      </c>
      <c r="M806" s="18">
        <f t="shared" si="84"/>
        <v>3.8987341772151898</v>
      </c>
      <c r="N806" s="18">
        <v>308</v>
      </c>
      <c r="O806" s="18">
        <f t="shared" si="85"/>
        <v>0.22784810126582278</v>
      </c>
      <c r="Q806" s="59" t="s">
        <v>10</v>
      </c>
      <c r="R806" s="59">
        <v>66</v>
      </c>
      <c r="S806" s="59">
        <v>13</v>
      </c>
      <c r="T806" s="59">
        <f t="shared" si="86"/>
        <v>3.8787878787878789</v>
      </c>
      <c r="U806" s="59">
        <f t="shared" si="87"/>
        <v>0.19696969696969696</v>
      </c>
      <c r="V806" s="3" t="s">
        <v>55</v>
      </c>
      <c r="W806" s="18">
        <v>256</v>
      </c>
    </row>
    <row r="807" spans="1:23" x14ac:dyDescent="0.25">
      <c r="A807" s="59" t="s">
        <v>232</v>
      </c>
      <c r="B807" s="59">
        <v>72</v>
      </c>
      <c r="C807" s="59">
        <v>14</v>
      </c>
      <c r="D807" s="59">
        <f t="shared" si="81"/>
        <v>3.9305555555555554</v>
      </c>
      <c r="E807" s="59">
        <f t="shared" si="82"/>
        <v>0.19444444444444445</v>
      </c>
      <c r="F807" s="3" t="s">
        <v>46</v>
      </c>
      <c r="G807" s="18">
        <v>283</v>
      </c>
      <c r="I807">
        <f t="shared" si="83"/>
        <v>806</v>
      </c>
      <c r="J807" s="18" t="s">
        <v>232</v>
      </c>
      <c r="K807" s="18">
        <v>78</v>
      </c>
      <c r="L807" s="18">
        <v>15</v>
      </c>
      <c r="M807" s="18">
        <f t="shared" si="84"/>
        <v>3.9871794871794872</v>
      </c>
      <c r="N807" s="18">
        <v>311</v>
      </c>
      <c r="O807" s="18">
        <f t="shared" si="85"/>
        <v>0.19230769230769232</v>
      </c>
      <c r="Q807" s="41" t="s">
        <v>125</v>
      </c>
      <c r="R807" s="41">
        <v>21</v>
      </c>
      <c r="S807" s="41">
        <v>1</v>
      </c>
      <c r="T807" s="41">
        <f t="shared" si="86"/>
        <v>4</v>
      </c>
      <c r="U807" s="41">
        <f t="shared" si="87"/>
        <v>4.7619047619047616E-2</v>
      </c>
      <c r="V807" s="2" t="s">
        <v>44</v>
      </c>
      <c r="W807" s="18">
        <v>84</v>
      </c>
    </row>
    <row r="808" spans="1:23" x14ac:dyDescent="0.25">
      <c r="A808" s="41" t="s">
        <v>125</v>
      </c>
      <c r="B808" s="41">
        <v>21</v>
      </c>
      <c r="C808" s="41">
        <v>1</v>
      </c>
      <c r="D808" s="41">
        <f t="shared" si="81"/>
        <v>4</v>
      </c>
      <c r="E808" s="41">
        <f t="shared" si="82"/>
        <v>4.7619047619047616E-2</v>
      </c>
      <c r="F808" s="3"/>
      <c r="G808" s="18">
        <v>84</v>
      </c>
      <c r="I808">
        <f t="shared" si="83"/>
        <v>807</v>
      </c>
      <c r="J808" s="18" t="s">
        <v>125</v>
      </c>
      <c r="K808" s="18">
        <v>21</v>
      </c>
      <c r="L808" s="18">
        <v>1</v>
      </c>
      <c r="M808" s="18">
        <f t="shared" si="84"/>
        <v>4</v>
      </c>
      <c r="N808" s="18">
        <v>84</v>
      </c>
      <c r="O808" s="18">
        <f t="shared" si="85"/>
        <v>4.7619047619047616E-2</v>
      </c>
      <c r="Q808" s="41" t="s">
        <v>3</v>
      </c>
      <c r="R808" s="41">
        <v>37</v>
      </c>
      <c r="S808" s="41">
        <v>6</v>
      </c>
      <c r="T808" s="41">
        <f t="shared" si="86"/>
        <v>4.0270270270270272</v>
      </c>
      <c r="U808" s="41">
        <f t="shared" si="87"/>
        <v>0.16216216216216217</v>
      </c>
      <c r="V808" s="2" t="s">
        <v>59</v>
      </c>
      <c r="W808" s="18">
        <v>149</v>
      </c>
    </row>
    <row r="809" spans="1:23" x14ac:dyDescent="0.25">
      <c r="A809" s="41" t="s">
        <v>3</v>
      </c>
      <c r="B809" s="41">
        <v>41</v>
      </c>
      <c r="C809" s="41">
        <v>6</v>
      </c>
      <c r="D809" s="41">
        <f t="shared" si="81"/>
        <v>4.0487804878048781</v>
      </c>
      <c r="E809" s="41">
        <f t="shared" si="82"/>
        <v>0.14634146341463414</v>
      </c>
      <c r="F809" s="2" t="s">
        <v>47</v>
      </c>
      <c r="G809" s="18">
        <v>166</v>
      </c>
      <c r="I809">
        <f t="shared" si="83"/>
        <v>808</v>
      </c>
      <c r="J809" s="18" t="s">
        <v>3</v>
      </c>
      <c r="K809" s="18">
        <v>41</v>
      </c>
      <c r="L809" s="18">
        <v>6</v>
      </c>
      <c r="M809" s="18">
        <f t="shared" si="84"/>
        <v>4.0487804878048781</v>
      </c>
      <c r="N809" s="18">
        <v>166</v>
      </c>
      <c r="O809" s="18">
        <f t="shared" si="85"/>
        <v>0.14634146341463414</v>
      </c>
      <c r="Q809" s="41" t="s">
        <v>116</v>
      </c>
      <c r="R809" s="41">
        <v>20</v>
      </c>
      <c r="S809" s="41">
        <v>4</v>
      </c>
      <c r="T809" s="41">
        <f t="shared" si="86"/>
        <v>4.05</v>
      </c>
      <c r="U809" s="41">
        <f t="shared" si="87"/>
        <v>0.2</v>
      </c>
      <c r="W809" s="18">
        <v>81</v>
      </c>
    </row>
    <row r="810" spans="1:23" x14ac:dyDescent="0.25">
      <c r="A810" s="41" t="s">
        <v>116</v>
      </c>
      <c r="B810" s="41">
        <v>20</v>
      </c>
      <c r="C810" s="41">
        <v>4</v>
      </c>
      <c r="D810" s="41">
        <f t="shared" si="81"/>
        <v>4.05</v>
      </c>
      <c r="E810" s="41">
        <f t="shared" si="82"/>
        <v>0.2</v>
      </c>
      <c r="F810" s="3" t="s">
        <v>46</v>
      </c>
      <c r="G810" s="18">
        <v>81</v>
      </c>
      <c r="I810">
        <f t="shared" si="83"/>
        <v>809</v>
      </c>
      <c r="J810" s="18" t="s">
        <v>116</v>
      </c>
      <c r="K810" s="18">
        <v>20</v>
      </c>
      <c r="L810" s="18">
        <v>4</v>
      </c>
      <c r="M810" s="18">
        <f t="shared" si="84"/>
        <v>4.05</v>
      </c>
      <c r="N810" s="18">
        <v>81</v>
      </c>
      <c r="O810" s="18">
        <f t="shared" si="85"/>
        <v>0.2</v>
      </c>
      <c r="Q810" s="41" t="s">
        <v>0</v>
      </c>
      <c r="R810" s="41">
        <v>77</v>
      </c>
      <c r="S810" s="41">
        <v>13</v>
      </c>
      <c r="T810" s="41">
        <f t="shared" si="86"/>
        <v>4.0779220779220777</v>
      </c>
      <c r="U810" s="41">
        <f t="shared" si="87"/>
        <v>0.16883116883116883</v>
      </c>
      <c r="W810" s="18">
        <v>314</v>
      </c>
    </row>
    <row r="811" spans="1:23" x14ac:dyDescent="0.25">
      <c r="A811" s="41" t="s">
        <v>7</v>
      </c>
      <c r="B811" s="41">
        <v>20</v>
      </c>
      <c r="C811" s="41">
        <v>4</v>
      </c>
      <c r="D811" s="41">
        <f t="shared" si="81"/>
        <v>4.0999999999999996</v>
      </c>
      <c r="E811" s="41">
        <f t="shared" si="82"/>
        <v>0.2</v>
      </c>
      <c r="F811" s="3" t="s">
        <v>46</v>
      </c>
      <c r="G811" s="18">
        <v>82</v>
      </c>
      <c r="I811">
        <f t="shared" si="83"/>
        <v>810</v>
      </c>
      <c r="J811" s="18" t="s">
        <v>7</v>
      </c>
      <c r="K811" s="18">
        <v>20</v>
      </c>
      <c r="L811" s="18">
        <v>4</v>
      </c>
      <c r="M811" s="18">
        <f t="shared" si="84"/>
        <v>4.0999999999999996</v>
      </c>
      <c r="N811" s="18">
        <v>82</v>
      </c>
      <c r="O811" s="18">
        <f t="shared" si="85"/>
        <v>0.2</v>
      </c>
      <c r="Q811" s="41" t="s">
        <v>7</v>
      </c>
      <c r="R811" s="41">
        <v>20</v>
      </c>
      <c r="S811" s="41">
        <v>4</v>
      </c>
      <c r="T811" s="41">
        <f t="shared" si="86"/>
        <v>4.0999999999999996</v>
      </c>
      <c r="U811" s="41">
        <f t="shared" si="87"/>
        <v>0.2</v>
      </c>
      <c r="V811" s="35" t="s">
        <v>485</v>
      </c>
      <c r="W811" s="18">
        <v>82</v>
      </c>
    </row>
    <row r="812" spans="1:23" x14ac:dyDescent="0.25">
      <c r="A812" s="41" t="s">
        <v>2</v>
      </c>
      <c r="B812" s="41">
        <v>28</v>
      </c>
      <c r="C812" s="41">
        <v>5</v>
      </c>
      <c r="D812" s="41">
        <f t="shared" si="81"/>
        <v>4.1428571428571432</v>
      </c>
      <c r="E812" s="41">
        <f t="shared" si="82"/>
        <v>0.17857142857142858</v>
      </c>
      <c r="G812">
        <v>116</v>
      </c>
      <c r="I812">
        <f t="shared" si="83"/>
        <v>811</v>
      </c>
      <c r="J812" s="18" t="s">
        <v>22</v>
      </c>
      <c r="K812" s="18">
        <v>176</v>
      </c>
      <c r="L812" s="18">
        <v>28</v>
      </c>
      <c r="M812" s="18">
        <f t="shared" si="84"/>
        <v>4.1420454545454541</v>
      </c>
      <c r="N812" s="18">
        <v>729</v>
      </c>
      <c r="O812" s="18">
        <f t="shared" si="85"/>
        <v>0.15909090909090909</v>
      </c>
      <c r="Q812" s="41" t="s">
        <v>148</v>
      </c>
      <c r="R812" s="41">
        <v>30</v>
      </c>
      <c r="S812" s="41">
        <v>4</v>
      </c>
      <c r="T812" s="41">
        <f t="shared" si="86"/>
        <v>4.1333333333333337</v>
      </c>
      <c r="U812" s="41">
        <f t="shared" si="87"/>
        <v>0.13333333333333333</v>
      </c>
      <c r="V812" s="3" t="s">
        <v>381</v>
      </c>
      <c r="W812" s="18">
        <v>124</v>
      </c>
    </row>
    <row r="813" spans="1:23" x14ac:dyDescent="0.25">
      <c r="A813" s="41" t="s">
        <v>58</v>
      </c>
      <c r="B813" s="41">
        <v>20</v>
      </c>
      <c r="C813" s="41">
        <v>3</v>
      </c>
      <c r="D813" s="41">
        <f t="shared" si="81"/>
        <v>4.1500000000000004</v>
      </c>
      <c r="E813" s="41">
        <f t="shared" si="82"/>
        <v>0.15</v>
      </c>
      <c r="G813" s="18">
        <v>83</v>
      </c>
      <c r="I813">
        <f t="shared" si="83"/>
        <v>812</v>
      </c>
      <c r="J813" t="s">
        <v>2</v>
      </c>
      <c r="K813">
        <v>28</v>
      </c>
      <c r="L813">
        <v>5</v>
      </c>
      <c r="M813">
        <f t="shared" si="84"/>
        <v>4.1428571428571432</v>
      </c>
      <c r="N813">
        <v>116</v>
      </c>
      <c r="O813">
        <f t="shared" si="85"/>
        <v>0.17857142857142858</v>
      </c>
      <c r="Q813" s="41" t="s">
        <v>2</v>
      </c>
      <c r="R813" s="41">
        <v>28</v>
      </c>
      <c r="S813" s="41">
        <v>5</v>
      </c>
      <c r="T813" s="41">
        <f t="shared" si="86"/>
        <v>4.1428571428571432</v>
      </c>
      <c r="U813" s="41">
        <f t="shared" si="87"/>
        <v>0.17857142857142858</v>
      </c>
      <c r="V813" s="3" t="s">
        <v>46</v>
      </c>
      <c r="W813">
        <v>116</v>
      </c>
    </row>
    <row r="814" spans="1:23" x14ac:dyDescent="0.25">
      <c r="A814" s="41" t="s">
        <v>9</v>
      </c>
      <c r="B814" s="41">
        <v>20</v>
      </c>
      <c r="C814" s="41">
        <v>2</v>
      </c>
      <c r="D814" s="41">
        <f t="shared" si="81"/>
        <v>4.1500000000000004</v>
      </c>
      <c r="E814" s="41">
        <f t="shared" si="82"/>
        <v>0.1</v>
      </c>
      <c r="G814" s="18">
        <v>83</v>
      </c>
      <c r="I814">
        <f t="shared" si="83"/>
        <v>813</v>
      </c>
      <c r="J814" s="18" t="s">
        <v>58</v>
      </c>
      <c r="K814" s="18">
        <v>20</v>
      </c>
      <c r="L814" s="18">
        <v>3</v>
      </c>
      <c r="M814" s="18">
        <f t="shared" si="84"/>
        <v>4.1500000000000004</v>
      </c>
      <c r="N814" s="18">
        <v>83</v>
      </c>
      <c r="O814" s="18">
        <f t="shared" si="85"/>
        <v>0.15</v>
      </c>
      <c r="Q814" s="41" t="s">
        <v>58</v>
      </c>
      <c r="R814" s="41">
        <v>20</v>
      </c>
      <c r="S814" s="41">
        <v>3</v>
      </c>
      <c r="T814" s="41">
        <f t="shared" si="86"/>
        <v>4.1500000000000004</v>
      </c>
      <c r="U814" s="41">
        <f t="shared" si="87"/>
        <v>0.15</v>
      </c>
      <c r="V814" s="3" t="s">
        <v>46</v>
      </c>
      <c r="W814" s="18">
        <v>83</v>
      </c>
    </row>
    <row r="815" spans="1:23" x14ac:dyDescent="0.25">
      <c r="A815" s="41" t="s">
        <v>0</v>
      </c>
      <c r="B815" s="41">
        <v>84</v>
      </c>
      <c r="C815" s="41">
        <v>14</v>
      </c>
      <c r="D815" s="41">
        <f t="shared" si="81"/>
        <v>4.1547619047619051</v>
      </c>
      <c r="E815" s="41">
        <f t="shared" si="82"/>
        <v>0.16666666666666666</v>
      </c>
      <c r="G815" s="18">
        <v>349</v>
      </c>
      <c r="I815">
        <f t="shared" si="83"/>
        <v>814</v>
      </c>
      <c r="J815" s="18" t="s">
        <v>9</v>
      </c>
      <c r="K815" s="18">
        <v>20</v>
      </c>
      <c r="L815" s="18">
        <v>2</v>
      </c>
      <c r="M815" s="18">
        <f t="shared" si="84"/>
        <v>4.1500000000000004</v>
      </c>
      <c r="N815" s="18">
        <v>83</v>
      </c>
      <c r="O815" s="18">
        <f t="shared" si="85"/>
        <v>0.1</v>
      </c>
      <c r="Q815" s="41" t="s">
        <v>115</v>
      </c>
      <c r="R815" s="41">
        <v>25</v>
      </c>
      <c r="S815" s="41">
        <v>2</v>
      </c>
      <c r="T815" s="41">
        <f t="shared" si="86"/>
        <v>4.2</v>
      </c>
      <c r="U815" s="41">
        <f t="shared" si="87"/>
        <v>0.08</v>
      </c>
      <c r="W815" s="18">
        <v>105</v>
      </c>
    </row>
    <row r="816" spans="1:23" x14ac:dyDescent="0.25">
      <c r="A816" s="41" t="s">
        <v>22</v>
      </c>
      <c r="B816" s="41">
        <v>175</v>
      </c>
      <c r="C816" s="41">
        <v>27</v>
      </c>
      <c r="D816" s="41">
        <f t="shared" si="81"/>
        <v>4.16</v>
      </c>
      <c r="E816" s="41">
        <f t="shared" si="82"/>
        <v>0.15428571428571428</v>
      </c>
      <c r="G816" s="18">
        <v>728</v>
      </c>
      <c r="I816">
        <f t="shared" si="83"/>
        <v>815</v>
      </c>
      <c r="J816" s="18" t="s">
        <v>0</v>
      </c>
      <c r="K816" s="18">
        <v>84</v>
      </c>
      <c r="L816" s="18">
        <v>14</v>
      </c>
      <c r="M816" s="18">
        <f t="shared" si="84"/>
        <v>4.1547619047619051</v>
      </c>
      <c r="N816" s="18">
        <v>349</v>
      </c>
      <c r="O816" s="18">
        <f t="shared" si="85"/>
        <v>0.16666666666666666</v>
      </c>
      <c r="Q816" s="41" t="s">
        <v>22</v>
      </c>
      <c r="R816" s="41">
        <v>172</v>
      </c>
      <c r="S816" s="41">
        <v>25</v>
      </c>
      <c r="T816" s="41">
        <f t="shared" si="86"/>
        <v>4.2093023255813957</v>
      </c>
      <c r="U816" s="41">
        <f t="shared" si="87"/>
        <v>0.14534883720930233</v>
      </c>
      <c r="V816" s="3" t="s">
        <v>45</v>
      </c>
      <c r="W816" s="18">
        <v>724</v>
      </c>
    </row>
    <row r="817" spans="1:23" x14ac:dyDescent="0.25">
      <c r="A817" s="41" t="s">
        <v>112</v>
      </c>
      <c r="B817" s="41">
        <v>26</v>
      </c>
      <c r="C817" s="41">
        <v>5</v>
      </c>
      <c r="D817" s="41">
        <f t="shared" si="81"/>
        <v>4.2307692307692308</v>
      </c>
      <c r="E817" s="41">
        <f t="shared" si="82"/>
        <v>0.19230769230769232</v>
      </c>
      <c r="F817" s="2"/>
      <c r="G817" s="18">
        <v>110</v>
      </c>
      <c r="I817">
        <f t="shared" si="83"/>
        <v>816</v>
      </c>
      <c r="J817" s="18" t="s">
        <v>112</v>
      </c>
      <c r="K817" s="18">
        <v>26</v>
      </c>
      <c r="L817" s="18">
        <v>5</v>
      </c>
      <c r="M817" s="18">
        <f t="shared" si="84"/>
        <v>4.2307692307692308</v>
      </c>
      <c r="N817" s="18">
        <v>110</v>
      </c>
      <c r="O817" s="18">
        <f t="shared" si="85"/>
        <v>0.19230769230769232</v>
      </c>
      <c r="Q817" s="41" t="s">
        <v>112</v>
      </c>
      <c r="R817" s="41">
        <v>26</v>
      </c>
      <c r="S817" s="41">
        <v>5</v>
      </c>
      <c r="T817" s="41">
        <f t="shared" si="86"/>
        <v>4.2307692307692308</v>
      </c>
      <c r="U817" s="41">
        <f t="shared" si="87"/>
        <v>0.19230769230769232</v>
      </c>
      <c r="V817" s="2" t="s">
        <v>44</v>
      </c>
      <c r="W817" s="18">
        <v>110</v>
      </c>
    </row>
    <row r="818" spans="1:23" x14ac:dyDescent="0.25">
      <c r="A818" s="41" t="s">
        <v>63</v>
      </c>
      <c r="B818" s="41">
        <v>21</v>
      </c>
      <c r="C818" s="41">
        <v>3</v>
      </c>
      <c r="D818" s="41">
        <f t="shared" si="81"/>
        <v>4.2380952380952381</v>
      </c>
      <c r="E818" s="41">
        <f t="shared" si="82"/>
        <v>0.14285714285714285</v>
      </c>
      <c r="F818" s="2" t="s">
        <v>44</v>
      </c>
      <c r="G818" s="18">
        <v>89</v>
      </c>
      <c r="I818">
        <f t="shared" si="83"/>
        <v>817</v>
      </c>
      <c r="J818" s="18" t="s">
        <v>63</v>
      </c>
      <c r="K818" s="18">
        <v>21</v>
      </c>
      <c r="L818" s="18">
        <v>3</v>
      </c>
      <c r="M818" s="18">
        <f t="shared" si="84"/>
        <v>4.2380952380952381</v>
      </c>
      <c r="N818" s="18">
        <v>89</v>
      </c>
      <c r="O818" s="18">
        <f t="shared" si="85"/>
        <v>0.14285714285714285</v>
      </c>
      <c r="Q818" s="41" t="s">
        <v>122</v>
      </c>
      <c r="R818" s="41">
        <v>72</v>
      </c>
      <c r="S818" s="41">
        <v>7</v>
      </c>
      <c r="T818" s="41">
        <f t="shared" si="86"/>
        <v>4.2361111111111107</v>
      </c>
      <c r="U818" s="41">
        <f t="shared" si="87"/>
        <v>9.7222222222222224E-2</v>
      </c>
      <c r="V818" s="3" t="s">
        <v>45</v>
      </c>
      <c r="W818" s="18">
        <v>305</v>
      </c>
    </row>
    <row r="819" spans="1:23" x14ac:dyDescent="0.25">
      <c r="A819" s="41" t="s">
        <v>104</v>
      </c>
      <c r="B819" s="41">
        <v>84</v>
      </c>
      <c r="C819" s="41">
        <v>5</v>
      </c>
      <c r="D819" s="41">
        <f t="shared" si="81"/>
        <v>4.25</v>
      </c>
      <c r="E819" s="41">
        <f t="shared" si="82"/>
        <v>5.9523809523809521E-2</v>
      </c>
      <c r="F819" s="2" t="s">
        <v>44</v>
      </c>
      <c r="G819" s="18">
        <v>357</v>
      </c>
      <c r="I819">
        <f t="shared" si="83"/>
        <v>818</v>
      </c>
      <c r="J819" s="18" t="s">
        <v>104</v>
      </c>
      <c r="K819" s="18">
        <v>84</v>
      </c>
      <c r="L819" s="18">
        <v>5</v>
      </c>
      <c r="M819" s="18">
        <f t="shared" si="84"/>
        <v>4.25</v>
      </c>
      <c r="N819" s="18">
        <v>357</v>
      </c>
      <c r="O819" s="18">
        <f t="shared" si="85"/>
        <v>5.9523809523809521E-2</v>
      </c>
      <c r="Q819" s="41" t="s">
        <v>63</v>
      </c>
      <c r="R819" s="41">
        <v>21</v>
      </c>
      <c r="S819" s="41">
        <v>3</v>
      </c>
      <c r="T819" s="41">
        <f t="shared" si="86"/>
        <v>4.2380952380952381</v>
      </c>
      <c r="U819" s="41">
        <f t="shared" si="87"/>
        <v>0.14285714285714285</v>
      </c>
      <c r="V819" s="3" t="s">
        <v>45</v>
      </c>
      <c r="W819" s="18">
        <v>89</v>
      </c>
    </row>
    <row r="820" spans="1:23" x14ac:dyDescent="0.25">
      <c r="A820" s="41" t="s">
        <v>50</v>
      </c>
      <c r="B820" s="41">
        <v>20</v>
      </c>
      <c r="C820" s="41">
        <v>1</v>
      </c>
      <c r="D820" s="41">
        <f t="shared" si="81"/>
        <v>4.25</v>
      </c>
      <c r="E820" s="41">
        <f t="shared" si="82"/>
        <v>0.05</v>
      </c>
      <c r="F820" s="2" t="s">
        <v>44</v>
      </c>
      <c r="G820" s="18">
        <v>85</v>
      </c>
      <c r="I820">
        <f t="shared" si="83"/>
        <v>819</v>
      </c>
      <c r="J820" s="18" t="s">
        <v>50</v>
      </c>
      <c r="K820" s="18">
        <v>20</v>
      </c>
      <c r="L820" s="18">
        <v>1</v>
      </c>
      <c r="M820" s="18">
        <f t="shared" si="84"/>
        <v>4.25</v>
      </c>
      <c r="N820" s="18">
        <v>85</v>
      </c>
      <c r="O820" s="18">
        <f t="shared" si="85"/>
        <v>0.05</v>
      </c>
      <c r="Q820" s="41" t="s">
        <v>50</v>
      </c>
      <c r="R820" s="41">
        <v>20</v>
      </c>
      <c r="S820" s="41">
        <v>1</v>
      </c>
      <c r="T820" s="41">
        <f t="shared" si="86"/>
        <v>4.25</v>
      </c>
      <c r="U820" s="41">
        <f t="shared" si="87"/>
        <v>0.05</v>
      </c>
      <c r="V820" s="3" t="s">
        <v>46</v>
      </c>
      <c r="W820" s="18">
        <v>85</v>
      </c>
    </row>
    <row r="821" spans="1:23" x14ac:dyDescent="0.25">
      <c r="A821" s="41" t="s">
        <v>122</v>
      </c>
      <c r="B821" s="41">
        <v>75</v>
      </c>
      <c r="C821" s="41">
        <v>7</v>
      </c>
      <c r="D821" s="41">
        <f t="shared" si="81"/>
        <v>4.253333333333333</v>
      </c>
      <c r="E821" s="41">
        <f t="shared" si="82"/>
        <v>9.3333333333333338E-2</v>
      </c>
      <c r="F821" s="3" t="s">
        <v>54</v>
      </c>
      <c r="G821" s="18">
        <v>319</v>
      </c>
      <c r="I821">
        <f t="shared" si="83"/>
        <v>820</v>
      </c>
      <c r="J821" s="18" t="s">
        <v>139</v>
      </c>
      <c r="K821" s="18">
        <v>20</v>
      </c>
      <c r="L821" s="18">
        <v>2</v>
      </c>
      <c r="M821" s="18">
        <f t="shared" si="84"/>
        <v>4.3</v>
      </c>
      <c r="N821" s="18">
        <v>86</v>
      </c>
      <c r="O821" s="18">
        <f t="shared" si="85"/>
        <v>0.1</v>
      </c>
      <c r="Q821" s="41" t="s">
        <v>104</v>
      </c>
      <c r="R821" s="41">
        <v>75</v>
      </c>
      <c r="S821" s="41">
        <v>5</v>
      </c>
      <c r="T821" s="41">
        <f t="shared" si="86"/>
        <v>4.293333333333333</v>
      </c>
      <c r="U821" s="41">
        <f t="shared" si="87"/>
        <v>6.6666666666666666E-2</v>
      </c>
      <c r="W821" s="18">
        <v>322</v>
      </c>
    </row>
    <row r="822" spans="1:23" x14ac:dyDescent="0.25">
      <c r="A822" s="41" t="s">
        <v>139</v>
      </c>
      <c r="B822" s="41">
        <v>20</v>
      </c>
      <c r="C822" s="41">
        <v>2</v>
      </c>
      <c r="D822" s="41">
        <f t="shared" si="81"/>
        <v>4.3</v>
      </c>
      <c r="E822" s="41">
        <f t="shared" si="82"/>
        <v>0.1</v>
      </c>
      <c r="G822" s="18">
        <v>86</v>
      </c>
      <c r="I822">
        <f t="shared" si="83"/>
        <v>821</v>
      </c>
      <c r="J822" s="18" t="s">
        <v>122</v>
      </c>
      <c r="K822" s="18">
        <v>80</v>
      </c>
      <c r="L822" s="18">
        <v>7</v>
      </c>
      <c r="M822" s="18">
        <f t="shared" si="84"/>
        <v>4.3375000000000004</v>
      </c>
      <c r="N822" s="18">
        <v>347</v>
      </c>
      <c r="O822" s="18">
        <f t="shared" si="85"/>
        <v>8.7499999999999994E-2</v>
      </c>
      <c r="Q822" s="41" t="s">
        <v>139</v>
      </c>
      <c r="R822" s="41">
        <v>20</v>
      </c>
      <c r="S822" s="41">
        <v>2</v>
      </c>
      <c r="T822" s="41">
        <f t="shared" si="86"/>
        <v>4.3</v>
      </c>
      <c r="U822" s="41">
        <f t="shared" si="87"/>
        <v>0.1</v>
      </c>
      <c r="V822" s="3" t="s">
        <v>45</v>
      </c>
      <c r="W822" s="18">
        <v>86</v>
      </c>
    </row>
    <row r="823" spans="1:23" x14ac:dyDescent="0.25">
      <c r="A823" s="41" t="s">
        <v>115</v>
      </c>
      <c r="B823" s="41">
        <v>39</v>
      </c>
      <c r="C823" s="41">
        <v>3</v>
      </c>
      <c r="D823" s="41">
        <f t="shared" si="81"/>
        <v>4.384615384615385</v>
      </c>
      <c r="E823" s="41">
        <f t="shared" si="82"/>
        <v>7.6923076923076927E-2</v>
      </c>
      <c r="G823" s="18">
        <v>171</v>
      </c>
      <c r="I823">
        <f t="shared" si="83"/>
        <v>822</v>
      </c>
      <c r="J823" s="18" t="s">
        <v>115</v>
      </c>
      <c r="K823" s="18">
        <v>39</v>
      </c>
      <c r="L823" s="18">
        <v>3</v>
      </c>
      <c r="M823" s="18">
        <f t="shared" si="84"/>
        <v>4.384615384615385</v>
      </c>
      <c r="N823" s="18">
        <v>171</v>
      </c>
      <c r="O823" s="18">
        <f t="shared" si="85"/>
        <v>7.6923076923076927E-2</v>
      </c>
      <c r="Q823" s="32" t="s">
        <v>15</v>
      </c>
      <c r="R823" s="65">
        <v>190</v>
      </c>
      <c r="S823" s="32">
        <v>33</v>
      </c>
      <c r="T823" s="32">
        <f t="shared" si="86"/>
        <v>4.4157894736842103</v>
      </c>
      <c r="U823" s="32">
        <f t="shared" si="87"/>
        <v>0.1736842105263158</v>
      </c>
      <c r="V823" s="2" t="s">
        <v>59</v>
      </c>
      <c r="W823" s="18">
        <v>839</v>
      </c>
    </row>
    <row r="824" spans="1:23" x14ac:dyDescent="0.25">
      <c r="A824" s="32" t="s">
        <v>21</v>
      </c>
      <c r="B824" s="32">
        <v>131</v>
      </c>
      <c r="C824" s="32">
        <v>18</v>
      </c>
      <c r="D824" s="32">
        <f t="shared" si="81"/>
        <v>4.4274809160305342</v>
      </c>
      <c r="E824" s="32">
        <f t="shared" si="82"/>
        <v>0.13740458015267176</v>
      </c>
      <c r="G824" s="18">
        <v>580</v>
      </c>
      <c r="I824">
        <f t="shared" si="83"/>
        <v>823</v>
      </c>
      <c r="J824" s="18" t="s">
        <v>21</v>
      </c>
      <c r="K824" s="18">
        <v>135</v>
      </c>
      <c r="L824" s="18">
        <v>20</v>
      </c>
      <c r="M824" s="18">
        <f t="shared" si="84"/>
        <v>4.3925925925925924</v>
      </c>
      <c r="N824" s="18">
        <v>593</v>
      </c>
      <c r="O824" s="18">
        <f t="shared" si="85"/>
        <v>0.14814814814814814</v>
      </c>
      <c r="Q824" s="32" t="s">
        <v>27</v>
      </c>
      <c r="R824" s="32">
        <v>36</v>
      </c>
      <c r="S824" s="32">
        <v>3</v>
      </c>
      <c r="T824" s="32">
        <f t="shared" si="86"/>
        <v>4.4444444444444446</v>
      </c>
      <c r="U824" s="32">
        <f t="shared" si="87"/>
        <v>8.3333333333333329E-2</v>
      </c>
      <c r="W824" s="18">
        <v>160</v>
      </c>
    </row>
    <row r="825" spans="1:23" x14ac:dyDescent="0.25">
      <c r="A825" s="32" t="s">
        <v>123</v>
      </c>
      <c r="B825" s="32">
        <v>30</v>
      </c>
      <c r="C825" s="32">
        <v>4</v>
      </c>
      <c r="D825" s="32">
        <f t="shared" si="81"/>
        <v>4.4333333333333336</v>
      </c>
      <c r="E825" s="32">
        <f t="shared" si="82"/>
        <v>0.13333333333333333</v>
      </c>
      <c r="G825" s="18">
        <v>133</v>
      </c>
      <c r="I825">
        <f t="shared" si="83"/>
        <v>824</v>
      </c>
      <c r="J825" s="18" t="s">
        <v>123</v>
      </c>
      <c r="K825" s="18">
        <v>30</v>
      </c>
      <c r="L825" s="18">
        <v>4</v>
      </c>
      <c r="M825" s="18">
        <f t="shared" si="84"/>
        <v>4.4333333333333336</v>
      </c>
      <c r="N825" s="18">
        <v>133</v>
      </c>
      <c r="O825" s="18">
        <f t="shared" si="85"/>
        <v>0.13333333333333333</v>
      </c>
      <c r="Q825" s="32" t="s">
        <v>129</v>
      </c>
      <c r="R825" s="32">
        <v>40</v>
      </c>
      <c r="S825" s="32">
        <v>7</v>
      </c>
      <c r="T825" s="32">
        <f t="shared" si="86"/>
        <v>4.45</v>
      </c>
      <c r="U825" s="32">
        <f t="shared" si="87"/>
        <v>0.17499999999999999</v>
      </c>
      <c r="W825">
        <v>178</v>
      </c>
    </row>
    <row r="826" spans="1:23" x14ac:dyDescent="0.25">
      <c r="A826" s="32" t="s">
        <v>27</v>
      </c>
      <c r="B826" s="32">
        <v>36</v>
      </c>
      <c r="C826" s="32">
        <v>3</v>
      </c>
      <c r="D826" s="32">
        <f t="shared" si="81"/>
        <v>4.4444444444444446</v>
      </c>
      <c r="E826" s="32">
        <f t="shared" si="82"/>
        <v>8.3333333333333329E-2</v>
      </c>
      <c r="G826" s="18">
        <v>160</v>
      </c>
      <c r="I826">
        <f t="shared" si="83"/>
        <v>825</v>
      </c>
      <c r="J826" s="18" t="s">
        <v>27</v>
      </c>
      <c r="K826" s="18">
        <v>36</v>
      </c>
      <c r="L826" s="18">
        <v>3</v>
      </c>
      <c r="M826" s="18">
        <f t="shared" si="84"/>
        <v>4.4444444444444446</v>
      </c>
      <c r="N826" s="18">
        <v>160</v>
      </c>
      <c r="O826" s="18">
        <f t="shared" si="85"/>
        <v>8.3333333333333329E-2</v>
      </c>
      <c r="Q826" s="32" t="s">
        <v>8</v>
      </c>
      <c r="R826" s="32">
        <v>46</v>
      </c>
      <c r="S826" s="32">
        <v>5</v>
      </c>
      <c r="T826" s="32">
        <f t="shared" si="86"/>
        <v>4.4782608695652177</v>
      </c>
      <c r="U826" s="32">
        <f t="shared" si="87"/>
        <v>0.10869565217391304</v>
      </c>
      <c r="V826" s="2" t="s">
        <v>44</v>
      </c>
      <c r="W826" s="18">
        <v>206</v>
      </c>
    </row>
    <row r="827" spans="1:23" x14ac:dyDescent="0.25">
      <c r="A827" s="32" t="s">
        <v>129</v>
      </c>
      <c r="B827" s="32">
        <v>40</v>
      </c>
      <c r="C827" s="32">
        <v>7</v>
      </c>
      <c r="D827" s="32">
        <f t="shared" si="81"/>
        <v>4.45</v>
      </c>
      <c r="E827" s="32">
        <f t="shared" si="82"/>
        <v>0.17499999999999999</v>
      </c>
      <c r="G827">
        <v>178</v>
      </c>
      <c r="I827">
        <f t="shared" si="83"/>
        <v>826</v>
      </c>
      <c r="J827" t="s">
        <v>129</v>
      </c>
      <c r="K827">
        <v>40</v>
      </c>
      <c r="L827">
        <v>7</v>
      </c>
      <c r="M827">
        <f t="shared" si="84"/>
        <v>4.45</v>
      </c>
      <c r="N827">
        <v>178</v>
      </c>
      <c r="O827">
        <f t="shared" si="85"/>
        <v>0.17499999999999999</v>
      </c>
      <c r="Q827" s="32" t="s">
        <v>24</v>
      </c>
      <c r="R827" s="32">
        <v>83</v>
      </c>
      <c r="S827" s="32">
        <v>10</v>
      </c>
      <c r="T827" s="32">
        <f t="shared" si="86"/>
        <v>4.4819277108433733</v>
      </c>
      <c r="U827" s="32">
        <f t="shared" si="87"/>
        <v>0.12048192771084337</v>
      </c>
      <c r="V827" s="2" t="s">
        <v>44</v>
      </c>
      <c r="W827" s="18">
        <v>372</v>
      </c>
    </row>
    <row r="828" spans="1:23" x14ac:dyDescent="0.25">
      <c r="A828" s="32" t="s">
        <v>8</v>
      </c>
      <c r="B828" s="32">
        <v>46</v>
      </c>
      <c r="C828" s="32">
        <v>5</v>
      </c>
      <c r="D828" s="32">
        <f t="shared" si="81"/>
        <v>4.4782608695652177</v>
      </c>
      <c r="E828" s="32">
        <f t="shared" si="82"/>
        <v>0.10869565217391304</v>
      </c>
      <c r="G828" s="18">
        <v>206</v>
      </c>
      <c r="I828">
        <f t="shared" si="83"/>
        <v>827</v>
      </c>
      <c r="J828" s="18" t="s">
        <v>8</v>
      </c>
      <c r="K828" s="18">
        <v>46</v>
      </c>
      <c r="L828" s="18">
        <v>5</v>
      </c>
      <c r="M828" s="18">
        <f t="shared" si="84"/>
        <v>4.4782608695652177</v>
      </c>
      <c r="N828" s="18">
        <v>206</v>
      </c>
      <c r="O828" s="18">
        <f t="shared" si="85"/>
        <v>0.10869565217391304</v>
      </c>
      <c r="Q828" s="32" t="s">
        <v>21</v>
      </c>
      <c r="R828" s="32">
        <v>113</v>
      </c>
      <c r="S828" s="32">
        <v>16</v>
      </c>
      <c r="T828" s="32">
        <f t="shared" si="86"/>
        <v>4.4955752212389379</v>
      </c>
      <c r="U828" s="32">
        <f t="shared" si="87"/>
        <v>0.1415929203539823</v>
      </c>
      <c r="V828" s="3" t="s">
        <v>195</v>
      </c>
      <c r="W828" s="18">
        <v>508</v>
      </c>
    </row>
    <row r="829" spans="1:23" x14ac:dyDescent="0.25">
      <c r="A829" s="32" t="s">
        <v>15</v>
      </c>
      <c r="B829" s="32">
        <v>214</v>
      </c>
      <c r="C829" s="32">
        <v>35</v>
      </c>
      <c r="D829" s="32">
        <f t="shared" si="81"/>
        <v>4.5</v>
      </c>
      <c r="E829" s="32">
        <f t="shared" si="82"/>
        <v>0.16355140186915887</v>
      </c>
      <c r="G829" s="18">
        <v>963</v>
      </c>
      <c r="I829">
        <f t="shared" si="83"/>
        <v>828</v>
      </c>
      <c r="J829" s="18" t="s">
        <v>15</v>
      </c>
      <c r="K829" s="18">
        <v>217</v>
      </c>
      <c r="L829" s="18">
        <v>35</v>
      </c>
      <c r="M829" s="18">
        <f t="shared" si="84"/>
        <v>4.5115207373271886</v>
      </c>
      <c r="N829" s="18">
        <v>979</v>
      </c>
      <c r="O829" s="18">
        <f t="shared" si="85"/>
        <v>0.16129032258064516</v>
      </c>
      <c r="Q829" s="32" t="s">
        <v>123</v>
      </c>
      <c r="R829" s="32">
        <v>25</v>
      </c>
      <c r="S829" s="32">
        <v>4</v>
      </c>
      <c r="T829" s="32">
        <f t="shared" si="86"/>
        <v>4.5199999999999996</v>
      </c>
      <c r="U829" s="32">
        <f t="shared" si="87"/>
        <v>0.16</v>
      </c>
      <c r="V829" s="3" t="s">
        <v>195</v>
      </c>
      <c r="W829" s="18">
        <v>113</v>
      </c>
    </row>
    <row r="830" spans="1:23" x14ac:dyDescent="0.25">
      <c r="A830" s="32" t="s">
        <v>24</v>
      </c>
      <c r="B830" s="32">
        <v>89</v>
      </c>
      <c r="C830" s="32">
        <v>10</v>
      </c>
      <c r="D830" s="32">
        <f t="shared" ref="D830:D862" si="88">G830/B830</f>
        <v>4.5505617977528088</v>
      </c>
      <c r="E830" s="32">
        <f t="shared" ref="E830:E862" si="89">C830/B830</f>
        <v>0.11235955056179775</v>
      </c>
      <c r="G830" s="18">
        <v>405</v>
      </c>
      <c r="I830">
        <f t="shared" ref="I830:I862" si="90">ROW(I830)-1</f>
        <v>829</v>
      </c>
      <c r="J830" s="18" t="s">
        <v>24</v>
      </c>
      <c r="K830" s="18">
        <v>89</v>
      </c>
      <c r="L830" s="18">
        <v>10</v>
      </c>
      <c r="M830" s="18">
        <f t="shared" ref="M830:M861" si="91">N830/K830</f>
        <v>4.5505617977528088</v>
      </c>
      <c r="N830" s="18">
        <v>405</v>
      </c>
      <c r="O830" s="18">
        <f t="shared" ref="O830:O862" si="92">L830/K830</f>
        <v>0.11235955056179775</v>
      </c>
      <c r="Q830" s="32" t="s">
        <v>1</v>
      </c>
      <c r="R830" s="32">
        <v>83</v>
      </c>
      <c r="S830" s="32">
        <v>4</v>
      </c>
      <c r="T830" s="32">
        <f t="shared" ref="T830:T857" si="93">W830/R830</f>
        <v>4.5421686746987948</v>
      </c>
      <c r="U830" s="32">
        <f t="shared" ref="U830:U857" si="94">S830/R830</f>
        <v>4.8192771084337352E-2</v>
      </c>
      <c r="V830" s="3" t="s">
        <v>46</v>
      </c>
      <c r="W830" s="18">
        <v>377</v>
      </c>
    </row>
    <row r="831" spans="1:23" x14ac:dyDescent="0.25">
      <c r="A831" s="32" t="s">
        <v>5</v>
      </c>
      <c r="B831" s="32">
        <v>23</v>
      </c>
      <c r="C831" s="32">
        <v>1</v>
      </c>
      <c r="D831" s="32">
        <f t="shared" si="88"/>
        <v>4.6086956521739131</v>
      </c>
      <c r="E831" s="32">
        <f t="shared" si="89"/>
        <v>4.3478260869565216E-2</v>
      </c>
      <c r="G831" s="18">
        <v>106</v>
      </c>
      <c r="I831">
        <f t="shared" si="90"/>
        <v>830</v>
      </c>
      <c r="J831" s="18" t="s">
        <v>5</v>
      </c>
      <c r="K831" s="18">
        <v>23</v>
      </c>
      <c r="L831" s="18">
        <v>1</v>
      </c>
      <c r="M831" s="18">
        <f t="shared" si="91"/>
        <v>4.6086956521739131</v>
      </c>
      <c r="N831" s="18">
        <v>106</v>
      </c>
      <c r="O831" s="18">
        <f t="shared" si="92"/>
        <v>4.3478260869565216E-2</v>
      </c>
      <c r="Q831" s="32" t="s">
        <v>428</v>
      </c>
      <c r="R831" s="32">
        <v>21</v>
      </c>
      <c r="S831" s="32">
        <v>0</v>
      </c>
      <c r="T831" s="32">
        <f t="shared" si="93"/>
        <v>4.6190476190476186</v>
      </c>
      <c r="U831" s="32">
        <f t="shared" si="94"/>
        <v>0</v>
      </c>
      <c r="W831">
        <v>97</v>
      </c>
    </row>
    <row r="832" spans="1:23" x14ac:dyDescent="0.25">
      <c r="A832" s="32" t="s">
        <v>428</v>
      </c>
      <c r="B832" s="32">
        <v>21</v>
      </c>
      <c r="C832" s="32">
        <v>0</v>
      </c>
      <c r="D832" s="32">
        <f t="shared" si="88"/>
        <v>4.6190476190476186</v>
      </c>
      <c r="E832" s="32">
        <f t="shared" si="89"/>
        <v>0</v>
      </c>
      <c r="G832">
        <v>97</v>
      </c>
      <c r="I832">
        <f t="shared" si="90"/>
        <v>831</v>
      </c>
      <c r="J832" t="s">
        <v>428</v>
      </c>
      <c r="K832">
        <v>21</v>
      </c>
      <c r="L832">
        <v>0</v>
      </c>
      <c r="M832">
        <f t="shared" si="91"/>
        <v>4.6190476190476186</v>
      </c>
      <c r="N832">
        <v>97</v>
      </c>
      <c r="O832">
        <f t="shared" si="92"/>
        <v>0</v>
      </c>
      <c r="Q832" s="32" t="s">
        <v>14</v>
      </c>
      <c r="R832" s="32">
        <v>45</v>
      </c>
      <c r="S832" s="32">
        <v>3</v>
      </c>
      <c r="T832" s="32">
        <f t="shared" si="93"/>
        <v>4.7111111111111112</v>
      </c>
      <c r="U832" s="32">
        <f t="shared" si="94"/>
        <v>6.6666666666666666E-2</v>
      </c>
      <c r="W832">
        <v>212</v>
      </c>
    </row>
    <row r="833" spans="1:23" x14ac:dyDescent="0.25">
      <c r="A833" s="32" t="s">
        <v>1</v>
      </c>
      <c r="B833" s="32">
        <v>90</v>
      </c>
      <c r="C833" s="32">
        <v>4</v>
      </c>
      <c r="D833" s="32">
        <f t="shared" si="88"/>
        <v>4.6222222222222218</v>
      </c>
      <c r="E833" s="32">
        <f t="shared" si="89"/>
        <v>4.4444444444444446E-2</v>
      </c>
      <c r="G833" s="18">
        <v>416</v>
      </c>
      <c r="I833">
        <f t="shared" si="90"/>
        <v>832</v>
      </c>
      <c r="J833" s="18" t="s">
        <v>79</v>
      </c>
      <c r="K833" s="18">
        <v>54</v>
      </c>
      <c r="L833" s="18">
        <v>6</v>
      </c>
      <c r="M833" s="18">
        <f t="shared" si="91"/>
        <v>4.6296296296296298</v>
      </c>
      <c r="N833" s="18">
        <v>250</v>
      </c>
      <c r="O833" s="18">
        <f t="shared" si="92"/>
        <v>0.1111111111111111</v>
      </c>
      <c r="Q833" s="32" t="s">
        <v>61</v>
      </c>
      <c r="R833" s="32">
        <v>25</v>
      </c>
      <c r="S833" s="32">
        <v>6</v>
      </c>
      <c r="T833" s="32">
        <f t="shared" si="93"/>
        <v>4.72</v>
      </c>
      <c r="U833" s="32">
        <f t="shared" si="94"/>
        <v>0.24</v>
      </c>
      <c r="V833" s="3" t="s">
        <v>54</v>
      </c>
      <c r="W833" s="18">
        <v>118</v>
      </c>
    </row>
    <row r="834" spans="1:23" x14ac:dyDescent="0.25">
      <c r="A834" s="32" t="s">
        <v>79</v>
      </c>
      <c r="B834" s="32">
        <v>54</v>
      </c>
      <c r="C834" s="32">
        <v>6</v>
      </c>
      <c r="D834" s="32">
        <f t="shared" si="88"/>
        <v>4.6296296296296298</v>
      </c>
      <c r="E834" s="32">
        <f t="shared" si="89"/>
        <v>0.1111111111111111</v>
      </c>
      <c r="G834" s="18">
        <v>250</v>
      </c>
      <c r="I834">
        <f t="shared" si="90"/>
        <v>833</v>
      </c>
      <c r="J834" s="18" t="s">
        <v>1</v>
      </c>
      <c r="K834" s="18">
        <v>92</v>
      </c>
      <c r="L834" s="18">
        <v>4</v>
      </c>
      <c r="M834" s="18">
        <f t="shared" si="91"/>
        <v>4.6739130434782608</v>
      </c>
      <c r="N834" s="18">
        <v>430</v>
      </c>
      <c r="O834" s="18">
        <f t="shared" si="92"/>
        <v>4.3478260869565216E-2</v>
      </c>
      <c r="Q834" s="32" t="s">
        <v>13</v>
      </c>
      <c r="R834" s="32">
        <v>36</v>
      </c>
      <c r="S834" s="32">
        <v>2</v>
      </c>
      <c r="T834" s="32">
        <f t="shared" si="93"/>
        <v>4.7222222222222223</v>
      </c>
      <c r="U834" s="32">
        <f t="shared" si="94"/>
        <v>5.5555555555555552E-2</v>
      </c>
      <c r="V834" s="3" t="s">
        <v>46</v>
      </c>
      <c r="W834" s="18">
        <v>170</v>
      </c>
    </row>
    <row r="835" spans="1:23" x14ac:dyDescent="0.25">
      <c r="A835" s="32" t="s">
        <v>14</v>
      </c>
      <c r="B835" s="32">
        <v>45</v>
      </c>
      <c r="C835" s="32">
        <v>3</v>
      </c>
      <c r="D835" s="32">
        <f t="shared" si="88"/>
        <v>4.7111111111111112</v>
      </c>
      <c r="E835" s="32">
        <f t="shared" si="89"/>
        <v>6.6666666666666666E-2</v>
      </c>
      <c r="G835">
        <v>212</v>
      </c>
      <c r="I835">
        <f t="shared" si="90"/>
        <v>834</v>
      </c>
      <c r="J835" t="s">
        <v>14</v>
      </c>
      <c r="K835">
        <v>45</v>
      </c>
      <c r="L835">
        <v>3</v>
      </c>
      <c r="M835">
        <f t="shared" si="91"/>
        <v>4.7111111111111112</v>
      </c>
      <c r="N835">
        <v>212</v>
      </c>
      <c r="O835">
        <f t="shared" si="92"/>
        <v>6.6666666666666666E-2</v>
      </c>
      <c r="Q835" s="32" t="s">
        <v>12</v>
      </c>
      <c r="R835" s="32">
        <v>20</v>
      </c>
      <c r="S835" s="32">
        <v>0</v>
      </c>
      <c r="T835" s="32">
        <f t="shared" si="93"/>
        <v>4.75</v>
      </c>
      <c r="U835" s="32">
        <f t="shared" si="94"/>
        <v>0</v>
      </c>
      <c r="V835" s="13" t="s">
        <v>489</v>
      </c>
      <c r="W835" s="18">
        <v>95</v>
      </c>
    </row>
    <row r="836" spans="1:23" x14ac:dyDescent="0.25">
      <c r="A836" s="32" t="s">
        <v>13</v>
      </c>
      <c r="B836" s="32">
        <v>36</v>
      </c>
      <c r="C836" s="32">
        <v>2</v>
      </c>
      <c r="D836" s="32">
        <f t="shared" si="88"/>
        <v>4.7222222222222223</v>
      </c>
      <c r="E836" s="32">
        <f t="shared" si="89"/>
        <v>5.5555555555555552E-2</v>
      </c>
      <c r="G836" s="18">
        <v>170</v>
      </c>
      <c r="I836">
        <f t="shared" si="90"/>
        <v>835</v>
      </c>
      <c r="J836" s="18" t="s">
        <v>13</v>
      </c>
      <c r="K836" s="18">
        <v>36</v>
      </c>
      <c r="L836" s="18">
        <v>2</v>
      </c>
      <c r="M836" s="18">
        <f t="shared" si="91"/>
        <v>4.7222222222222223</v>
      </c>
      <c r="N836" s="18">
        <v>170</v>
      </c>
      <c r="O836" s="18">
        <f t="shared" si="92"/>
        <v>5.5555555555555552E-2</v>
      </c>
      <c r="Q836" s="38" t="s">
        <v>87</v>
      </c>
      <c r="R836" s="38">
        <v>54</v>
      </c>
      <c r="S836" s="38">
        <v>8</v>
      </c>
      <c r="T836" s="38">
        <f t="shared" si="93"/>
        <v>4.8518518518518521</v>
      </c>
      <c r="U836" s="38">
        <f t="shared" si="94"/>
        <v>0.14814814814814814</v>
      </c>
      <c r="V836" s="3" t="s">
        <v>46</v>
      </c>
      <c r="W836" s="18">
        <v>262</v>
      </c>
    </row>
    <row r="837" spans="1:23" x14ac:dyDescent="0.25">
      <c r="A837" s="32" t="s">
        <v>12</v>
      </c>
      <c r="B837" s="32">
        <v>20</v>
      </c>
      <c r="C837" s="32">
        <v>0</v>
      </c>
      <c r="D837" s="32">
        <f t="shared" si="88"/>
        <v>4.75</v>
      </c>
      <c r="E837" s="32">
        <f t="shared" si="89"/>
        <v>0</v>
      </c>
      <c r="G837" s="18">
        <v>95</v>
      </c>
      <c r="I837">
        <f t="shared" si="90"/>
        <v>836</v>
      </c>
      <c r="J837" s="18" t="s">
        <v>12</v>
      </c>
      <c r="K837" s="18">
        <v>20</v>
      </c>
      <c r="L837" s="18">
        <v>0</v>
      </c>
      <c r="M837" s="18">
        <f t="shared" si="91"/>
        <v>4.75</v>
      </c>
      <c r="N837" s="18">
        <v>95</v>
      </c>
      <c r="O837" s="18">
        <f t="shared" si="92"/>
        <v>0</v>
      </c>
      <c r="Q837" s="38" t="s">
        <v>37</v>
      </c>
      <c r="R837" s="38">
        <v>22</v>
      </c>
      <c r="S837" s="38">
        <v>2</v>
      </c>
      <c r="T837" s="38">
        <f t="shared" si="93"/>
        <v>4.9090909090909092</v>
      </c>
      <c r="U837" s="38">
        <f t="shared" si="94"/>
        <v>9.0909090909090912E-2</v>
      </c>
      <c r="V837" s="3" t="s">
        <v>54</v>
      </c>
      <c r="W837" s="18">
        <v>108</v>
      </c>
    </row>
    <row r="838" spans="1:23" x14ac:dyDescent="0.25">
      <c r="A838" s="32" t="s">
        <v>87</v>
      </c>
      <c r="B838" s="32">
        <v>80</v>
      </c>
      <c r="C838" s="32">
        <v>12</v>
      </c>
      <c r="D838" s="32">
        <f t="shared" si="88"/>
        <v>4.7750000000000004</v>
      </c>
      <c r="E838" s="32">
        <f t="shared" si="89"/>
        <v>0.15</v>
      </c>
      <c r="G838" s="18">
        <v>382</v>
      </c>
      <c r="I838">
        <f t="shared" si="90"/>
        <v>837</v>
      </c>
      <c r="J838" s="18" t="s">
        <v>87</v>
      </c>
      <c r="K838" s="18">
        <v>84</v>
      </c>
      <c r="L838" s="18">
        <v>12</v>
      </c>
      <c r="M838" s="18">
        <f t="shared" si="91"/>
        <v>4.7619047619047619</v>
      </c>
      <c r="N838" s="18">
        <v>400</v>
      </c>
      <c r="O838" s="18">
        <f t="shared" si="92"/>
        <v>0.14285714285714285</v>
      </c>
      <c r="Q838" s="38" t="s">
        <v>4</v>
      </c>
      <c r="R838" s="38">
        <v>20</v>
      </c>
      <c r="S838" s="38">
        <v>3</v>
      </c>
      <c r="T838" s="38">
        <f t="shared" si="93"/>
        <v>4.95</v>
      </c>
      <c r="U838" s="38">
        <f t="shared" si="94"/>
        <v>0.15</v>
      </c>
      <c r="V838" s="3" t="s">
        <v>487</v>
      </c>
      <c r="W838" s="18">
        <v>99</v>
      </c>
    </row>
    <row r="839" spans="1:23" x14ac:dyDescent="0.25">
      <c r="A839" s="18" t="s">
        <v>61</v>
      </c>
      <c r="B839" s="18">
        <v>27</v>
      </c>
      <c r="C839" s="18">
        <v>6</v>
      </c>
      <c r="D839" s="18">
        <f t="shared" si="88"/>
        <v>4.8518518518518521</v>
      </c>
      <c r="E839" s="18">
        <f t="shared" si="89"/>
        <v>0.22222222222222221</v>
      </c>
      <c r="G839" s="18">
        <v>131</v>
      </c>
      <c r="I839">
        <f t="shared" si="90"/>
        <v>838</v>
      </c>
      <c r="J839" s="18" t="s">
        <v>61</v>
      </c>
      <c r="K839" s="18">
        <v>28</v>
      </c>
      <c r="L839" s="18">
        <v>6</v>
      </c>
      <c r="M839" s="18">
        <f t="shared" si="91"/>
        <v>4.8571428571428568</v>
      </c>
      <c r="N839" s="18">
        <v>136</v>
      </c>
      <c r="O839" s="18">
        <f t="shared" si="92"/>
        <v>0.21428571428571427</v>
      </c>
      <c r="Q839" s="38" t="s">
        <v>25</v>
      </c>
      <c r="R839" s="38">
        <v>88</v>
      </c>
      <c r="S839" s="38">
        <v>8</v>
      </c>
      <c r="T839" s="38">
        <f t="shared" si="93"/>
        <v>5.0227272727272725</v>
      </c>
      <c r="U839" s="38">
        <f t="shared" si="94"/>
        <v>9.0909090909090912E-2</v>
      </c>
      <c r="V839" s="3" t="s">
        <v>45</v>
      </c>
      <c r="W839" s="18">
        <v>442</v>
      </c>
    </row>
    <row r="840" spans="1:23" x14ac:dyDescent="0.25">
      <c r="A840" s="18" t="s">
        <v>37</v>
      </c>
      <c r="B840" s="18">
        <v>22</v>
      </c>
      <c r="C840" s="18">
        <v>2</v>
      </c>
      <c r="D840" s="18">
        <f t="shared" si="88"/>
        <v>4.9090909090909092</v>
      </c>
      <c r="E840" s="18">
        <f t="shared" si="89"/>
        <v>9.0909090909090912E-2</v>
      </c>
      <c r="G840" s="18">
        <v>108</v>
      </c>
      <c r="I840">
        <f t="shared" si="90"/>
        <v>839</v>
      </c>
      <c r="J840" s="18" t="s">
        <v>37</v>
      </c>
      <c r="K840" s="18">
        <v>22</v>
      </c>
      <c r="L840" s="18">
        <v>2</v>
      </c>
      <c r="M840" s="18">
        <f t="shared" si="91"/>
        <v>4.9090909090909092</v>
      </c>
      <c r="N840" s="18">
        <v>108</v>
      </c>
      <c r="O840" s="18">
        <f t="shared" si="92"/>
        <v>9.0909090909090912E-2</v>
      </c>
      <c r="Q840" s="38" t="s">
        <v>30</v>
      </c>
      <c r="R840" s="38">
        <v>33</v>
      </c>
      <c r="S840" s="38">
        <v>3</v>
      </c>
      <c r="T840" s="38">
        <f t="shared" si="93"/>
        <v>5.0303030303030303</v>
      </c>
      <c r="U840" s="38">
        <f t="shared" si="94"/>
        <v>9.0909090909090912E-2</v>
      </c>
      <c r="V840" s="3" t="s">
        <v>55</v>
      </c>
      <c r="W840" s="18">
        <v>166</v>
      </c>
    </row>
    <row r="841" spans="1:23" x14ac:dyDescent="0.25">
      <c r="A841" s="18" t="s">
        <v>51</v>
      </c>
      <c r="B841" s="18">
        <v>37</v>
      </c>
      <c r="C841" s="18">
        <v>3</v>
      </c>
      <c r="D841" s="18">
        <f t="shared" si="88"/>
        <v>4.9189189189189193</v>
      </c>
      <c r="E841" s="18">
        <f t="shared" si="89"/>
        <v>8.1081081081081086E-2</v>
      </c>
      <c r="G841" s="18">
        <v>182</v>
      </c>
      <c r="I841">
        <f t="shared" si="90"/>
        <v>840</v>
      </c>
      <c r="J841" s="18" t="s">
        <v>51</v>
      </c>
      <c r="K841" s="18">
        <v>37</v>
      </c>
      <c r="L841" s="18">
        <v>3</v>
      </c>
      <c r="M841" s="18">
        <f t="shared" si="91"/>
        <v>4.9189189189189193</v>
      </c>
      <c r="N841" s="18">
        <v>182</v>
      </c>
      <c r="O841" s="18">
        <f t="shared" si="92"/>
        <v>8.1081081081081086E-2</v>
      </c>
      <c r="Q841" s="38" t="s">
        <v>81</v>
      </c>
      <c r="R841" s="38">
        <v>48</v>
      </c>
      <c r="S841" s="38">
        <v>2</v>
      </c>
      <c r="T841" s="38">
        <f t="shared" si="93"/>
        <v>5.041666666666667</v>
      </c>
      <c r="U841" s="38">
        <f t="shared" si="94"/>
        <v>4.1666666666666664E-2</v>
      </c>
      <c r="V841" s="3" t="s">
        <v>45</v>
      </c>
      <c r="W841" s="18">
        <v>242</v>
      </c>
    </row>
    <row r="842" spans="1:23" x14ac:dyDescent="0.25">
      <c r="A842" s="18" t="s">
        <v>25</v>
      </c>
      <c r="B842" s="18">
        <v>117</v>
      </c>
      <c r="C842" s="18">
        <v>11</v>
      </c>
      <c r="D842" s="18">
        <f t="shared" si="88"/>
        <v>4.9230769230769234</v>
      </c>
      <c r="E842" s="18">
        <f t="shared" si="89"/>
        <v>9.4017094017094016E-2</v>
      </c>
      <c r="G842" s="18">
        <v>576</v>
      </c>
      <c r="I842">
        <f t="shared" si="90"/>
        <v>841</v>
      </c>
      <c r="J842" s="18" t="s">
        <v>4</v>
      </c>
      <c r="K842" s="18">
        <v>20</v>
      </c>
      <c r="L842" s="18">
        <v>3</v>
      </c>
      <c r="M842" s="18">
        <f t="shared" si="91"/>
        <v>4.95</v>
      </c>
      <c r="N842" s="18">
        <v>99</v>
      </c>
      <c r="O842" s="18">
        <f t="shared" si="92"/>
        <v>0.15</v>
      </c>
      <c r="Q842" s="38" t="s">
        <v>105</v>
      </c>
      <c r="R842" s="38">
        <v>20</v>
      </c>
      <c r="S842" s="38">
        <v>0</v>
      </c>
      <c r="T842" s="38">
        <f t="shared" si="93"/>
        <v>5.05</v>
      </c>
      <c r="U842" s="38">
        <f t="shared" si="94"/>
        <v>0</v>
      </c>
      <c r="V842" s="3" t="s">
        <v>45</v>
      </c>
      <c r="W842">
        <v>101</v>
      </c>
    </row>
    <row r="843" spans="1:23" x14ac:dyDescent="0.25">
      <c r="A843" s="18" t="s">
        <v>4</v>
      </c>
      <c r="B843" s="18">
        <v>20</v>
      </c>
      <c r="C843" s="18">
        <v>3</v>
      </c>
      <c r="D843" s="18">
        <f t="shared" si="88"/>
        <v>4.95</v>
      </c>
      <c r="E843" s="18">
        <f t="shared" si="89"/>
        <v>0.15</v>
      </c>
      <c r="G843" s="18">
        <v>99</v>
      </c>
      <c r="I843">
        <f t="shared" si="90"/>
        <v>842</v>
      </c>
      <c r="J843" s="18" t="s">
        <v>25</v>
      </c>
      <c r="K843" s="18">
        <v>123</v>
      </c>
      <c r="L843" s="18">
        <v>11</v>
      </c>
      <c r="M843" s="18">
        <f t="shared" si="91"/>
        <v>4.9674796747967482</v>
      </c>
      <c r="N843" s="18">
        <v>611</v>
      </c>
      <c r="O843" s="18">
        <f t="shared" si="92"/>
        <v>8.943089430894309E-2</v>
      </c>
      <c r="Q843" s="38" t="s">
        <v>99</v>
      </c>
      <c r="R843" s="38">
        <v>20</v>
      </c>
      <c r="S843" s="38">
        <v>2</v>
      </c>
      <c r="T843" s="38">
        <f t="shared" si="93"/>
        <v>5.05</v>
      </c>
      <c r="U843" s="38">
        <f t="shared" si="94"/>
        <v>0.1</v>
      </c>
      <c r="V843" s="3" t="s">
        <v>488</v>
      </c>
      <c r="W843" s="18">
        <v>101</v>
      </c>
    </row>
    <row r="844" spans="1:23" x14ac:dyDescent="0.25">
      <c r="A844" s="18" t="s">
        <v>81</v>
      </c>
      <c r="B844" s="18">
        <v>53</v>
      </c>
      <c r="C844" s="18">
        <v>2</v>
      </c>
      <c r="D844" s="18">
        <f t="shared" si="88"/>
        <v>5</v>
      </c>
      <c r="E844" s="18">
        <f t="shared" si="89"/>
        <v>3.7735849056603772E-2</v>
      </c>
      <c r="G844" s="18">
        <v>265</v>
      </c>
      <c r="I844">
        <f t="shared" si="90"/>
        <v>843</v>
      </c>
      <c r="J844" s="18" t="s">
        <v>81</v>
      </c>
      <c r="K844" s="18">
        <v>53</v>
      </c>
      <c r="L844" s="18">
        <v>2</v>
      </c>
      <c r="M844" s="18">
        <f t="shared" si="91"/>
        <v>5</v>
      </c>
      <c r="N844" s="18">
        <v>265</v>
      </c>
      <c r="O844" s="18">
        <f t="shared" si="92"/>
        <v>3.7735849056603772E-2</v>
      </c>
      <c r="Q844" s="38" t="s">
        <v>51</v>
      </c>
      <c r="R844" s="38">
        <v>33</v>
      </c>
      <c r="S844" s="38">
        <v>2</v>
      </c>
      <c r="T844" s="38">
        <f t="shared" si="93"/>
        <v>5.0606060606060606</v>
      </c>
      <c r="U844" s="38">
        <f t="shared" si="94"/>
        <v>6.0606060606060608E-2</v>
      </c>
      <c r="V844" s="3" t="s">
        <v>54</v>
      </c>
      <c r="W844" s="18">
        <v>167</v>
      </c>
    </row>
    <row r="845" spans="1:23" x14ac:dyDescent="0.25">
      <c r="A845" t="s">
        <v>105</v>
      </c>
      <c r="B845">
        <v>20</v>
      </c>
      <c r="C845">
        <v>0</v>
      </c>
      <c r="D845">
        <f t="shared" si="88"/>
        <v>5.05</v>
      </c>
      <c r="E845">
        <f t="shared" si="89"/>
        <v>0</v>
      </c>
      <c r="G845">
        <v>101</v>
      </c>
      <c r="I845">
        <f t="shared" si="90"/>
        <v>844</v>
      </c>
      <c r="J845" t="s">
        <v>105</v>
      </c>
      <c r="K845">
        <v>20</v>
      </c>
      <c r="L845">
        <v>0</v>
      </c>
      <c r="M845">
        <f t="shared" si="91"/>
        <v>5.05</v>
      </c>
      <c r="N845">
        <v>101</v>
      </c>
      <c r="O845">
        <f t="shared" si="92"/>
        <v>0</v>
      </c>
      <c r="Q845" s="38" t="s">
        <v>79</v>
      </c>
      <c r="R845" s="38">
        <v>30</v>
      </c>
      <c r="S845" s="38">
        <v>1</v>
      </c>
      <c r="T845" s="38">
        <f t="shared" si="93"/>
        <v>5.0666666666666664</v>
      </c>
      <c r="U845" s="38">
        <f t="shared" si="94"/>
        <v>3.3333333333333333E-2</v>
      </c>
      <c r="V845" s="3" t="s">
        <v>69</v>
      </c>
      <c r="W845" s="18">
        <v>152</v>
      </c>
    </row>
    <row r="846" spans="1:23" x14ac:dyDescent="0.25">
      <c r="A846" s="18" t="s">
        <v>99</v>
      </c>
      <c r="B846" s="18">
        <v>20</v>
      </c>
      <c r="C846" s="18">
        <v>2</v>
      </c>
      <c r="D846" s="18">
        <f t="shared" si="88"/>
        <v>5.05</v>
      </c>
      <c r="E846" s="18">
        <f t="shared" si="89"/>
        <v>0.1</v>
      </c>
      <c r="G846" s="18">
        <v>101</v>
      </c>
      <c r="I846">
        <f t="shared" si="90"/>
        <v>845</v>
      </c>
      <c r="J846" s="18" t="s">
        <v>99</v>
      </c>
      <c r="K846" s="18">
        <v>20</v>
      </c>
      <c r="L846" s="18">
        <v>2</v>
      </c>
      <c r="M846" s="18">
        <f t="shared" si="91"/>
        <v>5.05</v>
      </c>
      <c r="N846" s="18">
        <v>101</v>
      </c>
      <c r="O846" s="18">
        <f t="shared" si="92"/>
        <v>0.1</v>
      </c>
      <c r="Q846" s="38" t="s">
        <v>20</v>
      </c>
      <c r="R846" s="38">
        <v>22</v>
      </c>
      <c r="S846" s="38">
        <v>2</v>
      </c>
      <c r="T846" s="38">
        <f t="shared" si="93"/>
        <v>5.1818181818181817</v>
      </c>
      <c r="U846" s="38">
        <f t="shared" si="94"/>
        <v>9.0909090909090912E-2</v>
      </c>
      <c r="V846" s="3" t="s">
        <v>55</v>
      </c>
      <c r="W846" s="18">
        <v>114</v>
      </c>
    </row>
    <row r="847" spans="1:23" x14ac:dyDescent="0.25">
      <c r="A847" s="18" t="s">
        <v>82</v>
      </c>
      <c r="B847" s="18">
        <v>20</v>
      </c>
      <c r="C847" s="18">
        <v>0</v>
      </c>
      <c r="D847" s="18">
        <f t="shared" si="88"/>
        <v>5.15</v>
      </c>
      <c r="E847" s="18">
        <f t="shared" si="89"/>
        <v>0</v>
      </c>
      <c r="G847" s="18">
        <v>103</v>
      </c>
      <c r="I847">
        <f t="shared" si="90"/>
        <v>846</v>
      </c>
      <c r="J847" s="18" t="s">
        <v>82</v>
      </c>
      <c r="K847" s="18">
        <v>20</v>
      </c>
      <c r="L847" s="18">
        <v>0</v>
      </c>
      <c r="M847" s="18">
        <f t="shared" si="91"/>
        <v>5.15</v>
      </c>
      <c r="N847" s="18">
        <v>103</v>
      </c>
      <c r="O847" s="18">
        <f t="shared" si="92"/>
        <v>0</v>
      </c>
      <c r="Q847" s="66" t="s">
        <v>31</v>
      </c>
      <c r="R847" s="66">
        <v>126</v>
      </c>
      <c r="S847" s="66">
        <v>8</v>
      </c>
      <c r="T847" s="66">
        <f t="shared" si="93"/>
        <v>5.3253968253968251</v>
      </c>
      <c r="U847" s="66">
        <f t="shared" si="94"/>
        <v>6.3492063492063489E-2</v>
      </c>
      <c r="W847" s="18">
        <v>671</v>
      </c>
    </row>
    <row r="848" spans="1:23" x14ac:dyDescent="0.25">
      <c r="A848" s="18" t="s">
        <v>20</v>
      </c>
      <c r="B848" s="18">
        <v>22</v>
      </c>
      <c r="C848" s="18">
        <v>2</v>
      </c>
      <c r="D848" s="18">
        <f t="shared" si="88"/>
        <v>5.1818181818181817</v>
      </c>
      <c r="E848" s="18">
        <f t="shared" si="89"/>
        <v>9.0909090909090912E-2</v>
      </c>
      <c r="G848" s="18">
        <v>114</v>
      </c>
      <c r="I848">
        <f t="shared" si="90"/>
        <v>847</v>
      </c>
      <c r="J848" s="18" t="s">
        <v>20</v>
      </c>
      <c r="K848" s="18">
        <v>22</v>
      </c>
      <c r="L848" s="18">
        <v>2</v>
      </c>
      <c r="M848" s="18">
        <f t="shared" si="91"/>
        <v>5.1818181818181817</v>
      </c>
      <c r="N848" s="18">
        <v>114</v>
      </c>
      <c r="O848" s="18">
        <f t="shared" si="92"/>
        <v>9.0909090909090912E-2</v>
      </c>
      <c r="Q848" s="66" t="s">
        <v>19</v>
      </c>
      <c r="R848" s="66">
        <v>23</v>
      </c>
      <c r="S848" s="66">
        <v>1</v>
      </c>
      <c r="T848" s="66">
        <f t="shared" si="93"/>
        <v>5.3478260869565215</v>
      </c>
      <c r="U848" s="66">
        <f t="shared" si="94"/>
        <v>4.3478260869565216E-2</v>
      </c>
      <c r="V848" s="3" t="s">
        <v>381</v>
      </c>
      <c r="W848" s="18">
        <v>123</v>
      </c>
    </row>
    <row r="849" spans="1:23" x14ac:dyDescent="0.25">
      <c r="A849" s="18" t="s">
        <v>19</v>
      </c>
      <c r="B849" s="18">
        <v>26</v>
      </c>
      <c r="C849" s="18">
        <v>2</v>
      </c>
      <c r="D849" s="18">
        <f t="shared" si="88"/>
        <v>5.1923076923076925</v>
      </c>
      <c r="E849" s="18">
        <f t="shared" si="89"/>
        <v>7.6923076923076927E-2</v>
      </c>
      <c r="G849" s="18">
        <v>135</v>
      </c>
      <c r="I849">
        <f t="shared" si="90"/>
        <v>848</v>
      </c>
      <c r="J849" s="18" t="s">
        <v>19</v>
      </c>
      <c r="K849" s="18">
        <v>26</v>
      </c>
      <c r="L849" s="18">
        <v>2</v>
      </c>
      <c r="M849" s="18">
        <f t="shared" si="91"/>
        <v>5.1923076923076925</v>
      </c>
      <c r="N849" s="18">
        <v>135</v>
      </c>
      <c r="O849" s="18">
        <f t="shared" si="92"/>
        <v>7.6923076923076927E-2</v>
      </c>
      <c r="Q849" s="66" t="s">
        <v>6</v>
      </c>
      <c r="R849" s="66">
        <v>45</v>
      </c>
      <c r="S849" s="66">
        <v>3</v>
      </c>
      <c r="T849" s="66">
        <f t="shared" si="93"/>
        <v>5.3555555555555552</v>
      </c>
      <c r="U849" s="66">
        <f t="shared" si="94"/>
        <v>6.6666666666666666E-2</v>
      </c>
      <c r="V849" s="3" t="s">
        <v>381</v>
      </c>
      <c r="W849" s="18">
        <v>241</v>
      </c>
    </row>
    <row r="850" spans="1:23" x14ac:dyDescent="0.25">
      <c r="A850" s="18" t="s">
        <v>30</v>
      </c>
      <c r="B850" s="18">
        <v>40</v>
      </c>
      <c r="C850" s="18">
        <v>3</v>
      </c>
      <c r="D850" s="18">
        <f t="shared" si="88"/>
        <v>5.2</v>
      </c>
      <c r="E850" s="18">
        <f t="shared" si="89"/>
        <v>7.4999999999999997E-2</v>
      </c>
      <c r="G850" s="18">
        <v>208</v>
      </c>
      <c r="I850">
        <f t="shared" si="90"/>
        <v>849</v>
      </c>
      <c r="J850" s="18" t="s">
        <v>26</v>
      </c>
      <c r="K850" s="18">
        <v>50</v>
      </c>
      <c r="L850" s="18">
        <v>4</v>
      </c>
      <c r="M850" s="18">
        <f t="shared" si="91"/>
        <v>5.2</v>
      </c>
      <c r="N850" s="18">
        <v>260</v>
      </c>
      <c r="O850" s="18">
        <f t="shared" si="92"/>
        <v>0.08</v>
      </c>
      <c r="Q850" s="66" t="s">
        <v>253</v>
      </c>
      <c r="R850" s="66">
        <v>28</v>
      </c>
      <c r="S850" s="66">
        <v>1</v>
      </c>
      <c r="T850" s="66">
        <f t="shared" si="93"/>
        <v>5.3571428571428568</v>
      </c>
      <c r="U850" s="66">
        <f t="shared" si="94"/>
        <v>3.5714285714285712E-2</v>
      </c>
      <c r="V850" s="3" t="s">
        <v>381</v>
      </c>
      <c r="W850" s="18">
        <v>150</v>
      </c>
    </row>
    <row r="851" spans="1:23" x14ac:dyDescent="0.25">
      <c r="A851" s="18" t="s">
        <v>26</v>
      </c>
      <c r="B851" s="18">
        <v>50</v>
      </c>
      <c r="C851" s="18">
        <v>4</v>
      </c>
      <c r="D851" s="18">
        <f t="shared" si="88"/>
        <v>5.2</v>
      </c>
      <c r="E851" s="18">
        <f t="shared" si="89"/>
        <v>0.08</v>
      </c>
      <c r="G851" s="18">
        <v>260</v>
      </c>
      <c r="I851">
        <f t="shared" si="90"/>
        <v>850</v>
      </c>
      <c r="J851" s="18" t="s">
        <v>30</v>
      </c>
      <c r="K851" s="18">
        <v>41</v>
      </c>
      <c r="L851" s="18">
        <v>3</v>
      </c>
      <c r="M851" s="18">
        <f t="shared" si="91"/>
        <v>5.2439024390243905</v>
      </c>
      <c r="N851" s="18">
        <v>215</v>
      </c>
      <c r="O851" s="18">
        <f t="shared" si="92"/>
        <v>7.3170731707317069E-2</v>
      </c>
      <c r="Q851" s="66" t="s">
        <v>26</v>
      </c>
      <c r="R851" s="66">
        <v>32</v>
      </c>
      <c r="S851" s="66">
        <v>2</v>
      </c>
      <c r="T851" s="66">
        <f t="shared" si="93"/>
        <v>5.375</v>
      </c>
      <c r="U851" s="66">
        <f t="shared" si="94"/>
        <v>6.25E-2</v>
      </c>
      <c r="V851" s="3" t="s">
        <v>45</v>
      </c>
      <c r="W851" s="18">
        <v>172</v>
      </c>
    </row>
    <row r="852" spans="1:23" x14ac:dyDescent="0.25">
      <c r="A852" s="18" t="s">
        <v>31</v>
      </c>
      <c r="B852" s="18">
        <v>157</v>
      </c>
      <c r="C852" s="18">
        <v>12</v>
      </c>
      <c r="D852" s="18">
        <f t="shared" si="88"/>
        <v>5.2356687898089174</v>
      </c>
      <c r="E852" s="18">
        <f t="shared" si="89"/>
        <v>7.6433121019108277E-2</v>
      </c>
      <c r="G852" s="18">
        <v>822</v>
      </c>
      <c r="I852">
        <f t="shared" si="90"/>
        <v>851</v>
      </c>
      <c r="J852" s="18" t="s">
        <v>17</v>
      </c>
      <c r="K852" s="18">
        <v>20</v>
      </c>
      <c r="L852" s="18">
        <v>2</v>
      </c>
      <c r="M852" s="18">
        <f t="shared" si="91"/>
        <v>5.25</v>
      </c>
      <c r="N852" s="18">
        <v>105</v>
      </c>
      <c r="O852" s="18">
        <f t="shared" si="92"/>
        <v>0.1</v>
      </c>
      <c r="Q852" s="66" t="s">
        <v>56</v>
      </c>
      <c r="R852" s="66">
        <v>21</v>
      </c>
      <c r="S852" s="66">
        <v>0</v>
      </c>
      <c r="T852" s="66">
        <f t="shared" si="93"/>
        <v>5.3809523809523814</v>
      </c>
      <c r="U852" s="66">
        <f t="shared" si="94"/>
        <v>0</v>
      </c>
      <c r="V852" s="3" t="s">
        <v>195</v>
      </c>
      <c r="W852" s="18">
        <v>113</v>
      </c>
    </row>
    <row r="853" spans="1:23" x14ac:dyDescent="0.25">
      <c r="A853" s="18" t="s">
        <v>17</v>
      </c>
      <c r="B853" s="18">
        <v>20</v>
      </c>
      <c r="C853" s="18">
        <v>2</v>
      </c>
      <c r="D853" s="18">
        <f t="shared" si="88"/>
        <v>5.25</v>
      </c>
      <c r="E853" s="18">
        <f t="shared" si="89"/>
        <v>0.1</v>
      </c>
      <c r="G853" s="18">
        <v>105</v>
      </c>
      <c r="I853">
        <f t="shared" si="90"/>
        <v>852</v>
      </c>
      <c r="J853" s="18" t="s">
        <v>404</v>
      </c>
      <c r="K853" s="18">
        <v>20</v>
      </c>
      <c r="L853" s="18">
        <v>2</v>
      </c>
      <c r="M853" s="18">
        <f t="shared" si="91"/>
        <v>5.25</v>
      </c>
      <c r="N853" s="18">
        <v>105</v>
      </c>
      <c r="O853" s="18">
        <f t="shared" si="92"/>
        <v>0.1</v>
      </c>
      <c r="Q853" s="66" t="s">
        <v>90</v>
      </c>
      <c r="R853" s="66">
        <v>27</v>
      </c>
      <c r="S853" s="66">
        <v>3</v>
      </c>
      <c r="T853" s="66">
        <f t="shared" si="93"/>
        <v>5.4074074074074074</v>
      </c>
      <c r="U853" s="66">
        <f t="shared" si="94"/>
        <v>0.1111111111111111</v>
      </c>
      <c r="V853" s="3" t="s">
        <v>381</v>
      </c>
      <c r="W853">
        <v>146</v>
      </c>
    </row>
    <row r="854" spans="1:23" x14ac:dyDescent="0.25">
      <c r="A854" s="18" t="s">
        <v>404</v>
      </c>
      <c r="B854" s="18">
        <v>20</v>
      </c>
      <c r="C854" s="18">
        <v>2</v>
      </c>
      <c r="D854" s="18">
        <f t="shared" si="88"/>
        <v>5.25</v>
      </c>
      <c r="E854" s="18">
        <f t="shared" si="89"/>
        <v>0.1</v>
      </c>
      <c r="G854" s="18">
        <v>105</v>
      </c>
      <c r="I854">
        <f t="shared" si="90"/>
        <v>853</v>
      </c>
      <c r="J854" s="18" t="s">
        <v>31</v>
      </c>
      <c r="K854" s="18">
        <v>161</v>
      </c>
      <c r="L854" s="18">
        <v>12</v>
      </c>
      <c r="M854" s="18">
        <f t="shared" si="91"/>
        <v>5.2546583850931681</v>
      </c>
      <c r="N854" s="18">
        <v>846</v>
      </c>
      <c r="O854" s="18">
        <f t="shared" si="92"/>
        <v>7.4534161490683232E-2</v>
      </c>
      <c r="Q854" s="66" t="s">
        <v>49</v>
      </c>
      <c r="R854" s="66">
        <v>68</v>
      </c>
      <c r="S854" s="66">
        <v>3</v>
      </c>
      <c r="T854" s="66">
        <f t="shared" si="93"/>
        <v>5.5147058823529411</v>
      </c>
      <c r="U854" s="66">
        <f t="shared" si="94"/>
        <v>4.4117647058823532E-2</v>
      </c>
      <c r="V854" s="3" t="s">
        <v>54</v>
      </c>
      <c r="W854" s="18">
        <v>375</v>
      </c>
    </row>
    <row r="855" spans="1:23" x14ac:dyDescent="0.25">
      <c r="A855" s="18" t="s">
        <v>253</v>
      </c>
      <c r="B855" s="18">
        <v>29</v>
      </c>
      <c r="C855" s="18">
        <v>1</v>
      </c>
      <c r="D855" s="18">
        <f t="shared" si="88"/>
        <v>5.3103448275862073</v>
      </c>
      <c r="E855" s="18">
        <f t="shared" si="89"/>
        <v>3.4482758620689655E-2</v>
      </c>
      <c r="G855" s="18">
        <v>154</v>
      </c>
      <c r="I855">
        <f t="shared" si="90"/>
        <v>854</v>
      </c>
      <c r="J855" s="18" t="s">
        <v>49</v>
      </c>
      <c r="K855" s="18">
        <v>95</v>
      </c>
      <c r="L855" s="18">
        <v>7</v>
      </c>
      <c r="M855" s="18">
        <f t="shared" si="91"/>
        <v>5.2631578947368425</v>
      </c>
      <c r="N855" s="18">
        <v>500</v>
      </c>
      <c r="O855" s="18">
        <f t="shared" si="92"/>
        <v>7.3684210526315783E-2</v>
      </c>
      <c r="Q855" s="66" t="s">
        <v>33</v>
      </c>
      <c r="R855" s="66">
        <v>64</v>
      </c>
      <c r="S855" s="66">
        <v>4</v>
      </c>
      <c r="T855" s="66">
        <f t="shared" si="93"/>
        <v>5.515625</v>
      </c>
      <c r="U855" s="66">
        <f t="shared" si="94"/>
        <v>6.25E-2</v>
      </c>
      <c r="V855" s="3" t="s">
        <v>381</v>
      </c>
      <c r="W855" s="18">
        <v>353</v>
      </c>
    </row>
    <row r="856" spans="1:23" x14ac:dyDescent="0.25">
      <c r="A856" s="18" t="s">
        <v>49</v>
      </c>
      <c r="B856" s="18">
        <v>93</v>
      </c>
      <c r="C856" s="18">
        <v>6</v>
      </c>
      <c r="D856" s="18">
        <f t="shared" si="88"/>
        <v>5.32258064516129</v>
      </c>
      <c r="E856" s="18">
        <f t="shared" si="89"/>
        <v>6.4516129032258063E-2</v>
      </c>
      <c r="G856" s="18">
        <v>495</v>
      </c>
      <c r="I856">
        <f t="shared" si="90"/>
        <v>855</v>
      </c>
      <c r="J856" s="18" t="s">
        <v>253</v>
      </c>
      <c r="K856" s="18">
        <v>29</v>
      </c>
      <c r="L856" s="18">
        <v>1</v>
      </c>
      <c r="M856" s="18">
        <f t="shared" si="91"/>
        <v>5.3103448275862073</v>
      </c>
      <c r="N856" s="18">
        <v>154</v>
      </c>
      <c r="O856" s="18">
        <f t="shared" si="92"/>
        <v>3.4482758620689655E-2</v>
      </c>
      <c r="Q856" s="66" t="s">
        <v>28</v>
      </c>
      <c r="R856" s="66">
        <v>20</v>
      </c>
      <c r="S856" s="66">
        <v>0</v>
      </c>
      <c r="T856" s="66">
        <f t="shared" si="93"/>
        <v>5.65</v>
      </c>
      <c r="U856" s="66">
        <f t="shared" si="94"/>
        <v>0</v>
      </c>
      <c r="V856" s="3" t="s">
        <v>486</v>
      </c>
      <c r="W856" s="18">
        <v>113</v>
      </c>
    </row>
    <row r="857" spans="1:23" x14ac:dyDescent="0.25">
      <c r="A857" s="18" t="s">
        <v>6</v>
      </c>
      <c r="B857" s="18">
        <v>45</v>
      </c>
      <c r="C857" s="18">
        <v>3</v>
      </c>
      <c r="D857" s="18">
        <f t="shared" si="88"/>
        <v>5.3555555555555552</v>
      </c>
      <c r="E857" s="18">
        <f t="shared" si="89"/>
        <v>6.6666666666666666E-2</v>
      </c>
      <c r="G857" s="18">
        <v>241</v>
      </c>
      <c r="I857">
        <f t="shared" si="90"/>
        <v>856</v>
      </c>
      <c r="J857" s="18" t="s">
        <v>6</v>
      </c>
      <c r="K857" s="18">
        <v>45</v>
      </c>
      <c r="L857" s="18">
        <v>3</v>
      </c>
      <c r="M857" s="18">
        <f t="shared" si="91"/>
        <v>5.3555555555555552</v>
      </c>
      <c r="N857" s="18">
        <v>241</v>
      </c>
      <c r="O857" s="18">
        <f t="shared" si="92"/>
        <v>6.6666666666666666E-2</v>
      </c>
      <c r="Q857" s="66" t="s">
        <v>401</v>
      </c>
      <c r="R857" s="66">
        <v>45</v>
      </c>
      <c r="S857" s="66">
        <v>1</v>
      </c>
      <c r="T857" s="66">
        <f t="shared" si="93"/>
        <v>5.9777777777777779</v>
      </c>
      <c r="U857" s="66">
        <f t="shared" si="94"/>
        <v>2.2222222222222223E-2</v>
      </c>
      <c r="V857" s="3" t="s">
        <v>381</v>
      </c>
      <c r="W857" s="18">
        <v>269</v>
      </c>
    </row>
    <row r="858" spans="1:23" x14ac:dyDescent="0.25">
      <c r="A858" s="18" t="s">
        <v>56</v>
      </c>
      <c r="B858" s="18">
        <v>21</v>
      </c>
      <c r="C858" s="18">
        <v>0</v>
      </c>
      <c r="D858" s="18">
        <f t="shared" si="88"/>
        <v>5.3809523809523814</v>
      </c>
      <c r="E858" s="18">
        <f t="shared" si="89"/>
        <v>0</v>
      </c>
      <c r="G858" s="18">
        <v>113</v>
      </c>
      <c r="I858">
        <f t="shared" si="90"/>
        <v>857</v>
      </c>
      <c r="J858" s="18" t="s">
        <v>56</v>
      </c>
      <c r="K858" s="18">
        <v>21</v>
      </c>
      <c r="L858" s="18">
        <v>0</v>
      </c>
      <c r="M858" s="18">
        <f t="shared" si="91"/>
        <v>5.3809523809523814</v>
      </c>
      <c r="N858" s="18">
        <v>113</v>
      </c>
      <c r="O858" s="18">
        <f t="shared" si="92"/>
        <v>0</v>
      </c>
    </row>
    <row r="859" spans="1:23" x14ac:dyDescent="0.25">
      <c r="A859" t="s">
        <v>90</v>
      </c>
      <c r="B859">
        <v>27</v>
      </c>
      <c r="C859">
        <v>3</v>
      </c>
      <c r="D859">
        <f t="shared" si="88"/>
        <v>5.4074074074074074</v>
      </c>
      <c r="E859">
        <f t="shared" si="89"/>
        <v>0.1111111111111111</v>
      </c>
      <c r="G859">
        <v>146</v>
      </c>
      <c r="I859">
        <f t="shared" si="90"/>
        <v>858</v>
      </c>
      <c r="J859" t="s">
        <v>90</v>
      </c>
      <c r="K859">
        <v>27</v>
      </c>
      <c r="L859">
        <v>3</v>
      </c>
      <c r="M859">
        <f t="shared" si="91"/>
        <v>5.4074074074074074</v>
      </c>
      <c r="N859">
        <v>146</v>
      </c>
      <c r="O859">
        <f t="shared" si="92"/>
        <v>0.1111111111111111</v>
      </c>
    </row>
    <row r="860" spans="1:23" x14ac:dyDescent="0.25">
      <c r="A860" s="18" t="s">
        <v>33</v>
      </c>
      <c r="B860" s="18">
        <v>64</v>
      </c>
      <c r="C860" s="18">
        <v>4</v>
      </c>
      <c r="D860" s="18">
        <f t="shared" si="88"/>
        <v>5.515625</v>
      </c>
      <c r="E860" s="18">
        <f t="shared" si="89"/>
        <v>6.25E-2</v>
      </c>
      <c r="G860" s="18">
        <v>353</v>
      </c>
      <c r="I860">
        <f t="shared" si="90"/>
        <v>859</v>
      </c>
      <c r="J860" s="18" t="s">
        <v>33</v>
      </c>
      <c r="K860" s="18">
        <v>64</v>
      </c>
      <c r="L860" s="18">
        <v>4</v>
      </c>
      <c r="M860" s="18">
        <f t="shared" si="91"/>
        <v>5.515625</v>
      </c>
      <c r="N860" s="18">
        <v>353</v>
      </c>
      <c r="O860" s="18">
        <f t="shared" si="92"/>
        <v>6.25E-2</v>
      </c>
    </row>
    <row r="861" spans="1:23" x14ac:dyDescent="0.25">
      <c r="A861" s="18" t="s">
        <v>28</v>
      </c>
      <c r="B861" s="18">
        <v>20</v>
      </c>
      <c r="C861" s="18">
        <v>0</v>
      </c>
      <c r="D861" s="18">
        <f t="shared" si="88"/>
        <v>5.65</v>
      </c>
      <c r="E861" s="18">
        <f t="shared" si="89"/>
        <v>0</v>
      </c>
      <c r="G861" s="18">
        <v>113</v>
      </c>
      <c r="I861">
        <f t="shared" si="90"/>
        <v>860</v>
      </c>
      <c r="J861" s="18" t="s">
        <v>28</v>
      </c>
      <c r="K861" s="18">
        <v>20</v>
      </c>
      <c r="L861" s="18">
        <v>0</v>
      </c>
      <c r="M861" s="18">
        <f t="shared" si="91"/>
        <v>5.65</v>
      </c>
      <c r="N861" s="18">
        <v>113</v>
      </c>
      <c r="O861" s="18">
        <f t="shared" si="92"/>
        <v>0</v>
      </c>
    </row>
    <row r="862" spans="1:23" x14ac:dyDescent="0.25">
      <c r="A862" s="18" t="s">
        <v>401</v>
      </c>
      <c r="B862" s="18">
        <v>56</v>
      </c>
      <c r="C862" s="18">
        <v>3</v>
      </c>
      <c r="D862" s="18">
        <f t="shared" si="88"/>
        <v>5.6785714285714288</v>
      </c>
      <c r="E862" s="18">
        <f t="shared" si="89"/>
        <v>5.3571428571428568E-2</v>
      </c>
      <c r="G862" s="18">
        <v>318</v>
      </c>
      <c r="I862">
        <f t="shared" si="90"/>
        <v>861</v>
      </c>
      <c r="J862" s="18" t="s">
        <v>401</v>
      </c>
      <c r="K862" s="18">
        <v>57</v>
      </c>
      <c r="L862" s="18">
        <v>3</v>
      </c>
      <c r="M862" s="18">
        <f t="shared" ref="M862" si="95">N862/K862</f>
        <v>5.6842105263157894</v>
      </c>
      <c r="N862" s="18">
        <v>324</v>
      </c>
      <c r="O862" s="18">
        <f t="shared" si="92"/>
        <v>5.2631578947368418E-2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zoomScaleNormal="100" workbookViewId="0">
      <selection activeCell="G109" sqref="G108:G10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46019</v>
      </c>
      <c r="B1" s="1">
        <v>46019</v>
      </c>
      <c r="C1" s="1">
        <v>45658</v>
      </c>
      <c r="D1" s="1">
        <v>45658</v>
      </c>
      <c r="E1" s="1">
        <v>45658</v>
      </c>
      <c r="F1" s="1">
        <v>45658</v>
      </c>
      <c r="G1" s="1">
        <v>45658</v>
      </c>
      <c r="H1" s="1">
        <v>45658</v>
      </c>
      <c r="I1" s="1">
        <v>45658</v>
      </c>
      <c r="J1" s="1">
        <v>45658</v>
      </c>
      <c r="XFD1" s="1"/>
    </row>
    <row r="2" spans="1:19 16384:16384" x14ac:dyDescent="0.25">
      <c r="A2" t="s">
        <v>1</v>
      </c>
      <c r="B2" t="s">
        <v>552</v>
      </c>
      <c r="C2" t="s">
        <v>34</v>
      </c>
      <c r="D2" t="s">
        <v>139</v>
      </c>
      <c r="E2" t="s">
        <v>147</v>
      </c>
      <c r="F2" t="s">
        <v>25</v>
      </c>
      <c r="G2" t="s">
        <v>230</v>
      </c>
      <c r="H2" t="s">
        <v>21</v>
      </c>
      <c r="I2" t="s">
        <v>232</v>
      </c>
      <c r="J2" t="s">
        <v>26</v>
      </c>
    </row>
    <row r="3" spans="1:19 16384:16384" x14ac:dyDescent="0.25">
      <c r="A3" t="s">
        <v>122</v>
      </c>
      <c r="B3" t="s">
        <v>232</v>
      </c>
      <c r="C3" t="s">
        <v>21</v>
      </c>
      <c r="D3" t="s">
        <v>232</v>
      </c>
      <c r="E3" t="s">
        <v>139</v>
      </c>
      <c r="F3" t="s">
        <v>147</v>
      </c>
      <c r="G3" t="s">
        <v>81</v>
      </c>
      <c r="H3" t="s">
        <v>29</v>
      </c>
      <c r="I3" t="s">
        <v>230</v>
      </c>
      <c r="J3" t="s">
        <v>124</v>
      </c>
    </row>
    <row r="4" spans="1:19 16384:16384" x14ac:dyDescent="0.25">
      <c r="A4" t="s">
        <v>232</v>
      </c>
      <c r="B4" t="s">
        <v>553</v>
      </c>
      <c r="C4" t="s">
        <v>31</v>
      </c>
      <c r="D4" t="s">
        <v>124</v>
      </c>
      <c r="E4" t="s">
        <v>1</v>
      </c>
      <c r="F4" t="s">
        <v>1</v>
      </c>
      <c r="G4" t="s">
        <v>124</v>
      </c>
      <c r="H4" t="s">
        <v>26</v>
      </c>
      <c r="I4" t="s">
        <v>361</v>
      </c>
      <c r="J4" t="s">
        <v>232</v>
      </c>
    </row>
    <row r="5" spans="1:19 16384:16384" x14ac:dyDescent="0.25">
      <c r="A5" t="s">
        <v>148</v>
      </c>
      <c r="B5" t="s">
        <v>148</v>
      </c>
      <c r="C5" t="s">
        <v>25</v>
      </c>
      <c r="D5" t="s">
        <v>122</v>
      </c>
      <c r="E5" t="s">
        <v>87</v>
      </c>
      <c r="F5" t="s">
        <v>139</v>
      </c>
      <c r="G5" t="s">
        <v>104</v>
      </c>
      <c r="H5" t="s">
        <v>49</v>
      </c>
      <c r="I5" t="s">
        <v>29</v>
      </c>
      <c r="J5" t="s">
        <v>29</v>
      </c>
    </row>
    <row r="6" spans="1:19 16384:16384" x14ac:dyDescent="0.25">
      <c r="A6" t="s">
        <v>175</v>
      </c>
      <c r="B6" t="s">
        <v>87</v>
      </c>
      <c r="C6" t="s">
        <v>139</v>
      </c>
      <c r="D6" t="s">
        <v>87</v>
      </c>
      <c r="E6" t="s">
        <v>21</v>
      </c>
      <c r="F6" t="s">
        <v>122</v>
      </c>
      <c r="G6" t="s">
        <v>49</v>
      </c>
      <c r="H6" t="s">
        <v>30</v>
      </c>
      <c r="I6" t="s">
        <v>49</v>
      </c>
      <c r="J6" t="s">
        <v>554</v>
      </c>
    </row>
    <row r="7" spans="1:19 16384:16384" x14ac:dyDescent="0.25">
      <c r="A7" t="s">
        <v>25</v>
      </c>
      <c r="B7" t="s">
        <v>124</v>
      </c>
      <c r="C7" t="s">
        <v>122</v>
      </c>
      <c r="D7" t="s">
        <v>128</v>
      </c>
      <c r="E7" t="s">
        <v>31</v>
      </c>
      <c r="F7" t="s">
        <v>87</v>
      </c>
      <c r="G7" t="s">
        <v>30</v>
      </c>
      <c r="H7" t="s">
        <v>104</v>
      </c>
      <c r="I7" t="s">
        <v>26</v>
      </c>
      <c r="J7" t="s">
        <v>24</v>
      </c>
    </row>
    <row r="8" spans="1:19 16384:16384" x14ac:dyDescent="0.25">
      <c r="A8" t="s">
        <v>31</v>
      </c>
      <c r="B8" t="s">
        <v>31</v>
      </c>
      <c r="C8" t="s">
        <v>87</v>
      </c>
      <c r="D8" t="s">
        <v>25</v>
      </c>
      <c r="E8" t="s">
        <v>122</v>
      </c>
      <c r="F8" t="s">
        <v>21</v>
      </c>
      <c r="G8" t="s">
        <v>26</v>
      </c>
      <c r="H8" t="s">
        <v>81</v>
      </c>
      <c r="I8" t="s">
        <v>253</v>
      </c>
      <c r="J8" t="s">
        <v>253</v>
      </c>
    </row>
    <row r="9" spans="1:19 16384:16384" x14ac:dyDescent="0.25">
      <c r="A9" t="s">
        <v>87</v>
      </c>
      <c r="B9" t="s">
        <v>25</v>
      </c>
      <c r="C9" t="s">
        <v>124</v>
      </c>
      <c r="D9" t="s">
        <v>31</v>
      </c>
      <c r="E9" t="s">
        <v>25</v>
      </c>
      <c r="F9" t="s">
        <v>31</v>
      </c>
      <c r="G9" t="s">
        <v>232</v>
      </c>
      <c r="H9" t="s">
        <v>124</v>
      </c>
      <c r="I9" t="s">
        <v>24</v>
      </c>
      <c r="J9" t="s">
        <v>34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t="s">
        <v>125</v>
      </c>
      <c r="B13">
        <v>24</v>
      </c>
      <c r="C13">
        <v>2</v>
      </c>
      <c r="D13">
        <f t="shared" ref="D13:D72" si="0">E13/B13</f>
        <v>4.083333333333333</v>
      </c>
      <c r="E13">
        <v>98</v>
      </c>
      <c r="F13">
        <f t="shared" ref="F13:F72" si="1">C13/B13</f>
        <v>8.3333333333333329E-2</v>
      </c>
      <c r="G13" s="32">
        <v>2.3664319132398401</v>
      </c>
      <c r="I13" s="18" t="s">
        <v>125</v>
      </c>
      <c r="J13" s="18">
        <v>24</v>
      </c>
      <c r="K13" s="18">
        <v>2</v>
      </c>
      <c r="L13" s="18">
        <f t="shared" ref="L13:L15" si="2">M13/J13</f>
        <v>4.083333333333333</v>
      </c>
      <c r="M13" s="18">
        <v>98</v>
      </c>
      <c r="N13" s="18">
        <f t="shared" ref="N13:N15" si="3">K13/J13</f>
        <v>8.3333333333333329E-2</v>
      </c>
    </row>
    <row r="14" spans="1:19 16384:16384" x14ac:dyDescent="0.25">
      <c r="A14" s="18" t="s">
        <v>104</v>
      </c>
      <c r="B14" s="18">
        <v>95</v>
      </c>
      <c r="C14" s="18">
        <v>6</v>
      </c>
      <c r="D14" s="18">
        <f t="shared" si="0"/>
        <v>4.2842105263157899</v>
      </c>
      <c r="E14" s="18">
        <v>407</v>
      </c>
      <c r="F14" s="18">
        <f t="shared" si="1"/>
        <v>6.3157894736842107E-2</v>
      </c>
      <c r="G14" s="32">
        <v>2.3273733406281498</v>
      </c>
      <c r="I14" s="18" t="s">
        <v>104</v>
      </c>
      <c r="J14" s="18">
        <v>95</v>
      </c>
      <c r="K14" s="18">
        <v>6</v>
      </c>
      <c r="L14" s="18">
        <f t="shared" si="2"/>
        <v>4.2842105263157899</v>
      </c>
      <c r="M14" s="18">
        <v>407</v>
      </c>
      <c r="N14" s="18">
        <f t="shared" si="3"/>
        <v>6.3157894736842107E-2</v>
      </c>
      <c r="S14" s="18" t="s">
        <v>392</v>
      </c>
    </row>
    <row r="15" spans="1:19 16384:16384" x14ac:dyDescent="0.25">
      <c r="A15" s="18" t="s">
        <v>31</v>
      </c>
      <c r="B15" s="18">
        <v>175</v>
      </c>
      <c r="C15" s="18">
        <v>12</v>
      </c>
      <c r="D15" s="18">
        <f t="shared" si="0"/>
        <v>5.32</v>
      </c>
      <c r="E15" s="18">
        <v>931</v>
      </c>
      <c r="F15" s="18">
        <f t="shared" si="1"/>
        <v>6.8571428571428575E-2</v>
      </c>
      <c r="G15" s="32">
        <v>1.87082869338697</v>
      </c>
      <c r="I15" s="18" t="s">
        <v>31</v>
      </c>
      <c r="J15" s="18">
        <v>175</v>
      </c>
      <c r="K15" s="18">
        <v>12</v>
      </c>
      <c r="L15" s="18">
        <f t="shared" si="2"/>
        <v>5.32</v>
      </c>
      <c r="M15" s="18">
        <v>931</v>
      </c>
      <c r="N15" s="18">
        <f t="shared" si="3"/>
        <v>6.8571428571428575E-2</v>
      </c>
      <c r="S15" s="18" t="s">
        <v>392</v>
      </c>
    </row>
    <row r="16" spans="1:19 16384:16384" x14ac:dyDescent="0.25">
      <c r="A16" t="s">
        <v>105</v>
      </c>
      <c r="B16">
        <v>22</v>
      </c>
      <c r="C16">
        <v>1</v>
      </c>
      <c r="D16">
        <f t="shared" si="0"/>
        <v>4.9090909090909092</v>
      </c>
      <c r="E16">
        <v>108</v>
      </c>
      <c r="F16">
        <f t="shared" si="1"/>
        <v>4.5454545454545456E-2</v>
      </c>
      <c r="G16" s="32">
        <v>1.8165902124584901</v>
      </c>
      <c r="I16" s="18" t="s">
        <v>105</v>
      </c>
      <c r="J16" s="18">
        <v>22</v>
      </c>
      <c r="K16" s="18">
        <v>1</v>
      </c>
      <c r="L16" s="18">
        <f t="shared" ref="L16:L17" si="4">M16/J16</f>
        <v>4.9090909090909092</v>
      </c>
      <c r="M16" s="18">
        <v>108</v>
      </c>
      <c r="N16" s="18">
        <f t="shared" ref="N16:N17" si="5">K16/J16</f>
        <v>4.5454545454545456E-2</v>
      </c>
    </row>
    <row r="17" spans="1:27" x14ac:dyDescent="0.25">
      <c r="A17" s="18" t="s">
        <v>128</v>
      </c>
      <c r="B17" s="18">
        <v>101</v>
      </c>
      <c r="C17" s="18">
        <v>31</v>
      </c>
      <c r="D17" s="18">
        <f t="shared" si="0"/>
        <v>3.2574257425742572</v>
      </c>
      <c r="E17" s="18">
        <v>329</v>
      </c>
      <c r="F17" s="18">
        <f t="shared" si="1"/>
        <v>0.30693069306930693</v>
      </c>
      <c r="G17" s="32">
        <v>2.03049835952651</v>
      </c>
      <c r="I17" s="18" t="s">
        <v>128</v>
      </c>
      <c r="J17" s="18">
        <v>101</v>
      </c>
      <c r="K17" s="18">
        <v>31</v>
      </c>
      <c r="L17" s="18">
        <f t="shared" si="4"/>
        <v>3.2574257425742572</v>
      </c>
      <c r="M17" s="18">
        <v>329</v>
      </c>
      <c r="N17" s="18">
        <f t="shared" si="5"/>
        <v>0.30693069306930693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8:L25" si="6">M18/J18</f>
        <v>4.4782608695652177</v>
      </c>
      <c r="M18" s="18">
        <v>206</v>
      </c>
      <c r="N18" s="18">
        <f t="shared" ref="N18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t="s">
        <v>90</v>
      </c>
      <c r="B21">
        <v>27</v>
      </c>
      <c r="C21">
        <v>3</v>
      </c>
      <c r="D21">
        <f t="shared" si="0"/>
        <v>5.4074074074074074</v>
      </c>
      <c r="E21">
        <v>146</v>
      </c>
      <c r="F21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t="s">
        <v>19</v>
      </c>
      <c r="B23">
        <v>27</v>
      </c>
      <c r="C23">
        <v>3</v>
      </c>
      <c r="D23">
        <f t="shared" si="0"/>
        <v>5.0370370370370372</v>
      </c>
      <c r="E23">
        <v>136</v>
      </c>
      <c r="F23">
        <f t="shared" si="1"/>
        <v>0.1111111111111111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27</v>
      </c>
      <c r="K24" s="18">
        <v>3</v>
      </c>
      <c r="L24" s="18">
        <f t="shared" si="6"/>
        <v>5.0370370370370372</v>
      </c>
      <c r="M24" s="18">
        <v>136</v>
      </c>
      <c r="N24" s="18">
        <f t="shared" si="7"/>
        <v>0.1111111111111111</v>
      </c>
    </row>
    <row r="25" spans="1:27" x14ac:dyDescent="0.25">
      <c r="A25" t="s">
        <v>52</v>
      </c>
      <c r="B25">
        <v>22</v>
      </c>
      <c r="C25">
        <v>2</v>
      </c>
      <c r="D25">
        <f t="shared" si="0"/>
        <v>3.6363636363636362</v>
      </c>
      <c r="E25">
        <v>80</v>
      </c>
      <c r="F25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t="s">
        <v>20</v>
      </c>
      <c r="B26">
        <v>22</v>
      </c>
      <c r="C26">
        <v>2</v>
      </c>
      <c r="D26">
        <f t="shared" si="0"/>
        <v>5.1818181818181817</v>
      </c>
      <c r="E26">
        <v>114</v>
      </c>
      <c r="F26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142</v>
      </c>
      <c r="C27" s="18">
        <v>12</v>
      </c>
      <c r="D27" s="18">
        <f t="shared" si="0"/>
        <v>5.0140845070422539</v>
      </c>
      <c r="E27" s="18">
        <v>712</v>
      </c>
      <c r="F27" s="18">
        <f t="shared" si="1"/>
        <v>8.4507042253521125E-2</v>
      </c>
      <c r="G27" s="32">
        <v>2.1609054109613202</v>
      </c>
      <c r="I27" s="18" t="s">
        <v>25</v>
      </c>
      <c r="J27" s="18">
        <v>142</v>
      </c>
      <c r="K27" s="18">
        <v>12</v>
      </c>
      <c r="L27" s="18">
        <f t="shared" ref="L27:L28" si="8">M27/J27</f>
        <v>5.0140845070422539</v>
      </c>
      <c r="M27" s="18">
        <v>712</v>
      </c>
      <c r="N27" s="18">
        <f t="shared" ref="N27:N28" si="9">K27/J27</f>
        <v>8.4507042253521125E-2</v>
      </c>
      <c r="S27" s="18" t="s">
        <v>392</v>
      </c>
    </row>
    <row r="28" spans="1:27" x14ac:dyDescent="0.25">
      <c r="A28" t="s">
        <v>34</v>
      </c>
      <c r="B28">
        <v>21</v>
      </c>
      <c r="C28">
        <v>2</v>
      </c>
      <c r="D28">
        <f t="shared" si="0"/>
        <v>5.666666666666667</v>
      </c>
      <c r="E28">
        <v>119</v>
      </c>
      <c r="F28">
        <f t="shared" si="1"/>
        <v>9.5238095238095233E-2</v>
      </c>
      <c r="G28" s="32">
        <v>2.2360679774997898</v>
      </c>
      <c r="I28" s="18" t="s">
        <v>34</v>
      </c>
      <c r="J28" s="18">
        <v>21</v>
      </c>
      <c r="K28" s="18">
        <v>2</v>
      </c>
      <c r="L28" s="18">
        <f t="shared" si="8"/>
        <v>5.666666666666667</v>
      </c>
      <c r="M28" s="18">
        <v>119</v>
      </c>
      <c r="N28" s="18">
        <f t="shared" si="9"/>
        <v>9.5238095238095233E-2</v>
      </c>
    </row>
    <row r="29" spans="1:27" x14ac:dyDescent="0.25">
      <c r="A29" s="18" t="s">
        <v>147</v>
      </c>
      <c r="B29" s="18">
        <v>110</v>
      </c>
      <c r="C29" s="18">
        <v>21</v>
      </c>
      <c r="D29" s="18">
        <f t="shared" si="0"/>
        <v>3.6909090909090909</v>
      </c>
      <c r="E29" s="18">
        <v>406</v>
      </c>
      <c r="F29" s="18">
        <f t="shared" si="1"/>
        <v>0.19090909090909092</v>
      </c>
      <c r="G29" s="32">
        <v>1.94935886896179</v>
      </c>
      <c r="I29" s="18" t="s">
        <v>147</v>
      </c>
      <c r="J29" s="18">
        <v>110</v>
      </c>
      <c r="K29" s="18">
        <v>21</v>
      </c>
      <c r="L29" s="18">
        <f t="shared" ref="L29:L30" si="10">M29/J29</f>
        <v>3.6909090909090909</v>
      </c>
      <c r="M29" s="18">
        <v>406</v>
      </c>
      <c r="N29" s="18">
        <f t="shared" ref="N29:N30" si="11">K29/J29</f>
        <v>0.19090909090909092</v>
      </c>
      <c r="S29" s="18" t="s">
        <v>392</v>
      </c>
    </row>
    <row r="30" spans="1:27" x14ac:dyDescent="0.25">
      <c r="A30" s="18" t="s">
        <v>87</v>
      </c>
      <c r="B30" s="18">
        <v>102</v>
      </c>
      <c r="C30" s="18">
        <v>14</v>
      </c>
      <c r="D30" s="18">
        <f t="shared" si="0"/>
        <v>4.8529411764705879</v>
      </c>
      <c r="E30" s="18">
        <v>495</v>
      </c>
      <c r="F30" s="18">
        <f t="shared" si="1"/>
        <v>0.13725490196078433</v>
      </c>
      <c r="G30" s="32">
        <v>1.7888543819998299</v>
      </c>
      <c r="I30" s="18" t="s">
        <v>87</v>
      </c>
      <c r="J30" s="18">
        <v>102</v>
      </c>
      <c r="K30" s="18">
        <v>14</v>
      </c>
      <c r="L30" s="18">
        <f t="shared" si="10"/>
        <v>4.8529411764705879</v>
      </c>
      <c r="M30" s="18">
        <v>495</v>
      </c>
      <c r="N30" s="18">
        <f t="shared" si="11"/>
        <v>0.13725490196078433</v>
      </c>
    </row>
    <row r="31" spans="1:27" x14ac:dyDescent="0.25">
      <c r="A31" t="s">
        <v>50</v>
      </c>
      <c r="B31">
        <v>20</v>
      </c>
      <c r="C31">
        <v>1</v>
      </c>
      <c r="D31">
        <f t="shared" si="0"/>
        <v>4.25</v>
      </c>
      <c r="E31">
        <v>85</v>
      </c>
      <c r="F31">
        <f t="shared" si="1"/>
        <v>0.05</v>
      </c>
      <c r="G31" s="32">
        <v>2.2360679774997898</v>
      </c>
      <c r="I31" s="18" t="s">
        <v>50</v>
      </c>
      <c r="J31" s="18">
        <v>20</v>
      </c>
      <c r="K31" s="18">
        <v>1</v>
      </c>
      <c r="L31" s="18">
        <f t="shared" ref="L31:L32" si="12">M31/J31</f>
        <v>4.25</v>
      </c>
      <c r="M31" s="18">
        <v>85</v>
      </c>
      <c r="N31" s="18">
        <f t="shared" ref="N31:N32" si="13">K31/J31</f>
        <v>0.05</v>
      </c>
    </row>
    <row r="32" spans="1:27" x14ac:dyDescent="0.25">
      <c r="A32" s="18" t="s">
        <v>81</v>
      </c>
      <c r="B32" s="18">
        <v>63</v>
      </c>
      <c r="C32" s="18">
        <v>4</v>
      </c>
      <c r="D32" s="18">
        <f t="shared" si="0"/>
        <v>5.0634920634920633</v>
      </c>
      <c r="E32" s="18">
        <v>319</v>
      </c>
      <c r="F32" s="18">
        <f t="shared" si="1"/>
        <v>6.3492063492063489E-2</v>
      </c>
      <c r="G32" s="32">
        <v>1.76776695296636</v>
      </c>
      <c r="I32" s="18" t="s">
        <v>81</v>
      </c>
      <c r="J32" s="18">
        <v>63</v>
      </c>
      <c r="K32" s="18">
        <v>4</v>
      </c>
      <c r="L32" s="18">
        <f t="shared" si="12"/>
        <v>5.0634920634920633</v>
      </c>
      <c r="M32" s="18">
        <v>319</v>
      </c>
      <c r="N32" s="18">
        <f t="shared" si="13"/>
        <v>6.3492063492063489E-2</v>
      </c>
      <c r="S32" s="18" t="s">
        <v>392</v>
      </c>
    </row>
    <row r="33" spans="1:19" x14ac:dyDescent="0.25">
      <c r="A33" t="s">
        <v>36</v>
      </c>
      <c r="B33">
        <v>20</v>
      </c>
      <c r="C33">
        <v>0</v>
      </c>
      <c r="D33">
        <f t="shared" si="0"/>
        <v>4.5</v>
      </c>
      <c r="E33">
        <v>90</v>
      </c>
      <c r="F33">
        <f t="shared" si="1"/>
        <v>0</v>
      </c>
      <c r="G33" s="32">
        <v>2.6076809620810502</v>
      </c>
      <c r="I33" s="18" t="s">
        <v>36</v>
      </c>
      <c r="J33" s="18">
        <v>20</v>
      </c>
      <c r="K33" s="18">
        <v>0</v>
      </c>
      <c r="L33" s="18">
        <f t="shared" ref="L33" si="14">M33/J33</f>
        <v>4.5</v>
      </c>
      <c r="M33" s="18">
        <v>90</v>
      </c>
      <c r="N33" s="18">
        <f t="shared" ref="N33" si="15">K33/J33</f>
        <v>0</v>
      </c>
    </row>
    <row r="34" spans="1:19" x14ac:dyDescent="0.25">
      <c r="A34" t="s">
        <v>112</v>
      </c>
      <c r="B34">
        <v>26</v>
      </c>
      <c r="C34">
        <v>5</v>
      </c>
      <c r="D34">
        <f t="shared" si="0"/>
        <v>4.2307692307692308</v>
      </c>
      <c r="E34">
        <v>110</v>
      </c>
      <c r="F34">
        <f t="shared" si="1"/>
        <v>0.19230769230769232</v>
      </c>
      <c r="G34" s="32">
        <v>2.71006354989037</v>
      </c>
      <c r="I34" s="18" t="s">
        <v>112</v>
      </c>
      <c r="J34" s="18">
        <v>26</v>
      </c>
      <c r="K34" s="18">
        <v>5</v>
      </c>
      <c r="L34" s="18">
        <f>M34/J34</f>
        <v>4.2307692307692308</v>
      </c>
      <c r="M34" s="18">
        <v>110</v>
      </c>
      <c r="N34" s="18">
        <f>K34/J34</f>
        <v>0.19230769230769232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27</v>
      </c>
      <c r="J35" s="18">
        <v>36</v>
      </c>
      <c r="K35" s="18">
        <v>3</v>
      </c>
      <c r="L35" s="18">
        <f>M35/J35</f>
        <v>4.4444444444444446</v>
      </c>
      <c r="M35" s="18">
        <v>160</v>
      </c>
      <c r="N35" s="18">
        <f>K35/J35</f>
        <v>8.3333333333333329E-2</v>
      </c>
      <c r="S35" s="18" t="s">
        <v>392</v>
      </c>
    </row>
    <row r="36" spans="1:19" x14ac:dyDescent="0.25">
      <c r="A36" t="s">
        <v>117</v>
      </c>
      <c r="B36">
        <v>21</v>
      </c>
      <c r="C36">
        <v>3</v>
      </c>
      <c r="D36">
        <f t="shared" si="0"/>
        <v>4.2857142857142856</v>
      </c>
      <c r="E36">
        <v>90</v>
      </c>
      <c r="F36">
        <f t="shared" si="1"/>
        <v>0.14285714285714285</v>
      </c>
      <c r="G36" s="32">
        <v>2.7284509239574799</v>
      </c>
      <c r="I36" s="18" t="s">
        <v>117</v>
      </c>
      <c r="J36" s="18">
        <v>21</v>
      </c>
      <c r="K36" s="18">
        <v>3</v>
      </c>
      <c r="L36" s="18">
        <f t="shared" ref="L36:L38" si="16">M36/J36</f>
        <v>4.2857142857142856</v>
      </c>
      <c r="M36" s="18">
        <v>90</v>
      </c>
      <c r="N36" s="18">
        <f t="shared" ref="N36:N38" si="17">K36/J36</f>
        <v>0.14285714285714285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401</v>
      </c>
      <c r="J37" s="18">
        <v>59</v>
      </c>
      <c r="K37" s="18">
        <v>3</v>
      </c>
      <c r="L37" s="18">
        <f t="shared" si="16"/>
        <v>5.6271186440677967</v>
      </c>
      <c r="M37" s="18">
        <v>332</v>
      </c>
      <c r="N37" s="18">
        <f t="shared" si="17"/>
        <v>5.0847457627118647E-2</v>
      </c>
      <c r="S37">
        <v>2</v>
      </c>
    </row>
    <row r="38" spans="1:19" x14ac:dyDescent="0.25">
      <c r="A38" s="18" t="s">
        <v>401</v>
      </c>
      <c r="B38" s="18">
        <v>59</v>
      </c>
      <c r="C38" s="18">
        <v>3</v>
      </c>
      <c r="D38" s="18">
        <f t="shared" si="0"/>
        <v>5.6271186440677967</v>
      </c>
      <c r="E38" s="18">
        <v>332</v>
      </c>
      <c r="F38" s="18">
        <f t="shared" si="1"/>
        <v>5.0847457627118647E-2</v>
      </c>
      <c r="G38" s="32">
        <v>2.1248885888797799</v>
      </c>
      <c r="I38" s="18" t="s">
        <v>15</v>
      </c>
      <c r="J38" s="18">
        <v>226</v>
      </c>
      <c r="K38" s="18">
        <v>35</v>
      </c>
      <c r="L38" s="18">
        <f t="shared" si="16"/>
        <v>4.5309734513274336</v>
      </c>
      <c r="M38" s="18">
        <v>1024</v>
      </c>
      <c r="N38" s="18">
        <f t="shared" si="17"/>
        <v>0.15486725663716813</v>
      </c>
      <c r="S38" s="18" t="s">
        <v>392</v>
      </c>
    </row>
    <row r="39" spans="1:19" x14ac:dyDescent="0.25">
      <c r="A39" s="18" t="s">
        <v>15</v>
      </c>
      <c r="B39" s="18">
        <v>226</v>
      </c>
      <c r="C39" s="18">
        <v>35</v>
      </c>
      <c r="D39" s="18">
        <f t="shared" si="0"/>
        <v>4.5309734513274336</v>
      </c>
      <c r="E39" s="18">
        <v>1024</v>
      </c>
      <c r="F39" s="18">
        <f t="shared" si="1"/>
        <v>0.15486725663716813</v>
      </c>
      <c r="G39" s="32">
        <v>2.3694389634605302</v>
      </c>
      <c r="I39" s="18" t="s">
        <v>13</v>
      </c>
      <c r="J39" s="18">
        <v>36</v>
      </c>
      <c r="K39" s="18">
        <v>2</v>
      </c>
      <c r="L39" s="18">
        <f t="shared" ref="L39:L41" si="18">M39/J39</f>
        <v>4.7222222222222223</v>
      </c>
      <c r="M39" s="18">
        <v>170</v>
      </c>
      <c r="N39" s="18">
        <f t="shared" ref="N39:N41" si="19">K39/J39</f>
        <v>5.5555555555555552E-2</v>
      </c>
      <c r="S39" s="18" t="s">
        <v>392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10</v>
      </c>
      <c r="J40" s="18">
        <v>66</v>
      </c>
      <c r="K40" s="18">
        <v>13</v>
      </c>
      <c r="L40" s="18">
        <f t="shared" si="18"/>
        <v>3.8787878787878789</v>
      </c>
      <c r="M40" s="18">
        <v>256</v>
      </c>
      <c r="N40" s="18">
        <f t="shared" si="19"/>
        <v>0.19696969696969696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63</v>
      </c>
      <c r="J41" s="18">
        <v>21</v>
      </c>
      <c r="K41" s="18">
        <v>3</v>
      </c>
      <c r="L41" s="18">
        <f t="shared" si="18"/>
        <v>4.2380952380952381</v>
      </c>
      <c r="M41" s="18">
        <v>89</v>
      </c>
      <c r="N41" s="18">
        <f t="shared" si="19"/>
        <v>0.14285714285714285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4</v>
      </c>
      <c r="J42" s="18">
        <v>20</v>
      </c>
      <c r="K42" s="18">
        <v>3</v>
      </c>
      <c r="L42" s="18">
        <f t="shared" ref="L42:L47" si="20">M42/J42</f>
        <v>4.95</v>
      </c>
      <c r="M42" s="18">
        <v>99</v>
      </c>
      <c r="N42" s="18">
        <f t="shared" ref="N42:N47" si="21">K42/J42</f>
        <v>0.15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121</v>
      </c>
      <c r="J43" s="18">
        <v>84</v>
      </c>
      <c r="K43" s="18">
        <v>19</v>
      </c>
      <c r="L43" s="18">
        <f t="shared" si="20"/>
        <v>3.9166666666666665</v>
      </c>
      <c r="M43" s="18">
        <v>329</v>
      </c>
      <c r="N43" s="18">
        <f t="shared" si="21"/>
        <v>0.22619047619047619</v>
      </c>
      <c r="S43" s="18" t="s">
        <v>392</v>
      </c>
    </row>
    <row r="44" spans="1:19" x14ac:dyDescent="0.25">
      <c r="A44" s="18" t="s">
        <v>121</v>
      </c>
      <c r="B44" s="18">
        <v>84</v>
      </c>
      <c r="C44" s="18">
        <v>19</v>
      </c>
      <c r="D44" s="18">
        <f t="shared" si="0"/>
        <v>3.9166666666666665</v>
      </c>
      <c r="E44" s="18">
        <v>329</v>
      </c>
      <c r="F44" s="18">
        <f t="shared" si="1"/>
        <v>0.22619047619047619</v>
      </c>
      <c r="G44" s="32">
        <v>2.2233267457082899</v>
      </c>
      <c r="I44" s="18" t="s">
        <v>232</v>
      </c>
      <c r="J44" s="18">
        <v>94</v>
      </c>
      <c r="K44" s="18">
        <v>18</v>
      </c>
      <c r="L44" s="18">
        <f t="shared" si="20"/>
        <v>3.9361702127659575</v>
      </c>
      <c r="M44" s="18">
        <v>370</v>
      </c>
      <c r="N44" s="18">
        <f t="shared" si="21"/>
        <v>0.19148936170212766</v>
      </c>
      <c r="S44">
        <v>1</v>
      </c>
    </row>
    <row r="45" spans="1:19" x14ac:dyDescent="0.25">
      <c r="A45" s="18" t="s">
        <v>232</v>
      </c>
      <c r="B45" s="18">
        <v>94</v>
      </c>
      <c r="C45" s="18">
        <v>18</v>
      </c>
      <c r="D45" s="18">
        <f t="shared" si="0"/>
        <v>3.9361702127659575</v>
      </c>
      <c r="E45" s="18">
        <v>370</v>
      </c>
      <c r="F45" s="18">
        <f t="shared" si="1"/>
        <v>0.19148936170212766</v>
      </c>
      <c r="G45" s="32">
        <v>2.2509257354845502</v>
      </c>
      <c r="I45" s="18" t="s">
        <v>21</v>
      </c>
      <c r="J45" s="18">
        <v>145</v>
      </c>
      <c r="K45" s="18">
        <v>22</v>
      </c>
      <c r="L45" s="18">
        <f t="shared" si="20"/>
        <v>4.3724137931034486</v>
      </c>
      <c r="M45" s="18">
        <v>634</v>
      </c>
      <c r="N45" s="18">
        <f t="shared" si="21"/>
        <v>0.15172413793103448</v>
      </c>
      <c r="S45" s="18" t="s">
        <v>392</v>
      </c>
    </row>
    <row r="46" spans="1:19" x14ac:dyDescent="0.25">
      <c r="A46" s="18" t="s">
        <v>21</v>
      </c>
      <c r="B46" s="18">
        <v>145</v>
      </c>
      <c r="C46" s="18">
        <v>22</v>
      </c>
      <c r="D46" s="18">
        <f t="shared" si="0"/>
        <v>4.3724137931034486</v>
      </c>
      <c r="E46" s="18">
        <v>634</v>
      </c>
      <c r="F46" s="18">
        <f t="shared" si="1"/>
        <v>0.15172413793103448</v>
      </c>
      <c r="G46" s="32">
        <v>2.0655911179772799</v>
      </c>
      <c r="I46" s="18" t="s">
        <v>51</v>
      </c>
      <c r="J46" s="18">
        <v>37</v>
      </c>
      <c r="K46" s="18">
        <v>3</v>
      </c>
      <c r="L46" s="18">
        <f t="shared" si="20"/>
        <v>4.9189189189189193</v>
      </c>
      <c r="M46" s="18">
        <v>182</v>
      </c>
      <c r="N46" s="18">
        <f t="shared" si="21"/>
        <v>8.1081081081081086E-2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414</v>
      </c>
      <c r="J47" s="18">
        <v>21</v>
      </c>
      <c r="K47" s="18">
        <v>2</v>
      </c>
      <c r="L47" s="18">
        <f t="shared" si="20"/>
        <v>4.7619047619047619</v>
      </c>
      <c r="M47" s="18">
        <v>100</v>
      </c>
      <c r="N47" s="18">
        <f t="shared" si="21"/>
        <v>9.5238095238095233E-2</v>
      </c>
    </row>
    <row r="48" spans="1:19" x14ac:dyDescent="0.25">
      <c r="A48" s="18" t="s">
        <v>414</v>
      </c>
      <c r="B48" s="18">
        <v>21</v>
      </c>
      <c r="C48" s="18">
        <v>2</v>
      </c>
      <c r="D48" s="18">
        <f t="shared" si="0"/>
        <v>4.7619047619047619</v>
      </c>
      <c r="E48" s="18">
        <v>100</v>
      </c>
      <c r="F48" s="18">
        <f t="shared" si="1"/>
        <v>9.5238095238095233E-2</v>
      </c>
      <c r="G48" s="32">
        <v>2.8702082220799299</v>
      </c>
      <c r="I48" s="18" t="s">
        <v>0</v>
      </c>
      <c r="J48" s="18">
        <v>84</v>
      </c>
      <c r="K48" s="18">
        <v>14</v>
      </c>
      <c r="L48" s="18">
        <f>M48/J48</f>
        <v>4.1547619047619051</v>
      </c>
      <c r="M48" s="18">
        <v>349</v>
      </c>
      <c r="N48" s="18">
        <f>K48/J48</f>
        <v>0.16666666666666666</v>
      </c>
      <c r="S48" s="18" t="s">
        <v>392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</v>
      </c>
      <c r="J49" s="18">
        <v>97</v>
      </c>
      <c r="K49" s="18">
        <v>5</v>
      </c>
      <c r="L49" s="18">
        <f t="shared" ref="L49" si="22">M49/J49</f>
        <v>4.5773195876288657</v>
      </c>
      <c r="M49" s="18">
        <v>444</v>
      </c>
      <c r="N49" s="18">
        <f t="shared" ref="N49" si="23">K49/J49</f>
        <v>5.1546391752577317E-2</v>
      </c>
      <c r="S49" s="18" t="s">
        <v>392</v>
      </c>
    </row>
    <row r="50" spans="1:26" x14ac:dyDescent="0.25">
      <c r="A50" s="18" t="s">
        <v>1</v>
      </c>
      <c r="B50" s="18">
        <v>97</v>
      </c>
      <c r="C50" s="18">
        <v>5</v>
      </c>
      <c r="D50" s="18">
        <f t="shared" si="0"/>
        <v>4.5773195876288657</v>
      </c>
      <c r="E50" s="18">
        <v>444</v>
      </c>
      <c r="F50" s="18">
        <f t="shared" si="1"/>
        <v>5.1546391752577317E-2</v>
      </c>
      <c r="G50" s="32">
        <v>2.0412414523193099</v>
      </c>
      <c r="I50" s="18" t="s">
        <v>28</v>
      </c>
      <c r="J50" s="18">
        <v>20</v>
      </c>
      <c r="K50" s="18">
        <v>0</v>
      </c>
      <c r="L50" s="18">
        <f t="shared" ref="L50:L53" si="24">M50/J50</f>
        <v>5.65</v>
      </c>
      <c r="M50" s="18">
        <v>113</v>
      </c>
      <c r="N50" s="18">
        <f t="shared" ref="N50:N52" si="25">K50/J50</f>
        <v>0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253</v>
      </c>
      <c r="J51" s="18">
        <v>32</v>
      </c>
      <c r="K51" s="18">
        <v>1</v>
      </c>
      <c r="L51" s="18">
        <f t="shared" si="24"/>
        <v>5.4375</v>
      </c>
      <c r="M51" s="18">
        <v>174</v>
      </c>
      <c r="N51" s="18">
        <f t="shared" si="25"/>
        <v>3.125E-2</v>
      </c>
    </row>
    <row r="52" spans="1:26" x14ac:dyDescent="0.25">
      <c r="A52" s="18" t="s">
        <v>253</v>
      </c>
      <c r="B52" s="18">
        <v>32</v>
      </c>
      <c r="C52" s="18">
        <v>1</v>
      </c>
      <c r="D52" s="18">
        <f t="shared" si="0"/>
        <v>5.4375</v>
      </c>
      <c r="E52" s="18">
        <v>174</v>
      </c>
      <c r="F52" s="18">
        <f t="shared" si="1"/>
        <v>3.125E-2</v>
      </c>
      <c r="G52" s="32"/>
      <c r="I52" s="18" t="s">
        <v>175</v>
      </c>
      <c r="J52" s="18">
        <v>38</v>
      </c>
      <c r="K52" s="18">
        <v>9</v>
      </c>
      <c r="L52" s="18">
        <f t="shared" si="24"/>
        <v>3.236842105263158</v>
      </c>
      <c r="M52" s="18">
        <v>123</v>
      </c>
      <c r="N52" s="18">
        <f t="shared" si="25"/>
        <v>0.23684210526315788</v>
      </c>
    </row>
    <row r="53" spans="1:26" x14ac:dyDescent="0.25">
      <c r="A53" s="18" t="s">
        <v>175</v>
      </c>
      <c r="B53" s="18">
        <v>38</v>
      </c>
      <c r="C53" s="18">
        <v>9</v>
      </c>
      <c r="D53" s="18">
        <f t="shared" si="0"/>
        <v>3.236842105263158</v>
      </c>
      <c r="E53" s="18">
        <v>123</v>
      </c>
      <c r="F53" s="18">
        <f t="shared" si="1"/>
        <v>0.23684210526315788</v>
      </c>
      <c r="G53" s="32">
        <v>2</v>
      </c>
      <c r="I53" s="18" t="s">
        <v>61</v>
      </c>
      <c r="J53" s="18">
        <v>34</v>
      </c>
      <c r="K53" s="18">
        <v>7</v>
      </c>
      <c r="L53" s="18">
        <f t="shared" si="24"/>
        <v>4.6764705882352944</v>
      </c>
      <c r="M53" s="18">
        <v>159</v>
      </c>
      <c r="N53" s="18">
        <f>K53/J53</f>
        <v>0.20588235294117646</v>
      </c>
    </row>
    <row r="54" spans="1:26" x14ac:dyDescent="0.25">
      <c r="A54" s="18" t="s">
        <v>61</v>
      </c>
      <c r="B54" s="18">
        <v>34</v>
      </c>
      <c r="C54" s="18">
        <v>7</v>
      </c>
      <c r="D54" s="18">
        <f t="shared" si="0"/>
        <v>4.6764705882352944</v>
      </c>
      <c r="E54" s="18">
        <v>159</v>
      </c>
      <c r="F54" s="18">
        <f>C54/B54</f>
        <v>0.20588235294117646</v>
      </c>
      <c r="G54" s="32">
        <v>3.2403703492039302</v>
      </c>
      <c r="I54" s="18" t="s">
        <v>115</v>
      </c>
      <c r="J54" s="18">
        <v>39</v>
      </c>
      <c r="K54" s="18">
        <v>3</v>
      </c>
      <c r="L54" s="18">
        <f t="shared" ref="L54:L55" si="26">M54/J54</f>
        <v>4.384615384615385</v>
      </c>
      <c r="M54" s="18">
        <v>171</v>
      </c>
      <c r="N54" s="18">
        <f t="shared" ref="N54:N55" si="27">K54/J54</f>
        <v>7.6923076923076927E-2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24</v>
      </c>
      <c r="J55" s="18">
        <v>98</v>
      </c>
      <c r="K55" s="18">
        <v>11</v>
      </c>
      <c r="L55" s="18">
        <f t="shared" si="26"/>
        <v>4.5510204081632653</v>
      </c>
      <c r="M55" s="18">
        <v>446</v>
      </c>
      <c r="N55" s="18">
        <f t="shared" si="27"/>
        <v>0.11224489795918367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116</v>
      </c>
      <c r="J56" s="18">
        <v>20</v>
      </c>
      <c r="K56" s="18">
        <v>4</v>
      </c>
      <c r="L56" s="18">
        <f t="shared" ref="L56:L61" si="28">M56/J56</f>
        <v>4.05</v>
      </c>
      <c r="M56" s="18">
        <v>81</v>
      </c>
      <c r="N56" s="18">
        <f t="shared" ref="N56:N61" si="29">K56/J56</f>
        <v>0.2</v>
      </c>
    </row>
    <row r="57" spans="1:26" x14ac:dyDescent="0.25">
      <c r="A57" s="18" t="s">
        <v>24</v>
      </c>
      <c r="B57" s="18">
        <v>98</v>
      </c>
      <c r="C57" s="18">
        <v>11</v>
      </c>
      <c r="D57" s="18">
        <f t="shared" si="0"/>
        <v>4.5510204081632653</v>
      </c>
      <c r="E57" s="18">
        <v>446</v>
      </c>
      <c r="F57" s="18">
        <f t="shared" si="1"/>
        <v>0.11224489795918367</v>
      </c>
      <c r="G57" s="32">
        <v>2.26909243703399</v>
      </c>
      <c r="I57" s="18" t="s">
        <v>5</v>
      </c>
      <c r="J57" s="18">
        <v>23</v>
      </c>
      <c r="K57" s="18">
        <v>1</v>
      </c>
      <c r="L57" s="18">
        <f t="shared" si="28"/>
        <v>4.6086956521739131</v>
      </c>
      <c r="M57" s="18">
        <v>106</v>
      </c>
      <c r="N57" s="18">
        <f t="shared" si="29"/>
        <v>4.3478260869565216E-2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58</v>
      </c>
      <c r="J58" s="18">
        <v>24</v>
      </c>
      <c r="K58" s="18">
        <v>4</v>
      </c>
      <c r="L58" s="18">
        <f t="shared" si="28"/>
        <v>3.8333333333333335</v>
      </c>
      <c r="M58" s="18">
        <v>92</v>
      </c>
      <c r="N58" s="18">
        <f t="shared" si="29"/>
        <v>0.16666666666666666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30</v>
      </c>
      <c r="J59" s="18">
        <v>50</v>
      </c>
      <c r="K59" s="18">
        <v>3</v>
      </c>
      <c r="L59" s="18">
        <f t="shared" si="28"/>
        <v>5.0999999999999996</v>
      </c>
      <c r="M59" s="18">
        <v>255</v>
      </c>
      <c r="N59" s="18">
        <f t="shared" si="29"/>
        <v>0.06</v>
      </c>
      <c r="S59" s="18" t="s">
        <v>392</v>
      </c>
    </row>
    <row r="60" spans="1:26" x14ac:dyDescent="0.25">
      <c r="A60" s="18" t="s">
        <v>58</v>
      </c>
      <c r="B60" s="18">
        <v>24</v>
      </c>
      <c r="C60" s="18">
        <v>4</v>
      </c>
      <c r="D60" s="18">
        <f t="shared" si="0"/>
        <v>3.8333333333333335</v>
      </c>
      <c r="E60" s="18">
        <v>92</v>
      </c>
      <c r="F60" s="18">
        <f t="shared" si="1"/>
        <v>0.16666666666666666</v>
      </c>
      <c r="G60" s="32">
        <v>2.33809038890002</v>
      </c>
      <c r="I60" s="18" t="s">
        <v>29</v>
      </c>
      <c r="J60" s="18">
        <v>110</v>
      </c>
      <c r="K60" s="18">
        <v>16</v>
      </c>
      <c r="L60" s="18">
        <f t="shared" si="28"/>
        <v>3.9090909090909092</v>
      </c>
      <c r="M60" s="18">
        <v>430</v>
      </c>
      <c r="N60" s="18">
        <f t="shared" si="29"/>
        <v>0.14545454545454545</v>
      </c>
      <c r="S60" s="18">
        <v>1</v>
      </c>
    </row>
    <row r="61" spans="1:26" x14ac:dyDescent="0.25">
      <c r="A61" s="18" t="s">
        <v>30</v>
      </c>
      <c r="B61" s="18">
        <v>50</v>
      </c>
      <c r="C61" s="18">
        <v>3</v>
      </c>
      <c r="D61" s="18">
        <f t="shared" si="0"/>
        <v>5.0999999999999996</v>
      </c>
      <c r="E61" s="18">
        <v>255</v>
      </c>
      <c r="F61" s="18">
        <f t="shared" si="1"/>
        <v>0.06</v>
      </c>
      <c r="G61" s="32">
        <v>2.5226248955475601</v>
      </c>
      <c r="I61" s="18" t="s">
        <v>148</v>
      </c>
      <c r="J61" s="18">
        <v>41</v>
      </c>
      <c r="K61" s="18">
        <v>8</v>
      </c>
      <c r="L61" s="18">
        <f t="shared" si="28"/>
        <v>3.7560975609756095</v>
      </c>
      <c r="M61" s="18">
        <v>154</v>
      </c>
      <c r="N61" s="18">
        <f t="shared" si="29"/>
        <v>0.1951219512195122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110</v>
      </c>
      <c r="C62" s="18">
        <v>16</v>
      </c>
      <c r="D62" s="18">
        <f t="shared" si="0"/>
        <v>3.9090909090909092</v>
      </c>
      <c r="E62" s="18">
        <v>430</v>
      </c>
      <c r="F62" s="18">
        <f t="shared" si="1"/>
        <v>0.14545454545454545</v>
      </c>
      <c r="G62" s="32">
        <v>2.0875571218153701</v>
      </c>
      <c r="I62" s="18" t="s">
        <v>9</v>
      </c>
      <c r="J62" s="18">
        <v>20</v>
      </c>
      <c r="K62" s="18">
        <v>2</v>
      </c>
      <c r="L62" s="18">
        <f t="shared" ref="L62:L63" si="30">M62/J62</f>
        <v>4.1500000000000004</v>
      </c>
      <c r="M62" s="18">
        <v>83</v>
      </c>
      <c r="N62" s="18">
        <f t="shared" ref="N62:N63" si="31">K62/J62</f>
        <v>0.1</v>
      </c>
    </row>
    <row r="63" spans="1:26" x14ac:dyDescent="0.25">
      <c r="A63" s="18" t="s">
        <v>148</v>
      </c>
      <c r="B63" s="18">
        <v>41</v>
      </c>
      <c r="C63" s="18">
        <v>8</v>
      </c>
      <c r="D63" s="18">
        <f t="shared" si="0"/>
        <v>3.7560975609756095</v>
      </c>
      <c r="E63" s="18">
        <v>154</v>
      </c>
      <c r="F63" s="18">
        <f t="shared" si="1"/>
        <v>0.1951219512195122</v>
      </c>
      <c r="G63" s="32">
        <v>2.0528725518857001</v>
      </c>
      <c r="I63" s="18" t="s">
        <v>139</v>
      </c>
      <c r="J63" s="18">
        <v>24</v>
      </c>
      <c r="K63" s="18">
        <v>3</v>
      </c>
      <c r="L63" s="18">
        <f t="shared" si="30"/>
        <v>4.083333333333333</v>
      </c>
      <c r="M63" s="18">
        <v>98</v>
      </c>
      <c r="N63" s="18">
        <f t="shared" si="31"/>
        <v>0.125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t="s">
        <v>428</v>
      </c>
      <c r="J64">
        <v>21</v>
      </c>
      <c r="K64">
        <v>0</v>
      </c>
      <c r="L64">
        <f>M64/J64</f>
        <v>4.6190476190476186</v>
      </c>
      <c r="M64">
        <v>97</v>
      </c>
      <c r="N64">
        <f>K64/J64</f>
        <v>0</v>
      </c>
      <c r="S64" s="18" t="s">
        <v>392</v>
      </c>
    </row>
    <row r="65" spans="1:19" x14ac:dyDescent="0.25">
      <c r="A65" s="18" t="s">
        <v>139</v>
      </c>
      <c r="B65" s="18">
        <v>24</v>
      </c>
      <c r="C65" s="18">
        <v>3</v>
      </c>
      <c r="D65" s="18">
        <f t="shared" si="0"/>
        <v>4.083333333333333</v>
      </c>
      <c r="E65" s="18">
        <v>98</v>
      </c>
      <c r="F65" s="18">
        <f t="shared" si="1"/>
        <v>0.125</v>
      </c>
      <c r="G65" s="32">
        <v>1.9944979263017399</v>
      </c>
      <c r="I65" s="18" t="s">
        <v>17</v>
      </c>
      <c r="J65" s="18">
        <v>20</v>
      </c>
      <c r="K65" s="18">
        <v>2</v>
      </c>
      <c r="L65" s="18">
        <f t="shared" ref="L65:L67" si="32">M65/J65</f>
        <v>5.25</v>
      </c>
      <c r="M65" s="18">
        <v>105</v>
      </c>
      <c r="N65" s="18">
        <f t="shared" ref="N65:N67" si="33"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79</v>
      </c>
      <c r="J66" s="18">
        <v>54</v>
      </c>
      <c r="K66" s="18">
        <v>6</v>
      </c>
      <c r="L66" s="18">
        <f t="shared" si="32"/>
        <v>4.6296296296296298</v>
      </c>
      <c r="M66" s="18">
        <v>250</v>
      </c>
      <c r="N66" s="18">
        <f t="shared" si="33"/>
        <v>0.1111111111111111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123</v>
      </c>
      <c r="J67" s="18">
        <v>32</v>
      </c>
      <c r="K67" s="18">
        <v>4</v>
      </c>
      <c r="L67" s="18">
        <f t="shared" si="32"/>
        <v>4.59375</v>
      </c>
      <c r="M67" s="18">
        <v>147</v>
      </c>
      <c r="N67" s="18">
        <f t="shared" si="33"/>
        <v>0.125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12</v>
      </c>
      <c r="J68" s="18">
        <v>20</v>
      </c>
      <c r="K68" s="18">
        <v>0</v>
      </c>
      <c r="L68" s="18">
        <f t="shared" ref="L68" si="34">M68/J68</f>
        <v>4.75</v>
      </c>
      <c r="M68" s="18">
        <v>95</v>
      </c>
      <c r="N68" s="18">
        <f t="shared" ref="N68" si="35">K68/J68</f>
        <v>0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404</v>
      </c>
      <c r="J69" s="18">
        <v>20</v>
      </c>
      <c r="K69" s="18">
        <v>2</v>
      </c>
      <c r="L69" s="18">
        <f>M69/J69</f>
        <v>5.25</v>
      </c>
      <c r="M69" s="18">
        <v>105</v>
      </c>
      <c r="N69" s="18">
        <f>K69/J69</f>
        <v>0.1</v>
      </c>
    </row>
    <row r="70" spans="1:19" x14ac:dyDescent="0.25">
      <c r="A70" s="18" t="s">
        <v>123</v>
      </c>
      <c r="B70" s="18">
        <v>32</v>
      </c>
      <c r="C70" s="18">
        <v>4</v>
      </c>
      <c r="D70" s="18">
        <f t="shared" si="0"/>
        <v>4.59375</v>
      </c>
      <c r="E70" s="18">
        <v>147</v>
      </c>
      <c r="F70" s="18">
        <f t="shared" si="1"/>
        <v>0.125</v>
      </c>
      <c r="G70" s="32">
        <v>2</v>
      </c>
      <c r="I70" s="18" t="s">
        <v>22</v>
      </c>
      <c r="J70" s="18">
        <v>182</v>
      </c>
      <c r="K70" s="18">
        <v>30</v>
      </c>
      <c r="L70" s="18">
        <f>M70/J70</f>
        <v>4.104395604395604</v>
      </c>
      <c r="M70" s="18">
        <v>747</v>
      </c>
      <c r="N70" s="18">
        <f>K70/J70</f>
        <v>0.16483516483516483</v>
      </c>
      <c r="S70" s="18" t="s">
        <v>392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33</v>
      </c>
      <c r="J71" s="18">
        <v>64</v>
      </c>
      <c r="K71" s="18">
        <v>4</v>
      </c>
      <c r="L71" s="18">
        <f t="shared" ref="L71" si="36">M71/J71</f>
        <v>5.515625</v>
      </c>
      <c r="M71" s="18">
        <v>353</v>
      </c>
      <c r="N71" s="18">
        <f t="shared" ref="N71" si="37">K71/J71</f>
        <v>6.25E-2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110</v>
      </c>
      <c r="J72">
        <v>20</v>
      </c>
      <c r="K72">
        <v>1</v>
      </c>
      <c r="L72">
        <f>M72/J72</f>
        <v>5.15</v>
      </c>
      <c r="M72">
        <v>103</v>
      </c>
      <c r="N72">
        <f>K72/J72</f>
        <v>0.05</v>
      </c>
    </row>
    <row r="73" spans="1:19" x14ac:dyDescent="0.25">
      <c r="A73" s="18" t="s">
        <v>22</v>
      </c>
      <c r="B73" s="18">
        <v>182</v>
      </c>
      <c r="C73" s="18">
        <v>30</v>
      </c>
      <c r="D73" s="18">
        <f>E73/B73</f>
        <v>4.104395604395604</v>
      </c>
      <c r="E73" s="18">
        <v>747</v>
      </c>
      <c r="F73" s="18">
        <f>C73/B73</f>
        <v>0.16483516483516483</v>
      </c>
      <c r="G73" s="32">
        <v>2.2045689482796602</v>
      </c>
      <c r="I73" s="18" t="s">
        <v>82</v>
      </c>
      <c r="J73" s="18">
        <v>20</v>
      </c>
      <c r="K73" s="18">
        <v>0</v>
      </c>
      <c r="L73" s="18">
        <f t="shared" ref="L73" si="38">M73/J73</f>
        <v>5.15</v>
      </c>
      <c r="M73" s="18">
        <v>103</v>
      </c>
      <c r="N73" s="18">
        <f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99</v>
      </c>
      <c r="J74" s="18">
        <v>20</v>
      </c>
      <c r="K74" s="18">
        <v>2</v>
      </c>
      <c r="L74" s="18">
        <f t="shared" ref="L74" si="39">M74/J74</f>
        <v>5.05</v>
      </c>
      <c r="M74" s="18">
        <v>101</v>
      </c>
      <c r="N74" s="18">
        <f t="shared" ref="N74" si="40">K74/J74</f>
        <v>0.1</v>
      </c>
    </row>
    <row r="75" spans="1:19" x14ac:dyDescent="0.25">
      <c r="A75" s="18" t="s">
        <v>110</v>
      </c>
      <c r="B75" s="18">
        <v>20</v>
      </c>
      <c r="C75" s="18">
        <v>1</v>
      </c>
      <c r="D75" s="18">
        <f>E75/B75</f>
        <v>5.15</v>
      </c>
      <c r="E75" s="18">
        <v>103</v>
      </c>
      <c r="F75" s="18">
        <f>C75/B75</f>
        <v>0.05</v>
      </c>
      <c r="G75" s="32">
        <v>1.9407902170679501</v>
      </c>
      <c r="I75" s="18" t="s">
        <v>7</v>
      </c>
      <c r="J75" s="18">
        <v>20</v>
      </c>
      <c r="K75" s="18">
        <v>4</v>
      </c>
      <c r="L75" s="18">
        <f t="shared" ref="L75" si="41">M75/J75</f>
        <v>4.0999999999999996</v>
      </c>
      <c r="M75" s="18">
        <v>82</v>
      </c>
      <c r="N75" s="18">
        <f t="shared" ref="N75" si="42">K75/J75</f>
        <v>0.2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t="s">
        <v>129</v>
      </c>
      <c r="J76">
        <v>40</v>
      </c>
      <c r="K76">
        <v>7</v>
      </c>
      <c r="L76">
        <f>M76/J76</f>
        <v>4.45</v>
      </c>
      <c r="M76">
        <v>178</v>
      </c>
      <c r="N76">
        <f>K76/J76</f>
        <v>0.17499999999999999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s="18" t="s">
        <v>113</v>
      </c>
      <c r="J77" s="18">
        <v>20</v>
      </c>
      <c r="K77" s="18">
        <v>0</v>
      </c>
      <c r="L77" s="18">
        <f t="shared" ref="L77:L83" si="45">M77/J77</f>
        <v>4.3</v>
      </c>
      <c r="M77" s="18">
        <v>86</v>
      </c>
      <c r="N77" s="18">
        <f t="shared" ref="N77:N83" si="46">K77/J77</f>
        <v>0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I78" s="18" t="s">
        <v>35</v>
      </c>
      <c r="J78" s="18">
        <v>148</v>
      </c>
      <c r="K78" s="18">
        <v>38</v>
      </c>
      <c r="L78" s="18">
        <f t="shared" si="45"/>
        <v>3.5405405405405403</v>
      </c>
      <c r="M78" s="18">
        <v>524</v>
      </c>
      <c r="N78" s="18">
        <f t="shared" si="46"/>
        <v>0.25675675675675674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  <c r="I79" s="18" t="s">
        <v>26</v>
      </c>
      <c r="J79" s="18">
        <v>60</v>
      </c>
      <c r="K79" s="18">
        <v>5</v>
      </c>
      <c r="L79" s="18">
        <f t="shared" si="45"/>
        <v>5.083333333333333</v>
      </c>
      <c r="M79" s="18">
        <v>305</v>
      </c>
      <c r="N79" s="18">
        <f t="shared" si="46"/>
        <v>8.3333333333333329E-2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  <c r="I80" s="18" t="s">
        <v>122</v>
      </c>
      <c r="J80" s="18">
        <v>96</v>
      </c>
      <c r="K80" s="18">
        <v>9</v>
      </c>
      <c r="L80" s="18">
        <f t="shared" si="45"/>
        <v>4.270833333333333</v>
      </c>
      <c r="M80" s="18">
        <v>410</v>
      </c>
      <c r="N80" s="18">
        <f t="shared" si="46"/>
        <v>9.375E-2</v>
      </c>
      <c r="S80" s="18" t="s">
        <v>392</v>
      </c>
    </row>
    <row r="81" spans="1:19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  <c r="I81" s="18" t="s">
        <v>49</v>
      </c>
      <c r="J81" s="18">
        <v>106</v>
      </c>
      <c r="K81" s="18">
        <v>7</v>
      </c>
      <c r="L81" s="18">
        <f t="shared" si="45"/>
        <v>5.1415094339622645</v>
      </c>
      <c r="M81" s="18">
        <v>545</v>
      </c>
      <c r="N81" s="18">
        <f t="shared" si="46"/>
        <v>6.6037735849056603E-2</v>
      </c>
      <c r="S81" s="18" t="s">
        <v>392</v>
      </c>
    </row>
    <row r="82" spans="1:19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I82" s="18" t="s">
        <v>3</v>
      </c>
      <c r="J82" s="18">
        <v>43</v>
      </c>
      <c r="K82" s="18">
        <v>6</v>
      </c>
      <c r="L82" s="18">
        <f t="shared" si="45"/>
        <v>4.1627906976744189</v>
      </c>
      <c r="M82" s="18">
        <v>179</v>
      </c>
      <c r="N82" s="18">
        <f t="shared" si="46"/>
        <v>0.13953488372093023</v>
      </c>
      <c r="S82" s="18" t="s">
        <v>392</v>
      </c>
    </row>
    <row r="83" spans="1:19" x14ac:dyDescent="0.25">
      <c r="A83" s="18" t="s">
        <v>113</v>
      </c>
      <c r="B83" s="18">
        <v>20</v>
      </c>
      <c r="C83" s="18">
        <v>0</v>
      </c>
      <c r="D83" s="18">
        <f t="shared" si="43"/>
        <v>4.3</v>
      </c>
      <c r="E83" s="18">
        <v>86</v>
      </c>
      <c r="F83" s="18">
        <f t="shared" si="44"/>
        <v>0</v>
      </c>
      <c r="G83" s="32">
        <v>2.4899799195977401</v>
      </c>
      <c r="I83" s="18" t="s">
        <v>230</v>
      </c>
      <c r="J83" s="18">
        <v>22</v>
      </c>
      <c r="K83" s="18">
        <v>4</v>
      </c>
      <c r="L83" s="18">
        <f t="shared" si="45"/>
        <v>4.6363636363636367</v>
      </c>
      <c r="M83" s="18">
        <v>102</v>
      </c>
      <c r="N83" s="18">
        <f t="shared" si="46"/>
        <v>0.18181818181818182</v>
      </c>
    </row>
    <row r="84" spans="1:19" x14ac:dyDescent="0.25">
      <c r="A84" s="18" t="s">
        <v>35</v>
      </c>
      <c r="B84" s="18">
        <v>148</v>
      </c>
      <c r="C84" s="18">
        <v>38</v>
      </c>
      <c r="D84" s="18">
        <f t="shared" si="43"/>
        <v>3.5405405405405403</v>
      </c>
      <c r="E84" s="18">
        <v>524</v>
      </c>
      <c r="F84" s="18">
        <f t="shared" si="44"/>
        <v>0.25675675675675674</v>
      </c>
      <c r="G84" s="32">
        <v>2.6214406763289899</v>
      </c>
      <c r="I84" t="s">
        <v>2</v>
      </c>
      <c r="J84">
        <v>28</v>
      </c>
      <c r="K84">
        <v>5</v>
      </c>
      <c r="L84">
        <f>M84/J84</f>
        <v>4.1428571428571432</v>
      </c>
      <c r="M84">
        <v>116</v>
      </c>
      <c r="N84">
        <f>K84/J84</f>
        <v>0.17857142857142858</v>
      </c>
    </row>
    <row r="85" spans="1:19" x14ac:dyDescent="0.25">
      <c r="A85" s="18" t="s">
        <v>26</v>
      </c>
      <c r="B85" s="18">
        <v>60</v>
      </c>
      <c r="C85" s="18">
        <v>5</v>
      </c>
      <c r="D85" s="18">
        <f t="shared" si="43"/>
        <v>5.083333333333333</v>
      </c>
      <c r="E85" s="18">
        <v>305</v>
      </c>
      <c r="F85" s="18">
        <f t="shared" si="44"/>
        <v>8.3333333333333329E-2</v>
      </c>
      <c r="G85" s="32">
        <v>2.4494897427831699</v>
      </c>
      <c r="I85" s="18" t="s">
        <v>124</v>
      </c>
      <c r="J85" s="18">
        <v>22</v>
      </c>
      <c r="K85" s="18">
        <v>0</v>
      </c>
      <c r="L85" s="18">
        <f t="shared" ref="L85" si="47">M85/J85</f>
        <v>5.4545454545454541</v>
      </c>
      <c r="M85" s="18">
        <v>120</v>
      </c>
      <c r="N85" s="18">
        <f t="shared" ref="N85" si="48">K85/J85</f>
        <v>0</v>
      </c>
      <c r="O85" s="18"/>
    </row>
    <row r="86" spans="1:19" x14ac:dyDescent="0.25">
      <c r="A86" s="18" t="s">
        <v>122</v>
      </c>
      <c r="B86" s="18">
        <v>96</v>
      </c>
      <c r="C86" s="18">
        <v>9</v>
      </c>
      <c r="D86" s="18">
        <f t="shared" si="43"/>
        <v>4.270833333333333</v>
      </c>
      <c r="E86" s="18">
        <v>410</v>
      </c>
      <c r="F86" s="18">
        <f t="shared" si="44"/>
        <v>9.375E-2</v>
      </c>
      <c r="G86" s="32">
        <v>1.6329931618554501</v>
      </c>
    </row>
    <row r="87" spans="1:19" x14ac:dyDescent="0.25">
      <c r="A87" s="18" t="s">
        <v>49</v>
      </c>
      <c r="B87" s="18">
        <v>106</v>
      </c>
      <c r="C87" s="18">
        <v>7</v>
      </c>
      <c r="D87" s="18">
        <f t="shared" si="43"/>
        <v>5.1415094339622645</v>
      </c>
      <c r="E87" s="18">
        <v>545</v>
      </c>
      <c r="F87" s="18">
        <f t="shared" si="44"/>
        <v>6.6037735849056603E-2</v>
      </c>
      <c r="G87" s="32">
        <v>2.79455252402308</v>
      </c>
    </row>
    <row r="88" spans="1:19" x14ac:dyDescent="0.25">
      <c r="A88" s="18" t="s">
        <v>3</v>
      </c>
      <c r="B88" s="18">
        <v>43</v>
      </c>
      <c r="C88" s="18">
        <v>6</v>
      </c>
      <c r="D88" s="18">
        <f t="shared" si="43"/>
        <v>4.1627906976744189</v>
      </c>
      <c r="E88" s="18">
        <v>179</v>
      </c>
      <c r="F88" s="18">
        <f t="shared" si="44"/>
        <v>0.13953488372093023</v>
      </c>
      <c r="G88" s="32">
        <v>2.3731557327466102</v>
      </c>
    </row>
    <row r="89" spans="1:19" x14ac:dyDescent="0.25">
      <c r="A89" s="18" t="s">
        <v>230</v>
      </c>
      <c r="B89" s="18">
        <v>22</v>
      </c>
      <c r="C89" s="18">
        <v>4</v>
      </c>
      <c r="D89" s="18">
        <f t="shared" si="43"/>
        <v>4.6363636363636367</v>
      </c>
      <c r="E89" s="18">
        <v>102</v>
      </c>
      <c r="F89" s="18">
        <f t="shared" si="44"/>
        <v>0.18181818181818182</v>
      </c>
      <c r="G89" s="32">
        <v>2.7748873851023199</v>
      </c>
    </row>
    <row r="90" spans="1:19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9" x14ac:dyDescent="0.25">
      <c r="A91" s="18" t="s">
        <v>124</v>
      </c>
      <c r="B91" s="18">
        <v>22</v>
      </c>
      <c r="C91" s="18">
        <v>0</v>
      </c>
      <c r="D91" s="18">
        <f t="shared" si="43"/>
        <v>5.4545454545454541</v>
      </c>
      <c r="E91" s="18">
        <v>120</v>
      </c>
      <c r="F91" s="18">
        <f t="shared" si="44"/>
        <v>0</v>
      </c>
      <c r="G91" s="32">
        <v>2.16794833886788</v>
      </c>
    </row>
    <row r="96" spans="1:19" x14ac:dyDescent="0.25">
      <c r="A96" t="s">
        <v>89</v>
      </c>
      <c r="B96">
        <v>7</v>
      </c>
      <c r="C96">
        <v>0</v>
      </c>
      <c r="D96">
        <f t="shared" ref="D96:D97" si="49">E96/B96</f>
        <v>6</v>
      </c>
      <c r="E96">
        <v>42</v>
      </c>
      <c r="F96">
        <f t="shared" ref="F96:F97" si="50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9"/>
        <v>5.8461538461538458</v>
      </c>
      <c r="E97" s="18">
        <v>76</v>
      </c>
      <c r="F97" s="18">
        <f t="shared" si="50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FD91"/>
  <sheetViews>
    <sheetView tabSelected="1" topLeftCell="A13" zoomScale="90" zoomScaleNormal="90" workbookViewId="0">
      <selection activeCell="I33" sqref="I33:N33"/>
    </sheetView>
  </sheetViews>
  <sheetFormatPr defaultRowHeight="15" x14ac:dyDescent="0.25"/>
  <sheetData>
    <row r="1" spans="1:16 16384:16384" x14ac:dyDescent="0.25">
      <c r="A1" s="1">
        <v>46116</v>
      </c>
      <c r="B1" s="1">
        <v>46116</v>
      </c>
      <c r="C1" s="1">
        <v>46121</v>
      </c>
      <c r="D1" s="1">
        <v>46121</v>
      </c>
      <c r="E1" s="1">
        <v>46121</v>
      </c>
      <c r="F1" s="1">
        <v>46121</v>
      </c>
      <c r="G1" s="1">
        <v>46122</v>
      </c>
      <c r="H1" s="1">
        <v>46122</v>
      </c>
      <c r="I1" s="1">
        <v>46123</v>
      </c>
      <c r="J1" s="1">
        <v>46123</v>
      </c>
      <c r="K1" s="1">
        <v>46123</v>
      </c>
      <c r="L1" s="1">
        <v>46123</v>
      </c>
      <c r="M1" s="1">
        <v>46123</v>
      </c>
      <c r="N1" s="1">
        <v>46123</v>
      </c>
      <c r="O1" s="1">
        <v>46123</v>
      </c>
      <c r="P1" s="1">
        <v>46123</v>
      </c>
      <c r="XFD1" s="1"/>
    </row>
    <row r="2" spans="1:16 16384:16384" x14ac:dyDescent="0.25">
      <c r="A2" t="s">
        <v>12</v>
      </c>
      <c r="B2" t="s">
        <v>122</v>
      </c>
      <c r="C2" t="s">
        <v>128</v>
      </c>
      <c r="D2" t="s">
        <v>122</v>
      </c>
      <c r="E2" t="s">
        <v>29</v>
      </c>
      <c r="F2" t="s">
        <v>232</v>
      </c>
      <c r="I2" t="s">
        <v>31</v>
      </c>
      <c r="J2" t="s">
        <v>31</v>
      </c>
      <c r="K2" t="s">
        <v>63</v>
      </c>
      <c r="L2" t="s">
        <v>585</v>
      </c>
      <c r="M2" t="s">
        <v>81</v>
      </c>
      <c r="N2" t="s">
        <v>16</v>
      </c>
    </row>
    <row r="3" spans="1:16 16384:16384" x14ac:dyDescent="0.25">
      <c r="A3" t="s">
        <v>35</v>
      </c>
      <c r="B3" t="s">
        <v>553</v>
      </c>
      <c r="C3" t="s">
        <v>116</v>
      </c>
      <c r="D3" t="s">
        <v>116</v>
      </c>
      <c r="E3" t="s">
        <v>116</v>
      </c>
      <c r="F3" t="s">
        <v>58</v>
      </c>
      <c r="I3" t="s">
        <v>232</v>
      </c>
      <c r="J3" t="s">
        <v>9</v>
      </c>
      <c r="K3" t="s">
        <v>9</v>
      </c>
      <c r="L3" t="s">
        <v>16</v>
      </c>
      <c r="M3" t="s">
        <v>104</v>
      </c>
      <c r="N3" t="s">
        <v>12</v>
      </c>
    </row>
    <row r="4" spans="1:16 16384:16384" x14ac:dyDescent="0.25">
      <c r="A4" t="s">
        <v>16</v>
      </c>
      <c r="B4" t="s">
        <v>28</v>
      </c>
      <c r="C4" t="s">
        <v>586</v>
      </c>
      <c r="D4" t="s">
        <v>28</v>
      </c>
      <c r="E4" t="s">
        <v>587</v>
      </c>
      <c r="F4" t="s">
        <v>9</v>
      </c>
      <c r="I4" t="s">
        <v>9</v>
      </c>
      <c r="J4" t="s">
        <v>28</v>
      </c>
      <c r="K4" t="s">
        <v>49</v>
      </c>
      <c r="L4" t="s">
        <v>17</v>
      </c>
      <c r="M4" t="s">
        <v>26</v>
      </c>
      <c r="N4" t="s">
        <v>104</v>
      </c>
    </row>
    <row r="5" spans="1:16 16384:16384" x14ac:dyDescent="0.25">
      <c r="A5" t="s">
        <v>122</v>
      </c>
      <c r="B5" t="s">
        <v>591</v>
      </c>
      <c r="C5" t="s">
        <v>31</v>
      </c>
      <c r="D5" t="s">
        <v>123</v>
      </c>
      <c r="E5" t="s">
        <v>26</v>
      </c>
      <c r="F5" t="s">
        <v>587</v>
      </c>
      <c r="I5" t="s">
        <v>28</v>
      </c>
      <c r="J5" t="s">
        <v>1</v>
      </c>
      <c r="K5" t="s">
        <v>22</v>
      </c>
      <c r="L5" t="s">
        <v>9</v>
      </c>
      <c r="M5" t="s">
        <v>17</v>
      </c>
      <c r="N5" t="s">
        <v>81</v>
      </c>
    </row>
    <row r="6" spans="1:16 16384:16384" x14ac:dyDescent="0.25">
      <c r="A6" t="s">
        <v>29</v>
      </c>
      <c r="B6" t="s">
        <v>232</v>
      </c>
      <c r="C6" t="s">
        <v>591</v>
      </c>
      <c r="D6" t="s">
        <v>31</v>
      </c>
      <c r="E6" t="s">
        <v>104</v>
      </c>
      <c r="F6" t="s">
        <v>26</v>
      </c>
      <c r="I6" t="s">
        <v>573</v>
      </c>
      <c r="J6" t="s">
        <v>122</v>
      </c>
      <c r="K6" t="s">
        <v>17</v>
      </c>
      <c r="L6" t="s">
        <v>113</v>
      </c>
      <c r="M6" t="s">
        <v>16</v>
      </c>
      <c r="N6" t="s">
        <v>26</v>
      </c>
    </row>
    <row r="7" spans="1:16 16384:16384" x14ac:dyDescent="0.25">
      <c r="A7" t="s">
        <v>591</v>
      </c>
      <c r="B7" t="s">
        <v>35</v>
      </c>
      <c r="C7" t="s">
        <v>589</v>
      </c>
      <c r="D7" t="s">
        <v>1</v>
      </c>
      <c r="E7" t="s">
        <v>49</v>
      </c>
      <c r="F7" t="s">
        <v>104</v>
      </c>
      <c r="I7" t="s">
        <v>592</v>
      </c>
      <c r="J7" t="s">
        <v>232</v>
      </c>
      <c r="K7" t="s">
        <v>585</v>
      </c>
      <c r="L7" t="s">
        <v>22</v>
      </c>
      <c r="M7" t="s">
        <v>9</v>
      </c>
      <c r="N7" t="s">
        <v>17</v>
      </c>
    </row>
    <row r="8" spans="1:16 16384:16384" x14ac:dyDescent="0.25">
      <c r="A8" t="s">
        <v>28</v>
      </c>
      <c r="B8" t="s">
        <v>574</v>
      </c>
      <c r="C8" t="s">
        <v>28</v>
      </c>
      <c r="D8" t="s">
        <v>591</v>
      </c>
      <c r="E8" t="s">
        <v>58</v>
      </c>
      <c r="F8" t="s">
        <v>29</v>
      </c>
      <c r="I8" t="s">
        <v>587</v>
      </c>
      <c r="J8" t="s">
        <v>587</v>
      </c>
      <c r="K8" t="s">
        <v>16</v>
      </c>
      <c r="L8" t="s">
        <v>30</v>
      </c>
      <c r="M8" t="s">
        <v>32</v>
      </c>
      <c r="N8" t="s">
        <v>110</v>
      </c>
    </row>
    <row r="9" spans="1:16 16384:16384" x14ac:dyDescent="0.25">
      <c r="A9" t="s">
        <v>232</v>
      </c>
      <c r="B9" t="s">
        <v>16</v>
      </c>
      <c r="C9" t="s">
        <v>122</v>
      </c>
      <c r="D9" t="s">
        <v>586</v>
      </c>
      <c r="E9" t="s">
        <v>30</v>
      </c>
      <c r="F9" t="s">
        <v>49</v>
      </c>
      <c r="I9" t="s">
        <v>300</v>
      </c>
      <c r="J9" t="s">
        <v>586</v>
      </c>
      <c r="K9" t="s">
        <v>30</v>
      </c>
      <c r="L9" t="s">
        <v>49</v>
      </c>
      <c r="M9" t="s">
        <v>12</v>
      </c>
      <c r="N9" t="s">
        <v>32</v>
      </c>
    </row>
    <row r="12" spans="1:16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</row>
    <row r="13" spans="1:16 16384:16384" x14ac:dyDescent="0.25">
      <c r="A13" s="18" t="s">
        <v>125</v>
      </c>
      <c r="B13" s="18">
        <v>35</v>
      </c>
      <c r="C13" s="18">
        <v>2</v>
      </c>
      <c r="D13" s="18">
        <f t="shared" ref="D13:D72" si="0">E13/B13</f>
        <v>4.1714285714285717</v>
      </c>
      <c r="E13" s="18">
        <v>146</v>
      </c>
      <c r="F13" s="18">
        <f t="shared" ref="F13:F72" si="1">C13/B13</f>
        <v>5.7142857142857141E-2</v>
      </c>
      <c r="G13" s="32">
        <v>2.3664319132398401</v>
      </c>
      <c r="I13" s="18" t="s">
        <v>125</v>
      </c>
      <c r="J13" s="18">
        <v>35</v>
      </c>
      <c r="K13" s="18">
        <v>2</v>
      </c>
      <c r="L13" s="18">
        <f t="shared" ref="L13:L15" si="2">M13/J13</f>
        <v>4.1714285714285717</v>
      </c>
      <c r="M13" s="18">
        <v>146</v>
      </c>
      <c r="N13" s="18">
        <f t="shared" ref="N13:N15" si="3">K13/J13</f>
        <v>5.7142857142857141E-2</v>
      </c>
    </row>
    <row r="14" spans="1:16 16384:16384" x14ac:dyDescent="0.25">
      <c r="A14" s="18" t="s">
        <v>104</v>
      </c>
      <c r="B14" s="18">
        <v>121</v>
      </c>
      <c r="C14" s="18">
        <v>9</v>
      </c>
      <c r="D14" s="18">
        <f t="shared" si="0"/>
        <v>4.2479338842975203</v>
      </c>
      <c r="E14" s="18">
        <v>514</v>
      </c>
      <c r="F14" s="18">
        <f t="shared" si="1"/>
        <v>7.43801652892562E-2</v>
      </c>
      <c r="G14" s="32">
        <v>2.3273733406281498</v>
      </c>
      <c r="I14" s="18" t="s">
        <v>104</v>
      </c>
      <c r="J14" s="18">
        <v>121</v>
      </c>
      <c r="K14" s="18">
        <v>9</v>
      </c>
      <c r="L14" s="18">
        <f t="shared" si="2"/>
        <v>4.2479338842975203</v>
      </c>
      <c r="M14" s="18">
        <v>514</v>
      </c>
      <c r="N14" s="18">
        <f t="shared" si="3"/>
        <v>7.43801652892562E-2</v>
      </c>
    </row>
    <row r="15" spans="1:16 16384:16384" x14ac:dyDescent="0.25">
      <c r="A15" s="18" t="s">
        <v>31</v>
      </c>
      <c r="B15" s="18">
        <v>232</v>
      </c>
      <c r="C15" s="18">
        <v>18</v>
      </c>
      <c r="D15" s="18">
        <f t="shared" si="0"/>
        <v>5.1594827586206895</v>
      </c>
      <c r="E15" s="18">
        <v>1197</v>
      </c>
      <c r="F15" s="18">
        <f t="shared" si="1"/>
        <v>7.7586206896551727E-2</v>
      </c>
      <c r="G15" s="32">
        <v>1.87082869338697</v>
      </c>
      <c r="I15" s="18" t="s">
        <v>31</v>
      </c>
      <c r="J15" s="18">
        <v>232</v>
      </c>
      <c r="K15" s="18">
        <v>18</v>
      </c>
      <c r="L15" s="18">
        <f t="shared" si="2"/>
        <v>5.1594827586206895</v>
      </c>
      <c r="M15" s="18">
        <v>1197</v>
      </c>
      <c r="N15" s="18">
        <f t="shared" si="3"/>
        <v>7.7586206896551727E-2</v>
      </c>
    </row>
    <row r="16" spans="1:16 16384:16384" x14ac:dyDescent="0.25">
      <c r="A16" s="18" t="s">
        <v>105</v>
      </c>
      <c r="B16" s="18">
        <v>32</v>
      </c>
      <c r="C16" s="18">
        <v>4</v>
      </c>
      <c r="D16" s="18">
        <f t="shared" si="0"/>
        <v>4.78125</v>
      </c>
      <c r="E16" s="18">
        <v>153</v>
      </c>
      <c r="F16" s="18">
        <f t="shared" si="1"/>
        <v>0.125</v>
      </c>
      <c r="G16" s="32">
        <v>1.8165902124584901</v>
      </c>
      <c r="I16" s="18" t="s">
        <v>105</v>
      </c>
      <c r="J16" s="18">
        <v>32</v>
      </c>
      <c r="K16" s="18">
        <v>4</v>
      </c>
      <c r="L16" s="18">
        <f t="shared" ref="L16:L17" si="4">M16/J16</f>
        <v>4.78125</v>
      </c>
      <c r="M16" s="18">
        <v>153</v>
      </c>
      <c r="N16" s="18">
        <f t="shared" ref="N16:N17" si="5">K16/J16</f>
        <v>0.125</v>
      </c>
    </row>
    <row r="17" spans="1:14" x14ac:dyDescent="0.25">
      <c r="A17" s="18" t="s">
        <v>128</v>
      </c>
      <c r="B17" s="18">
        <v>109</v>
      </c>
      <c r="C17" s="18">
        <v>34</v>
      </c>
      <c r="D17" s="18">
        <f t="shared" si="0"/>
        <v>3.2201834862385321</v>
      </c>
      <c r="E17" s="18">
        <v>351</v>
      </c>
      <c r="F17" s="18">
        <f t="shared" si="1"/>
        <v>0.31192660550458717</v>
      </c>
      <c r="G17" s="32">
        <v>2.03049835952651</v>
      </c>
      <c r="I17" s="18" t="s">
        <v>128</v>
      </c>
      <c r="J17" s="18">
        <v>109</v>
      </c>
      <c r="K17" s="18">
        <v>34</v>
      </c>
      <c r="L17" s="18">
        <f t="shared" si="4"/>
        <v>3.2201834862385321</v>
      </c>
      <c r="M17" s="18">
        <v>351</v>
      </c>
      <c r="N17" s="18">
        <f t="shared" si="5"/>
        <v>0.31192660550458717</v>
      </c>
    </row>
    <row r="18" spans="1:14" x14ac:dyDescent="0.25">
      <c r="A18" s="18" t="s">
        <v>8</v>
      </c>
      <c r="B18" s="18">
        <v>49</v>
      </c>
      <c r="C18" s="18">
        <v>6</v>
      </c>
      <c r="D18" s="18">
        <f t="shared" si="0"/>
        <v>4.4285714285714288</v>
      </c>
      <c r="E18" s="18">
        <v>217</v>
      </c>
      <c r="F18" s="18">
        <f t="shared" si="1"/>
        <v>0.12244897959183673</v>
      </c>
      <c r="G18" s="32">
        <v>2.4994623077688098</v>
      </c>
      <c r="I18" s="18" t="s">
        <v>8</v>
      </c>
      <c r="J18" s="18">
        <v>49</v>
      </c>
      <c r="K18" s="18">
        <v>6</v>
      </c>
      <c r="L18" s="18">
        <f t="shared" ref="L18" si="6">M18/J18</f>
        <v>4.4285714285714288</v>
      </c>
      <c r="M18" s="18">
        <v>217</v>
      </c>
      <c r="N18" s="18">
        <f t="shared" ref="N18" si="7">K18/J18</f>
        <v>0.12244897959183673</v>
      </c>
    </row>
    <row r="19" spans="1:14" x14ac:dyDescent="0.25">
      <c r="A19" t="s">
        <v>37</v>
      </c>
      <c r="B19">
        <v>23</v>
      </c>
      <c r="C19">
        <v>2</v>
      </c>
      <c r="D19">
        <f t="shared" si="0"/>
        <v>4.9130434782608692</v>
      </c>
      <c r="E19">
        <v>113</v>
      </c>
      <c r="F19">
        <f t="shared" si="1"/>
        <v>8.6956521739130432E-2</v>
      </c>
      <c r="G19" s="32">
        <v>2.4235565546581199</v>
      </c>
      <c r="I19" t="s">
        <v>14</v>
      </c>
      <c r="J19">
        <v>45</v>
      </c>
      <c r="K19">
        <v>3</v>
      </c>
      <c r="L19">
        <f>M19/J19</f>
        <v>4.7111111111111112</v>
      </c>
      <c r="M19">
        <v>212</v>
      </c>
      <c r="N19">
        <f>K19/J19</f>
        <v>6.6666666666666666E-2</v>
      </c>
    </row>
    <row r="20" spans="1:14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s="73" t="s">
        <v>90</v>
      </c>
      <c r="J20" s="73">
        <v>30</v>
      </c>
      <c r="K20" s="73">
        <v>3</v>
      </c>
      <c r="L20" s="73">
        <f t="shared" ref="L20" si="8">M20/J20</f>
        <v>5.6</v>
      </c>
      <c r="M20" s="73">
        <v>168</v>
      </c>
      <c r="N20" s="73">
        <f t="shared" ref="N20" si="9">K20/J20</f>
        <v>0.1</v>
      </c>
    </row>
    <row r="21" spans="1:14" x14ac:dyDescent="0.25">
      <c r="A21" s="73" t="s">
        <v>90</v>
      </c>
      <c r="B21" s="73">
        <v>30</v>
      </c>
      <c r="C21" s="73">
        <v>3</v>
      </c>
      <c r="D21" s="73">
        <f t="shared" si="0"/>
        <v>5.6</v>
      </c>
      <c r="E21" s="73">
        <v>168</v>
      </c>
      <c r="F21" s="73">
        <f t="shared" si="1"/>
        <v>0.1</v>
      </c>
      <c r="G21" s="32">
        <v>2.2962419891481902</v>
      </c>
      <c r="I21" s="18" t="s">
        <v>6</v>
      </c>
      <c r="J21" s="18">
        <v>45</v>
      </c>
      <c r="K21" s="18">
        <v>3</v>
      </c>
      <c r="L21" s="18">
        <f>M21/J21</f>
        <v>5.3555555555555552</v>
      </c>
      <c r="M21" s="18">
        <v>241</v>
      </c>
      <c r="N21" s="18">
        <f>K21/J21</f>
        <v>6.6666666666666666E-2</v>
      </c>
    </row>
    <row r="22" spans="1:14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19</v>
      </c>
      <c r="J22" s="18">
        <v>32</v>
      </c>
      <c r="K22" s="18">
        <v>3</v>
      </c>
      <c r="L22" s="18">
        <f t="shared" ref="L22:L23" si="10">M22/J22</f>
        <v>5.15625</v>
      </c>
      <c r="M22" s="18">
        <v>165</v>
      </c>
      <c r="N22" s="18">
        <f t="shared" ref="N22:N23" si="11">K22/J22</f>
        <v>9.375E-2</v>
      </c>
    </row>
    <row r="23" spans="1:14" x14ac:dyDescent="0.25">
      <c r="A23" s="18" t="s">
        <v>19</v>
      </c>
      <c r="B23" s="18">
        <v>32</v>
      </c>
      <c r="C23" s="18">
        <v>3</v>
      </c>
      <c r="D23" s="18">
        <f t="shared" si="0"/>
        <v>5.15625</v>
      </c>
      <c r="E23" s="18">
        <v>165</v>
      </c>
      <c r="F23" s="18">
        <f t="shared" si="1"/>
        <v>9.375E-2</v>
      </c>
      <c r="G23" s="32">
        <v>2.3299294900428702</v>
      </c>
      <c r="I23" s="18" t="s">
        <v>25</v>
      </c>
      <c r="J23" s="18">
        <v>199</v>
      </c>
      <c r="K23" s="18">
        <v>19</v>
      </c>
      <c r="L23" s="18">
        <f t="shared" si="10"/>
        <v>5.075376884422111</v>
      </c>
      <c r="M23" s="18">
        <v>1010</v>
      </c>
      <c r="N23" s="18">
        <f t="shared" si="11"/>
        <v>9.5477386934673364E-2</v>
      </c>
    </row>
    <row r="24" spans="1:14" x14ac:dyDescent="0.25">
      <c r="A24" t="s">
        <v>56</v>
      </c>
      <c r="B24">
        <v>24</v>
      </c>
      <c r="C24">
        <v>0</v>
      </c>
      <c r="D24">
        <f t="shared" si="0"/>
        <v>5.125</v>
      </c>
      <c r="E24">
        <v>123</v>
      </c>
      <c r="F24">
        <f t="shared" si="1"/>
        <v>0</v>
      </c>
      <c r="G24" s="32">
        <v>2.0655911179772799</v>
      </c>
      <c r="I24" s="18" t="s">
        <v>34</v>
      </c>
      <c r="J24" s="18">
        <v>30</v>
      </c>
      <c r="K24" s="18">
        <v>2</v>
      </c>
      <c r="L24" s="18">
        <f t="shared" ref="L24:L26" si="12">M24/J24</f>
        <v>5.5333333333333332</v>
      </c>
      <c r="M24" s="18">
        <v>166</v>
      </c>
      <c r="N24" s="18">
        <f t="shared" ref="N24:N26" si="13">K24/J24</f>
        <v>6.6666666666666666E-2</v>
      </c>
    </row>
    <row r="25" spans="1:14" x14ac:dyDescent="0.25">
      <c r="A25" t="s">
        <v>52</v>
      </c>
      <c r="B25">
        <v>27</v>
      </c>
      <c r="C25">
        <v>3</v>
      </c>
      <c r="D25">
        <f t="shared" si="0"/>
        <v>3.6666666666666665</v>
      </c>
      <c r="E25">
        <v>99</v>
      </c>
      <c r="F25">
        <f t="shared" si="1"/>
        <v>0.1111111111111111</v>
      </c>
      <c r="G25" s="32">
        <v>2.1794494717703299</v>
      </c>
      <c r="I25" s="18" t="s">
        <v>147</v>
      </c>
      <c r="J25" s="18">
        <v>123</v>
      </c>
      <c r="K25" s="18">
        <v>25</v>
      </c>
      <c r="L25" s="18">
        <f t="shared" si="12"/>
        <v>3.6991869918699187</v>
      </c>
      <c r="M25" s="18">
        <v>455</v>
      </c>
      <c r="N25" s="18">
        <f t="shared" si="13"/>
        <v>0.2032520325203252</v>
      </c>
    </row>
    <row r="26" spans="1:14" x14ac:dyDescent="0.25">
      <c r="A26" t="s">
        <v>20</v>
      </c>
      <c r="B26">
        <v>27</v>
      </c>
      <c r="C26">
        <v>2</v>
      </c>
      <c r="D26">
        <f t="shared" si="0"/>
        <v>5.3703703703703702</v>
      </c>
      <c r="E26">
        <v>145</v>
      </c>
      <c r="F26">
        <f t="shared" si="1"/>
        <v>7.407407407407407E-2</v>
      </c>
      <c r="G26" s="32">
        <v>2.3159525823376299</v>
      </c>
      <c r="I26" s="18" t="s">
        <v>87</v>
      </c>
      <c r="J26" s="18">
        <v>152</v>
      </c>
      <c r="K26" s="18">
        <v>17</v>
      </c>
      <c r="L26" s="18">
        <f t="shared" si="12"/>
        <v>4.9671052631578947</v>
      </c>
      <c r="M26" s="18">
        <v>755</v>
      </c>
      <c r="N26" s="18">
        <f t="shared" si="13"/>
        <v>0.1118421052631579</v>
      </c>
    </row>
    <row r="27" spans="1:14" x14ac:dyDescent="0.25">
      <c r="A27" s="18" t="s">
        <v>25</v>
      </c>
      <c r="B27" s="18">
        <v>199</v>
      </c>
      <c r="C27" s="18">
        <v>19</v>
      </c>
      <c r="D27" s="18">
        <f t="shared" si="0"/>
        <v>5.075376884422111</v>
      </c>
      <c r="E27" s="18">
        <v>1010</v>
      </c>
      <c r="F27" s="18">
        <f t="shared" si="1"/>
        <v>9.5477386934673364E-2</v>
      </c>
      <c r="G27" s="32">
        <v>2.1609054109613202</v>
      </c>
      <c r="I27" s="18" t="s">
        <v>50</v>
      </c>
      <c r="J27" s="18">
        <v>30</v>
      </c>
      <c r="K27" s="18">
        <v>1</v>
      </c>
      <c r="L27" s="18">
        <f t="shared" ref="L27:L28" si="14">M27/J27</f>
        <v>4.3</v>
      </c>
      <c r="M27" s="18">
        <v>129</v>
      </c>
      <c r="N27" s="18">
        <f t="shared" ref="N27:N28" si="15">K27/J27</f>
        <v>3.3333333333333333E-2</v>
      </c>
    </row>
    <row r="28" spans="1:14" x14ac:dyDescent="0.25">
      <c r="A28" s="18" t="s">
        <v>34</v>
      </c>
      <c r="B28" s="18">
        <v>30</v>
      </c>
      <c r="C28" s="18">
        <v>2</v>
      </c>
      <c r="D28" s="18">
        <f t="shared" si="0"/>
        <v>5.5333333333333332</v>
      </c>
      <c r="E28" s="18">
        <v>166</v>
      </c>
      <c r="F28" s="18">
        <f t="shared" si="1"/>
        <v>6.6666666666666666E-2</v>
      </c>
      <c r="G28" s="32">
        <v>2.2360679774997898</v>
      </c>
      <c r="I28" s="18" t="s">
        <v>81</v>
      </c>
      <c r="J28" s="18">
        <v>80</v>
      </c>
      <c r="K28" s="18">
        <v>6</v>
      </c>
      <c r="L28" s="18">
        <f t="shared" si="14"/>
        <v>5.125</v>
      </c>
      <c r="M28" s="18">
        <v>410</v>
      </c>
      <c r="N28" s="18">
        <f t="shared" si="15"/>
        <v>7.4999999999999997E-2</v>
      </c>
    </row>
    <row r="29" spans="1:14" x14ac:dyDescent="0.25">
      <c r="A29" s="18" t="s">
        <v>147</v>
      </c>
      <c r="B29" s="18">
        <v>123</v>
      </c>
      <c r="C29" s="18">
        <v>25</v>
      </c>
      <c r="D29" s="18">
        <f t="shared" si="0"/>
        <v>3.6991869918699187</v>
      </c>
      <c r="E29" s="18">
        <v>455</v>
      </c>
      <c r="F29" s="18">
        <f t="shared" si="1"/>
        <v>0.2032520325203252</v>
      </c>
      <c r="G29" s="32">
        <v>1.94935886896179</v>
      </c>
      <c r="I29" s="18" t="s">
        <v>36</v>
      </c>
      <c r="J29" s="18">
        <v>30</v>
      </c>
      <c r="K29" s="18">
        <v>0</v>
      </c>
      <c r="L29" s="18">
        <f t="shared" ref="L29" si="16">M29/J29</f>
        <v>4.5333333333333332</v>
      </c>
      <c r="M29" s="18">
        <v>136</v>
      </c>
      <c r="N29" s="18">
        <f t="shared" ref="N29" si="17">K29/J29</f>
        <v>0</v>
      </c>
    </row>
    <row r="30" spans="1:14" x14ac:dyDescent="0.25">
      <c r="A30" s="18" t="s">
        <v>87</v>
      </c>
      <c r="B30" s="18">
        <v>152</v>
      </c>
      <c r="C30" s="18">
        <v>17</v>
      </c>
      <c r="D30" s="18">
        <f t="shared" si="0"/>
        <v>4.9671052631578947</v>
      </c>
      <c r="E30" s="18">
        <v>755</v>
      </c>
      <c r="F30" s="18">
        <f t="shared" si="1"/>
        <v>0.1118421052631579</v>
      </c>
      <c r="G30" s="32">
        <v>1.7888543819998299</v>
      </c>
      <c r="I30" s="18" t="s">
        <v>112</v>
      </c>
      <c r="J30" s="18">
        <v>30</v>
      </c>
      <c r="K30" s="18">
        <v>6</v>
      </c>
      <c r="L30" s="18">
        <f t="shared" ref="L30" si="18">M30/J30</f>
        <v>4.166666666666667</v>
      </c>
      <c r="M30" s="18">
        <v>125</v>
      </c>
      <c r="N30" s="18">
        <f t="shared" ref="N30" si="19">K30/J30</f>
        <v>0.2</v>
      </c>
    </row>
    <row r="31" spans="1:14" x14ac:dyDescent="0.25">
      <c r="A31" s="18" t="s">
        <v>50</v>
      </c>
      <c r="B31" s="18">
        <v>30</v>
      </c>
      <c r="C31" s="18">
        <v>1</v>
      </c>
      <c r="D31" s="18">
        <f t="shared" si="0"/>
        <v>4.3</v>
      </c>
      <c r="E31" s="18">
        <v>129</v>
      </c>
      <c r="F31" s="18">
        <f t="shared" si="1"/>
        <v>3.3333333333333333E-2</v>
      </c>
      <c r="G31" s="32">
        <v>2.2360679774997898</v>
      </c>
      <c r="I31" s="18" t="s">
        <v>27</v>
      </c>
      <c r="J31" s="18">
        <v>36</v>
      </c>
      <c r="K31" s="18">
        <v>3</v>
      </c>
      <c r="L31" s="18">
        <f>M31/J31</f>
        <v>4.4444444444444446</v>
      </c>
      <c r="M31" s="18">
        <v>160</v>
      </c>
      <c r="N31" s="18">
        <f>K31/J31</f>
        <v>8.3333333333333329E-2</v>
      </c>
    </row>
    <row r="32" spans="1:14" x14ac:dyDescent="0.25">
      <c r="A32" s="18" t="s">
        <v>81</v>
      </c>
      <c r="B32" s="18">
        <v>80</v>
      </c>
      <c r="C32" s="18">
        <v>6</v>
      </c>
      <c r="D32" s="18">
        <f t="shared" si="0"/>
        <v>5.125</v>
      </c>
      <c r="E32" s="18">
        <v>410</v>
      </c>
      <c r="F32" s="18">
        <f t="shared" si="1"/>
        <v>7.4999999999999997E-2</v>
      </c>
      <c r="G32" s="32">
        <v>1.76776695296636</v>
      </c>
      <c r="I32" s="18" t="s">
        <v>117</v>
      </c>
      <c r="J32" s="18">
        <v>32</v>
      </c>
      <c r="K32" s="18">
        <v>6</v>
      </c>
      <c r="L32" s="18">
        <f t="shared" ref="L32:L33" si="20">M32/J32</f>
        <v>4.25</v>
      </c>
      <c r="M32" s="18">
        <v>136</v>
      </c>
      <c r="N32" s="18">
        <f t="shared" ref="N32:N33" si="21">K32/J32</f>
        <v>0.1875</v>
      </c>
    </row>
    <row r="33" spans="1:14" x14ac:dyDescent="0.25">
      <c r="A33" s="18" t="s">
        <v>36</v>
      </c>
      <c r="B33" s="18">
        <v>30</v>
      </c>
      <c r="C33" s="18">
        <v>0</v>
      </c>
      <c r="D33" s="18">
        <f t="shared" si="0"/>
        <v>4.5333333333333332</v>
      </c>
      <c r="E33" s="18">
        <v>136</v>
      </c>
      <c r="F33" s="18">
        <f t="shared" si="1"/>
        <v>0</v>
      </c>
      <c r="G33" s="32">
        <v>2.6076809620810502</v>
      </c>
      <c r="I33" s="18" t="s">
        <v>401</v>
      </c>
      <c r="J33" s="18">
        <v>67</v>
      </c>
      <c r="K33" s="18">
        <v>3</v>
      </c>
      <c r="L33" s="18">
        <f t="shared" si="20"/>
        <v>5.4776119402985071</v>
      </c>
      <c r="M33" s="18">
        <v>367</v>
      </c>
      <c r="N33" s="18">
        <f t="shared" si="21"/>
        <v>4.4776119402985072E-2</v>
      </c>
    </row>
    <row r="34" spans="1:14" x14ac:dyDescent="0.25">
      <c r="A34" s="18" t="s">
        <v>112</v>
      </c>
      <c r="B34" s="18">
        <v>30</v>
      </c>
      <c r="C34" s="18">
        <v>6</v>
      </c>
      <c r="D34" s="18">
        <f t="shared" si="0"/>
        <v>4.166666666666667</v>
      </c>
      <c r="E34" s="18">
        <v>125</v>
      </c>
      <c r="F34" s="18">
        <f t="shared" si="1"/>
        <v>0.2</v>
      </c>
      <c r="G34" s="32">
        <v>2.71006354989037</v>
      </c>
      <c r="I34" s="18" t="s">
        <v>15</v>
      </c>
      <c r="J34" s="18">
        <v>257</v>
      </c>
      <c r="K34" s="18">
        <v>38</v>
      </c>
      <c r="L34" s="18">
        <f t="shared" ref="L33:L34" si="22">M34/J34</f>
        <v>4.6031128404669257</v>
      </c>
      <c r="M34" s="18">
        <v>1183</v>
      </c>
      <c r="N34" s="18">
        <f t="shared" ref="N33:N34" si="23">K34/J34</f>
        <v>0.14785992217898833</v>
      </c>
    </row>
    <row r="35" spans="1:14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13</v>
      </c>
      <c r="J35" s="18">
        <v>36</v>
      </c>
      <c r="K35" s="18">
        <v>2</v>
      </c>
      <c r="L35" s="18">
        <f>M35/J35</f>
        <v>4.7222222222222223</v>
      </c>
      <c r="M35" s="18">
        <v>170</v>
      </c>
      <c r="N35" s="18">
        <f>K35/J35</f>
        <v>5.5555555555555552E-2</v>
      </c>
    </row>
    <row r="36" spans="1:14" x14ac:dyDescent="0.25">
      <c r="A36" s="18" t="s">
        <v>117</v>
      </c>
      <c r="B36" s="18">
        <v>32</v>
      </c>
      <c r="C36" s="18">
        <v>6</v>
      </c>
      <c r="D36" s="18">
        <f t="shared" si="0"/>
        <v>4.25</v>
      </c>
      <c r="E36" s="18">
        <v>136</v>
      </c>
      <c r="F36" s="18">
        <f t="shared" si="1"/>
        <v>0.1875</v>
      </c>
      <c r="G36" s="32">
        <v>2.7284509239574799</v>
      </c>
      <c r="I36" s="18" t="s">
        <v>10</v>
      </c>
      <c r="J36" s="18">
        <v>73</v>
      </c>
      <c r="K36" s="18">
        <v>13</v>
      </c>
      <c r="L36" s="18">
        <f t="shared" ref="L36" si="24">M36/J36</f>
        <v>3.9452054794520546</v>
      </c>
      <c r="M36" s="18">
        <v>288</v>
      </c>
      <c r="N36" s="18">
        <f t="shared" ref="N36" si="25">K36/J36</f>
        <v>0.17808219178082191</v>
      </c>
    </row>
    <row r="37" spans="1:14" x14ac:dyDescent="0.25">
      <c r="A37" s="41" t="s">
        <v>141</v>
      </c>
      <c r="B37" s="41">
        <v>9</v>
      </c>
      <c r="C37" s="41">
        <v>1</v>
      </c>
      <c r="D37" s="41">
        <f t="shared" si="0"/>
        <v>3.4444444444444446</v>
      </c>
      <c r="E37" s="41">
        <v>31</v>
      </c>
      <c r="F37" s="41">
        <f t="shared" si="1"/>
        <v>0.1111111111111111</v>
      </c>
      <c r="G37" s="32">
        <v>2.0736441353327701</v>
      </c>
      <c r="I37" s="18" t="s">
        <v>63</v>
      </c>
      <c r="J37" s="18">
        <v>30</v>
      </c>
      <c r="K37" s="18">
        <v>5</v>
      </c>
      <c r="L37" s="18">
        <f t="shared" ref="L37" si="26">M37/J37</f>
        <v>4.2333333333333334</v>
      </c>
      <c r="M37" s="18">
        <v>127</v>
      </c>
      <c r="N37" s="18">
        <f t="shared" ref="N37" si="27">K37/J37</f>
        <v>0.16666666666666666</v>
      </c>
    </row>
    <row r="38" spans="1:14" x14ac:dyDescent="0.25">
      <c r="A38" s="18" t="s">
        <v>401</v>
      </c>
      <c r="B38" s="18">
        <v>67</v>
      </c>
      <c r="C38" s="18">
        <v>3</v>
      </c>
      <c r="D38" s="18">
        <f t="shared" si="0"/>
        <v>5.4776119402985071</v>
      </c>
      <c r="E38" s="18">
        <v>367</v>
      </c>
      <c r="F38" s="18">
        <f t="shared" si="1"/>
        <v>4.4776119402985072E-2</v>
      </c>
      <c r="G38" s="32">
        <v>2.1248885888797799</v>
      </c>
      <c r="I38" s="18" t="s">
        <v>4</v>
      </c>
      <c r="J38" s="18">
        <v>30</v>
      </c>
      <c r="K38" s="18">
        <v>4</v>
      </c>
      <c r="L38" s="18">
        <f t="shared" ref="L38:L41" si="28">M38/J38</f>
        <v>4.8</v>
      </c>
      <c r="M38" s="18">
        <v>144</v>
      </c>
      <c r="N38" s="18">
        <f t="shared" ref="N38:N41" si="29">K38/J38</f>
        <v>0.13333333333333333</v>
      </c>
    </row>
    <row r="39" spans="1:14" x14ac:dyDescent="0.25">
      <c r="A39" s="18" t="s">
        <v>15</v>
      </c>
      <c r="B39" s="18">
        <v>257</v>
      </c>
      <c r="C39" s="18">
        <v>38</v>
      </c>
      <c r="D39" s="18">
        <f t="shared" si="0"/>
        <v>4.6031128404669257</v>
      </c>
      <c r="E39" s="18">
        <v>1183</v>
      </c>
      <c r="F39" s="18">
        <f t="shared" si="1"/>
        <v>0.14785992217898833</v>
      </c>
      <c r="G39" s="32">
        <v>2.3694389634605302</v>
      </c>
      <c r="I39" s="18" t="s">
        <v>121</v>
      </c>
      <c r="J39" s="18">
        <v>98</v>
      </c>
      <c r="K39" s="18">
        <v>22</v>
      </c>
      <c r="L39" s="18">
        <f t="shared" si="28"/>
        <v>3.8673469387755102</v>
      </c>
      <c r="M39" s="18">
        <v>379</v>
      </c>
      <c r="N39" s="18">
        <f t="shared" si="29"/>
        <v>0.22448979591836735</v>
      </c>
    </row>
    <row r="40" spans="1:14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232</v>
      </c>
      <c r="J40" s="18">
        <v>135</v>
      </c>
      <c r="K40" s="18">
        <v>25</v>
      </c>
      <c r="L40" s="18">
        <f t="shared" si="28"/>
        <v>3.7407407407407409</v>
      </c>
      <c r="M40" s="18">
        <v>505</v>
      </c>
      <c r="N40" s="18">
        <f t="shared" si="29"/>
        <v>0.18518518518518517</v>
      </c>
    </row>
    <row r="41" spans="1:14" x14ac:dyDescent="0.25">
      <c r="A41" s="18" t="s">
        <v>10</v>
      </c>
      <c r="B41" s="18">
        <v>73</v>
      </c>
      <c r="C41" s="18">
        <v>13</v>
      </c>
      <c r="D41" s="18">
        <f t="shared" si="0"/>
        <v>3.9452054794520546</v>
      </c>
      <c r="E41" s="18">
        <v>288</v>
      </c>
      <c r="F41" s="18">
        <f t="shared" si="1"/>
        <v>0.17808219178082191</v>
      </c>
      <c r="G41" s="32">
        <v>2.2086889501029501</v>
      </c>
      <c r="I41" s="18" t="s">
        <v>21</v>
      </c>
      <c r="J41" s="18">
        <v>168</v>
      </c>
      <c r="K41" s="18">
        <v>25</v>
      </c>
      <c r="L41" s="18">
        <f t="shared" si="28"/>
        <v>4.3273809523809526</v>
      </c>
      <c r="M41" s="18">
        <v>727</v>
      </c>
      <c r="N41" s="18">
        <f t="shared" si="29"/>
        <v>0.14880952380952381</v>
      </c>
    </row>
    <row r="42" spans="1:14" x14ac:dyDescent="0.25">
      <c r="A42" s="18" t="s">
        <v>63</v>
      </c>
      <c r="B42" s="18">
        <v>30</v>
      </c>
      <c r="C42" s="18">
        <v>5</v>
      </c>
      <c r="D42" s="18">
        <f t="shared" si="0"/>
        <v>4.2333333333333334</v>
      </c>
      <c r="E42" s="18">
        <v>127</v>
      </c>
      <c r="F42" s="18">
        <f t="shared" si="1"/>
        <v>0.16666666666666666</v>
      </c>
      <c r="G42" s="32">
        <v>2.6394443859772201</v>
      </c>
      <c r="I42" s="18" t="s">
        <v>51</v>
      </c>
      <c r="J42" s="18">
        <v>44</v>
      </c>
      <c r="K42" s="18">
        <v>3</v>
      </c>
      <c r="L42" s="18">
        <f t="shared" ref="L42" si="30">M42/J42</f>
        <v>4.9772727272727275</v>
      </c>
      <c r="M42" s="18">
        <v>219</v>
      </c>
      <c r="N42" s="18">
        <f t="shared" ref="N42" si="31">K42/J42</f>
        <v>6.8181818181818177E-2</v>
      </c>
    </row>
    <row r="43" spans="1:14" x14ac:dyDescent="0.25">
      <c r="A43" s="18" t="s">
        <v>4</v>
      </c>
      <c r="B43" s="18">
        <v>30</v>
      </c>
      <c r="C43" s="18">
        <v>4</v>
      </c>
      <c r="D43" s="18">
        <f t="shared" si="0"/>
        <v>4.8</v>
      </c>
      <c r="E43" s="18">
        <v>144</v>
      </c>
      <c r="F43" s="18">
        <f t="shared" si="1"/>
        <v>0.13333333333333333</v>
      </c>
      <c r="G43" s="32">
        <v>2.08832734769027</v>
      </c>
      <c r="I43" s="18" t="s">
        <v>414</v>
      </c>
      <c r="J43" s="18">
        <v>30</v>
      </c>
      <c r="K43" s="18">
        <v>4</v>
      </c>
      <c r="L43" s="18">
        <f t="shared" ref="L43" si="32">M43/J43</f>
        <v>4.6333333333333337</v>
      </c>
      <c r="M43" s="18">
        <v>139</v>
      </c>
      <c r="N43" s="18">
        <f t="shared" ref="N43" si="33">K43/J43</f>
        <v>0.13333333333333333</v>
      </c>
    </row>
    <row r="44" spans="1:14" x14ac:dyDescent="0.25">
      <c r="A44" s="18" t="s">
        <v>121</v>
      </c>
      <c r="B44" s="18">
        <v>98</v>
      </c>
      <c r="C44" s="18">
        <v>22</v>
      </c>
      <c r="D44" s="18">
        <f t="shared" si="0"/>
        <v>3.8673469387755102</v>
      </c>
      <c r="E44" s="18">
        <v>379</v>
      </c>
      <c r="F44" s="18">
        <f t="shared" si="1"/>
        <v>0.22448979591836735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>M44/J44</f>
        <v>4.1547619047619051</v>
      </c>
      <c r="M44" s="18">
        <v>349</v>
      </c>
      <c r="N44" s="18">
        <f>K44/J44</f>
        <v>0.16666666666666666</v>
      </c>
    </row>
    <row r="45" spans="1:14" x14ac:dyDescent="0.25">
      <c r="A45" s="18" t="s">
        <v>232</v>
      </c>
      <c r="B45" s="18">
        <v>135</v>
      </c>
      <c r="C45" s="18">
        <v>25</v>
      </c>
      <c r="D45" s="18">
        <f t="shared" si="0"/>
        <v>3.7407407407407409</v>
      </c>
      <c r="E45" s="18">
        <v>505</v>
      </c>
      <c r="F45" s="18">
        <f t="shared" si="1"/>
        <v>0.18518518518518517</v>
      </c>
      <c r="G45" s="32">
        <v>2.2509257354845502</v>
      </c>
      <c r="I45" s="18" t="s">
        <v>1</v>
      </c>
      <c r="J45" s="18">
        <v>110</v>
      </c>
      <c r="K45" s="18">
        <v>6</v>
      </c>
      <c r="L45" s="18">
        <f t="shared" ref="L45" si="34">M45/J45</f>
        <v>4.6181818181818182</v>
      </c>
      <c r="M45" s="18">
        <v>508</v>
      </c>
      <c r="N45" s="18">
        <f t="shared" ref="N45" si="35">K45/J45</f>
        <v>5.4545454545454543E-2</v>
      </c>
    </row>
    <row r="46" spans="1:14" x14ac:dyDescent="0.25">
      <c r="A46" s="18" t="s">
        <v>21</v>
      </c>
      <c r="B46" s="18">
        <v>168</v>
      </c>
      <c r="C46" s="18">
        <v>25</v>
      </c>
      <c r="D46" s="18">
        <f t="shared" si="0"/>
        <v>4.3273809523809526</v>
      </c>
      <c r="E46" s="18">
        <v>727</v>
      </c>
      <c r="F46" s="18">
        <f t="shared" si="1"/>
        <v>0.14880952380952381</v>
      </c>
      <c r="G46" s="32">
        <v>2.0655911179772799</v>
      </c>
      <c r="I46" s="18" t="s">
        <v>28</v>
      </c>
      <c r="J46" s="18">
        <v>55</v>
      </c>
      <c r="K46" s="18">
        <v>0</v>
      </c>
      <c r="L46" s="18">
        <f t="shared" ref="L45:L46" si="36">M46/J46</f>
        <v>5.4727272727272727</v>
      </c>
      <c r="M46" s="18">
        <v>301</v>
      </c>
      <c r="N46" s="18">
        <f t="shared" ref="N45:N46" si="37">K46/J46</f>
        <v>0</v>
      </c>
    </row>
    <row r="47" spans="1:14" x14ac:dyDescent="0.25">
      <c r="A47" s="18" t="s">
        <v>51</v>
      </c>
      <c r="B47" s="18">
        <v>44</v>
      </c>
      <c r="C47" s="18">
        <v>3</v>
      </c>
      <c r="D47" s="18">
        <f t="shared" si="0"/>
        <v>4.9772727272727275</v>
      </c>
      <c r="E47" s="18">
        <v>219</v>
      </c>
      <c r="F47" s="18">
        <f t="shared" si="1"/>
        <v>6.8181818181818177E-2</v>
      </c>
      <c r="G47" s="32">
        <v>2.2967049878400898</v>
      </c>
      <c r="I47" s="18" t="s">
        <v>253</v>
      </c>
      <c r="J47" s="18">
        <v>40</v>
      </c>
      <c r="K47" s="18">
        <v>2</v>
      </c>
      <c r="L47" s="18">
        <f t="shared" ref="L47" si="38">M47/J47</f>
        <v>5.3</v>
      </c>
      <c r="M47" s="18">
        <v>212</v>
      </c>
      <c r="N47" s="18">
        <f t="shared" ref="N47" si="39">K47/J47</f>
        <v>0.05</v>
      </c>
    </row>
    <row r="48" spans="1:14" x14ac:dyDescent="0.25">
      <c r="A48" s="18" t="s">
        <v>414</v>
      </c>
      <c r="B48" s="18">
        <v>30</v>
      </c>
      <c r="C48" s="18">
        <v>4</v>
      </c>
      <c r="D48" s="18">
        <f t="shared" si="0"/>
        <v>4.6333333333333337</v>
      </c>
      <c r="E48" s="18">
        <v>139</v>
      </c>
      <c r="F48" s="18">
        <f t="shared" si="1"/>
        <v>0.13333333333333333</v>
      </c>
      <c r="G48" s="32">
        <v>2.8702082220799299</v>
      </c>
      <c r="I48" s="18" t="s">
        <v>175</v>
      </c>
      <c r="J48" s="18">
        <v>49</v>
      </c>
      <c r="K48" s="18">
        <v>13</v>
      </c>
      <c r="L48" s="18">
        <f t="shared" ref="L48:L49" si="40">M48/J48</f>
        <v>3.204081632653061</v>
      </c>
      <c r="M48" s="18">
        <v>157</v>
      </c>
      <c r="N48" s="18">
        <f t="shared" ref="N48" si="41">K48/J48</f>
        <v>0.26530612244897961</v>
      </c>
    </row>
    <row r="49" spans="1:14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51</v>
      </c>
      <c r="K49" s="18">
        <v>9</v>
      </c>
      <c r="L49" s="18">
        <f t="shared" si="40"/>
        <v>4.7254901960784315</v>
      </c>
      <c r="M49" s="18">
        <v>241</v>
      </c>
      <c r="N49" s="18">
        <f>K49/J49</f>
        <v>0.17647058823529413</v>
      </c>
    </row>
    <row r="50" spans="1:14" x14ac:dyDescent="0.25">
      <c r="A50" s="18" t="s">
        <v>1</v>
      </c>
      <c r="B50" s="18">
        <v>110</v>
      </c>
      <c r="C50" s="18">
        <v>6</v>
      </c>
      <c r="D50" s="18">
        <f t="shared" si="0"/>
        <v>4.6181818181818182</v>
      </c>
      <c r="E50" s="18">
        <v>508</v>
      </c>
      <c r="F50" s="18">
        <f t="shared" si="1"/>
        <v>5.4545454545454543E-2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ref="L50:L51" si="42">M50/J50</f>
        <v>4.384615384615385</v>
      </c>
      <c r="M50" s="18">
        <v>171</v>
      </c>
      <c r="N50" s="18">
        <f t="shared" ref="N50:N51" si="43">K50/J50</f>
        <v>7.6923076923076927E-2</v>
      </c>
    </row>
    <row r="51" spans="1:14" x14ac:dyDescent="0.25">
      <c r="A51" s="18" t="s">
        <v>28</v>
      </c>
      <c r="B51" s="18">
        <v>55</v>
      </c>
      <c r="C51" s="18">
        <v>0</v>
      </c>
      <c r="D51" s="18">
        <f t="shared" si="0"/>
        <v>5.4727272727272727</v>
      </c>
      <c r="E51" s="18">
        <v>301</v>
      </c>
      <c r="F51" s="18">
        <f t="shared" si="1"/>
        <v>0</v>
      </c>
      <c r="G51" s="32">
        <v>1.30384048104052</v>
      </c>
      <c r="I51" s="18" t="s">
        <v>24</v>
      </c>
      <c r="J51" s="18">
        <v>101</v>
      </c>
      <c r="K51" s="18">
        <v>12</v>
      </c>
      <c r="L51" s="18">
        <f t="shared" si="42"/>
        <v>4.5247524752475243</v>
      </c>
      <c r="M51" s="18">
        <v>457</v>
      </c>
      <c r="N51" s="18">
        <f t="shared" si="43"/>
        <v>0.11881188118811881</v>
      </c>
    </row>
    <row r="52" spans="1:14" x14ac:dyDescent="0.25">
      <c r="A52" s="18" t="s">
        <v>253</v>
      </c>
      <c r="B52" s="18">
        <v>40</v>
      </c>
      <c r="C52" s="18">
        <v>2</v>
      </c>
      <c r="D52" s="18">
        <f t="shared" si="0"/>
        <v>5.3</v>
      </c>
      <c r="E52" s="18">
        <v>212</v>
      </c>
      <c r="F52" s="18">
        <f t="shared" si="1"/>
        <v>0.05</v>
      </c>
      <c r="G52" s="32"/>
      <c r="I52" s="18" t="s">
        <v>116</v>
      </c>
      <c r="J52" s="18">
        <v>30</v>
      </c>
      <c r="K52" s="18">
        <v>5</v>
      </c>
      <c r="L52" s="18">
        <f t="shared" ref="L52" si="44">M52/J52</f>
        <v>4.0666666666666664</v>
      </c>
      <c r="M52" s="18">
        <v>122</v>
      </c>
      <c r="N52" s="18">
        <f t="shared" ref="N52" si="45">K52/J52</f>
        <v>0.16666666666666666</v>
      </c>
    </row>
    <row r="53" spans="1:14" x14ac:dyDescent="0.25">
      <c r="A53" s="18" t="s">
        <v>175</v>
      </c>
      <c r="B53" s="18">
        <v>49</v>
      </c>
      <c r="C53" s="18">
        <v>13</v>
      </c>
      <c r="D53" s="18">
        <f t="shared" si="0"/>
        <v>3.204081632653061</v>
      </c>
      <c r="E53" s="18">
        <v>157</v>
      </c>
      <c r="F53" s="18">
        <f t="shared" si="1"/>
        <v>0.26530612244897961</v>
      </c>
      <c r="G53" s="32">
        <v>2</v>
      </c>
      <c r="I53" s="18" t="s">
        <v>58</v>
      </c>
      <c r="J53" s="18">
        <v>30</v>
      </c>
      <c r="K53" s="18">
        <v>6</v>
      </c>
      <c r="L53" s="18">
        <f t="shared" ref="L53:L54" si="46">M53/J53</f>
        <v>3.7</v>
      </c>
      <c r="M53" s="18">
        <v>111</v>
      </c>
      <c r="N53" s="18">
        <f t="shared" ref="N53:N54" si="47">K53/J53</f>
        <v>0.2</v>
      </c>
    </row>
    <row r="54" spans="1:14" x14ac:dyDescent="0.25">
      <c r="A54" s="18" t="s">
        <v>61</v>
      </c>
      <c r="B54" s="18">
        <v>51</v>
      </c>
      <c r="C54" s="18">
        <v>9</v>
      </c>
      <c r="D54" s="18">
        <f t="shared" si="0"/>
        <v>4.7254901960784315</v>
      </c>
      <c r="E54" s="18">
        <v>241</v>
      </c>
      <c r="F54" s="18">
        <f>C54/B54</f>
        <v>0.17647058823529413</v>
      </c>
      <c r="G54" s="32">
        <v>3.2403703492039302</v>
      </c>
      <c r="I54" s="18" t="s">
        <v>30</v>
      </c>
      <c r="J54" s="18">
        <v>60</v>
      </c>
      <c r="K54" s="18">
        <v>4</v>
      </c>
      <c r="L54" s="18">
        <f t="shared" si="46"/>
        <v>5.2</v>
      </c>
      <c r="M54" s="18">
        <v>312</v>
      </c>
      <c r="N54" s="18">
        <f t="shared" si="47"/>
        <v>6.6666666666666666E-2</v>
      </c>
    </row>
    <row r="55" spans="1:14" x14ac:dyDescent="0.25">
      <c r="A55" s="41" t="s">
        <v>142</v>
      </c>
      <c r="B55" s="41">
        <v>5</v>
      </c>
      <c r="C55" s="41">
        <v>0</v>
      </c>
      <c r="D55" s="41">
        <f t="shared" si="0"/>
        <v>7</v>
      </c>
      <c r="E55" s="41">
        <v>35</v>
      </c>
      <c r="F55" s="41">
        <f t="shared" si="1"/>
        <v>0</v>
      </c>
      <c r="G55" s="32">
        <v>0.81649658092772603</v>
      </c>
      <c r="I55" s="18" t="s">
        <v>29</v>
      </c>
      <c r="J55" s="18">
        <v>127</v>
      </c>
      <c r="K55" s="18">
        <v>18</v>
      </c>
      <c r="L55" s="18">
        <f t="shared" ref="L55" si="48">M55/J55</f>
        <v>4.015748031496063</v>
      </c>
      <c r="M55" s="18">
        <v>510</v>
      </c>
      <c r="N55" s="18">
        <f t="shared" ref="N55" si="49">K55/J55</f>
        <v>0.14173228346456693</v>
      </c>
    </row>
    <row r="56" spans="1:14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148</v>
      </c>
      <c r="J56" s="18">
        <v>42</v>
      </c>
      <c r="K56" s="18">
        <v>8</v>
      </c>
      <c r="L56" s="18">
        <f t="shared" ref="L56:L67" si="50">M56/J56</f>
        <v>3.7380952380952381</v>
      </c>
      <c r="M56" s="18">
        <v>157</v>
      </c>
      <c r="N56" s="18">
        <f t="shared" ref="N56:N67" si="51">K56/J56</f>
        <v>0.19047619047619047</v>
      </c>
    </row>
    <row r="57" spans="1:14" x14ac:dyDescent="0.25">
      <c r="A57" s="18" t="s">
        <v>24</v>
      </c>
      <c r="B57" s="18">
        <v>101</v>
      </c>
      <c r="C57" s="18">
        <v>12</v>
      </c>
      <c r="D57" s="18">
        <f t="shared" si="0"/>
        <v>4.5247524752475243</v>
      </c>
      <c r="E57" s="18">
        <v>457</v>
      </c>
      <c r="F57" s="18">
        <f t="shared" si="1"/>
        <v>0.11881188118811881</v>
      </c>
      <c r="G57" s="32">
        <v>2.26909243703399</v>
      </c>
      <c r="I57" s="18" t="s">
        <v>9</v>
      </c>
      <c r="J57" s="18">
        <v>30</v>
      </c>
      <c r="K57" s="18">
        <v>3</v>
      </c>
      <c r="L57" s="18">
        <f t="shared" ref="L57" si="52">M57/J57</f>
        <v>3.8</v>
      </c>
      <c r="M57" s="18">
        <v>114</v>
      </c>
      <c r="N57" s="18">
        <f t="shared" ref="N57" si="53">K57/J57</f>
        <v>0.1</v>
      </c>
    </row>
    <row r="58" spans="1:14" x14ac:dyDescent="0.25">
      <c r="A58" s="18" t="s">
        <v>116</v>
      </c>
      <c r="B58" s="18">
        <v>30</v>
      </c>
      <c r="C58" s="18">
        <v>5</v>
      </c>
      <c r="D58" s="18">
        <f t="shared" si="0"/>
        <v>4.0666666666666664</v>
      </c>
      <c r="E58" s="18">
        <v>122</v>
      </c>
      <c r="F58" s="18">
        <f t="shared" si="1"/>
        <v>0.16666666666666666</v>
      </c>
      <c r="G58" s="32">
        <v>1.7043362064926899</v>
      </c>
      <c r="I58" s="18" t="s">
        <v>79</v>
      </c>
      <c r="J58" s="18">
        <v>54</v>
      </c>
      <c r="K58" s="18">
        <v>6</v>
      </c>
      <c r="L58" s="18">
        <f>M58/J58</f>
        <v>4.6296296296296298</v>
      </c>
      <c r="M58" s="18">
        <v>250</v>
      </c>
      <c r="N58" s="18">
        <f>K58/J58</f>
        <v>0.1111111111111111</v>
      </c>
    </row>
    <row r="59" spans="1:14" x14ac:dyDescent="0.25">
      <c r="A59" t="s">
        <v>5</v>
      </c>
      <c r="B59">
        <v>25</v>
      </c>
      <c r="C59">
        <v>1</v>
      </c>
      <c r="D59">
        <f t="shared" si="0"/>
        <v>4.76</v>
      </c>
      <c r="E59">
        <v>119</v>
      </c>
      <c r="F59">
        <f t="shared" si="1"/>
        <v>0.04</v>
      </c>
      <c r="G59" s="32">
        <v>1.8898223650461301</v>
      </c>
      <c r="I59" s="18" t="s">
        <v>123</v>
      </c>
      <c r="J59" s="18">
        <v>39</v>
      </c>
      <c r="K59" s="18">
        <v>6</v>
      </c>
      <c r="L59" s="18">
        <f>M59/J59</f>
        <v>4.3076923076923075</v>
      </c>
      <c r="M59" s="18">
        <v>168</v>
      </c>
      <c r="N59" s="18">
        <f>K59/J59</f>
        <v>0.15384615384615385</v>
      </c>
    </row>
    <row r="60" spans="1:14" x14ac:dyDescent="0.25">
      <c r="A60" s="18" t="s">
        <v>58</v>
      </c>
      <c r="B60" s="18">
        <v>30</v>
      </c>
      <c r="C60" s="18">
        <v>6</v>
      </c>
      <c r="D60" s="18">
        <f t="shared" si="0"/>
        <v>3.7</v>
      </c>
      <c r="E60" s="18">
        <v>111</v>
      </c>
      <c r="F60" s="18">
        <f t="shared" si="1"/>
        <v>0.2</v>
      </c>
      <c r="G60" s="32">
        <v>2.33809038890002</v>
      </c>
      <c r="I60" s="18" t="s">
        <v>22</v>
      </c>
      <c r="J60" s="18">
        <v>184</v>
      </c>
      <c r="K60" s="18">
        <v>30</v>
      </c>
      <c r="L60" s="18">
        <f>M60/J60</f>
        <v>4.1141304347826084</v>
      </c>
      <c r="M60" s="18">
        <v>757</v>
      </c>
      <c r="N60" s="18">
        <f>K60/J60</f>
        <v>0.16304347826086957</v>
      </c>
    </row>
    <row r="61" spans="1:14" x14ac:dyDescent="0.25">
      <c r="A61" s="18" t="s">
        <v>30</v>
      </c>
      <c r="B61" s="18">
        <v>60</v>
      </c>
      <c r="C61" s="18">
        <v>4</v>
      </c>
      <c r="D61" s="18">
        <f t="shared" si="0"/>
        <v>5.2</v>
      </c>
      <c r="E61" s="18">
        <v>312</v>
      </c>
      <c r="F61" s="18">
        <f t="shared" si="1"/>
        <v>6.6666666666666666E-2</v>
      </c>
      <c r="G61" s="32">
        <v>2.5226248955475601</v>
      </c>
      <c r="I61" s="18" t="s">
        <v>33</v>
      </c>
      <c r="J61" s="18">
        <v>64</v>
      </c>
      <c r="K61" s="18">
        <v>4</v>
      </c>
      <c r="L61" s="18">
        <f>M61/J61</f>
        <v>5.515625</v>
      </c>
      <c r="M61" s="18">
        <v>353</v>
      </c>
      <c r="N61" s="18">
        <f>K61/J61</f>
        <v>6.25E-2</v>
      </c>
    </row>
    <row r="62" spans="1:14" x14ac:dyDescent="0.25">
      <c r="A62" s="18" t="s">
        <v>29</v>
      </c>
      <c r="B62" s="18">
        <v>127</v>
      </c>
      <c r="C62" s="18">
        <v>18</v>
      </c>
      <c r="D62" s="18">
        <f t="shared" si="0"/>
        <v>4.015748031496063</v>
      </c>
      <c r="E62" s="18">
        <v>510</v>
      </c>
      <c r="F62" s="18">
        <f t="shared" si="1"/>
        <v>0.14173228346456693</v>
      </c>
      <c r="G62" s="32">
        <v>2.0875571218153701</v>
      </c>
      <c r="I62" s="18" t="s">
        <v>129</v>
      </c>
      <c r="J62" s="18">
        <v>43</v>
      </c>
      <c r="K62" s="18">
        <v>7</v>
      </c>
      <c r="L62" s="18">
        <f>M62/J62</f>
        <v>4.558139534883721</v>
      </c>
      <c r="M62" s="18">
        <v>196</v>
      </c>
      <c r="N62" s="18">
        <f>K62/J62</f>
        <v>0.16279069767441862</v>
      </c>
    </row>
    <row r="63" spans="1:14" x14ac:dyDescent="0.25">
      <c r="A63" s="18" t="s">
        <v>148</v>
      </c>
      <c r="B63" s="18">
        <v>42</v>
      </c>
      <c r="C63" s="18">
        <v>8</v>
      </c>
      <c r="D63" s="18">
        <f t="shared" si="0"/>
        <v>3.7380952380952381</v>
      </c>
      <c r="E63" s="18">
        <v>157</v>
      </c>
      <c r="F63" s="18">
        <f t="shared" si="1"/>
        <v>0.19047619047619047</v>
      </c>
      <c r="G63" s="32">
        <v>2.0528725518857001</v>
      </c>
      <c r="I63" s="18" t="s">
        <v>35</v>
      </c>
      <c r="J63" s="18">
        <v>173</v>
      </c>
      <c r="K63" s="18">
        <v>43</v>
      </c>
      <c r="L63" s="18">
        <f>M63/J63</f>
        <v>3.554913294797688</v>
      </c>
      <c r="M63" s="18">
        <v>615</v>
      </c>
      <c r="N63" s="18">
        <f>K63/J63</f>
        <v>0.24855491329479767</v>
      </c>
    </row>
    <row r="64" spans="1:14" x14ac:dyDescent="0.25">
      <c r="A64" s="18" t="s">
        <v>9</v>
      </c>
      <c r="B64" s="18">
        <v>30</v>
      </c>
      <c r="C64" s="18">
        <v>3</v>
      </c>
      <c r="D64" s="18">
        <f t="shared" si="0"/>
        <v>3.8</v>
      </c>
      <c r="E64" s="18">
        <v>114</v>
      </c>
      <c r="F64" s="18">
        <f t="shared" si="1"/>
        <v>0.1</v>
      </c>
      <c r="G64" s="32">
        <v>2.42097317438899</v>
      </c>
      <c r="I64" s="18" t="s">
        <v>26</v>
      </c>
      <c r="J64" s="18">
        <v>93</v>
      </c>
      <c r="K64" s="18">
        <v>6</v>
      </c>
      <c r="L64" s="18">
        <f t="shared" ref="L64" si="54">M64/J64</f>
        <v>5.161290322580645</v>
      </c>
      <c r="M64" s="18">
        <v>480</v>
      </c>
      <c r="N64" s="18">
        <f t="shared" ref="N64" si="55">K64/J64</f>
        <v>6.4516129032258063E-2</v>
      </c>
    </row>
    <row r="65" spans="1:14" x14ac:dyDescent="0.25">
      <c r="A65" t="s">
        <v>139</v>
      </c>
      <c r="B65">
        <v>26</v>
      </c>
      <c r="C65">
        <v>4</v>
      </c>
      <c r="D65">
        <f t="shared" si="0"/>
        <v>3.9230769230769229</v>
      </c>
      <c r="E65">
        <v>102</v>
      </c>
      <c r="F65">
        <f t="shared" si="1"/>
        <v>0.15384615384615385</v>
      </c>
      <c r="G65" s="32">
        <v>1.9944979263017399</v>
      </c>
      <c r="I65" s="18" t="s">
        <v>122</v>
      </c>
      <c r="J65" s="18">
        <v>131</v>
      </c>
      <c r="K65" s="18">
        <v>17</v>
      </c>
      <c r="L65" s="18">
        <f>M65/J65</f>
        <v>4</v>
      </c>
      <c r="M65" s="18">
        <v>524</v>
      </c>
      <c r="N65" s="18">
        <f>K65/J65</f>
        <v>0.12977099236641221</v>
      </c>
    </row>
    <row r="66" spans="1:14" x14ac:dyDescent="0.25">
      <c r="A66" t="s">
        <v>428</v>
      </c>
      <c r="B66">
        <v>28</v>
      </c>
      <c r="C66">
        <v>4</v>
      </c>
      <c r="D66">
        <f t="shared" si="0"/>
        <v>4.2142857142857144</v>
      </c>
      <c r="E66">
        <v>118</v>
      </c>
      <c r="F66">
        <f t="shared" si="1"/>
        <v>0.14285714285714285</v>
      </c>
      <c r="G66" s="32">
        <v>1.9414506867882999</v>
      </c>
      <c r="I66" s="18" t="s">
        <v>49</v>
      </c>
      <c r="J66" s="18">
        <v>130</v>
      </c>
      <c r="K66" s="18">
        <v>7</v>
      </c>
      <c r="L66" s="18">
        <f>M66/J66</f>
        <v>5.1307692307692312</v>
      </c>
      <c r="M66" s="18">
        <v>667</v>
      </c>
      <c r="N66" s="18">
        <f>K66/J66</f>
        <v>5.3846153846153849E-2</v>
      </c>
    </row>
    <row r="67" spans="1:14" x14ac:dyDescent="0.25">
      <c r="A67" s="41" t="s">
        <v>197</v>
      </c>
      <c r="B67" s="41">
        <v>10</v>
      </c>
      <c r="C67" s="41">
        <v>0</v>
      </c>
      <c r="D67" s="41">
        <f t="shared" si="0"/>
        <v>5</v>
      </c>
      <c r="E67" s="41">
        <v>50</v>
      </c>
      <c r="F67" s="41">
        <f t="shared" si="1"/>
        <v>0</v>
      </c>
      <c r="G67" s="32">
        <v>2.39045721866878</v>
      </c>
      <c r="I67" s="18" t="s">
        <v>3</v>
      </c>
      <c r="J67" s="18">
        <v>46</v>
      </c>
      <c r="K67" s="18">
        <v>7</v>
      </c>
      <c r="L67" s="18">
        <f>M67/J67</f>
        <v>4.1304347826086953</v>
      </c>
      <c r="M67" s="18">
        <v>190</v>
      </c>
      <c r="N67" s="18">
        <f>K67/J67</f>
        <v>0.15217391304347827</v>
      </c>
    </row>
    <row r="68" spans="1:14" x14ac:dyDescent="0.25">
      <c r="A68" t="s">
        <v>17</v>
      </c>
      <c r="B68">
        <v>24</v>
      </c>
      <c r="C68">
        <v>2</v>
      </c>
      <c r="D68">
        <f t="shared" si="0"/>
        <v>5.125</v>
      </c>
      <c r="E68">
        <v>123</v>
      </c>
      <c r="F68">
        <f t="shared" si="1"/>
        <v>8.3333333333333329E-2</v>
      </c>
      <c r="G68" s="32">
        <v>2.4832774042918899</v>
      </c>
      <c r="I68" s="18" t="s">
        <v>124</v>
      </c>
      <c r="J68" s="18">
        <v>31</v>
      </c>
      <c r="K68" s="18">
        <v>1</v>
      </c>
      <c r="L68" s="18">
        <f>M68/J68</f>
        <v>4.935483870967742</v>
      </c>
      <c r="M68" s="18">
        <v>153</v>
      </c>
      <c r="N68" s="18">
        <f>K68/J68</f>
        <v>3.2258064516129031E-2</v>
      </c>
    </row>
    <row r="69" spans="1:14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</row>
    <row r="70" spans="1:14" x14ac:dyDescent="0.25">
      <c r="A70" s="18" t="s">
        <v>123</v>
      </c>
      <c r="B70" s="18">
        <v>39</v>
      </c>
      <c r="C70" s="18">
        <v>6</v>
      </c>
      <c r="D70" s="18">
        <f t="shared" si="0"/>
        <v>4.3076923076923075</v>
      </c>
      <c r="E70" s="18">
        <v>168</v>
      </c>
      <c r="F70" s="18">
        <f t="shared" si="1"/>
        <v>0.15384615384615385</v>
      </c>
      <c r="G70" s="32">
        <v>2</v>
      </c>
    </row>
    <row r="71" spans="1:14" x14ac:dyDescent="0.25">
      <c r="A71" t="s">
        <v>12</v>
      </c>
      <c r="B71">
        <v>24</v>
      </c>
      <c r="C71">
        <v>1</v>
      </c>
      <c r="D71">
        <f t="shared" si="0"/>
        <v>4.708333333333333</v>
      </c>
      <c r="E71">
        <v>113</v>
      </c>
      <c r="F71">
        <f t="shared" si="1"/>
        <v>4.1666666666666664E-2</v>
      </c>
      <c r="G71" s="32">
        <v>2.44584195260913</v>
      </c>
    </row>
    <row r="72" spans="1:14" x14ac:dyDescent="0.25">
      <c r="A72" t="s">
        <v>404</v>
      </c>
      <c r="B72">
        <v>26</v>
      </c>
      <c r="C72">
        <v>3</v>
      </c>
      <c r="D72">
        <f t="shared" si="0"/>
        <v>5.0384615384615383</v>
      </c>
      <c r="E72">
        <v>131</v>
      </c>
      <c r="F72">
        <f t="shared" si="1"/>
        <v>0.11538461538461539</v>
      </c>
      <c r="G72" s="32">
        <v>2.3094010767584998</v>
      </c>
    </row>
    <row r="73" spans="1:14" x14ac:dyDescent="0.25">
      <c r="A73" s="18" t="s">
        <v>22</v>
      </c>
      <c r="B73" s="18">
        <v>184</v>
      </c>
      <c r="C73" s="18">
        <v>30</v>
      </c>
      <c r="D73" s="18">
        <f>E73/B73</f>
        <v>4.1141304347826084</v>
      </c>
      <c r="E73" s="18">
        <v>757</v>
      </c>
      <c r="F73" s="18">
        <f>C73/B73</f>
        <v>0.16304347826086957</v>
      </c>
      <c r="G73" s="32">
        <v>2.2045689482796602</v>
      </c>
    </row>
    <row r="74" spans="1:14" x14ac:dyDescent="0.25">
      <c r="A74" s="41" t="s">
        <v>135</v>
      </c>
      <c r="B74" s="41">
        <v>8</v>
      </c>
      <c r="C74" s="41">
        <v>1</v>
      </c>
      <c r="D74" s="41">
        <f>E74/B74</f>
        <v>4.75</v>
      </c>
      <c r="E74" s="41">
        <v>38</v>
      </c>
      <c r="F74" s="41">
        <f>C74/B74</f>
        <v>0.125</v>
      </c>
      <c r="G74" s="32">
        <v>2.16794833886788</v>
      </c>
    </row>
    <row r="75" spans="1:14" x14ac:dyDescent="0.25">
      <c r="A75" t="s">
        <v>110</v>
      </c>
      <c r="B75">
        <v>21</v>
      </c>
      <c r="C75">
        <v>1</v>
      </c>
      <c r="D75">
        <f>E75/B75</f>
        <v>5.2380952380952381</v>
      </c>
      <c r="E75">
        <v>110</v>
      </c>
      <c r="F75">
        <f>C75/B75</f>
        <v>4.7619047619047616E-2</v>
      </c>
      <c r="G75" s="32">
        <v>1.9407902170679501</v>
      </c>
    </row>
    <row r="76" spans="1:14" x14ac:dyDescent="0.25">
      <c r="A76" t="s">
        <v>82</v>
      </c>
      <c r="B76">
        <v>20</v>
      </c>
      <c r="C76">
        <v>0</v>
      </c>
      <c r="D76">
        <f t="shared" ref="D76:D91" si="56">E76/B76</f>
        <v>5.15</v>
      </c>
      <c r="E76">
        <v>103</v>
      </c>
      <c r="F76">
        <f>C76/B76</f>
        <v>0</v>
      </c>
      <c r="G76" s="32">
        <v>2</v>
      </c>
    </row>
    <row r="77" spans="1:14" x14ac:dyDescent="0.25">
      <c r="A77" s="18" t="s">
        <v>33</v>
      </c>
      <c r="B77" s="18">
        <v>64</v>
      </c>
      <c r="C77" s="18">
        <v>4</v>
      </c>
      <c r="D77" s="18">
        <f t="shared" si="56"/>
        <v>5.515625</v>
      </c>
      <c r="E77" s="18">
        <v>353</v>
      </c>
      <c r="F77" s="18">
        <f t="shared" ref="F77:F91" si="57">C77/B77</f>
        <v>6.25E-2</v>
      </c>
      <c r="G77" s="32">
        <v>2.14993539954627</v>
      </c>
    </row>
    <row r="78" spans="1:14" x14ac:dyDescent="0.25">
      <c r="A78" t="s">
        <v>99</v>
      </c>
      <c r="B78">
        <v>20</v>
      </c>
      <c r="C78">
        <v>2</v>
      </c>
      <c r="D78">
        <f t="shared" si="56"/>
        <v>5.05</v>
      </c>
      <c r="E78">
        <v>101</v>
      </c>
      <c r="F78">
        <f t="shared" si="57"/>
        <v>0.1</v>
      </c>
      <c r="G78" s="32">
        <v>2.6687491868330699</v>
      </c>
    </row>
    <row r="79" spans="1:14" x14ac:dyDescent="0.25">
      <c r="A79" t="s">
        <v>7</v>
      </c>
      <c r="B79">
        <v>20</v>
      </c>
      <c r="C79">
        <v>4</v>
      </c>
      <c r="D79">
        <f t="shared" si="56"/>
        <v>4.0999999999999996</v>
      </c>
      <c r="E79">
        <v>82</v>
      </c>
      <c r="F79">
        <f t="shared" si="57"/>
        <v>0.2</v>
      </c>
      <c r="G79" s="32">
        <v>2.7888667551135802</v>
      </c>
    </row>
    <row r="80" spans="1:14" x14ac:dyDescent="0.25">
      <c r="A80" s="41" t="s">
        <v>138</v>
      </c>
      <c r="B80" s="41">
        <v>5</v>
      </c>
      <c r="C80" s="41">
        <v>1</v>
      </c>
      <c r="D80" s="41">
        <f t="shared" si="56"/>
        <v>4</v>
      </c>
      <c r="E80" s="41">
        <v>20</v>
      </c>
      <c r="F80" s="41">
        <f t="shared" si="57"/>
        <v>0.2</v>
      </c>
      <c r="G80" s="32">
        <v>2.2173557826083399</v>
      </c>
    </row>
    <row r="81" spans="1:7" x14ac:dyDescent="0.25">
      <c r="A81" s="41" t="s">
        <v>137</v>
      </c>
      <c r="B81" s="41">
        <v>11</v>
      </c>
      <c r="C81" s="41">
        <v>1</v>
      </c>
      <c r="D81" s="41">
        <f t="shared" si="56"/>
        <v>4.1818181818181817</v>
      </c>
      <c r="E81" s="41">
        <v>46</v>
      </c>
      <c r="F81" s="41">
        <f t="shared" si="57"/>
        <v>9.0909090909090912E-2</v>
      </c>
      <c r="G81" s="32">
        <v>1.8618986725025199</v>
      </c>
    </row>
    <row r="82" spans="1:7" x14ac:dyDescent="0.25">
      <c r="A82" s="18" t="s">
        <v>129</v>
      </c>
      <c r="B82" s="18">
        <v>43</v>
      </c>
      <c r="C82" s="18">
        <v>7</v>
      </c>
      <c r="D82" s="18">
        <f t="shared" si="56"/>
        <v>4.558139534883721</v>
      </c>
      <c r="E82" s="18">
        <v>196</v>
      </c>
      <c r="F82" s="18">
        <f t="shared" si="57"/>
        <v>0.16279069767441862</v>
      </c>
      <c r="G82" s="32">
        <v>2.1315096371664199</v>
      </c>
    </row>
    <row r="83" spans="1:7" x14ac:dyDescent="0.25">
      <c r="A83" t="s">
        <v>113</v>
      </c>
      <c r="B83">
        <v>25</v>
      </c>
      <c r="C83">
        <v>0</v>
      </c>
      <c r="D83">
        <f t="shared" si="56"/>
        <v>4.4000000000000004</v>
      </c>
      <c r="E83">
        <v>110</v>
      </c>
      <c r="F83">
        <f t="shared" si="57"/>
        <v>0</v>
      </c>
      <c r="G83" s="32">
        <v>2.4899799195977401</v>
      </c>
    </row>
    <row r="84" spans="1:7" x14ac:dyDescent="0.25">
      <c r="A84" s="18" t="s">
        <v>35</v>
      </c>
      <c r="B84" s="18">
        <v>173</v>
      </c>
      <c r="C84" s="18">
        <v>43</v>
      </c>
      <c r="D84" s="18">
        <f t="shared" si="56"/>
        <v>3.554913294797688</v>
      </c>
      <c r="E84" s="18">
        <v>615</v>
      </c>
      <c r="F84" s="18">
        <f t="shared" si="57"/>
        <v>0.24855491329479767</v>
      </c>
      <c r="G84" s="32">
        <v>2.6214406763289899</v>
      </c>
    </row>
    <row r="85" spans="1:7" x14ac:dyDescent="0.25">
      <c r="A85" s="18" t="s">
        <v>26</v>
      </c>
      <c r="B85" s="18">
        <v>93</v>
      </c>
      <c r="C85" s="18">
        <v>6</v>
      </c>
      <c r="D85" s="18">
        <f t="shared" si="56"/>
        <v>5.161290322580645</v>
      </c>
      <c r="E85" s="18">
        <v>480</v>
      </c>
      <c r="F85" s="18">
        <f t="shared" si="57"/>
        <v>6.4516129032258063E-2</v>
      </c>
      <c r="G85" s="32">
        <v>2.4494897427831699</v>
      </c>
    </row>
    <row r="86" spans="1:7" x14ac:dyDescent="0.25">
      <c r="A86" s="18" t="s">
        <v>122</v>
      </c>
      <c r="B86" s="18">
        <v>131</v>
      </c>
      <c r="C86" s="18">
        <v>17</v>
      </c>
      <c r="D86" s="18">
        <f t="shared" si="56"/>
        <v>4</v>
      </c>
      <c r="E86" s="18">
        <v>524</v>
      </c>
      <c r="F86" s="18">
        <f t="shared" si="57"/>
        <v>0.12977099236641221</v>
      </c>
      <c r="G86" s="32">
        <v>1.6329931618554501</v>
      </c>
    </row>
    <row r="87" spans="1:7" x14ac:dyDescent="0.25">
      <c r="A87" s="18" t="s">
        <v>49</v>
      </c>
      <c r="B87" s="18">
        <v>130</v>
      </c>
      <c r="C87" s="18">
        <v>7</v>
      </c>
      <c r="D87" s="18">
        <f t="shared" si="56"/>
        <v>5.1307692307692312</v>
      </c>
      <c r="E87" s="18">
        <v>667</v>
      </c>
      <c r="F87" s="18">
        <f t="shared" si="57"/>
        <v>5.3846153846153849E-2</v>
      </c>
      <c r="G87" s="32">
        <v>2.79455252402308</v>
      </c>
    </row>
    <row r="88" spans="1:7" x14ac:dyDescent="0.25">
      <c r="A88" s="18" t="s">
        <v>3</v>
      </c>
      <c r="B88" s="18">
        <v>46</v>
      </c>
      <c r="C88" s="18">
        <v>7</v>
      </c>
      <c r="D88" s="18">
        <f t="shared" si="56"/>
        <v>4.1304347826086953</v>
      </c>
      <c r="E88" s="18">
        <v>190</v>
      </c>
      <c r="F88" s="18">
        <f t="shared" si="57"/>
        <v>0.15217391304347827</v>
      </c>
      <c r="G88" s="32">
        <v>2.3731557327466102</v>
      </c>
    </row>
    <row r="89" spans="1:7" x14ac:dyDescent="0.25">
      <c r="A89" t="s">
        <v>230</v>
      </c>
      <c r="B89">
        <v>26</v>
      </c>
      <c r="C89">
        <v>4</v>
      </c>
      <c r="D89">
        <f t="shared" si="56"/>
        <v>4.8076923076923075</v>
      </c>
      <c r="E89">
        <v>125</v>
      </c>
      <c r="F89">
        <f t="shared" si="57"/>
        <v>0.15384615384615385</v>
      </c>
      <c r="G89" s="32">
        <v>2.7748873851023199</v>
      </c>
    </row>
    <row r="90" spans="1:7" x14ac:dyDescent="0.25">
      <c r="A90" t="s">
        <v>2</v>
      </c>
      <c r="B90">
        <v>28</v>
      </c>
      <c r="C90">
        <v>5</v>
      </c>
      <c r="D90">
        <f t="shared" si="56"/>
        <v>4.1428571428571432</v>
      </c>
      <c r="E90">
        <v>116</v>
      </c>
      <c r="F90">
        <f t="shared" si="57"/>
        <v>0.17857142857142858</v>
      </c>
      <c r="G90" s="32">
        <v>2.5876449587894599</v>
      </c>
    </row>
    <row r="91" spans="1:7" x14ac:dyDescent="0.25">
      <c r="A91" s="18" t="s">
        <v>124</v>
      </c>
      <c r="B91" s="18">
        <v>31</v>
      </c>
      <c r="C91" s="18">
        <v>1</v>
      </c>
      <c r="D91" s="18">
        <f t="shared" si="56"/>
        <v>4.935483870967742</v>
      </c>
      <c r="E91" s="18">
        <v>153</v>
      </c>
      <c r="F91" s="18">
        <f t="shared" si="57"/>
        <v>3.2258064516129031E-2</v>
      </c>
      <c r="G91" s="32">
        <v>2.16794833886788</v>
      </c>
    </row>
  </sheetData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1048576"/>
  <sheetViews>
    <sheetView zoomScale="70" zoomScaleNormal="70" workbookViewId="0">
      <selection activeCell="L31" sqref="L31"/>
    </sheetView>
  </sheetViews>
  <sheetFormatPr defaultRowHeight="15" x14ac:dyDescent="0.25"/>
  <cols>
    <col min="1" max="1" width="22.140625" bestFit="1" customWidth="1"/>
    <col min="2" max="2" width="7.42578125" bestFit="1" customWidth="1"/>
    <col min="3" max="3" width="8.7109375" bestFit="1" customWidth="1"/>
    <col min="4" max="5" width="13" bestFit="1" customWidth="1"/>
    <col min="6" max="6" width="43.85546875" bestFit="1" customWidth="1"/>
    <col min="9" max="9" width="22.140625" bestFit="1" customWidth="1"/>
    <col min="10" max="10" width="7.42578125" customWidth="1"/>
    <col min="11" max="11" width="8.7109375" bestFit="1" customWidth="1"/>
    <col min="12" max="13" width="13" bestFit="1" customWidth="1"/>
    <col min="14" max="14" width="69.57031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88</v>
      </c>
      <c r="C2" s="60">
        <v>27</v>
      </c>
      <c r="D2" s="60">
        <f t="shared" ref="D2:D33" si="0">G2/B2</f>
        <v>3.0795454545454546</v>
      </c>
      <c r="E2" s="60">
        <f t="shared" ref="E2:E33" si="1">C2/B2</f>
        <v>0.30681818181818182</v>
      </c>
      <c r="G2" s="18">
        <v>271</v>
      </c>
      <c r="I2" s="60" t="s">
        <v>175</v>
      </c>
      <c r="J2" s="60">
        <v>38</v>
      </c>
      <c r="K2" s="60">
        <v>9</v>
      </c>
      <c r="L2" s="60">
        <f t="shared" ref="L2:L33" si="2">O2/J2</f>
        <v>3.236842105263158</v>
      </c>
      <c r="M2" s="60">
        <f t="shared" ref="M2:M33" si="3">K2/J2</f>
        <v>0.23684210526315788</v>
      </c>
      <c r="N2" s="2" t="s">
        <v>44</v>
      </c>
      <c r="O2" s="18">
        <v>123</v>
      </c>
    </row>
    <row r="3" spans="1:15" x14ac:dyDescent="0.25">
      <c r="A3" s="59" t="s">
        <v>175</v>
      </c>
      <c r="B3" s="59">
        <v>31</v>
      </c>
      <c r="C3" s="59">
        <v>8</v>
      </c>
      <c r="D3" s="59">
        <f t="shared" si="0"/>
        <v>3.3225806451612905</v>
      </c>
      <c r="E3" s="59">
        <f t="shared" si="1"/>
        <v>0.25806451612903225</v>
      </c>
      <c r="G3" s="18">
        <v>103</v>
      </c>
      <c r="I3" s="60" t="s">
        <v>128</v>
      </c>
      <c r="J3" s="60">
        <v>101</v>
      </c>
      <c r="K3" s="60">
        <v>31</v>
      </c>
      <c r="L3" s="60">
        <f t="shared" si="2"/>
        <v>3.2574257425742572</v>
      </c>
      <c r="M3" s="60">
        <f t="shared" si="3"/>
        <v>0.30693069306930693</v>
      </c>
      <c r="N3" s="3" t="s">
        <v>46</v>
      </c>
      <c r="O3" s="18">
        <v>329</v>
      </c>
    </row>
    <row r="4" spans="1:15" x14ac:dyDescent="0.25">
      <c r="A4" s="59" t="s">
        <v>35</v>
      </c>
      <c r="B4" s="59">
        <v>131</v>
      </c>
      <c r="C4" s="59">
        <v>36</v>
      </c>
      <c r="D4" s="59">
        <f t="shared" si="0"/>
        <v>3.5419847328244276</v>
      </c>
      <c r="E4" s="59">
        <f t="shared" si="1"/>
        <v>0.27480916030534353</v>
      </c>
      <c r="G4" s="18">
        <v>464</v>
      </c>
      <c r="I4" s="59" t="s">
        <v>35</v>
      </c>
      <c r="J4" s="59">
        <v>148</v>
      </c>
      <c r="K4" s="59">
        <v>38</v>
      </c>
      <c r="L4" s="59">
        <f t="shared" si="2"/>
        <v>3.5405405405405403</v>
      </c>
      <c r="M4" s="59">
        <f t="shared" si="3"/>
        <v>0.25675675675675674</v>
      </c>
      <c r="O4" s="18">
        <v>524</v>
      </c>
    </row>
    <row r="5" spans="1:15" x14ac:dyDescent="0.25">
      <c r="A5" s="59" t="s">
        <v>147</v>
      </c>
      <c r="B5" s="59">
        <v>88</v>
      </c>
      <c r="C5" s="59">
        <v>18</v>
      </c>
      <c r="D5" s="59">
        <f t="shared" si="0"/>
        <v>3.625</v>
      </c>
      <c r="E5" s="59">
        <f t="shared" si="1"/>
        <v>0.20454545454545456</v>
      </c>
      <c r="F5" s="2" t="s">
        <v>44</v>
      </c>
      <c r="G5" s="18">
        <v>319</v>
      </c>
      <c r="I5" s="59" t="s">
        <v>52</v>
      </c>
      <c r="J5" s="59">
        <v>22</v>
      </c>
      <c r="K5" s="59">
        <v>2</v>
      </c>
      <c r="L5" s="59">
        <f t="shared" si="2"/>
        <v>3.6363636363636362</v>
      </c>
      <c r="M5" s="59">
        <f t="shared" si="3"/>
        <v>9.0909090909090912E-2</v>
      </c>
      <c r="N5" s="2" t="s">
        <v>44</v>
      </c>
      <c r="O5" s="18">
        <v>80</v>
      </c>
    </row>
    <row r="6" spans="1:15" x14ac:dyDescent="0.25">
      <c r="A6" s="59" t="s">
        <v>52</v>
      </c>
      <c r="B6" s="59">
        <v>22</v>
      </c>
      <c r="C6" s="59">
        <v>2</v>
      </c>
      <c r="D6" s="59">
        <f t="shared" si="0"/>
        <v>3.6363636363636362</v>
      </c>
      <c r="E6" s="59">
        <f t="shared" si="1"/>
        <v>9.0909090909090912E-2</v>
      </c>
      <c r="F6" s="3" t="s">
        <v>46</v>
      </c>
      <c r="G6" s="18">
        <v>80</v>
      </c>
      <c r="I6" s="59" t="s">
        <v>147</v>
      </c>
      <c r="J6" s="59">
        <v>110</v>
      </c>
      <c r="K6" s="59">
        <v>21</v>
      </c>
      <c r="L6" s="59">
        <f t="shared" si="2"/>
        <v>3.6909090909090909</v>
      </c>
      <c r="M6" s="59">
        <f t="shared" si="3"/>
        <v>0.19090909090909092</v>
      </c>
      <c r="N6" s="3" t="s">
        <v>46</v>
      </c>
      <c r="O6" s="18">
        <v>406</v>
      </c>
    </row>
    <row r="7" spans="1:15" x14ac:dyDescent="0.25">
      <c r="A7" s="59" t="s">
        <v>148</v>
      </c>
      <c r="B7" s="59">
        <v>37</v>
      </c>
      <c r="C7" s="59">
        <v>8</v>
      </c>
      <c r="D7" s="59">
        <f t="shared" si="0"/>
        <v>3.7297297297297298</v>
      </c>
      <c r="E7" s="59">
        <f t="shared" si="1"/>
        <v>0.21621621621621623</v>
      </c>
      <c r="F7" s="2" t="s">
        <v>378</v>
      </c>
      <c r="G7" s="18">
        <v>138</v>
      </c>
      <c r="I7" s="59" t="s">
        <v>148</v>
      </c>
      <c r="J7" s="59">
        <v>41</v>
      </c>
      <c r="K7" s="59">
        <v>8</v>
      </c>
      <c r="L7" s="59">
        <f t="shared" si="2"/>
        <v>3.7560975609756095</v>
      </c>
      <c r="M7" s="59">
        <f t="shared" si="3"/>
        <v>0.1951219512195122</v>
      </c>
      <c r="O7" s="18">
        <v>154</v>
      </c>
    </row>
    <row r="8" spans="1:15" x14ac:dyDescent="0.25">
      <c r="A8" s="59" t="s">
        <v>29</v>
      </c>
      <c r="B8" s="59">
        <v>98</v>
      </c>
      <c r="C8" s="59">
        <v>14</v>
      </c>
      <c r="D8" s="59">
        <f t="shared" si="0"/>
        <v>3.8367346938775508</v>
      </c>
      <c r="E8" s="59">
        <f t="shared" si="1"/>
        <v>0.14285714285714285</v>
      </c>
      <c r="F8" s="2" t="s">
        <v>44</v>
      </c>
      <c r="G8" s="18">
        <v>376</v>
      </c>
      <c r="I8" s="59" t="s">
        <v>58</v>
      </c>
      <c r="J8" s="59">
        <v>24</v>
      </c>
      <c r="K8" s="59">
        <v>4</v>
      </c>
      <c r="L8" s="59">
        <f t="shared" si="2"/>
        <v>3.8333333333333335</v>
      </c>
      <c r="M8" s="59">
        <f t="shared" si="3"/>
        <v>0.16666666666666666</v>
      </c>
      <c r="N8" s="2" t="s">
        <v>378</v>
      </c>
      <c r="O8" s="18">
        <v>92</v>
      </c>
    </row>
    <row r="9" spans="1:15" x14ac:dyDescent="0.25">
      <c r="A9" s="59" t="s">
        <v>10</v>
      </c>
      <c r="B9" s="59">
        <v>66</v>
      </c>
      <c r="C9" s="59">
        <v>13</v>
      </c>
      <c r="D9" s="59">
        <f t="shared" si="0"/>
        <v>3.8787878787878789</v>
      </c>
      <c r="E9" s="59">
        <f t="shared" si="1"/>
        <v>0.19696969696969696</v>
      </c>
      <c r="F9" s="2" t="s">
        <v>44</v>
      </c>
      <c r="G9" s="18">
        <v>256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O9" s="18">
        <v>256</v>
      </c>
    </row>
    <row r="10" spans="1:15" x14ac:dyDescent="0.25">
      <c r="A10" s="59" t="s">
        <v>232</v>
      </c>
      <c r="B10" s="59">
        <v>61</v>
      </c>
      <c r="C10" s="59">
        <v>13</v>
      </c>
      <c r="D10" s="59">
        <f t="shared" si="0"/>
        <v>3.918032786885246</v>
      </c>
      <c r="E10" s="59">
        <f t="shared" si="1"/>
        <v>0.21311475409836064</v>
      </c>
      <c r="F10" s="3" t="s">
        <v>45</v>
      </c>
      <c r="G10" s="18">
        <v>239</v>
      </c>
      <c r="I10" s="59" t="s">
        <v>29</v>
      </c>
      <c r="J10" s="59">
        <v>110</v>
      </c>
      <c r="K10" s="59">
        <v>16</v>
      </c>
      <c r="L10" s="59">
        <f t="shared" si="2"/>
        <v>3.9090909090909092</v>
      </c>
      <c r="M10" s="59">
        <f t="shared" si="3"/>
        <v>0.14545454545454545</v>
      </c>
      <c r="N10" s="3" t="s">
        <v>45</v>
      </c>
      <c r="O10" s="18">
        <v>430</v>
      </c>
    </row>
    <row r="11" spans="1:15" x14ac:dyDescent="0.25">
      <c r="A11" s="59" t="s">
        <v>121</v>
      </c>
      <c r="B11" s="59">
        <v>78</v>
      </c>
      <c r="C11" s="59">
        <v>18</v>
      </c>
      <c r="D11" s="59">
        <f t="shared" si="0"/>
        <v>3.9230769230769229</v>
      </c>
      <c r="E11" s="59">
        <f t="shared" si="1"/>
        <v>0.23076923076923078</v>
      </c>
      <c r="F11" s="3" t="s">
        <v>55</v>
      </c>
      <c r="G11" s="18">
        <v>306</v>
      </c>
      <c r="I11" s="59" t="s">
        <v>121</v>
      </c>
      <c r="J11" s="59">
        <v>84</v>
      </c>
      <c r="K11" s="59">
        <v>19</v>
      </c>
      <c r="L11" s="59">
        <f t="shared" si="2"/>
        <v>3.9166666666666665</v>
      </c>
      <c r="M11" s="59">
        <f t="shared" si="3"/>
        <v>0.22619047619047619</v>
      </c>
      <c r="O11" s="18">
        <v>329</v>
      </c>
    </row>
    <row r="12" spans="1:15" x14ac:dyDescent="0.25">
      <c r="A12" s="41" t="s">
        <v>125</v>
      </c>
      <c r="B12" s="41">
        <v>21</v>
      </c>
      <c r="C12" s="41">
        <v>1</v>
      </c>
      <c r="D12" s="41">
        <f t="shared" si="0"/>
        <v>4</v>
      </c>
      <c r="E12" s="41">
        <f t="shared" si="1"/>
        <v>4.7619047619047616E-2</v>
      </c>
      <c r="F12" s="3" t="s">
        <v>46</v>
      </c>
      <c r="G12" s="18">
        <v>84</v>
      </c>
      <c r="I12" s="59" t="s">
        <v>232</v>
      </c>
      <c r="J12" s="59">
        <v>94</v>
      </c>
      <c r="K12" s="59">
        <v>18</v>
      </c>
      <c r="L12" s="59">
        <f t="shared" si="2"/>
        <v>3.9361702127659575</v>
      </c>
      <c r="M12" s="59">
        <f t="shared" si="3"/>
        <v>0.19148936170212766</v>
      </c>
      <c r="N12" s="3" t="s">
        <v>45</v>
      </c>
      <c r="O12" s="18">
        <v>370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7</v>
      </c>
      <c r="B14" s="41">
        <v>20</v>
      </c>
      <c r="C14" s="41">
        <v>4</v>
      </c>
      <c r="D14" s="41">
        <f t="shared" si="0"/>
        <v>4.0999999999999996</v>
      </c>
      <c r="E14" s="41">
        <f t="shared" si="1"/>
        <v>0.2</v>
      </c>
      <c r="F14" s="2" t="s">
        <v>44</v>
      </c>
      <c r="G14" s="18">
        <v>82</v>
      </c>
      <c r="I14" s="41" t="s">
        <v>125</v>
      </c>
      <c r="J14" s="41">
        <v>24</v>
      </c>
      <c r="K14" s="41">
        <v>2</v>
      </c>
      <c r="L14" s="41">
        <f t="shared" si="2"/>
        <v>4.083333333333333</v>
      </c>
      <c r="M14" s="41">
        <f t="shared" si="3"/>
        <v>8.3333333333333329E-2</v>
      </c>
      <c r="N14" s="3" t="s">
        <v>45</v>
      </c>
      <c r="O14" s="18">
        <v>98</v>
      </c>
    </row>
    <row r="15" spans="1:15" x14ac:dyDescent="0.25">
      <c r="A15" s="41" t="s">
        <v>3</v>
      </c>
      <c r="B15" s="41">
        <v>39</v>
      </c>
      <c r="C15" s="41">
        <v>6</v>
      </c>
      <c r="D15" s="41">
        <f t="shared" si="0"/>
        <v>4.1282051282051286</v>
      </c>
      <c r="E15" s="41">
        <f t="shared" si="1"/>
        <v>0.15384615384615385</v>
      </c>
      <c r="F15" s="3" t="s">
        <v>54</v>
      </c>
      <c r="G15" s="18">
        <v>161</v>
      </c>
      <c r="I15" s="41" t="s">
        <v>139</v>
      </c>
      <c r="J15" s="41">
        <v>24</v>
      </c>
      <c r="K15" s="41">
        <v>3</v>
      </c>
      <c r="L15" s="41">
        <f t="shared" si="2"/>
        <v>4.083333333333333</v>
      </c>
      <c r="M15" s="41">
        <f t="shared" si="3"/>
        <v>0.125</v>
      </c>
      <c r="N15" s="2" t="s">
        <v>194</v>
      </c>
      <c r="O15" s="18">
        <v>98</v>
      </c>
    </row>
    <row r="16" spans="1:15" x14ac:dyDescent="0.25">
      <c r="A16" s="41" t="s">
        <v>2</v>
      </c>
      <c r="B16" s="41">
        <v>28</v>
      </c>
      <c r="C16" s="41">
        <v>5</v>
      </c>
      <c r="D16" s="41">
        <f t="shared" si="0"/>
        <v>4.1428571428571432</v>
      </c>
      <c r="E16" s="41">
        <f t="shared" si="1"/>
        <v>0.17857142857142858</v>
      </c>
      <c r="F16" s="2" t="s">
        <v>44</v>
      </c>
      <c r="G16">
        <v>116</v>
      </c>
      <c r="I16" s="41" t="s">
        <v>7</v>
      </c>
      <c r="J16" s="41">
        <v>20</v>
      </c>
      <c r="K16" s="41">
        <v>4</v>
      </c>
      <c r="L16" s="41">
        <f t="shared" si="2"/>
        <v>4.0999999999999996</v>
      </c>
      <c r="M16" s="41">
        <f t="shared" si="3"/>
        <v>0.2</v>
      </c>
      <c r="N16" s="3" t="s">
        <v>45</v>
      </c>
      <c r="O16" s="18">
        <v>82</v>
      </c>
    </row>
    <row r="17" spans="1:21" x14ac:dyDescent="0.25">
      <c r="A17" s="41" t="s">
        <v>58</v>
      </c>
      <c r="B17" s="41">
        <v>20</v>
      </c>
      <c r="C17" s="41">
        <v>3</v>
      </c>
      <c r="D17" s="41">
        <f t="shared" si="0"/>
        <v>4.1500000000000004</v>
      </c>
      <c r="E17" s="41">
        <f t="shared" si="1"/>
        <v>0.15</v>
      </c>
      <c r="F17" s="2" t="s">
        <v>44</v>
      </c>
      <c r="G17" s="18">
        <v>83</v>
      </c>
      <c r="I17" s="41" t="s">
        <v>22</v>
      </c>
      <c r="J17" s="41">
        <v>182</v>
      </c>
      <c r="K17" s="41">
        <v>30</v>
      </c>
      <c r="L17" s="41">
        <f t="shared" si="2"/>
        <v>4.104395604395604</v>
      </c>
      <c r="M17" s="41">
        <f t="shared" si="3"/>
        <v>0.16483516483516483</v>
      </c>
      <c r="N17" s="2" t="s">
        <v>59</v>
      </c>
      <c r="O17" s="18">
        <v>747</v>
      </c>
    </row>
    <row r="18" spans="1:21" x14ac:dyDescent="0.25">
      <c r="A18" s="41" t="s">
        <v>9</v>
      </c>
      <c r="B18" s="41">
        <v>20</v>
      </c>
      <c r="C18" s="41">
        <v>2</v>
      </c>
      <c r="D18" s="41">
        <f t="shared" si="0"/>
        <v>4.1500000000000004</v>
      </c>
      <c r="E18" s="41">
        <f t="shared" si="1"/>
        <v>0.1</v>
      </c>
      <c r="F18" s="35" t="s">
        <v>490</v>
      </c>
      <c r="G18" s="18">
        <v>83</v>
      </c>
      <c r="I18" s="41" t="s">
        <v>2</v>
      </c>
      <c r="J18" s="41">
        <v>28</v>
      </c>
      <c r="K18" s="41">
        <v>5</v>
      </c>
      <c r="L18" s="41">
        <f t="shared" si="2"/>
        <v>4.1428571428571432</v>
      </c>
      <c r="M18" s="41">
        <f t="shared" si="3"/>
        <v>0.17857142857142858</v>
      </c>
      <c r="N18" s="3" t="s">
        <v>45</v>
      </c>
      <c r="O18">
        <v>116</v>
      </c>
    </row>
    <row r="19" spans="1:21" x14ac:dyDescent="0.25">
      <c r="A19" s="41" t="s">
        <v>0</v>
      </c>
      <c r="B19" s="41">
        <v>82</v>
      </c>
      <c r="C19" s="41">
        <v>14</v>
      </c>
      <c r="D19" s="41">
        <f t="shared" si="0"/>
        <v>4.1585365853658534</v>
      </c>
      <c r="E19" s="41">
        <f t="shared" si="1"/>
        <v>0.17073170731707318</v>
      </c>
      <c r="F19" s="3" t="s">
        <v>494</v>
      </c>
      <c r="G19" s="18">
        <v>341</v>
      </c>
      <c r="I19" s="41" t="s">
        <v>9</v>
      </c>
      <c r="J19" s="41">
        <v>20</v>
      </c>
      <c r="K19" s="41">
        <v>2</v>
      </c>
      <c r="L19" s="41">
        <f t="shared" si="2"/>
        <v>4.1500000000000004</v>
      </c>
      <c r="M19" s="41">
        <f t="shared" si="3"/>
        <v>0.1</v>
      </c>
      <c r="N19" s="3" t="s">
        <v>46</v>
      </c>
      <c r="O19" s="18">
        <v>83</v>
      </c>
    </row>
    <row r="20" spans="1:21" x14ac:dyDescent="0.25">
      <c r="A20" s="41" t="s">
        <v>22</v>
      </c>
      <c r="B20" s="41">
        <v>174</v>
      </c>
      <c r="C20" s="41">
        <v>26</v>
      </c>
      <c r="D20" s="41">
        <f t="shared" si="0"/>
        <v>4.1781609195402298</v>
      </c>
      <c r="E20" s="41">
        <f t="shared" si="1"/>
        <v>0.14942528735632185</v>
      </c>
      <c r="G20" s="18">
        <v>727</v>
      </c>
      <c r="I20" s="41" t="s">
        <v>0</v>
      </c>
      <c r="J20" s="41">
        <v>84</v>
      </c>
      <c r="K20" s="41">
        <v>14</v>
      </c>
      <c r="L20" s="41">
        <f t="shared" si="2"/>
        <v>4.1547619047619051</v>
      </c>
      <c r="M20" s="41">
        <f t="shared" si="3"/>
        <v>0.16666666666666666</v>
      </c>
      <c r="N20" s="3" t="s">
        <v>46</v>
      </c>
      <c r="O20" s="18">
        <v>349</v>
      </c>
    </row>
    <row r="21" spans="1:2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G21" s="18">
        <v>110</v>
      </c>
      <c r="I21" s="41" t="s">
        <v>3</v>
      </c>
      <c r="J21" s="41">
        <v>43</v>
      </c>
      <c r="K21" s="41">
        <v>6</v>
      </c>
      <c r="L21" s="41">
        <f t="shared" si="2"/>
        <v>4.1627906976744189</v>
      </c>
      <c r="M21" s="41">
        <f t="shared" si="3"/>
        <v>0.13953488372093023</v>
      </c>
      <c r="N21" s="3" t="s">
        <v>555</v>
      </c>
      <c r="O21" s="18">
        <v>179</v>
      </c>
    </row>
    <row r="22" spans="1:2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G22" s="18">
        <v>305</v>
      </c>
      <c r="I22" s="41" t="s">
        <v>112</v>
      </c>
      <c r="J22" s="41">
        <v>26</v>
      </c>
      <c r="K22" s="41">
        <v>5</v>
      </c>
      <c r="L22" s="41">
        <f t="shared" si="2"/>
        <v>4.2307692307692308</v>
      </c>
      <c r="M22" s="41">
        <f t="shared" si="3"/>
        <v>0.19230769230769232</v>
      </c>
      <c r="N22" s="3" t="s">
        <v>46</v>
      </c>
      <c r="O22" s="18">
        <v>110</v>
      </c>
    </row>
    <row r="23" spans="1:2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21" x14ac:dyDescent="0.25">
      <c r="A24" s="41" t="s">
        <v>104</v>
      </c>
      <c r="B24" s="41">
        <v>84</v>
      </c>
      <c r="C24" s="41">
        <v>5</v>
      </c>
      <c r="D24" s="41">
        <f t="shared" si="0"/>
        <v>4.25</v>
      </c>
      <c r="E24" s="41">
        <f t="shared" si="1"/>
        <v>5.9523809523809521E-2</v>
      </c>
      <c r="F24" s="2" t="s">
        <v>44</v>
      </c>
      <c r="G24" s="18">
        <v>357</v>
      </c>
      <c r="I24" s="41" t="s">
        <v>50</v>
      </c>
      <c r="J24" s="41">
        <v>20</v>
      </c>
      <c r="K24" s="41">
        <v>1</v>
      </c>
      <c r="L24" s="41">
        <f t="shared" si="2"/>
        <v>4.25</v>
      </c>
      <c r="M24" s="41">
        <f t="shared" si="3"/>
        <v>0.05</v>
      </c>
      <c r="N24" s="2" t="s">
        <v>44</v>
      </c>
      <c r="O24" s="18">
        <v>85</v>
      </c>
    </row>
    <row r="25" spans="1:21" x14ac:dyDescent="0.25">
      <c r="A25" s="41" t="s">
        <v>50</v>
      </c>
      <c r="B25" s="41">
        <v>20</v>
      </c>
      <c r="C25" s="41">
        <v>1</v>
      </c>
      <c r="D25" s="41">
        <f t="shared" si="0"/>
        <v>4.25</v>
      </c>
      <c r="E25" s="41">
        <f t="shared" si="1"/>
        <v>0.05</v>
      </c>
      <c r="F25" s="3" t="s">
        <v>46</v>
      </c>
      <c r="G25" s="18">
        <v>85</v>
      </c>
      <c r="I25" s="41" t="s">
        <v>122</v>
      </c>
      <c r="J25" s="41">
        <v>96</v>
      </c>
      <c r="K25" s="41">
        <v>9</v>
      </c>
      <c r="L25" s="41">
        <f t="shared" si="2"/>
        <v>4.270833333333333</v>
      </c>
      <c r="M25" s="41">
        <f t="shared" si="3"/>
        <v>9.375E-2</v>
      </c>
      <c r="N25" s="3" t="s">
        <v>54</v>
      </c>
      <c r="O25" s="18">
        <v>410</v>
      </c>
    </row>
    <row r="26" spans="1:2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G26" s="18">
        <v>86</v>
      </c>
      <c r="I26" s="41" t="s">
        <v>104</v>
      </c>
      <c r="J26" s="41">
        <v>95</v>
      </c>
      <c r="K26" s="41">
        <v>6</v>
      </c>
      <c r="L26" s="41">
        <f t="shared" si="2"/>
        <v>4.2842105263157899</v>
      </c>
      <c r="M26" s="41">
        <f t="shared" si="3"/>
        <v>6.3157894736842107E-2</v>
      </c>
      <c r="N26" s="3" t="s">
        <v>45</v>
      </c>
      <c r="O26" s="18">
        <v>407</v>
      </c>
      <c r="U26" t="s">
        <v>559</v>
      </c>
    </row>
    <row r="27" spans="1:21" x14ac:dyDescent="0.25">
      <c r="A27" s="41" t="s">
        <v>115</v>
      </c>
      <c r="B27" s="41">
        <v>39</v>
      </c>
      <c r="C27" s="41">
        <v>3</v>
      </c>
      <c r="D27" s="41">
        <f t="shared" si="0"/>
        <v>4.384615384615385</v>
      </c>
      <c r="E27" s="41">
        <f t="shared" si="1"/>
        <v>7.6923076923076927E-2</v>
      </c>
      <c r="F27" s="3" t="s">
        <v>296</v>
      </c>
      <c r="G27" s="18">
        <v>171</v>
      </c>
      <c r="I27" s="41" t="s">
        <v>117</v>
      </c>
      <c r="J27" s="41">
        <v>21</v>
      </c>
      <c r="K27" s="41">
        <v>3</v>
      </c>
      <c r="L27" s="41">
        <f t="shared" si="2"/>
        <v>4.2857142857142856</v>
      </c>
      <c r="M27" s="41">
        <f t="shared" si="3"/>
        <v>0.14285714285714285</v>
      </c>
      <c r="N27" s="13" t="s">
        <v>556</v>
      </c>
      <c r="O27" s="18">
        <v>90</v>
      </c>
      <c r="U27" t="s">
        <v>560</v>
      </c>
    </row>
    <row r="28" spans="1:21" x14ac:dyDescent="0.25">
      <c r="A28" s="32" t="s">
        <v>21</v>
      </c>
      <c r="B28" s="32">
        <v>125</v>
      </c>
      <c r="C28" s="32">
        <v>17</v>
      </c>
      <c r="D28" s="32">
        <f t="shared" si="0"/>
        <v>4.4080000000000004</v>
      </c>
      <c r="E28" s="32">
        <f t="shared" si="1"/>
        <v>0.13600000000000001</v>
      </c>
      <c r="F28" s="2" t="s">
        <v>133</v>
      </c>
      <c r="G28" s="18">
        <v>551</v>
      </c>
      <c r="I28" s="41" t="s">
        <v>113</v>
      </c>
      <c r="J28" s="41">
        <v>20</v>
      </c>
      <c r="K28" s="41">
        <v>0</v>
      </c>
      <c r="L28" s="41">
        <f t="shared" si="2"/>
        <v>4.3</v>
      </c>
      <c r="M28" s="41">
        <f t="shared" si="3"/>
        <v>0</v>
      </c>
      <c r="N28" s="11" t="s">
        <v>557</v>
      </c>
      <c r="O28" s="18">
        <v>86</v>
      </c>
    </row>
    <row r="29" spans="1:21" x14ac:dyDescent="0.25">
      <c r="A29" s="32" t="s">
        <v>27</v>
      </c>
      <c r="B29" s="32">
        <v>36</v>
      </c>
      <c r="C29" s="32">
        <v>3</v>
      </c>
      <c r="D29" s="32">
        <f t="shared" si="0"/>
        <v>4.4444444444444446</v>
      </c>
      <c r="E29" s="32">
        <f t="shared" si="1"/>
        <v>8.3333333333333329E-2</v>
      </c>
      <c r="F29" s="3" t="s">
        <v>46</v>
      </c>
      <c r="G29" s="18">
        <v>160</v>
      </c>
      <c r="I29" s="41" t="s">
        <v>21</v>
      </c>
      <c r="J29" s="41">
        <v>145</v>
      </c>
      <c r="K29" s="41">
        <v>22</v>
      </c>
      <c r="L29" s="41">
        <f t="shared" si="2"/>
        <v>4.3724137931034486</v>
      </c>
      <c r="M29" s="41">
        <f t="shared" si="3"/>
        <v>0.15172413793103448</v>
      </c>
      <c r="N29" s="3" t="s">
        <v>558</v>
      </c>
      <c r="O29" s="18">
        <v>634</v>
      </c>
    </row>
    <row r="30" spans="1:21" x14ac:dyDescent="0.25">
      <c r="A30" s="32" t="s">
        <v>129</v>
      </c>
      <c r="B30" s="32">
        <v>40</v>
      </c>
      <c r="C30" s="32">
        <v>7</v>
      </c>
      <c r="D30" s="32">
        <f t="shared" si="0"/>
        <v>4.45</v>
      </c>
      <c r="E30" s="32">
        <f t="shared" si="1"/>
        <v>0.17499999999999999</v>
      </c>
      <c r="F30" s="3" t="s">
        <v>46</v>
      </c>
      <c r="G30">
        <v>178</v>
      </c>
      <c r="I30" s="41" t="s">
        <v>115</v>
      </c>
      <c r="J30" s="41">
        <v>39</v>
      </c>
      <c r="K30" s="41">
        <v>3</v>
      </c>
      <c r="L30" s="41">
        <f t="shared" si="2"/>
        <v>4.384615384615385</v>
      </c>
      <c r="M30" s="41">
        <f t="shared" si="3"/>
        <v>7.6923076923076927E-2</v>
      </c>
      <c r="N30" s="3" t="s">
        <v>54</v>
      </c>
      <c r="O30" s="18">
        <v>171</v>
      </c>
    </row>
    <row r="31" spans="1:21" x14ac:dyDescent="0.25">
      <c r="A31" s="32" t="s">
        <v>8</v>
      </c>
      <c r="B31" s="32">
        <v>46</v>
      </c>
      <c r="C31" s="32">
        <v>5</v>
      </c>
      <c r="D31" s="32">
        <f t="shared" si="0"/>
        <v>4.4782608695652177</v>
      </c>
      <c r="E31" s="32">
        <f t="shared" si="1"/>
        <v>0.10869565217391304</v>
      </c>
      <c r="F31" s="3" t="s">
        <v>46</v>
      </c>
      <c r="G31" s="18">
        <v>206</v>
      </c>
      <c r="I31" s="32" t="s">
        <v>27</v>
      </c>
      <c r="J31" s="32">
        <v>36</v>
      </c>
      <c r="K31" s="32">
        <v>3</v>
      </c>
      <c r="L31" s="32">
        <f t="shared" si="2"/>
        <v>4.4444444444444446</v>
      </c>
      <c r="M31" s="32">
        <f t="shared" si="3"/>
        <v>8.3333333333333329E-2</v>
      </c>
      <c r="N31" s="3" t="s">
        <v>45</v>
      </c>
      <c r="O31" s="18">
        <v>160</v>
      </c>
    </row>
    <row r="32" spans="1:21" x14ac:dyDescent="0.25">
      <c r="A32" s="32" t="s">
        <v>15</v>
      </c>
      <c r="B32" s="32">
        <v>205</v>
      </c>
      <c r="C32" s="32">
        <v>33</v>
      </c>
      <c r="D32" s="32">
        <f t="shared" si="0"/>
        <v>4.5268292682926825</v>
      </c>
      <c r="E32" s="32">
        <f t="shared" si="1"/>
        <v>0.16097560975609757</v>
      </c>
      <c r="F32" s="3" t="s">
        <v>494</v>
      </c>
      <c r="G32" s="18">
        <v>928</v>
      </c>
      <c r="I32" s="32" t="s">
        <v>129</v>
      </c>
      <c r="J32" s="32">
        <v>40</v>
      </c>
      <c r="K32" s="32">
        <v>7</v>
      </c>
      <c r="L32" s="32">
        <f t="shared" si="2"/>
        <v>4.45</v>
      </c>
      <c r="M32" s="32">
        <f t="shared" si="3"/>
        <v>0.17499999999999999</v>
      </c>
      <c r="N32" s="3" t="s">
        <v>45</v>
      </c>
      <c r="O32">
        <v>178</v>
      </c>
    </row>
    <row r="33" spans="1:15" x14ac:dyDescent="0.25">
      <c r="A33" s="32" t="s">
        <v>24</v>
      </c>
      <c r="B33" s="32">
        <v>87</v>
      </c>
      <c r="C33" s="32">
        <v>10</v>
      </c>
      <c r="D33" s="32">
        <f t="shared" si="0"/>
        <v>4.5287356321839081</v>
      </c>
      <c r="E33" s="32">
        <f t="shared" si="1"/>
        <v>0.11494252873563218</v>
      </c>
      <c r="F33" s="3" t="s">
        <v>45</v>
      </c>
      <c r="G33" s="18">
        <v>394</v>
      </c>
      <c r="I33" s="32" t="s">
        <v>8</v>
      </c>
      <c r="J33" s="32">
        <v>46</v>
      </c>
      <c r="K33" s="32">
        <v>5</v>
      </c>
      <c r="L33" s="32">
        <f t="shared" si="2"/>
        <v>4.4782608695652177</v>
      </c>
      <c r="M33" s="32">
        <f t="shared" si="3"/>
        <v>0.10869565217391304</v>
      </c>
      <c r="N33" s="3" t="s">
        <v>45</v>
      </c>
      <c r="O33" s="18">
        <v>206</v>
      </c>
    </row>
    <row r="34" spans="1:15" x14ac:dyDescent="0.25">
      <c r="A34" s="32" t="s">
        <v>1</v>
      </c>
      <c r="B34" s="32">
        <v>88</v>
      </c>
      <c r="C34" s="32">
        <v>4</v>
      </c>
      <c r="D34" s="32">
        <f t="shared" ref="D34:D65" si="4">G34/B34</f>
        <v>4.5681818181818183</v>
      </c>
      <c r="E34" s="32">
        <f t="shared" ref="E34:E65" si="5">C34/B34</f>
        <v>4.5454545454545456E-2</v>
      </c>
      <c r="G34" s="18">
        <v>402</v>
      </c>
      <c r="I34" s="32" t="s">
        <v>36</v>
      </c>
      <c r="J34" s="32">
        <v>20</v>
      </c>
      <c r="K34" s="32">
        <v>0</v>
      </c>
      <c r="L34" s="32">
        <f t="shared" ref="L34:L65" si="6">O34/J34</f>
        <v>4.5</v>
      </c>
      <c r="M34" s="32">
        <f t="shared" ref="M34:M65" si="7">K34/J34</f>
        <v>0</v>
      </c>
      <c r="N34" s="72" t="s">
        <v>561</v>
      </c>
      <c r="O34" s="18">
        <v>90</v>
      </c>
    </row>
    <row r="35" spans="1:15" x14ac:dyDescent="0.25">
      <c r="A35" s="32" t="s">
        <v>79</v>
      </c>
      <c r="B35" s="32">
        <v>46</v>
      </c>
      <c r="C35" s="32">
        <v>6</v>
      </c>
      <c r="D35" s="32">
        <f t="shared" si="4"/>
        <v>4.5869565217391308</v>
      </c>
      <c r="E35" s="32">
        <f t="shared" si="5"/>
        <v>0.13043478260869565</v>
      </c>
      <c r="F35" s="2" t="s">
        <v>359</v>
      </c>
      <c r="G35" s="18">
        <v>211</v>
      </c>
      <c r="I35" s="32" t="s">
        <v>15</v>
      </c>
      <c r="J35" s="32">
        <v>226</v>
      </c>
      <c r="K35" s="32">
        <v>35</v>
      </c>
      <c r="L35" s="32">
        <f t="shared" si="6"/>
        <v>4.5309734513274336</v>
      </c>
      <c r="M35" s="32">
        <f t="shared" si="7"/>
        <v>0.15486725663716813</v>
      </c>
      <c r="N35" s="3" t="s">
        <v>54</v>
      </c>
      <c r="O35" s="18">
        <v>1024</v>
      </c>
    </row>
    <row r="36" spans="1:15" x14ac:dyDescent="0.25">
      <c r="A36" s="32" t="s">
        <v>123</v>
      </c>
      <c r="B36" s="32">
        <v>27</v>
      </c>
      <c r="C36" s="32">
        <v>4</v>
      </c>
      <c r="D36" s="32">
        <f t="shared" si="4"/>
        <v>4.5925925925925926</v>
      </c>
      <c r="E36" s="32">
        <f t="shared" si="5"/>
        <v>0.14814814814814814</v>
      </c>
      <c r="F36" s="3" t="s">
        <v>54</v>
      </c>
      <c r="G36" s="18">
        <v>124</v>
      </c>
      <c r="I36" s="32" t="s">
        <v>24</v>
      </c>
      <c r="J36" s="32">
        <v>98</v>
      </c>
      <c r="K36" s="32">
        <v>11</v>
      </c>
      <c r="L36" s="32">
        <f t="shared" si="6"/>
        <v>4.5510204081632653</v>
      </c>
      <c r="M36" s="32">
        <f t="shared" si="7"/>
        <v>0.11224489795918367</v>
      </c>
      <c r="N36" s="3" t="s">
        <v>54</v>
      </c>
      <c r="O36" s="18">
        <v>446</v>
      </c>
    </row>
    <row r="37" spans="1:15" x14ac:dyDescent="0.25">
      <c r="A37" s="32" t="s">
        <v>428</v>
      </c>
      <c r="B37" s="32">
        <v>21</v>
      </c>
      <c r="C37" s="32">
        <v>0</v>
      </c>
      <c r="D37" s="32">
        <f t="shared" si="4"/>
        <v>4.6190476190476186</v>
      </c>
      <c r="E37" s="32">
        <f t="shared" si="5"/>
        <v>0</v>
      </c>
      <c r="F37" s="3" t="s">
        <v>45</v>
      </c>
      <c r="G37">
        <v>97</v>
      </c>
      <c r="I37" s="32" t="s">
        <v>1</v>
      </c>
      <c r="J37" s="32">
        <v>97</v>
      </c>
      <c r="K37" s="32">
        <v>5</v>
      </c>
      <c r="L37" s="32">
        <f t="shared" si="6"/>
        <v>4.5773195876288657</v>
      </c>
      <c r="M37" s="32">
        <f t="shared" si="7"/>
        <v>5.1546391752577317E-2</v>
      </c>
      <c r="N37" s="3" t="s">
        <v>54</v>
      </c>
      <c r="O37" s="18">
        <v>444</v>
      </c>
    </row>
    <row r="38" spans="1:15" x14ac:dyDescent="0.25">
      <c r="A38" s="32" t="s">
        <v>14</v>
      </c>
      <c r="B38" s="32">
        <v>45</v>
      </c>
      <c r="C38" s="32">
        <v>3</v>
      </c>
      <c r="D38" s="32">
        <f t="shared" si="4"/>
        <v>4.7111111111111112</v>
      </c>
      <c r="E38" s="32">
        <f t="shared" si="5"/>
        <v>6.6666666666666666E-2</v>
      </c>
      <c r="F38" s="3" t="s">
        <v>45</v>
      </c>
      <c r="G38">
        <v>212</v>
      </c>
      <c r="I38" s="32" t="s">
        <v>123</v>
      </c>
      <c r="J38" s="32">
        <v>32</v>
      </c>
      <c r="K38" s="32">
        <v>4</v>
      </c>
      <c r="L38" s="32">
        <f t="shared" si="6"/>
        <v>4.59375</v>
      </c>
      <c r="M38" s="32">
        <f t="shared" si="7"/>
        <v>0.125</v>
      </c>
      <c r="N38" s="3" t="s">
        <v>45</v>
      </c>
      <c r="O38" s="18">
        <v>147</v>
      </c>
    </row>
    <row r="39" spans="1:15" x14ac:dyDescent="0.25">
      <c r="A39" s="32" t="s">
        <v>61</v>
      </c>
      <c r="B39" s="32">
        <v>25</v>
      </c>
      <c r="C39" s="32">
        <v>6</v>
      </c>
      <c r="D39" s="32">
        <f t="shared" si="4"/>
        <v>4.72</v>
      </c>
      <c r="E39" s="32">
        <f t="shared" si="5"/>
        <v>0.24</v>
      </c>
      <c r="F39" s="3" t="s">
        <v>45</v>
      </c>
      <c r="G39" s="18">
        <v>118</v>
      </c>
      <c r="I39" s="32" t="s">
        <v>5</v>
      </c>
      <c r="J39" s="32">
        <v>23</v>
      </c>
      <c r="K39" s="32">
        <v>1</v>
      </c>
      <c r="L39" s="32">
        <f t="shared" si="6"/>
        <v>4.6086956521739131</v>
      </c>
      <c r="M39" s="32">
        <f t="shared" si="7"/>
        <v>4.3478260869565216E-2</v>
      </c>
      <c r="N39" s="3" t="s">
        <v>562</v>
      </c>
      <c r="O39" s="18">
        <v>106</v>
      </c>
    </row>
    <row r="40" spans="1:15" x14ac:dyDescent="0.25">
      <c r="A40" s="32" t="s">
        <v>13</v>
      </c>
      <c r="B40" s="32">
        <v>36</v>
      </c>
      <c r="C40" s="32">
        <v>2</v>
      </c>
      <c r="D40" s="32">
        <f t="shared" si="4"/>
        <v>4.7222222222222223</v>
      </c>
      <c r="E40" s="32">
        <f t="shared" si="5"/>
        <v>5.5555555555555552E-2</v>
      </c>
      <c r="F40" s="3" t="s">
        <v>45</v>
      </c>
      <c r="G40" s="18">
        <v>170</v>
      </c>
      <c r="I40" s="32" t="s">
        <v>428</v>
      </c>
      <c r="J40" s="32">
        <v>21</v>
      </c>
      <c r="K40" s="32">
        <v>0</v>
      </c>
      <c r="L40" s="32">
        <f t="shared" si="6"/>
        <v>4.6190476190476186</v>
      </c>
      <c r="M40" s="32">
        <f t="shared" si="7"/>
        <v>0</v>
      </c>
      <c r="N40" s="3" t="s">
        <v>54</v>
      </c>
      <c r="O40">
        <v>97</v>
      </c>
    </row>
    <row r="41" spans="1:15" x14ac:dyDescent="0.25">
      <c r="A41" s="32" t="s">
        <v>12</v>
      </c>
      <c r="B41" s="32">
        <v>20</v>
      </c>
      <c r="C41" s="32">
        <v>0</v>
      </c>
      <c r="D41" s="32">
        <f t="shared" si="4"/>
        <v>4.75</v>
      </c>
      <c r="E41" s="32">
        <f t="shared" si="5"/>
        <v>0</v>
      </c>
      <c r="F41" s="3" t="s">
        <v>45</v>
      </c>
      <c r="G41" s="18">
        <v>95</v>
      </c>
      <c r="I41" s="32" t="s">
        <v>79</v>
      </c>
      <c r="J41" s="32">
        <v>54</v>
      </c>
      <c r="K41" s="32">
        <v>6</v>
      </c>
      <c r="L41" s="32">
        <f t="shared" si="6"/>
        <v>4.6296296296296298</v>
      </c>
      <c r="M41" s="32">
        <f t="shared" si="7"/>
        <v>0.1111111111111111</v>
      </c>
      <c r="N41" s="3" t="s">
        <v>555</v>
      </c>
      <c r="O41" s="18">
        <v>250</v>
      </c>
    </row>
    <row r="42" spans="1:15" x14ac:dyDescent="0.25">
      <c r="A42" s="38" t="s">
        <v>87</v>
      </c>
      <c r="B42" s="38">
        <v>69</v>
      </c>
      <c r="C42" s="38">
        <v>9</v>
      </c>
      <c r="D42" s="38">
        <f t="shared" si="4"/>
        <v>4.8840579710144931</v>
      </c>
      <c r="E42" s="38">
        <f t="shared" si="5"/>
        <v>0.13043478260869565</v>
      </c>
      <c r="F42" s="3" t="s">
        <v>45</v>
      </c>
      <c r="G42" s="18">
        <v>337</v>
      </c>
      <c r="I42" s="32" t="s">
        <v>230</v>
      </c>
      <c r="J42" s="32">
        <v>22</v>
      </c>
      <c r="K42" s="32">
        <v>4</v>
      </c>
      <c r="L42" s="32">
        <f t="shared" si="6"/>
        <v>4.6363636363636367</v>
      </c>
      <c r="M42" s="32">
        <f t="shared" si="7"/>
        <v>0.18181818181818182</v>
      </c>
      <c r="N42" s="3" t="s">
        <v>563</v>
      </c>
      <c r="O42" s="18">
        <v>102</v>
      </c>
    </row>
    <row r="43" spans="1:15" x14ac:dyDescent="0.25">
      <c r="A43" s="38" t="s">
        <v>37</v>
      </c>
      <c r="B43" s="38">
        <v>22</v>
      </c>
      <c r="C43" s="38">
        <v>2</v>
      </c>
      <c r="D43" s="38">
        <f t="shared" si="4"/>
        <v>4.9090909090909092</v>
      </c>
      <c r="E43" s="38">
        <f t="shared" si="5"/>
        <v>9.0909090909090912E-2</v>
      </c>
      <c r="F43" s="3" t="s">
        <v>45</v>
      </c>
      <c r="G43" s="18">
        <v>108</v>
      </c>
      <c r="I43" s="32" t="s">
        <v>61</v>
      </c>
      <c r="J43" s="32">
        <v>34</v>
      </c>
      <c r="K43" s="32">
        <v>7</v>
      </c>
      <c r="L43" s="32">
        <f t="shared" si="6"/>
        <v>4.6764705882352944</v>
      </c>
      <c r="M43" s="32">
        <f t="shared" si="7"/>
        <v>0.20588235294117646</v>
      </c>
      <c r="N43" s="3" t="s">
        <v>55</v>
      </c>
      <c r="O43" s="18">
        <v>159</v>
      </c>
    </row>
    <row r="44" spans="1:15" x14ac:dyDescent="0.25">
      <c r="A44" s="38" t="s">
        <v>4</v>
      </c>
      <c r="B44" s="38">
        <v>20</v>
      </c>
      <c r="C44" s="38">
        <v>3</v>
      </c>
      <c r="D44" s="38">
        <f t="shared" si="4"/>
        <v>4.95</v>
      </c>
      <c r="E44" s="38">
        <f t="shared" si="5"/>
        <v>0.15</v>
      </c>
      <c r="F44" s="3" t="s">
        <v>45</v>
      </c>
      <c r="G44" s="18">
        <v>99</v>
      </c>
      <c r="I44" s="32" t="s">
        <v>14</v>
      </c>
      <c r="J44" s="32">
        <v>45</v>
      </c>
      <c r="K44" s="32">
        <v>3</v>
      </c>
      <c r="L44" s="32">
        <f t="shared" si="6"/>
        <v>4.7111111111111112</v>
      </c>
      <c r="M44" s="32">
        <f t="shared" si="7"/>
        <v>6.6666666666666666E-2</v>
      </c>
      <c r="N44" s="3" t="s">
        <v>555</v>
      </c>
      <c r="O44">
        <v>212</v>
      </c>
    </row>
    <row r="45" spans="1:15" x14ac:dyDescent="0.25">
      <c r="A45" s="38" t="s">
        <v>81</v>
      </c>
      <c r="B45" s="38">
        <v>53</v>
      </c>
      <c r="C45" s="38">
        <v>2</v>
      </c>
      <c r="D45" s="38">
        <f t="shared" si="4"/>
        <v>5</v>
      </c>
      <c r="E45" s="38">
        <f t="shared" si="5"/>
        <v>3.7735849056603772E-2</v>
      </c>
      <c r="G45" s="18">
        <v>265</v>
      </c>
      <c r="I45" s="32" t="s">
        <v>13</v>
      </c>
      <c r="J45" s="32">
        <v>36</v>
      </c>
      <c r="K45" s="32">
        <v>2</v>
      </c>
      <c r="L45" s="32">
        <f t="shared" si="6"/>
        <v>4.7222222222222223</v>
      </c>
      <c r="M45" s="32">
        <f t="shared" si="7"/>
        <v>5.5555555555555552E-2</v>
      </c>
      <c r="N45" s="3" t="s">
        <v>494</v>
      </c>
      <c r="O45" s="18">
        <v>170</v>
      </c>
    </row>
    <row r="46" spans="1:15" x14ac:dyDescent="0.25">
      <c r="A46" s="38" t="s">
        <v>25</v>
      </c>
      <c r="B46" s="38">
        <v>105</v>
      </c>
      <c r="C46" s="38">
        <v>9</v>
      </c>
      <c r="D46" s="38">
        <f t="shared" si="4"/>
        <v>5.038095238095238</v>
      </c>
      <c r="E46" s="38">
        <f t="shared" si="5"/>
        <v>8.5714285714285715E-2</v>
      </c>
      <c r="F46" s="3" t="s">
        <v>54</v>
      </c>
      <c r="G46" s="18">
        <v>529</v>
      </c>
      <c r="I46" s="32" t="s">
        <v>12</v>
      </c>
      <c r="J46" s="32">
        <v>20</v>
      </c>
      <c r="K46" s="32">
        <v>0</v>
      </c>
      <c r="L46" s="32">
        <f t="shared" si="6"/>
        <v>4.75</v>
      </c>
      <c r="M46" s="32">
        <f t="shared" si="7"/>
        <v>0</v>
      </c>
      <c r="N46" s="3" t="s">
        <v>494</v>
      </c>
      <c r="O46" s="18">
        <v>95</v>
      </c>
    </row>
    <row r="47" spans="1:15" x14ac:dyDescent="0.25">
      <c r="A47" s="38" t="s">
        <v>105</v>
      </c>
      <c r="B47" s="38">
        <v>20</v>
      </c>
      <c r="C47" s="38">
        <v>0</v>
      </c>
      <c r="D47" s="38">
        <f t="shared" si="4"/>
        <v>5.05</v>
      </c>
      <c r="E47" s="38">
        <f t="shared" si="5"/>
        <v>0</v>
      </c>
      <c r="F47" s="3" t="s">
        <v>46</v>
      </c>
      <c r="G47">
        <v>101</v>
      </c>
      <c r="I47" s="32" t="s">
        <v>414</v>
      </c>
      <c r="J47" s="32">
        <v>21</v>
      </c>
      <c r="K47" s="32">
        <v>2</v>
      </c>
      <c r="L47" s="32">
        <f t="shared" si="6"/>
        <v>4.7619047619047619</v>
      </c>
      <c r="M47" s="32">
        <f t="shared" si="7"/>
        <v>9.5238095238095233E-2</v>
      </c>
      <c r="N47" s="3" t="s">
        <v>569</v>
      </c>
      <c r="O47" s="18">
        <v>100</v>
      </c>
    </row>
    <row r="48" spans="1:15" x14ac:dyDescent="0.25">
      <c r="A48" s="38" t="s">
        <v>99</v>
      </c>
      <c r="B48" s="38">
        <v>20</v>
      </c>
      <c r="C48" s="38">
        <v>2</v>
      </c>
      <c r="D48" s="38">
        <f t="shared" si="4"/>
        <v>5.05</v>
      </c>
      <c r="E48" s="38">
        <f t="shared" si="5"/>
        <v>0.1</v>
      </c>
      <c r="F48" s="3" t="s">
        <v>46</v>
      </c>
      <c r="G48" s="18">
        <v>101</v>
      </c>
      <c r="I48" s="38" t="s">
        <v>87</v>
      </c>
      <c r="J48" s="38">
        <v>102</v>
      </c>
      <c r="K48" s="38">
        <v>14</v>
      </c>
      <c r="L48" s="38">
        <f t="shared" si="6"/>
        <v>4.8529411764705879</v>
      </c>
      <c r="M48" s="38">
        <f t="shared" si="7"/>
        <v>0.13725490196078433</v>
      </c>
      <c r="N48" s="3" t="s">
        <v>555</v>
      </c>
      <c r="O48" s="18">
        <v>495</v>
      </c>
    </row>
    <row r="49" spans="1:15" x14ac:dyDescent="0.25">
      <c r="A49" s="38" t="s">
        <v>51</v>
      </c>
      <c r="B49" s="38">
        <v>35</v>
      </c>
      <c r="C49" s="38">
        <v>2</v>
      </c>
      <c r="D49" s="38">
        <f t="shared" si="4"/>
        <v>5.0857142857142854</v>
      </c>
      <c r="E49" s="38">
        <f t="shared" si="5"/>
        <v>5.7142857142857141E-2</v>
      </c>
      <c r="F49" s="3" t="s">
        <v>46</v>
      </c>
      <c r="G49" s="18">
        <v>178</v>
      </c>
      <c r="I49" s="38" t="s">
        <v>105</v>
      </c>
      <c r="J49" s="38">
        <v>22</v>
      </c>
      <c r="K49" s="38">
        <v>1</v>
      </c>
      <c r="L49" s="38">
        <f t="shared" si="6"/>
        <v>4.9090909090909092</v>
      </c>
      <c r="M49" s="38">
        <f t="shared" si="7"/>
        <v>4.5454545454545456E-2</v>
      </c>
      <c r="N49" s="3" t="s">
        <v>45</v>
      </c>
      <c r="O49" s="18">
        <v>108</v>
      </c>
    </row>
    <row r="50" spans="1:15" x14ac:dyDescent="0.25">
      <c r="A50" s="38" t="s">
        <v>82</v>
      </c>
      <c r="B50" s="38">
        <v>20</v>
      </c>
      <c r="C50" s="38">
        <v>0</v>
      </c>
      <c r="D50" s="38">
        <f t="shared" si="4"/>
        <v>5.15</v>
      </c>
      <c r="E50" s="38">
        <f t="shared" si="5"/>
        <v>0</v>
      </c>
      <c r="F50" s="3" t="s">
        <v>491</v>
      </c>
      <c r="G50" s="18">
        <v>103</v>
      </c>
      <c r="I50" s="38" t="s">
        <v>37</v>
      </c>
      <c r="J50" s="38">
        <v>22</v>
      </c>
      <c r="K50" s="38">
        <v>2</v>
      </c>
      <c r="L50" s="38">
        <f t="shared" si="6"/>
        <v>4.9090909090909092</v>
      </c>
      <c r="M50" s="38">
        <f t="shared" si="7"/>
        <v>9.0909090909090912E-2</v>
      </c>
      <c r="N50" s="3" t="s">
        <v>282</v>
      </c>
      <c r="O50" s="18">
        <v>108</v>
      </c>
    </row>
    <row r="51" spans="1:15" x14ac:dyDescent="0.25">
      <c r="A51" s="38" t="s">
        <v>20</v>
      </c>
      <c r="B51" s="38">
        <v>22</v>
      </c>
      <c r="C51" s="38">
        <v>2</v>
      </c>
      <c r="D51" s="38">
        <f t="shared" si="4"/>
        <v>5.1818181818181817</v>
      </c>
      <c r="E51" s="38">
        <f t="shared" si="5"/>
        <v>9.0909090909090912E-2</v>
      </c>
      <c r="F51" s="3" t="s">
        <v>46</v>
      </c>
      <c r="G51" s="18">
        <v>114</v>
      </c>
      <c r="I51" s="38" t="s">
        <v>51</v>
      </c>
      <c r="J51" s="38">
        <v>37</v>
      </c>
      <c r="K51" s="38">
        <v>3</v>
      </c>
      <c r="L51" s="38">
        <f t="shared" si="6"/>
        <v>4.9189189189189193</v>
      </c>
      <c r="M51" s="38">
        <f t="shared" si="7"/>
        <v>8.1081081081081086E-2</v>
      </c>
      <c r="N51" s="3" t="s">
        <v>45</v>
      </c>
      <c r="O51" s="18">
        <v>182</v>
      </c>
    </row>
    <row r="52" spans="1:15" x14ac:dyDescent="0.25">
      <c r="A52" s="38" t="s">
        <v>31</v>
      </c>
      <c r="B52" s="38">
        <v>145</v>
      </c>
      <c r="C52" s="38">
        <v>10</v>
      </c>
      <c r="D52" s="38">
        <f t="shared" si="4"/>
        <v>5.2068965517241379</v>
      </c>
      <c r="E52" s="38">
        <f t="shared" si="5"/>
        <v>6.8965517241379309E-2</v>
      </c>
      <c r="F52" s="3" t="s">
        <v>46</v>
      </c>
      <c r="G52" s="18">
        <v>755</v>
      </c>
      <c r="I52" s="38" t="s">
        <v>4</v>
      </c>
      <c r="J52" s="38">
        <v>20</v>
      </c>
      <c r="K52" s="38">
        <v>3</v>
      </c>
      <c r="L52" s="38">
        <f t="shared" si="6"/>
        <v>4.95</v>
      </c>
      <c r="M52" s="38">
        <f t="shared" si="7"/>
        <v>0.15</v>
      </c>
      <c r="N52" s="3" t="s">
        <v>296</v>
      </c>
      <c r="O52" s="18">
        <v>99</v>
      </c>
    </row>
    <row r="53" spans="1:15" x14ac:dyDescent="0.25">
      <c r="A53" s="38" t="s">
        <v>30</v>
      </c>
      <c r="B53" s="38">
        <v>37</v>
      </c>
      <c r="C53" s="38">
        <v>3</v>
      </c>
      <c r="D53" s="38">
        <f t="shared" si="4"/>
        <v>5.243243243243243</v>
      </c>
      <c r="E53" s="38">
        <f t="shared" si="5"/>
        <v>8.1081081081081086E-2</v>
      </c>
      <c r="F53" s="3" t="s">
        <v>495</v>
      </c>
      <c r="G53" s="18">
        <v>194</v>
      </c>
      <c r="I53" s="38" t="s">
        <v>25</v>
      </c>
      <c r="J53" s="38">
        <v>142</v>
      </c>
      <c r="K53" s="38">
        <v>12</v>
      </c>
      <c r="L53" s="38">
        <f t="shared" si="6"/>
        <v>5.0140845070422539</v>
      </c>
      <c r="M53" s="38">
        <f t="shared" si="7"/>
        <v>8.4507042253521125E-2</v>
      </c>
      <c r="N53" s="3" t="s">
        <v>282</v>
      </c>
      <c r="O53" s="18">
        <v>712</v>
      </c>
    </row>
    <row r="54" spans="1:15" x14ac:dyDescent="0.25">
      <c r="A54" s="38" t="s">
        <v>17</v>
      </c>
      <c r="B54" s="38">
        <v>20</v>
      </c>
      <c r="C54" s="38">
        <v>2</v>
      </c>
      <c r="D54" s="38">
        <f t="shared" si="4"/>
        <v>5.25</v>
      </c>
      <c r="E54" s="38">
        <f t="shared" si="5"/>
        <v>0.1</v>
      </c>
      <c r="F54" s="3" t="s">
        <v>492</v>
      </c>
      <c r="G54" s="18">
        <v>105</v>
      </c>
      <c r="I54" s="38" t="s">
        <v>19</v>
      </c>
      <c r="J54" s="38">
        <v>27</v>
      </c>
      <c r="K54" s="38">
        <v>3</v>
      </c>
      <c r="L54" s="38">
        <f t="shared" si="6"/>
        <v>5.0370370370370372</v>
      </c>
      <c r="M54" s="38">
        <f t="shared" si="7"/>
        <v>0.1111111111111111</v>
      </c>
      <c r="N54" s="2" t="s">
        <v>59</v>
      </c>
      <c r="O54" s="18">
        <v>136</v>
      </c>
    </row>
    <row r="55" spans="1:15" x14ac:dyDescent="0.25">
      <c r="A55" s="38" t="s">
        <v>404</v>
      </c>
      <c r="B55" s="38">
        <v>20</v>
      </c>
      <c r="C55" s="38">
        <v>2</v>
      </c>
      <c r="D55" s="38">
        <f t="shared" si="4"/>
        <v>5.25</v>
      </c>
      <c r="E55" s="38">
        <f t="shared" si="5"/>
        <v>0.1</v>
      </c>
      <c r="F55" s="3" t="s">
        <v>493</v>
      </c>
      <c r="G55" s="18">
        <v>105</v>
      </c>
      <c r="I55" s="38" t="s">
        <v>99</v>
      </c>
      <c r="J55" s="38">
        <v>20</v>
      </c>
      <c r="K55" s="38">
        <v>2</v>
      </c>
      <c r="L55" s="38">
        <f t="shared" si="6"/>
        <v>5.05</v>
      </c>
      <c r="M55" s="38">
        <f t="shared" si="7"/>
        <v>0.1</v>
      </c>
      <c r="N55" s="3" t="s">
        <v>282</v>
      </c>
      <c r="O55" s="18">
        <v>101</v>
      </c>
    </row>
    <row r="56" spans="1:15" x14ac:dyDescent="0.25">
      <c r="A56" s="67" t="s">
        <v>253</v>
      </c>
      <c r="B56" s="67">
        <v>29</v>
      </c>
      <c r="C56" s="67">
        <v>1</v>
      </c>
      <c r="D56" s="67">
        <f t="shared" si="4"/>
        <v>5.3103448275862073</v>
      </c>
      <c r="E56" s="67">
        <f t="shared" si="5"/>
        <v>3.4482758620689655E-2</v>
      </c>
      <c r="F56" s="3" t="s">
        <v>45</v>
      </c>
      <c r="G56" s="18">
        <v>154</v>
      </c>
      <c r="I56" s="38" t="s">
        <v>81</v>
      </c>
      <c r="J56" s="38">
        <v>63</v>
      </c>
      <c r="K56" s="38">
        <v>4</v>
      </c>
      <c r="L56" s="38">
        <f t="shared" si="6"/>
        <v>5.0634920634920633</v>
      </c>
      <c r="M56" s="38">
        <f t="shared" si="7"/>
        <v>6.3492063492063489E-2</v>
      </c>
      <c r="N56" s="3" t="s">
        <v>564</v>
      </c>
      <c r="O56" s="18">
        <v>319</v>
      </c>
    </row>
    <row r="57" spans="1:15" x14ac:dyDescent="0.25">
      <c r="A57" s="67" t="s">
        <v>19</v>
      </c>
      <c r="B57" s="67">
        <v>23</v>
      </c>
      <c r="C57" s="67">
        <v>1</v>
      </c>
      <c r="D57" s="67">
        <f t="shared" si="4"/>
        <v>5.3478260869565215</v>
      </c>
      <c r="E57" s="67">
        <f t="shared" si="5"/>
        <v>4.3478260869565216E-2</v>
      </c>
      <c r="F57" s="3" t="s">
        <v>494</v>
      </c>
      <c r="G57" s="18">
        <v>123</v>
      </c>
      <c r="I57" s="38" t="s">
        <v>26</v>
      </c>
      <c r="J57" s="38">
        <v>60</v>
      </c>
      <c r="K57" s="38">
        <v>5</v>
      </c>
      <c r="L57" s="38">
        <f t="shared" si="6"/>
        <v>5.083333333333333</v>
      </c>
      <c r="M57" s="38">
        <f t="shared" si="7"/>
        <v>8.3333333333333329E-2</v>
      </c>
      <c r="N57" s="2" t="s">
        <v>370</v>
      </c>
      <c r="O57" s="18">
        <v>305</v>
      </c>
    </row>
    <row r="58" spans="1:15" x14ac:dyDescent="0.25">
      <c r="A58" s="67" t="s">
        <v>6</v>
      </c>
      <c r="B58" s="67">
        <v>45</v>
      </c>
      <c r="C58" s="67">
        <v>3</v>
      </c>
      <c r="D58" s="67">
        <f t="shared" si="4"/>
        <v>5.3555555555555552</v>
      </c>
      <c r="E58" s="67">
        <f t="shared" si="5"/>
        <v>6.6666666666666666E-2</v>
      </c>
      <c r="F58" s="3" t="s">
        <v>494</v>
      </c>
      <c r="G58" s="18">
        <v>241</v>
      </c>
      <c r="I58" s="38" t="s">
        <v>30</v>
      </c>
      <c r="J58" s="38">
        <v>50</v>
      </c>
      <c r="K58" s="38">
        <v>3</v>
      </c>
      <c r="L58" s="38">
        <f t="shared" si="6"/>
        <v>5.0999999999999996</v>
      </c>
      <c r="M58" s="38">
        <f t="shared" si="7"/>
        <v>0.06</v>
      </c>
      <c r="N58" s="3" t="s">
        <v>494</v>
      </c>
      <c r="O58" s="18">
        <v>255</v>
      </c>
    </row>
    <row r="59" spans="1:15" x14ac:dyDescent="0.25">
      <c r="A59" s="67" t="s">
        <v>49</v>
      </c>
      <c r="B59" s="67">
        <v>84</v>
      </c>
      <c r="C59" s="67">
        <v>6</v>
      </c>
      <c r="D59" s="67">
        <f t="shared" si="4"/>
        <v>5.3571428571428568</v>
      </c>
      <c r="E59" s="67">
        <f t="shared" si="5"/>
        <v>7.1428571428571425E-2</v>
      </c>
      <c r="F59" s="3" t="s">
        <v>46</v>
      </c>
      <c r="G59" s="18">
        <v>450</v>
      </c>
      <c r="I59" s="38" t="s">
        <v>49</v>
      </c>
      <c r="J59" s="38">
        <v>106</v>
      </c>
      <c r="K59" s="38">
        <v>7</v>
      </c>
      <c r="L59" s="38">
        <f t="shared" si="6"/>
        <v>5.1415094339622645</v>
      </c>
      <c r="M59" s="38">
        <f t="shared" si="7"/>
        <v>6.6037735849056603E-2</v>
      </c>
      <c r="O59" s="18">
        <v>545</v>
      </c>
    </row>
    <row r="60" spans="1:15" x14ac:dyDescent="0.25">
      <c r="A60" s="67" t="s">
        <v>56</v>
      </c>
      <c r="B60" s="67">
        <v>21</v>
      </c>
      <c r="C60" s="67">
        <v>0</v>
      </c>
      <c r="D60" s="67">
        <f t="shared" si="4"/>
        <v>5.3809523809523814</v>
      </c>
      <c r="E60" s="67">
        <f t="shared" si="5"/>
        <v>0</v>
      </c>
      <c r="F60" s="3" t="s">
        <v>55</v>
      </c>
      <c r="G60" s="18">
        <v>113</v>
      </c>
      <c r="I60" s="38" t="s">
        <v>110</v>
      </c>
      <c r="J60" s="38">
        <v>20</v>
      </c>
      <c r="K60" s="38">
        <v>1</v>
      </c>
      <c r="L60" s="38">
        <f t="shared" si="6"/>
        <v>5.15</v>
      </c>
      <c r="M60" s="38">
        <f t="shared" si="7"/>
        <v>0.05</v>
      </c>
      <c r="N60" s="3" t="s">
        <v>565</v>
      </c>
      <c r="O60">
        <v>103</v>
      </c>
    </row>
    <row r="61" spans="1:15" x14ac:dyDescent="0.25">
      <c r="A61" s="67" t="s">
        <v>90</v>
      </c>
      <c r="B61" s="67">
        <v>27</v>
      </c>
      <c r="C61" s="67">
        <v>3</v>
      </c>
      <c r="D61" s="67">
        <f t="shared" si="4"/>
        <v>5.4074074074074074</v>
      </c>
      <c r="E61" s="67">
        <f t="shared" si="5"/>
        <v>0.1111111111111111</v>
      </c>
      <c r="F61" s="3" t="s">
        <v>55</v>
      </c>
      <c r="G61">
        <v>146</v>
      </c>
      <c r="I61" s="38" t="s">
        <v>82</v>
      </c>
      <c r="J61" s="38">
        <v>20</v>
      </c>
      <c r="K61" s="38">
        <v>0</v>
      </c>
      <c r="L61" s="38">
        <f t="shared" si="6"/>
        <v>5.15</v>
      </c>
      <c r="M61" s="38">
        <f t="shared" si="7"/>
        <v>0</v>
      </c>
      <c r="N61" s="3" t="s">
        <v>564</v>
      </c>
      <c r="O61" s="18">
        <v>103</v>
      </c>
    </row>
    <row r="62" spans="1:15" x14ac:dyDescent="0.25">
      <c r="A62" s="67" t="s">
        <v>26</v>
      </c>
      <c r="B62" s="67">
        <v>42</v>
      </c>
      <c r="C62" s="67">
        <v>3</v>
      </c>
      <c r="D62" s="67">
        <f t="shared" si="4"/>
        <v>5.4761904761904763</v>
      </c>
      <c r="E62" s="67">
        <f t="shared" si="5"/>
        <v>7.1428571428571425E-2</v>
      </c>
      <c r="F62" s="3" t="s">
        <v>282</v>
      </c>
      <c r="G62" s="18">
        <v>230</v>
      </c>
      <c r="I62" s="38" t="s">
        <v>20</v>
      </c>
      <c r="J62" s="38">
        <v>22</v>
      </c>
      <c r="K62" s="38">
        <v>2</v>
      </c>
      <c r="L62" s="38">
        <f t="shared" si="6"/>
        <v>5.1818181818181817</v>
      </c>
      <c r="M62" s="38">
        <f t="shared" si="7"/>
        <v>9.0909090909090912E-2</v>
      </c>
      <c r="N62" s="3" t="s">
        <v>564</v>
      </c>
      <c r="O62" s="18">
        <v>114</v>
      </c>
    </row>
    <row r="63" spans="1:15" x14ac:dyDescent="0.25">
      <c r="A63" s="67" t="s">
        <v>33</v>
      </c>
      <c r="B63" s="67">
        <v>64</v>
      </c>
      <c r="C63" s="67">
        <v>4</v>
      </c>
      <c r="D63" s="67">
        <f t="shared" si="4"/>
        <v>5.515625</v>
      </c>
      <c r="E63" s="67">
        <f t="shared" si="5"/>
        <v>6.25E-2</v>
      </c>
      <c r="F63" s="3" t="s">
        <v>55</v>
      </c>
      <c r="G63" s="18">
        <v>353</v>
      </c>
      <c r="I63" s="38" t="s">
        <v>17</v>
      </c>
      <c r="J63" s="38">
        <v>20</v>
      </c>
      <c r="K63" s="38">
        <v>2</v>
      </c>
      <c r="L63" s="38">
        <f t="shared" si="6"/>
        <v>5.25</v>
      </c>
      <c r="M63" s="38">
        <f t="shared" si="7"/>
        <v>0.1</v>
      </c>
      <c r="N63" s="3" t="s">
        <v>495</v>
      </c>
      <c r="O63" s="18">
        <v>105</v>
      </c>
    </row>
    <row r="64" spans="1:15" x14ac:dyDescent="0.25">
      <c r="A64" s="67" t="s">
        <v>28</v>
      </c>
      <c r="B64" s="67">
        <v>20</v>
      </c>
      <c r="C64" s="67">
        <v>0</v>
      </c>
      <c r="D64" s="67">
        <f t="shared" si="4"/>
        <v>5.65</v>
      </c>
      <c r="E64" s="67">
        <f t="shared" si="5"/>
        <v>0</v>
      </c>
      <c r="F64" s="3" t="s">
        <v>55</v>
      </c>
      <c r="G64" s="18">
        <v>113</v>
      </c>
      <c r="I64" s="38" t="s">
        <v>404</v>
      </c>
      <c r="J64" s="38">
        <v>20</v>
      </c>
      <c r="K64" s="38">
        <v>2</v>
      </c>
      <c r="L64" s="38">
        <f t="shared" si="6"/>
        <v>5.25</v>
      </c>
      <c r="M64" s="38">
        <f t="shared" si="7"/>
        <v>0.1</v>
      </c>
      <c r="N64" s="3" t="s">
        <v>495</v>
      </c>
      <c r="O64" s="18">
        <v>105</v>
      </c>
    </row>
    <row r="65" spans="1:15" x14ac:dyDescent="0.25">
      <c r="A65" s="67" t="s">
        <v>401</v>
      </c>
      <c r="B65" s="67">
        <v>53</v>
      </c>
      <c r="C65" s="67">
        <v>2</v>
      </c>
      <c r="D65" s="67">
        <f t="shared" si="4"/>
        <v>5.7358490566037732</v>
      </c>
      <c r="E65" s="67">
        <f t="shared" si="5"/>
        <v>3.7735849056603772E-2</v>
      </c>
      <c r="F65" s="3" t="s">
        <v>55</v>
      </c>
      <c r="G65" s="18">
        <v>304</v>
      </c>
      <c r="I65" s="38" t="s">
        <v>56</v>
      </c>
      <c r="J65" s="38">
        <v>23</v>
      </c>
      <c r="K65" s="38">
        <v>0</v>
      </c>
      <c r="L65" s="38">
        <f t="shared" si="6"/>
        <v>5.2608695652173916</v>
      </c>
      <c r="M65" s="38">
        <f t="shared" si="7"/>
        <v>0</v>
      </c>
      <c r="N65" s="3" t="s">
        <v>494</v>
      </c>
      <c r="O65" s="18">
        <v>121</v>
      </c>
    </row>
    <row r="66" spans="1:15" x14ac:dyDescent="0.25">
      <c r="I66" s="67" t="s">
        <v>31</v>
      </c>
      <c r="J66" s="67">
        <v>175</v>
      </c>
      <c r="K66" s="67">
        <v>12</v>
      </c>
      <c r="L66" s="67">
        <f t="shared" ref="L66:L74" si="8">O66/J66</f>
        <v>5.32</v>
      </c>
      <c r="M66" s="67">
        <f t="shared" ref="M66:M74" si="9">K66/J66</f>
        <v>6.8571428571428575E-2</v>
      </c>
      <c r="N66" s="3" t="s">
        <v>566</v>
      </c>
      <c r="O66" s="18">
        <v>931</v>
      </c>
    </row>
    <row r="67" spans="1:15" x14ac:dyDescent="0.25">
      <c r="I67" s="67" t="s">
        <v>6</v>
      </c>
      <c r="J67" s="67">
        <v>45</v>
      </c>
      <c r="K67" s="67">
        <v>3</v>
      </c>
      <c r="L67" s="67">
        <f t="shared" si="8"/>
        <v>5.3555555555555552</v>
      </c>
      <c r="M67" s="67">
        <f t="shared" si="9"/>
        <v>6.6666666666666666E-2</v>
      </c>
      <c r="N67" s="3" t="s">
        <v>495</v>
      </c>
      <c r="O67" s="18">
        <v>241</v>
      </c>
    </row>
    <row r="68" spans="1:15" x14ac:dyDescent="0.25">
      <c r="I68" s="67" t="s">
        <v>90</v>
      </c>
      <c r="J68" s="67">
        <v>27</v>
      </c>
      <c r="K68" s="67">
        <v>3</v>
      </c>
      <c r="L68" s="67">
        <f t="shared" si="8"/>
        <v>5.4074074074074074</v>
      </c>
      <c r="M68" s="67">
        <f t="shared" si="9"/>
        <v>0.1111111111111111</v>
      </c>
      <c r="N68" s="3" t="s">
        <v>282</v>
      </c>
      <c r="O68">
        <v>146</v>
      </c>
    </row>
    <row r="69" spans="1:15" x14ac:dyDescent="0.25">
      <c r="I69" s="67" t="s">
        <v>253</v>
      </c>
      <c r="J69" s="67">
        <v>32</v>
      </c>
      <c r="K69" s="67">
        <v>1</v>
      </c>
      <c r="L69" s="67">
        <f t="shared" si="8"/>
        <v>5.4375</v>
      </c>
      <c r="M69" s="67">
        <f t="shared" si="9"/>
        <v>3.125E-2</v>
      </c>
      <c r="N69" s="3" t="s">
        <v>567</v>
      </c>
      <c r="O69" s="18">
        <v>174</v>
      </c>
    </row>
    <row r="70" spans="1:15" x14ac:dyDescent="0.25">
      <c r="I70" s="67" t="s">
        <v>124</v>
      </c>
      <c r="J70" s="67">
        <v>22</v>
      </c>
      <c r="K70" s="67">
        <v>0</v>
      </c>
      <c r="L70" s="67">
        <f t="shared" si="8"/>
        <v>5.4545454545454541</v>
      </c>
      <c r="M70" s="67">
        <f t="shared" si="9"/>
        <v>0</v>
      </c>
      <c r="N70" s="3" t="s">
        <v>568</v>
      </c>
      <c r="O70" s="18">
        <v>120</v>
      </c>
    </row>
    <row r="71" spans="1:15" x14ac:dyDescent="0.25">
      <c r="I71" s="67" t="s">
        <v>33</v>
      </c>
      <c r="J71" s="67">
        <v>64</v>
      </c>
      <c r="K71" s="67">
        <v>4</v>
      </c>
      <c r="L71" s="67">
        <f t="shared" si="8"/>
        <v>5.515625</v>
      </c>
      <c r="M71" s="67">
        <f t="shared" si="9"/>
        <v>6.25E-2</v>
      </c>
      <c r="N71" s="3" t="s">
        <v>296</v>
      </c>
      <c r="O71" s="18">
        <v>353</v>
      </c>
    </row>
    <row r="72" spans="1:15" x14ac:dyDescent="0.25">
      <c r="I72" s="67" t="s">
        <v>401</v>
      </c>
      <c r="J72" s="67">
        <v>59</v>
      </c>
      <c r="K72" s="67">
        <v>3</v>
      </c>
      <c r="L72" s="67">
        <f t="shared" si="8"/>
        <v>5.6271186440677967</v>
      </c>
      <c r="M72" s="67">
        <f t="shared" si="9"/>
        <v>5.0847457627118647E-2</v>
      </c>
      <c r="N72" s="3" t="s">
        <v>282</v>
      </c>
      <c r="O72" s="18">
        <v>332</v>
      </c>
    </row>
    <row r="73" spans="1:15" x14ac:dyDescent="0.25">
      <c r="I73" s="67" t="s">
        <v>28</v>
      </c>
      <c r="J73" s="67">
        <v>20</v>
      </c>
      <c r="K73" s="67">
        <v>0</v>
      </c>
      <c r="L73" s="67">
        <f t="shared" si="8"/>
        <v>5.65</v>
      </c>
      <c r="M73" s="67">
        <f t="shared" si="9"/>
        <v>0</v>
      </c>
      <c r="N73" s="3" t="s">
        <v>495</v>
      </c>
      <c r="O73" s="18">
        <v>113</v>
      </c>
    </row>
    <row r="74" spans="1:15" x14ac:dyDescent="0.25">
      <c r="I74" s="67" t="s">
        <v>34</v>
      </c>
      <c r="J74" s="67">
        <v>21</v>
      </c>
      <c r="K74" s="67">
        <v>2</v>
      </c>
      <c r="L74" s="67">
        <f t="shared" si="8"/>
        <v>5.666666666666667</v>
      </c>
      <c r="M74" s="67">
        <f t="shared" si="9"/>
        <v>9.5238095238095233E-2</v>
      </c>
      <c r="N74" s="3" t="s">
        <v>570</v>
      </c>
      <c r="O74" s="18">
        <v>119</v>
      </c>
    </row>
    <row r="1048576" spans="6:6" x14ac:dyDescent="0.25">
      <c r="F1048576" s="3"/>
    </row>
  </sheetData>
  <sortState xmlns:xlrd2="http://schemas.microsoft.com/office/spreadsheetml/2017/richdata2" ref="I2:O74">
    <sortCondition ref="L2:L74"/>
  </sortState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74"/>
  <sheetViews>
    <sheetView topLeftCell="B1" workbookViewId="0">
      <selection activeCell="M17" sqref="M17"/>
    </sheetView>
  </sheetViews>
  <sheetFormatPr defaultRowHeight="15" x14ac:dyDescent="0.25"/>
  <cols>
    <col min="5" max="5" width="9" customWidth="1"/>
    <col min="9" max="9" width="17.7109375" bestFit="1" customWidth="1"/>
    <col min="10" max="10" width="7.140625" bestFit="1" customWidth="1"/>
    <col min="11" max="11" width="8.7109375" bestFit="1" customWidth="1"/>
    <col min="12" max="13" width="12" bestFit="1" customWidth="1"/>
    <col min="14" max="14" width="137.14062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175</v>
      </c>
      <c r="B2" s="60">
        <v>38</v>
      </c>
      <c r="C2" s="60">
        <v>9</v>
      </c>
      <c r="D2" s="60">
        <f t="shared" ref="D2:D4" si="0">G2/B2</f>
        <v>3.236842105263158</v>
      </c>
      <c r="E2" s="60">
        <f t="shared" ref="E2:E4" si="1">C2/B2</f>
        <v>0.23684210526315788</v>
      </c>
      <c r="F2" s="2" t="s">
        <v>44</v>
      </c>
      <c r="G2" s="18">
        <v>123</v>
      </c>
      <c r="I2" s="60" t="s">
        <v>175</v>
      </c>
      <c r="J2" s="60">
        <v>48</v>
      </c>
      <c r="K2" s="60">
        <v>13</v>
      </c>
      <c r="L2" s="60">
        <f t="shared" ref="L2:L33" si="2">O2/J2</f>
        <v>3.2083333333333335</v>
      </c>
      <c r="M2" s="60">
        <f t="shared" ref="M2:M33" si="3">K2/J2</f>
        <v>0.27083333333333331</v>
      </c>
      <c r="O2" s="18">
        <v>154</v>
      </c>
    </row>
    <row r="3" spans="1:15" x14ac:dyDescent="0.25">
      <c r="A3" s="60" t="s">
        <v>128</v>
      </c>
      <c r="B3" s="60">
        <v>101</v>
      </c>
      <c r="C3" s="60">
        <v>31</v>
      </c>
      <c r="D3" s="60">
        <f t="shared" si="0"/>
        <v>3.2574257425742572</v>
      </c>
      <c r="E3" s="60">
        <f t="shared" si="1"/>
        <v>0.30693069306930693</v>
      </c>
      <c r="F3" s="3" t="s">
        <v>46</v>
      </c>
      <c r="G3" s="18">
        <v>329</v>
      </c>
      <c r="I3" s="60" t="s">
        <v>128</v>
      </c>
      <c r="J3" s="60">
        <v>106</v>
      </c>
      <c r="K3" s="60">
        <v>32</v>
      </c>
      <c r="L3" s="60">
        <f t="shared" si="2"/>
        <v>3.2169811320754715</v>
      </c>
      <c r="M3" s="60">
        <f t="shared" si="3"/>
        <v>0.30188679245283018</v>
      </c>
      <c r="O3" s="18">
        <v>341</v>
      </c>
    </row>
    <row r="4" spans="1:15" x14ac:dyDescent="0.25">
      <c r="A4" s="59" t="s">
        <v>35</v>
      </c>
      <c r="B4" s="59">
        <v>148</v>
      </c>
      <c r="C4" s="59">
        <v>38</v>
      </c>
      <c r="D4" s="59">
        <f t="shared" si="0"/>
        <v>3.5405405405405403</v>
      </c>
      <c r="E4" s="59">
        <f t="shared" si="1"/>
        <v>0.25675675675675674</v>
      </c>
      <c r="G4" s="18">
        <v>524</v>
      </c>
      <c r="I4" s="59" t="s">
        <v>35</v>
      </c>
      <c r="J4" s="59">
        <v>163</v>
      </c>
      <c r="K4" s="59">
        <v>42</v>
      </c>
      <c r="L4" s="59">
        <f t="shared" si="2"/>
        <v>3.5582822085889569</v>
      </c>
      <c r="M4" s="59">
        <f t="shared" si="3"/>
        <v>0.25766871165644173</v>
      </c>
      <c r="O4" s="18">
        <v>580</v>
      </c>
    </row>
    <row r="5" spans="1:15" x14ac:dyDescent="0.25">
      <c r="A5" s="59" t="s">
        <v>147</v>
      </c>
      <c r="B5" s="59">
        <v>110</v>
      </c>
      <c r="C5" s="59">
        <v>21</v>
      </c>
      <c r="D5" s="59">
        <f t="shared" ref="D5:D40" si="4">G5/B5</f>
        <v>3.6909090909090909</v>
      </c>
      <c r="E5" s="59">
        <f t="shared" ref="E5:E40" si="5">C5/B5</f>
        <v>0.19090909090909092</v>
      </c>
      <c r="F5" s="3" t="s">
        <v>46</v>
      </c>
      <c r="G5" s="18">
        <v>406</v>
      </c>
      <c r="I5" s="59" t="s">
        <v>147</v>
      </c>
      <c r="J5" s="59">
        <v>123</v>
      </c>
      <c r="K5" s="59">
        <v>25</v>
      </c>
      <c r="L5" s="59">
        <f t="shared" si="2"/>
        <v>3.6991869918699187</v>
      </c>
      <c r="M5" s="59">
        <f t="shared" si="3"/>
        <v>0.2032520325203252</v>
      </c>
      <c r="O5" s="18">
        <v>455</v>
      </c>
    </row>
    <row r="6" spans="1:15" x14ac:dyDescent="0.25">
      <c r="A6" s="59" t="s">
        <v>148</v>
      </c>
      <c r="B6" s="59">
        <v>41</v>
      </c>
      <c r="C6" s="59">
        <v>8</v>
      </c>
      <c r="D6" s="59">
        <f t="shared" si="4"/>
        <v>3.7560975609756095</v>
      </c>
      <c r="E6" s="59">
        <f t="shared" si="5"/>
        <v>0.1951219512195122</v>
      </c>
      <c r="G6" s="18">
        <v>154</v>
      </c>
      <c r="I6" s="59" t="s">
        <v>148</v>
      </c>
      <c r="J6" s="59">
        <v>42</v>
      </c>
      <c r="K6" s="59">
        <v>8</v>
      </c>
      <c r="L6" s="59">
        <f t="shared" si="2"/>
        <v>3.7380952380952381</v>
      </c>
      <c r="M6" s="59">
        <f t="shared" si="3"/>
        <v>0.19047619047619047</v>
      </c>
      <c r="O6" s="18">
        <v>157</v>
      </c>
    </row>
    <row r="7" spans="1:15" x14ac:dyDescent="0.25">
      <c r="A7" s="59" t="s">
        <v>10</v>
      </c>
      <c r="B7" s="59">
        <v>66</v>
      </c>
      <c r="C7" s="59">
        <v>13</v>
      </c>
      <c r="D7" s="59">
        <f t="shared" si="4"/>
        <v>3.8787878787878789</v>
      </c>
      <c r="E7" s="59">
        <f t="shared" si="5"/>
        <v>0.19696969696969696</v>
      </c>
      <c r="G7" s="18">
        <v>256</v>
      </c>
      <c r="I7" s="59" t="s">
        <v>232</v>
      </c>
      <c r="J7" s="59">
        <v>112</v>
      </c>
      <c r="K7" s="59">
        <v>20</v>
      </c>
      <c r="L7" s="59">
        <f t="shared" si="2"/>
        <v>3.8928571428571428</v>
      </c>
      <c r="M7" s="59">
        <f t="shared" si="3"/>
        <v>0.17857142857142858</v>
      </c>
      <c r="N7" s="75" t="s">
        <v>59</v>
      </c>
      <c r="O7" s="18">
        <v>436</v>
      </c>
    </row>
    <row r="8" spans="1:15" x14ac:dyDescent="0.25">
      <c r="A8" s="59" t="s">
        <v>29</v>
      </c>
      <c r="B8" s="59">
        <v>110</v>
      </c>
      <c r="C8" s="59">
        <v>16</v>
      </c>
      <c r="D8" s="59">
        <f t="shared" si="4"/>
        <v>3.9090909090909092</v>
      </c>
      <c r="E8" s="59">
        <f t="shared" si="5"/>
        <v>0.14545454545454545</v>
      </c>
      <c r="F8" s="3" t="s">
        <v>45</v>
      </c>
      <c r="G8" s="18">
        <v>430</v>
      </c>
      <c r="I8" s="59" t="s">
        <v>121</v>
      </c>
      <c r="J8" s="59">
        <v>94</v>
      </c>
      <c r="K8" s="59">
        <v>21</v>
      </c>
      <c r="L8" s="59">
        <f t="shared" si="2"/>
        <v>3.8936170212765959</v>
      </c>
      <c r="M8" s="59">
        <f t="shared" si="3"/>
        <v>0.22340425531914893</v>
      </c>
      <c r="N8" s="75" t="s">
        <v>44</v>
      </c>
      <c r="O8" s="18">
        <v>366</v>
      </c>
    </row>
    <row r="9" spans="1:15" x14ac:dyDescent="0.25">
      <c r="A9" s="59" t="s">
        <v>121</v>
      </c>
      <c r="B9" s="59">
        <v>84</v>
      </c>
      <c r="C9" s="59">
        <v>19</v>
      </c>
      <c r="D9" s="59">
        <f t="shared" si="4"/>
        <v>3.9166666666666665</v>
      </c>
      <c r="E9" s="59">
        <f t="shared" si="5"/>
        <v>0.22619047619047619</v>
      </c>
      <c r="G9" s="18">
        <v>329</v>
      </c>
      <c r="I9" s="59" t="s">
        <v>10</v>
      </c>
      <c r="J9" s="59">
        <v>67</v>
      </c>
      <c r="K9" s="59">
        <v>13</v>
      </c>
      <c r="L9" s="59">
        <f t="shared" si="2"/>
        <v>3.8955223880597014</v>
      </c>
      <c r="M9" s="59">
        <f t="shared" si="3"/>
        <v>0.19402985074626866</v>
      </c>
      <c r="N9" s="3" t="s">
        <v>45</v>
      </c>
      <c r="O9" s="18">
        <v>261</v>
      </c>
    </row>
    <row r="10" spans="1:15" x14ac:dyDescent="0.25">
      <c r="A10" s="59" t="s">
        <v>232</v>
      </c>
      <c r="B10" s="59">
        <v>94</v>
      </c>
      <c r="C10" s="59">
        <v>18</v>
      </c>
      <c r="D10" s="59">
        <f t="shared" si="4"/>
        <v>3.9361702127659575</v>
      </c>
      <c r="E10" s="59">
        <f t="shared" si="5"/>
        <v>0.19148936170212766</v>
      </c>
      <c r="F10" s="3" t="s">
        <v>45</v>
      </c>
      <c r="G10" s="18">
        <v>370</v>
      </c>
      <c r="I10" s="59" t="s">
        <v>29</v>
      </c>
      <c r="J10" s="59">
        <v>115</v>
      </c>
      <c r="K10" s="59">
        <v>16</v>
      </c>
      <c r="L10" s="59">
        <f t="shared" si="2"/>
        <v>3.9043478260869566</v>
      </c>
      <c r="M10" s="59">
        <f t="shared" si="3"/>
        <v>0.1391304347826087</v>
      </c>
      <c r="N10" s="3" t="s">
        <v>45</v>
      </c>
      <c r="O10" s="18">
        <v>449</v>
      </c>
    </row>
    <row r="11" spans="1:15" x14ac:dyDescent="0.25">
      <c r="A11" s="41" t="s">
        <v>22</v>
      </c>
      <c r="B11" s="41">
        <v>182</v>
      </c>
      <c r="C11" s="41">
        <v>30</v>
      </c>
      <c r="D11" s="41">
        <f t="shared" si="4"/>
        <v>4.104395604395604</v>
      </c>
      <c r="E11" s="41">
        <f t="shared" si="5"/>
        <v>0.16483516483516483</v>
      </c>
      <c r="F11" s="2" t="s">
        <v>59</v>
      </c>
      <c r="G11" s="18">
        <v>747</v>
      </c>
      <c r="I11" s="41" t="s">
        <v>125</v>
      </c>
      <c r="J11" s="41">
        <v>31</v>
      </c>
      <c r="K11" s="41">
        <v>2</v>
      </c>
      <c r="L11" s="41">
        <f t="shared" si="2"/>
        <v>4</v>
      </c>
      <c r="M11" s="41">
        <f t="shared" si="3"/>
        <v>6.4516129032258063E-2</v>
      </c>
      <c r="N11" s="11" t="s">
        <v>578</v>
      </c>
      <c r="O11" s="18">
        <v>124</v>
      </c>
    </row>
    <row r="12" spans="1:15" x14ac:dyDescent="0.25">
      <c r="A12" s="41" t="s">
        <v>0</v>
      </c>
      <c r="B12" s="41">
        <v>84</v>
      </c>
      <c r="C12" s="41">
        <v>14</v>
      </c>
      <c r="D12" s="41">
        <f t="shared" si="4"/>
        <v>4.1547619047619051</v>
      </c>
      <c r="E12" s="41">
        <f t="shared" si="5"/>
        <v>0.16666666666666666</v>
      </c>
      <c r="F12" s="3" t="s">
        <v>46</v>
      </c>
      <c r="G12" s="18">
        <v>349</v>
      </c>
      <c r="I12" s="41" t="s">
        <v>22</v>
      </c>
      <c r="J12" s="41">
        <v>182</v>
      </c>
      <c r="K12" s="41">
        <v>30</v>
      </c>
      <c r="L12" s="41">
        <f t="shared" si="2"/>
        <v>4.104395604395604</v>
      </c>
      <c r="M12" s="41">
        <f t="shared" si="3"/>
        <v>0.16483516483516483</v>
      </c>
      <c r="N12" s="3" t="s">
        <v>46</v>
      </c>
      <c r="O12" s="18">
        <v>747</v>
      </c>
    </row>
    <row r="13" spans="1:15" x14ac:dyDescent="0.25">
      <c r="A13" s="41" t="s">
        <v>3</v>
      </c>
      <c r="B13" s="41">
        <v>43</v>
      </c>
      <c r="C13" s="41">
        <v>6</v>
      </c>
      <c r="D13" s="41">
        <f t="shared" si="4"/>
        <v>4.1627906976744189</v>
      </c>
      <c r="E13" s="41">
        <f t="shared" si="5"/>
        <v>0.13953488372093023</v>
      </c>
      <c r="F13" s="3" t="s">
        <v>555</v>
      </c>
      <c r="G13" s="18">
        <v>179</v>
      </c>
      <c r="I13" s="41" t="s">
        <v>122</v>
      </c>
      <c r="J13" s="41">
        <v>116</v>
      </c>
      <c r="K13" s="41">
        <v>14</v>
      </c>
      <c r="L13" s="41">
        <f t="shared" si="2"/>
        <v>4.1120689655172411</v>
      </c>
      <c r="M13" s="41">
        <f t="shared" si="3"/>
        <v>0.1206896551724138</v>
      </c>
      <c r="N13" s="75" t="s">
        <v>44</v>
      </c>
      <c r="O13" s="18">
        <v>477</v>
      </c>
    </row>
    <row r="14" spans="1:15" x14ac:dyDescent="0.25">
      <c r="A14" s="41" t="s">
        <v>122</v>
      </c>
      <c r="B14" s="41">
        <v>96</v>
      </c>
      <c r="C14" s="41">
        <v>9</v>
      </c>
      <c r="D14" s="41">
        <f t="shared" si="4"/>
        <v>4.270833333333333</v>
      </c>
      <c r="E14" s="41">
        <f t="shared" si="5"/>
        <v>9.375E-2</v>
      </c>
      <c r="F14" s="3" t="s">
        <v>54</v>
      </c>
      <c r="G14" s="18">
        <v>410</v>
      </c>
      <c r="I14" s="41" t="s">
        <v>3</v>
      </c>
      <c r="J14" s="41">
        <v>46</v>
      </c>
      <c r="K14" s="41">
        <v>7</v>
      </c>
      <c r="L14" s="41">
        <f t="shared" si="2"/>
        <v>4.1304347826086953</v>
      </c>
      <c r="M14" s="41">
        <f t="shared" si="3"/>
        <v>0.15217391304347827</v>
      </c>
      <c r="N14" s="3" t="s">
        <v>46</v>
      </c>
      <c r="O14" s="18">
        <v>190</v>
      </c>
    </row>
    <row r="15" spans="1:15" x14ac:dyDescent="0.25">
      <c r="A15" s="41" t="s">
        <v>104</v>
      </c>
      <c r="B15" s="41">
        <v>95</v>
      </c>
      <c r="C15" s="41">
        <v>6</v>
      </c>
      <c r="D15" s="41">
        <f t="shared" si="4"/>
        <v>4.2842105263157899</v>
      </c>
      <c r="E15" s="41">
        <f t="shared" si="5"/>
        <v>6.3157894736842107E-2</v>
      </c>
      <c r="F15" s="3" t="s">
        <v>45</v>
      </c>
      <c r="G15" s="18">
        <v>407</v>
      </c>
      <c r="I15" s="41" t="s">
        <v>0</v>
      </c>
      <c r="J15" s="41">
        <v>84</v>
      </c>
      <c r="K15" s="41">
        <v>14</v>
      </c>
      <c r="L15" s="41">
        <f t="shared" si="2"/>
        <v>4.1547619047619051</v>
      </c>
      <c r="M15" s="41">
        <f t="shared" si="3"/>
        <v>0.16666666666666666</v>
      </c>
      <c r="N15" s="3" t="s">
        <v>54</v>
      </c>
      <c r="O15" s="18">
        <v>349</v>
      </c>
    </row>
    <row r="16" spans="1:15" x14ac:dyDescent="0.25">
      <c r="A16" s="41" t="s">
        <v>21</v>
      </c>
      <c r="B16" s="41">
        <v>145</v>
      </c>
      <c r="C16" s="41">
        <v>22</v>
      </c>
      <c r="D16" s="41">
        <f t="shared" si="4"/>
        <v>4.3724137931034486</v>
      </c>
      <c r="E16" s="41">
        <f t="shared" si="5"/>
        <v>0.15172413793103448</v>
      </c>
      <c r="F16" s="3" t="s">
        <v>558</v>
      </c>
      <c r="G16" s="18">
        <v>634</v>
      </c>
      <c r="I16" s="41" t="s">
        <v>112</v>
      </c>
      <c r="J16" s="41">
        <v>30</v>
      </c>
      <c r="K16" s="41">
        <v>6</v>
      </c>
      <c r="L16" s="41">
        <f t="shared" si="2"/>
        <v>4.166666666666667</v>
      </c>
      <c r="M16" s="41">
        <f t="shared" si="3"/>
        <v>0.2</v>
      </c>
      <c r="N16" s="57" t="s">
        <v>583</v>
      </c>
      <c r="O16" s="18">
        <v>125</v>
      </c>
    </row>
    <row r="17" spans="1:15" x14ac:dyDescent="0.25">
      <c r="A17" s="41" t="s">
        <v>115</v>
      </c>
      <c r="B17" s="41">
        <v>39</v>
      </c>
      <c r="C17" s="41">
        <v>3</v>
      </c>
      <c r="D17" s="41">
        <f t="shared" si="4"/>
        <v>4.384615384615385</v>
      </c>
      <c r="E17" s="41">
        <f t="shared" si="5"/>
        <v>7.6923076923076927E-2</v>
      </c>
      <c r="F17" s="3" t="s">
        <v>54</v>
      </c>
      <c r="G17" s="18">
        <v>171</v>
      </c>
      <c r="I17" s="41" t="s">
        <v>104</v>
      </c>
      <c r="J17" s="41">
        <v>107</v>
      </c>
      <c r="K17" s="41">
        <v>8</v>
      </c>
      <c r="L17" s="41">
        <f t="shared" si="2"/>
        <v>4.2056074766355138</v>
      </c>
      <c r="M17" s="41">
        <f t="shared" si="3"/>
        <v>7.476635514018691E-2</v>
      </c>
      <c r="N17" s="3" t="s">
        <v>45</v>
      </c>
      <c r="O17" s="18">
        <v>450</v>
      </c>
    </row>
    <row r="18" spans="1:15" x14ac:dyDescent="0.25">
      <c r="A18" s="32" t="s">
        <v>27</v>
      </c>
      <c r="B18" s="32">
        <v>36</v>
      </c>
      <c r="C18" s="32">
        <v>3</v>
      </c>
      <c r="D18" s="32">
        <f t="shared" si="4"/>
        <v>4.4444444444444446</v>
      </c>
      <c r="E18" s="32">
        <f t="shared" si="5"/>
        <v>8.3333333333333329E-2</v>
      </c>
      <c r="F18" s="3" t="s">
        <v>45</v>
      </c>
      <c r="G18" s="18">
        <v>160</v>
      </c>
      <c r="I18" s="41" t="s">
        <v>21</v>
      </c>
      <c r="J18" s="41">
        <v>160</v>
      </c>
      <c r="K18" s="41">
        <v>24</v>
      </c>
      <c r="L18" s="41">
        <f t="shared" si="2"/>
        <v>4.2937500000000002</v>
      </c>
      <c r="M18" s="41">
        <f t="shared" si="3"/>
        <v>0.15</v>
      </c>
      <c r="N18" s="3" t="s">
        <v>45</v>
      </c>
      <c r="O18" s="18">
        <v>687</v>
      </c>
    </row>
    <row r="19" spans="1:15" x14ac:dyDescent="0.25">
      <c r="A19" s="32" t="s">
        <v>129</v>
      </c>
      <c r="B19" s="32">
        <v>40</v>
      </c>
      <c r="C19" s="32">
        <v>7</v>
      </c>
      <c r="D19" s="32">
        <f t="shared" si="4"/>
        <v>4.45</v>
      </c>
      <c r="E19" s="32">
        <f t="shared" si="5"/>
        <v>0.17499999999999999</v>
      </c>
      <c r="F19" s="3" t="s">
        <v>45</v>
      </c>
      <c r="G19">
        <v>178</v>
      </c>
      <c r="I19" s="41" t="s">
        <v>50</v>
      </c>
      <c r="J19" s="41">
        <v>30</v>
      </c>
      <c r="K19" s="41">
        <v>1</v>
      </c>
      <c r="L19" s="41">
        <f t="shared" si="2"/>
        <v>4.3</v>
      </c>
      <c r="M19" s="41">
        <f t="shared" si="3"/>
        <v>3.3333333333333333E-2</v>
      </c>
      <c r="N19" s="57" t="s">
        <v>575</v>
      </c>
      <c r="O19" s="18">
        <v>129</v>
      </c>
    </row>
    <row r="20" spans="1:15" x14ac:dyDescent="0.25">
      <c r="A20" s="32" t="s">
        <v>8</v>
      </c>
      <c r="B20" s="32">
        <v>46</v>
      </c>
      <c r="C20" s="32">
        <v>5</v>
      </c>
      <c r="D20" s="32">
        <f t="shared" si="4"/>
        <v>4.4782608695652177</v>
      </c>
      <c r="E20" s="32">
        <f t="shared" si="5"/>
        <v>0.10869565217391304</v>
      </c>
      <c r="F20" s="3" t="s">
        <v>45</v>
      </c>
      <c r="G20" s="18">
        <v>206</v>
      </c>
      <c r="I20" s="41" t="s">
        <v>115</v>
      </c>
      <c r="J20" s="41">
        <v>39</v>
      </c>
      <c r="K20" s="41">
        <v>3</v>
      </c>
      <c r="L20" s="41">
        <f t="shared" si="2"/>
        <v>4.384615384615385</v>
      </c>
      <c r="M20" s="41">
        <f t="shared" si="3"/>
        <v>7.6923076923076927E-2</v>
      </c>
      <c r="N20" s="3" t="s">
        <v>54</v>
      </c>
      <c r="O20" s="18">
        <v>171</v>
      </c>
    </row>
    <row r="21" spans="1:15" x14ac:dyDescent="0.25">
      <c r="A21" s="32" t="s">
        <v>15</v>
      </c>
      <c r="B21" s="32">
        <v>226</v>
      </c>
      <c r="C21" s="32">
        <v>35</v>
      </c>
      <c r="D21" s="32">
        <f t="shared" si="4"/>
        <v>4.5309734513274336</v>
      </c>
      <c r="E21" s="32">
        <f t="shared" si="5"/>
        <v>0.15486725663716813</v>
      </c>
      <c r="F21" s="3" t="s">
        <v>54</v>
      </c>
      <c r="G21" s="18">
        <v>1024</v>
      </c>
      <c r="I21" s="32" t="s">
        <v>27</v>
      </c>
      <c r="J21" s="32">
        <v>36</v>
      </c>
      <c r="K21" s="32">
        <v>3</v>
      </c>
      <c r="L21" s="32">
        <f t="shared" si="2"/>
        <v>4.4444444444444446</v>
      </c>
      <c r="M21" s="32">
        <f t="shared" si="3"/>
        <v>8.3333333333333329E-2</v>
      </c>
      <c r="N21" s="3" t="s">
        <v>54</v>
      </c>
      <c r="O21" s="18">
        <v>160</v>
      </c>
    </row>
    <row r="22" spans="1:15" x14ac:dyDescent="0.25">
      <c r="A22" s="32" t="s">
        <v>24</v>
      </c>
      <c r="B22" s="32">
        <v>98</v>
      </c>
      <c r="C22" s="32">
        <v>11</v>
      </c>
      <c r="D22" s="32">
        <f t="shared" si="4"/>
        <v>4.5510204081632653</v>
      </c>
      <c r="E22" s="32">
        <f t="shared" si="5"/>
        <v>0.11224489795918367</v>
      </c>
      <c r="F22" s="3" t="s">
        <v>54</v>
      </c>
      <c r="G22" s="18">
        <v>446</v>
      </c>
      <c r="I22" s="32" t="s">
        <v>123</v>
      </c>
      <c r="J22" s="32">
        <v>35</v>
      </c>
      <c r="K22" s="32">
        <v>6</v>
      </c>
      <c r="L22" s="32">
        <f t="shared" si="2"/>
        <v>4.4571428571428573</v>
      </c>
      <c r="M22" s="32">
        <f t="shared" si="3"/>
        <v>0.17142857142857143</v>
      </c>
      <c r="N22" s="75" t="s">
        <v>47</v>
      </c>
      <c r="O22" s="18">
        <v>156</v>
      </c>
    </row>
    <row r="23" spans="1:15" x14ac:dyDescent="0.25">
      <c r="A23" s="32" t="s">
        <v>1</v>
      </c>
      <c r="B23" s="32">
        <v>97</v>
      </c>
      <c r="C23" s="32">
        <v>5</v>
      </c>
      <c r="D23" s="32">
        <f t="shared" si="4"/>
        <v>4.5773195876288657</v>
      </c>
      <c r="E23" s="32">
        <f t="shared" si="5"/>
        <v>5.1546391752577317E-2</v>
      </c>
      <c r="F23" s="3" t="s">
        <v>54</v>
      </c>
      <c r="G23" s="18">
        <v>444</v>
      </c>
      <c r="I23" s="32" t="s">
        <v>8</v>
      </c>
      <c r="J23" s="32">
        <v>46</v>
      </c>
      <c r="K23" s="32">
        <v>5</v>
      </c>
      <c r="L23" s="32">
        <f t="shared" si="2"/>
        <v>4.4782608695652177</v>
      </c>
      <c r="M23" s="32">
        <f t="shared" si="3"/>
        <v>0.10869565217391304</v>
      </c>
      <c r="N23" s="3" t="s">
        <v>54</v>
      </c>
      <c r="O23" s="18">
        <v>206</v>
      </c>
    </row>
    <row r="24" spans="1:15" x14ac:dyDescent="0.25">
      <c r="A24" s="32" t="s">
        <v>123</v>
      </c>
      <c r="B24" s="32">
        <v>32</v>
      </c>
      <c r="C24" s="32">
        <v>4</v>
      </c>
      <c r="D24" s="32">
        <f t="shared" si="4"/>
        <v>4.59375</v>
      </c>
      <c r="E24" s="32">
        <f t="shared" si="5"/>
        <v>0.125</v>
      </c>
      <c r="F24" s="3" t="s">
        <v>45</v>
      </c>
      <c r="G24" s="18">
        <v>147</v>
      </c>
      <c r="I24" s="32" t="s">
        <v>24</v>
      </c>
      <c r="J24" s="32">
        <v>101</v>
      </c>
      <c r="K24" s="32">
        <v>12</v>
      </c>
      <c r="L24" s="32">
        <f t="shared" si="2"/>
        <v>4.5247524752475243</v>
      </c>
      <c r="M24" s="32">
        <f t="shared" si="3"/>
        <v>0.11881188118811881</v>
      </c>
      <c r="N24" s="3" t="s">
        <v>45</v>
      </c>
      <c r="O24" s="18">
        <v>457</v>
      </c>
    </row>
    <row r="25" spans="1:15" x14ac:dyDescent="0.25">
      <c r="A25" s="32" t="s">
        <v>79</v>
      </c>
      <c r="B25" s="32">
        <v>54</v>
      </c>
      <c r="C25" s="32">
        <v>6</v>
      </c>
      <c r="D25" s="32">
        <f t="shared" si="4"/>
        <v>4.6296296296296298</v>
      </c>
      <c r="E25" s="32">
        <f t="shared" si="5"/>
        <v>0.1111111111111111</v>
      </c>
      <c r="F25" s="3" t="s">
        <v>555</v>
      </c>
      <c r="G25" s="18">
        <v>250</v>
      </c>
      <c r="I25" s="32" t="s">
        <v>36</v>
      </c>
      <c r="J25" s="32">
        <v>30</v>
      </c>
      <c r="K25" s="32">
        <v>0</v>
      </c>
      <c r="L25" s="32">
        <f t="shared" si="2"/>
        <v>4.5333333333333332</v>
      </c>
      <c r="M25" s="32">
        <f t="shared" si="3"/>
        <v>0</v>
      </c>
      <c r="N25" s="57" t="s">
        <v>582</v>
      </c>
      <c r="O25" s="18">
        <v>136</v>
      </c>
    </row>
    <row r="26" spans="1:15" x14ac:dyDescent="0.25">
      <c r="A26" s="32" t="s">
        <v>61</v>
      </c>
      <c r="B26" s="32">
        <v>34</v>
      </c>
      <c r="C26" s="32">
        <v>7</v>
      </c>
      <c r="D26" s="32">
        <f t="shared" si="4"/>
        <v>4.6764705882352944</v>
      </c>
      <c r="E26" s="32">
        <f t="shared" si="5"/>
        <v>0.20588235294117646</v>
      </c>
      <c r="F26" s="3" t="s">
        <v>55</v>
      </c>
      <c r="G26" s="18">
        <v>159</v>
      </c>
      <c r="I26" s="32" t="s">
        <v>129</v>
      </c>
      <c r="J26" s="32">
        <v>42</v>
      </c>
      <c r="K26" s="32">
        <v>7</v>
      </c>
      <c r="L26" s="32">
        <f t="shared" si="2"/>
        <v>4.5714285714285712</v>
      </c>
      <c r="M26" s="32">
        <f t="shared" si="3"/>
        <v>0.16666666666666666</v>
      </c>
      <c r="N26" s="3" t="s">
        <v>69</v>
      </c>
      <c r="O26" s="18">
        <v>192</v>
      </c>
    </row>
    <row r="27" spans="1:15" x14ac:dyDescent="0.25">
      <c r="A27" s="32" t="s">
        <v>14</v>
      </c>
      <c r="B27" s="32">
        <v>45</v>
      </c>
      <c r="C27" s="32">
        <v>3</v>
      </c>
      <c r="D27" s="32">
        <f t="shared" si="4"/>
        <v>4.7111111111111112</v>
      </c>
      <c r="E27" s="32">
        <f t="shared" si="5"/>
        <v>6.6666666666666666E-2</v>
      </c>
      <c r="F27" s="3" t="s">
        <v>555</v>
      </c>
      <c r="G27">
        <v>212</v>
      </c>
      <c r="I27" s="32" t="s">
        <v>15</v>
      </c>
      <c r="J27" s="32">
        <v>242</v>
      </c>
      <c r="K27" s="32">
        <v>36</v>
      </c>
      <c r="L27" s="32">
        <f t="shared" si="2"/>
        <v>4.5909090909090908</v>
      </c>
      <c r="M27" s="32">
        <f t="shared" si="3"/>
        <v>0.1487603305785124</v>
      </c>
      <c r="N27" s="3" t="s">
        <v>195</v>
      </c>
      <c r="O27" s="18">
        <v>1111</v>
      </c>
    </row>
    <row r="28" spans="1:15" x14ac:dyDescent="0.25">
      <c r="A28" s="32" t="s">
        <v>13</v>
      </c>
      <c r="B28" s="32">
        <v>36</v>
      </c>
      <c r="C28" s="32">
        <v>2</v>
      </c>
      <c r="D28" s="32">
        <f t="shared" si="4"/>
        <v>4.7222222222222223</v>
      </c>
      <c r="E28" s="32">
        <f t="shared" si="5"/>
        <v>5.5555555555555552E-2</v>
      </c>
      <c r="F28" s="3" t="s">
        <v>494</v>
      </c>
      <c r="G28" s="18">
        <v>170</v>
      </c>
      <c r="I28" s="32" t="s">
        <v>1</v>
      </c>
      <c r="J28" s="32">
        <v>103</v>
      </c>
      <c r="K28" s="32">
        <v>6</v>
      </c>
      <c r="L28" s="32">
        <f t="shared" si="2"/>
        <v>4.6116504854368934</v>
      </c>
      <c r="M28" s="32">
        <f t="shared" si="3"/>
        <v>5.8252427184466021E-2</v>
      </c>
      <c r="N28" s="3" t="s">
        <v>494</v>
      </c>
      <c r="O28" s="18">
        <v>475</v>
      </c>
    </row>
    <row r="29" spans="1:15" x14ac:dyDescent="0.25">
      <c r="A29" s="38" t="s">
        <v>87</v>
      </c>
      <c r="B29" s="38">
        <v>102</v>
      </c>
      <c r="C29" s="38">
        <v>14</v>
      </c>
      <c r="D29" s="38">
        <f t="shared" si="4"/>
        <v>4.8529411764705879</v>
      </c>
      <c r="E29" s="38">
        <f t="shared" si="5"/>
        <v>0.13725490196078433</v>
      </c>
      <c r="F29" s="3" t="s">
        <v>555</v>
      </c>
      <c r="G29" s="18">
        <v>495</v>
      </c>
      <c r="I29" s="32" t="s">
        <v>79</v>
      </c>
      <c r="J29" s="32">
        <v>54</v>
      </c>
      <c r="K29" s="32">
        <v>6</v>
      </c>
      <c r="L29" s="32">
        <f t="shared" si="2"/>
        <v>4.6296296296296298</v>
      </c>
      <c r="M29" s="32">
        <f t="shared" si="3"/>
        <v>0.1111111111111111</v>
      </c>
      <c r="N29" s="3" t="s">
        <v>55</v>
      </c>
      <c r="O29" s="18">
        <v>250</v>
      </c>
    </row>
    <row r="30" spans="1:15" x14ac:dyDescent="0.25">
      <c r="A30" s="38" t="s">
        <v>51</v>
      </c>
      <c r="B30" s="38">
        <v>37</v>
      </c>
      <c r="C30" s="38">
        <v>3</v>
      </c>
      <c r="D30" s="38">
        <f t="shared" si="4"/>
        <v>4.9189189189189193</v>
      </c>
      <c r="E30" s="38">
        <f t="shared" si="5"/>
        <v>8.1081081081081086E-2</v>
      </c>
      <c r="F30" s="3" t="s">
        <v>45</v>
      </c>
      <c r="G30" s="18">
        <v>182</v>
      </c>
      <c r="I30" s="32" t="s">
        <v>105</v>
      </c>
      <c r="J30" s="32">
        <v>30</v>
      </c>
      <c r="K30" s="32">
        <v>4</v>
      </c>
      <c r="L30" s="32">
        <f t="shared" si="2"/>
        <v>4.6333333333333337</v>
      </c>
      <c r="M30" s="32">
        <f t="shared" si="3"/>
        <v>0.13333333333333333</v>
      </c>
      <c r="N30" s="57" t="s">
        <v>584</v>
      </c>
      <c r="O30" s="18">
        <v>139</v>
      </c>
    </row>
    <row r="31" spans="1:15" x14ac:dyDescent="0.25">
      <c r="A31" s="38" t="s">
        <v>25</v>
      </c>
      <c r="B31" s="38">
        <v>142</v>
      </c>
      <c r="C31" s="38">
        <v>12</v>
      </c>
      <c r="D31" s="38">
        <f t="shared" si="4"/>
        <v>5.0140845070422539</v>
      </c>
      <c r="E31" s="38">
        <f t="shared" si="5"/>
        <v>8.4507042253521125E-2</v>
      </c>
      <c r="F31" s="3" t="s">
        <v>282</v>
      </c>
      <c r="G31" s="18">
        <v>712</v>
      </c>
      <c r="I31" s="38" t="s">
        <v>14</v>
      </c>
      <c r="J31" s="38">
        <v>45</v>
      </c>
      <c r="K31" s="38">
        <v>3</v>
      </c>
      <c r="L31" s="38">
        <f t="shared" si="2"/>
        <v>4.7111111111111112</v>
      </c>
      <c r="M31" s="38">
        <f t="shared" si="3"/>
        <v>6.6666666666666666E-2</v>
      </c>
      <c r="N31" s="3" t="s">
        <v>55</v>
      </c>
      <c r="O31">
        <v>212</v>
      </c>
    </row>
    <row r="32" spans="1:15" x14ac:dyDescent="0.25">
      <c r="A32" s="38" t="s">
        <v>81</v>
      </c>
      <c r="B32" s="38">
        <v>63</v>
      </c>
      <c r="C32" s="38">
        <v>4</v>
      </c>
      <c r="D32" s="38">
        <f t="shared" si="4"/>
        <v>5.0634920634920633</v>
      </c>
      <c r="E32" s="38">
        <f t="shared" si="5"/>
        <v>6.3492063492063489E-2</v>
      </c>
      <c r="F32" s="3" t="s">
        <v>564</v>
      </c>
      <c r="G32" s="18">
        <v>319</v>
      </c>
      <c r="I32" s="38" t="s">
        <v>13</v>
      </c>
      <c r="J32" s="38">
        <v>36</v>
      </c>
      <c r="K32" s="38">
        <v>2</v>
      </c>
      <c r="L32" s="38">
        <f t="shared" si="2"/>
        <v>4.7222222222222223</v>
      </c>
      <c r="M32" s="38">
        <f t="shared" si="3"/>
        <v>5.5555555555555552E-2</v>
      </c>
      <c r="N32" s="3" t="s">
        <v>55</v>
      </c>
      <c r="O32" s="18">
        <v>170</v>
      </c>
    </row>
    <row r="33" spans="1:15" x14ac:dyDescent="0.25">
      <c r="A33" s="38" t="s">
        <v>26</v>
      </c>
      <c r="B33" s="38">
        <v>60</v>
      </c>
      <c r="C33" s="38">
        <v>5</v>
      </c>
      <c r="D33" s="38">
        <f t="shared" si="4"/>
        <v>5.083333333333333</v>
      </c>
      <c r="E33" s="38">
        <f t="shared" si="5"/>
        <v>8.3333333333333329E-2</v>
      </c>
      <c r="F33" s="2" t="s">
        <v>370</v>
      </c>
      <c r="G33" s="18">
        <v>305</v>
      </c>
      <c r="I33" s="38" t="s">
        <v>4</v>
      </c>
      <c r="J33" s="38">
        <v>30</v>
      </c>
      <c r="K33" s="38">
        <v>4</v>
      </c>
      <c r="L33" s="38">
        <f t="shared" si="2"/>
        <v>4.8</v>
      </c>
      <c r="M33" s="38">
        <f t="shared" si="3"/>
        <v>0.13333333333333333</v>
      </c>
      <c r="N33" s="57" t="s">
        <v>581</v>
      </c>
      <c r="O33" s="18">
        <v>144</v>
      </c>
    </row>
    <row r="34" spans="1:15" x14ac:dyDescent="0.25">
      <c r="A34" s="38" t="s">
        <v>30</v>
      </c>
      <c r="B34" s="38">
        <v>50</v>
      </c>
      <c r="C34" s="38">
        <v>3</v>
      </c>
      <c r="D34" s="38">
        <f t="shared" si="4"/>
        <v>5.0999999999999996</v>
      </c>
      <c r="E34" s="38">
        <f t="shared" si="5"/>
        <v>0.06</v>
      </c>
      <c r="F34" s="3" t="s">
        <v>494</v>
      </c>
      <c r="G34" s="18">
        <v>255</v>
      </c>
      <c r="I34" s="38" t="s">
        <v>87</v>
      </c>
      <c r="J34" s="38">
        <v>128</v>
      </c>
      <c r="K34" s="38">
        <v>16</v>
      </c>
      <c r="L34" s="38">
        <f t="shared" ref="L34:L50" si="6">O34/J34</f>
        <v>4.8125</v>
      </c>
      <c r="M34" s="38">
        <f t="shared" ref="M34:M50" si="7">K34/J34</f>
        <v>0.125</v>
      </c>
      <c r="N34" s="3" t="s">
        <v>494</v>
      </c>
      <c r="O34" s="18">
        <v>616</v>
      </c>
    </row>
    <row r="35" spans="1:15" x14ac:dyDescent="0.25">
      <c r="A35" s="38" t="s">
        <v>49</v>
      </c>
      <c r="B35" s="38">
        <v>106</v>
      </c>
      <c r="C35" s="38">
        <v>7</v>
      </c>
      <c r="D35" s="38">
        <f t="shared" si="4"/>
        <v>5.1415094339622645</v>
      </c>
      <c r="E35" s="38">
        <f t="shared" si="5"/>
        <v>6.6037735849056603E-2</v>
      </c>
      <c r="G35" s="18">
        <v>545</v>
      </c>
      <c r="I35" s="38" t="s">
        <v>61</v>
      </c>
      <c r="J35" s="38">
        <v>46</v>
      </c>
      <c r="K35" s="38">
        <v>8</v>
      </c>
      <c r="L35" s="38">
        <f t="shared" si="6"/>
        <v>4.8260869565217392</v>
      </c>
      <c r="M35" s="38">
        <f t="shared" si="7"/>
        <v>0.17391304347826086</v>
      </c>
      <c r="N35" s="3" t="s">
        <v>495</v>
      </c>
      <c r="O35" s="18">
        <v>222</v>
      </c>
    </row>
    <row r="36" spans="1:15" x14ac:dyDescent="0.25">
      <c r="A36" s="67" t="s">
        <v>31</v>
      </c>
      <c r="B36" s="67">
        <v>175</v>
      </c>
      <c r="C36" s="67">
        <v>12</v>
      </c>
      <c r="D36" s="67">
        <f t="shared" si="4"/>
        <v>5.32</v>
      </c>
      <c r="E36" s="67">
        <f t="shared" si="5"/>
        <v>6.8571428571428575E-2</v>
      </c>
      <c r="F36" s="3" t="s">
        <v>566</v>
      </c>
      <c r="G36" s="18">
        <v>931</v>
      </c>
      <c r="I36" s="38" t="s">
        <v>51</v>
      </c>
      <c r="J36" s="38">
        <v>42</v>
      </c>
      <c r="K36" s="38">
        <v>3</v>
      </c>
      <c r="L36" s="38">
        <f t="shared" si="6"/>
        <v>4.833333333333333</v>
      </c>
      <c r="M36" s="38">
        <f t="shared" si="7"/>
        <v>7.1428571428571425E-2</v>
      </c>
      <c r="N36" s="3" t="s">
        <v>195</v>
      </c>
      <c r="O36" s="18">
        <v>203</v>
      </c>
    </row>
    <row r="37" spans="1:15" x14ac:dyDescent="0.25">
      <c r="A37" s="67" t="s">
        <v>6</v>
      </c>
      <c r="B37" s="67">
        <v>45</v>
      </c>
      <c r="C37" s="67">
        <v>3</v>
      </c>
      <c r="D37" s="67">
        <f t="shared" si="4"/>
        <v>5.3555555555555552</v>
      </c>
      <c r="E37" s="67">
        <f t="shared" si="5"/>
        <v>6.6666666666666666E-2</v>
      </c>
      <c r="F37" s="3" t="s">
        <v>495</v>
      </c>
      <c r="G37" s="18">
        <v>241</v>
      </c>
      <c r="I37" s="38" t="s">
        <v>25</v>
      </c>
      <c r="J37" s="38">
        <v>172</v>
      </c>
      <c r="K37" s="38">
        <v>17</v>
      </c>
      <c r="L37" s="38">
        <f t="shared" si="6"/>
        <v>5.0348837209302326</v>
      </c>
      <c r="M37" s="38">
        <f t="shared" si="7"/>
        <v>9.8837209302325577E-2</v>
      </c>
      <c r="N37" s="3" t="s">
        <v>195</v>
      </c>
      <c r="O37" s="18">
        <v>866</v>
      </c>
    </row>
    <row r="38" spans="1:15" x14ac:dyDescent="0.25">
      <c r="A38" s="67" t="s">
        <v>253</v>
      </c>
      <c r="B38" s="67">
        <v>32</v>
      </c>
      <c r="C38" s="67">
        <v>1</v>
      </c>
      <c r="D38" s="67">
        <f t="shared" si="4"/>
        <v>5.4375</v>
      </c>
      <c r="E38" s="67">
        <f t="shared" si="5"/>
        <v>3.125E-2</v>
      </c>
      <c r="F38" s="3" t="s">
        <v>567</v>
      </c>
      <c r="G38" s="18">
        <v>174</v>
      </c>
      <c r="I38" s="38" t="s">
        <v>30</v>
      </c>
      <c r="J38" s="38">
        <v>55</v>
      </c>
      <c r="K38" s="38">
        <v>4</v>
      </c>
      <c r="L38" s="38">
        <f t="shared" si="6"/>
        <v>5.0363636363636362</v>
      </c>
      <c r="M38" s="38">
        <f t="shared" si="7"/>
        <v>7.2727272727272724E-2</v>
      </c>
      <c r="N38" s="3" t="s">
        <v>55</v>
      </c>
      <c r="O38" s="18">
        <v>277</v>
      </c>
    </row>
    <row r="39" spans="1:15" x14ac:dyDescent="0.25">
      <c r="A39" s="67" t="s">
        <v>33</v>
      </c>
      <c r="B39" s="67">
        <v>64</v>
      </c>
      <c r="C39" s="67">
        <v>4</v>
      </c>
      <c r="D39" s="67">
        <f t="shared" si="4"/>
        <v>5.515625</v>
      </c>
      <c r="E39" s="67">
        <f t="shared" si="5"/>
        <v>6.25E-2</v>
      </c>
      <c r="F39" s="3" t="s">
        <v>296</v>
      </c>
      <c r="G39" s="18">
        <v>353</v>
      </c>
      <c r="I39" s="38" t="s">
        <v>49</v>
      </c>
      <c r="J39" s="38">
        <v>122</v>
      </c>
      <c r="K39" s="38">
        <v>7</v>
      </c>
      <c r="L39" s="38">
        <f t="shared" si="6"/>
        <v>5.1475409836065573</v>
      </c>
      <c r="M39" s="38">
        <f t="shared" si="7"/>
        <v>5.737704918032787E-2</v>
      </c>
      <c r="N39" s="3" t="s">
        <v>55</v>
      </c>
      <c r="O39" s="18">
        <v>628</v>
      </c>
    </row>
    <row r="40" spans="1:15" x14ac:dyDescent="0.25">
      <c r="A40" s="67" t="s">
        <v>401</v>
      </c>
      <c r="B40" s="67">
        <v>59</v>
      </c>
      <c r="C40" s="67">
        <v>3</v>
      </c>
      <c r="D40" s="67">
        <f t="shared" si="4"/>
        <v>5.6271186440677967</v>
      </c>
      <c r="E40" s="67">
        <f t="shared" si="5"/>
        <v>5.0847457627118647E-2</v>
      </c>
      <c r="F40" s="3" t="s">
        <v>282</v>
      </c>
      <c r="G40" s="18">
        <v>332</v>
      </c>
      <c r="I40" s="38" t="s">
        <v>19</v>
      </c>
      <c r="J40" s="38">
        <v>30</v>
      </c>
      <c r="K40" s="38">
        <v>3</v>
      </c>
      <c r="L40" s="38">
        <f t="shared" si="6"/>
        <v>5.166666666666667</v>
      </c>
      <c r="M40" s="38">
        <f t="shared" si="7"/>
        <v>0.1</v>
      </c>
      <c r="N40" s="57" t="s">
        <v>580</v>
      </c>
      <c r="O40" s="18">
        <v>155</v>
      </c>
    </row>
    <row r="41" spans="1:15" x14ac:dyDescent="0.25">
      <c r="I41" s="38" t="s">
        <v>81</v>
      </c>
      <c r="J41" s="38">
        <v>74</v>
      </c>
      <c r="K41" s="38">
        <v>5</v>
      </c>
      <c r="L41" s="38">
        <f t="shared" si="6"/>
        <v>5.1891891891891895</v>
      </c>
      <c r="M41" s="38">
        <f t="shared" si="7"/>
        <v>6.7567567567567571E-2</v>
      </c>
      <c r="N41" s="3" t="s">
        <v>495</v>
      </c>
      <c r="O41" s="18">
        <v>384</v>
      </c>
    </row>
    <row r="42" spans="1:15" x14ac:dyDescent="0.25">
      <c r="F42" s="3"/>
      <c r="I42" s="67" t="s">
        <v>26</v>
      </c>
      <c r="J42" s="67">
        <v>78</v>
      </c>
      <c r="K42" s="67">
        <v>5</v>
      </c>
      <c r="L42" s="67">
        <f t="shared" si="6"/>
        <v>5.2307692307692308</v>
      </c>
      <c r="M42" s="67">
        <f t="shared" si="7"/>
        <v>6.4102564102564097E-2</v>
      </c>
      <c r="N42" s="3" t="s">
        <v>495</v>
      </c>
      <c r="O42" s="18">
        <v>408</v>
      </c>
    </row>
    <row r="43" spans="1:15" x14ac:dyDescent="0.25">
      <c r="I43" s="67" t="s">
        <v>31</v>
      </c>
      <c r="J43" s="67">
        <v>205</v>
      </c>
      <c r="K43" s="67">
        <v>13</v>
      </c>
      <c r="L43" s="67">
        <f t="shared" si="6"/>
        <v>5.2780487804878051</v>
      </c>
      <c r="M43" s="67">
        <f t="shared" si="7"/>
        <v>6.3414634146341464E-2</v>
      </c>
      <c r="N43" s="3" t="s">
        <v>69</v>
      </c>
      <c r="O43" s="18">
        <v>1082</v>
      </c>
    </row>
    <row r="44" spans="1:15" x14ac:dyDescent="0.25">
      <c r="I44" s="67" t="s">
        <v>6</v>
      </c>
      <c r="J44" s="67">
        <v>45</v>
      </c>
      <c r="K44" s="67">
        <v>3</v>
      </c>
      <c r="L44" s="67">
        <f t="shared" si="6"/>
        <v>5.3555555555555552</v>
      </c>
      <c r="M44" s="67">
        <f t="shared" si="7"/>
        <v>6.6666666666666666E-2</v>
      </c>
      <c r="N44" s="3" t="s">
        <v>69</v>
      </c>
      <c r="O44" s="18">
        <v>241</v>
      </c>
    </row>
    <row r="45" spans="1:15" x14ac:dyDescent="0.25">
      <c r="I45" s="67" t="s">
        <v>253</v>
      </c>
      <c r="J45" s="67">
        <v>36</v>
      </c>
      <c r="K45" s="67">
        <v>1</v>
      </c>
      <c r="L45" s="67">
        <f t="shared" si="6"/>
        <v>5.3611111111111107</v>
      </c>
      <c r="M45" s="67">
        <f t="shared" si="7"/>
        <v>2.7777777777777776E-2</v>
      </c>
      <c r="N45" s="3" t="s">
        <v>69</v>
      </c>
      <c r="O45" s="18">
        <v>193</v>
      </c>
    </row>
    <row r="46" spans="1:15" x14ac:dyDescent="0.25">
      <c r="F46" s="3"/>
      <c r="I46" s="67" t="s">
        <v>401</v>
      </c>
      <c r="J46" s="67">
        <v>63</v>
      </c>
      <c r="K46" s="67">
        <v>3</v>
      </c>
      <c r="L46" s="67">
        <f t="shared" si="6"/>
        <v>5.4761904761904763</v>
      </c>
      <c r="M46" s="67">
        <f t="shared" si="7"/>
        <v>4.7619047619047616E-2</v>
      </c>
      <c r="N46" s="3" t="s">
        <v>195</v>
      </c>
      <c r="O46" s="18">
        <v>345</v>
      </c>
    </row>
    <row r="47" spans="1:15" x14ac:dyDescent="0.25">
      <c r="F47" s="3"/>
      <c r="I47" s="67" t="s">
        <v>33</v>
      </c>
      <c r="J47" s="67">
        <v>64</v>
      </c>
      <c r="K47" s="67">
        <v>4</v>
      </c>
      <c r="L47" s="67">
        <f t="shared" si="6"/>
        <v>5.515625</v>
      </c>
      <c r="M47" s="67">
        <f t="shared" si="7"/>
        <v>6.25E-2</v>
      </c>
      <c r="N47" s="3" t="s">
        <v>296</v>
      </c>
      <c r="O47" s="18">
        <v>353</v>
      </c>
    </row>
    <row r="48" spans="1:15" x14ac:dyDescent="0.25">
      <c r="I48" s="67" t="s">
        <v>34</v>
      </c>
      <c r="J48" s="67">
        <v>30</v>
      </c>
      <c r="K48" s="67">
        <v>2</v>
      </c>
      <c r="L48" s="67">
        <f t="shared" si="6"/>
        <v>5.5333333333333332</v>
      </c>
      <c r="M48" s="67">
        <f t="shared" si="7"/>
        <v>6.6666666666666666E-2</v>
      </c>
      <c r="N48" s="57" t="s">
        <v>577</v>
      </c>
      <c r="O48" s="18">
        <v>166</v>
      </c>
    </row>
    <row r="49" spans="6:15" x14ac:dyDescent="0.25">
      <c r="F49" s="3"/>
      <c r="I49" s="67" t="s">
        <v>90</v>
      </c>
      <c r="J49" s="67">
        <v>30</v>
      </c>
      <c r="K49" s="67">
        <v>3</v>
      </c>
      <c r="L49" s="67">
        <f t="shared" si="6"/>
        <v>5.6</v>
      </c>
      <c r="M49" s="67">
        <f t="shared" si="7"/>
        <v>0.1</v>
      </c>
      <c r="N49" s="76" t="s">
        <v>576</v>
      </c>
      <c r="O49" s="73">
        <v>168</v>
      </c>
    </row>
    <row r="50" spans="6:15" x14ac:dyDescent="0.25">
      <c r="F50" s="3"/>
      <c r="I50" s="67" t="s">
        <v>28</v>
      </c>
      <c r="J50" s="67">
        <v>30</v>
      </c>
      <c r="K50" s="67">
        <v>0</v>
      </c>
      <c r="L50" s="67">
        <f t="shared" si="6"/>
        <v>5.833333333333333</v>
      </c>
      <c r="M50" s="67">
        <f t="shared" si="7"/>
        <v>0</v>
      </c>
      <c r="N50" s="57" t="s">
        <v>579</v>
      </c>
      <c r="O50" s="18">
        <v>175</v>
      </c>
    </row>
    <row r="52" spans="6:15" x14ac:dyDescent="0.25">
      <c r="F52" s="3"/>
    </row>
    <row r="54" spans="6:15" x14ac:dyDescent="0.25">
      <c r="F54" s="2"/>
    </row>
    <row r="55" spans="6:15" x14ac:dyDescent="0.25">
      <c r="F55" s="3"/>
    </row>
    <row r="60" spans="6:15" x14ac:dyDescent="0.25">
      <c r="F60" s="3"/>
    </row>
    <row r="61" spans="6:15" x14ac:dyDescent="0.25">
      <c r="F61" s="3"/>
    </row>
    <row r="62" spans="6:15" x14ac:dyDescent="0.25">
      <c r="F62" s="3"/>
    </row>
    <row r="63" spans="6:15" x14ac:dyDescent="0.25">
      <c r="F63" s="3"/>
    </row>
    <row r="64" spans="6:15" x14ac:dyDescent="0.25">
      <c r="F64" s="3"/>
    </row>
    <row r="65" spans="1:6" x14ac:dyDescent="0.25">
      <c r="F65" s="3"/>
    </row>
    <row r="68" spans="1:6" x14ac:dyDescent="0.25">
      <c r="A68" s="74"/>
      <c r="B68" s="74"/>
      <c r="C68" s="74"/>
      <c r="D68" s="74"/>
      <c r="E68" s="74"/>
      <c r="F68" s="3"/>
    </row>
    <row r="70" spans="1:6" x14ac:dyDescent="0.25">
      <c r="A70" s="74"/>
      <c r="B70" s="74"/>
      <c r="C70" s="74"/>
      <c r="D70" s="74"/>
      <c r="E70" s="74"/>
      <c r="F70" s="3"/>
    </row>
    <row r="73" spans="1:6" x14ac:dyDescent="0.25">
      <c r="A73" s="74"/>
      <c r="B73" s="74"/>
      <c r="C73" s="74"/>
      <c r="D73" s="74"/>
      <c r="E73" s="74"/>
      <c r="F73" s="3"/>
    </row>
    <row r="74" spans="1:6" x14ac:dyDescent="0.25">
      <c r="A74" s="74"/>
      <c r="B74" s="74"/>
      <c r="C74" s="74"/>
      <c r="D74" s="74"/>
      <c r="E74" s="74"/>
      <c r="F74" s="3"/>
    </row>
  </sheetData>
  <sortState xmlns:xlrd2="http://schemas.microsoft.com/office/spreadsheetml/2017/richdata2" ref="I2:O50">
    <sortCondition ref="L2:L50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Z101"/>
  <sheetViews>
    <sheetView workbookViewId="0">
      <selection activeCell="AB26" sqref="AB26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L2" s="36">
        <v>6</v>
      </c>
      <c r="M2" s="36" t="s">
        <v>125</v>
      </c>
      <c r="N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L3" s="36">
        <v>2</v>
      </c>
      <c r="M3" s="36" t="s">
        <v>35</v>
      </c>
      <c r="N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L4" s="36">
        <v>8</v>
      </c>
      <c r="M4" s="36" t="s">
        <v>58</v>
      </c>
      <c r="N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L5" s="36">
        <v>7</v>
      </c>
      <c r="M5" s="36" t="s">
        <v>22</v>
      </c>
      <c r="N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L6" s="32">
        <v>4</v>
      </c>
      <c r="M6" s="32" t="s">
        <v>121</v>
      </c>
      <c r="N6" s="32" t="s">
        <v>499</v>
      </c>
      <c r="R6" s="36">
        <v>7</v>
      </c>
      <c r="S6" s="36" t="s">
        <v>22</v>
      </c>
      <c r="T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L7" s="32">
        <v>1</v>
      </c>
      <c r="M7" s="32" t="s">
        <v>128</v>
      </c>
      <c r="N7" s="32" t="s">
        <v>496</v>
      </c>
      <c r="R7" s="36">
        <v>8</v>
      </c>
      <c r="S7" s="36" t="s">
        <v>58</v>
      </c>
      <c r="T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L8" s="32">
        <v>5</v>
      </c>
      <c r="M8" s="32" t="s">
        <v>232</v>
      </c>
      <c r="N8" s="32" t="s">
        <v>500</v>
      </c>
      <c r="R8" s="36">
        <v>2</v>
      </c>
      <c r="S8" s="36" t="s">
        <v>35</v>
      </c>
      <c r="T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L9" s="32">
        <v>3</v>
      </c>
      <c r="M9" s="32" t="s">
        <v>147</v>
      </c>
      <c r="N9" s="32" t="s">
        <v>498</v>
      </c>
      <c r="R9" s="36">
        <v>12</v>
      </c>
      <c r="S9" s="36" t="s">
        <v>15</v>
      </c>
      <c r="T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L10" s="36">
        <v>13</v>
      </c>
      <c r="M10" s="36" t="s">
        <v>24</v>
      </c>
      <c r="N10" s="36" t="s">
        <v>508</v>
      </c>
      <c r="R10" s="32">
        <v>16</v>
      </c>
      <c r="S10" s="32" t="s">
        <v>25</v>
      </c>
      <c r="T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L11" s="36">
        <v>10</v>
      </c>
      <c r="M11" s="36" t="s">
        <v>122</v>
      </c>
      <c r="N11" s="36" t="s">
        <v>505</v>
      </c>
      <c r="R11" s="32">
        <v>13</v>
      </c>
      <c r="S11" s="32" t="s">
        <v>24</v>
      </c>
      <c r="T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L12" s="36">
        <v>12</v>
      </c>
      <c r="M12" s="36" t="s">
        <v>15</v>
      </c>
      <c r="N12" s="36" t="s">
        <v>507</v>
      </c>
      <c r="R12" s="32">
        <v>6</v>
      </c>
      <c r="S12" s="32" t="s">
        <v>125</v>
      </c>
      <c r="T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L13" s="36">
        <v>16</v>
      </c>
      <c r="M13" s="36" t="s">
        <v>25</v>
      </c>
      <c r="N13" s="36" t="s">
        <v>511</v>
      </c>
      <c r="R13" s="32">
        <v>10</v>
      </c>
      <c r="S13" s="32" t="s">
        <v>122</v>
      </c>
      <c r="T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L14" s="32">
        <v>14</v>
      </c>
      <c r="M14" s="32" t="s">
        <v>78</v>
      </c>
      <c r="N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L15" s="32">
        <v>11</v>
      </c>
      <c r="M15" s="32" t="s">
        <v>21</v>
      </c>
      <c r="N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L16" s="32">
        <v>9</v>
      </c>
      <c r="M16" s="32" t="s">
        <v>104</v>
      </c>
      <c r="N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L17" s="32">
        <v>15</v>
      </c>
      <c r="M17" s="32" t="s">
        <v>87</v>
      </c>
      <c r="N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R22" s="32">
        <v>1</v>
      </c>
      <c r="S22" s="32" t="s">
        <v>128</v>
      </c>
      <c r="T22" s="32" t="s">
        <v>496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R23" s="32">
        <v>3</v>
      </c>
      <c r="S23" s="32" t="s">
        <v>147</v>
      </c>
      <c r="T23" s="32" t="s">
        <v>498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R24" s="32">
        <v>4</v>
      </c>
      <c r="S24" s="32" t="s">
        <v>121</v>
      </c>
      <c r="T24" s="32" t="s">
        <v>499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R25" s="32">
        <v>15</v>
      </c>
      <c r="S25" s="32" t="s">
        <v>87</v>
      </c>
      <c r="T25" s="32" t="s">
        <v>510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O26" s="32">
        <v>9</v>
      </c>
      <c r="P26" s="32" t="s">
        <v>104</v>
      </c>
      <c r="Q26" s="32" t="s">
        <v>504</v>
      </c>
      <c r="R26" s="70">
        <v>9</v>
      </c>
      <c r="S26" s="70" t="s">
        <v>104</v>
      </c>
      <c r="T26" s="70" t="s">
        <v>504</v>
      </c>
    </row>
    <row r="27" spans="1:26" x14ac:dyDescent="0.25">
      <c r="A27">
        <f t="shared" si="1"/>
        <v>26</v>
      </c>
      <c r="B27" t="s">
        <v>115</v>
      </c>
      <c r="O27" s="68">
        <v>21</v>
      </c>
      <c r="P27" s="68" t="s">
        <v>30</v>
      </c>
      <c r="Q27" s="68" t="s">
        <v>515</v>
      </c>
      <c r="R27" s="70">
        <v>5</v>
      </c>
      <c r="S27" s="70" t="s">
        <v>232</v>
      </c>
      <c r="T27" s="70" t="s">
        <v>500</v>
      </c>
    </row>
    <row r="28" spans="1:26" x14ac:dyDescent="0.25">
      <c r="A28">
        <f t="shared" si="1"/>
        <v>27</v>
      </c>
      <c r="B28" t="s">
        <v>21</v>
      </c>
      <c r="C28" t="s">
        <v>506</v>
      </c>
      <c r="O28" s="32">
        <v>20</v>
      </c>
      <c r="P28" s="32" t="s">
        <v>110</v>
      </c>
      <c r="Q28" s="32" t="s">
        <v>514</v>
      </c>
      <c r="R28" s="70">
        <v>20</v>
      </c>
      <c r="S28" s="70" t="s">
        <v>110</v>
      </c>
      <c r="T28" s="70" t="s">
        <v>514</v>
      </c>
    </row>
    <row r="29" spans="1:26" x14ac:dyDescent="0.25">
      <c r="A29">
        <f t="shared" si="1"/>
        <v>28</v>
      </c>
      <c r="B29" t="s">
        <v>123</v>
      </c>
      <c r="O29" s="32">
        <v>15</v>
      </c>
      <c r="P29" s="32" t="s">
        <v>87</v>
      </c>
      <c r="Q29" s="32" t="s">
        <v>510</v>
      </c>
      <c r="R29" s="69">
        <v>21</v>
      </c>
      <c r="S29" s="69" t="s">
        <v>30</v>
      </c>
      <c r="T29" s="69" t="s">
        <v>515</v>
      </c>
    </row>
    <row r="30" spans="1:26" x14ac:dyDescent="0.25">
      <c r="A30">
        <f t="shared" si="1"/>
        <v>29</v>
      </c>
      <c r="B30" t="s">
        <v>27</v>
      </c>
      <c r="E30" s="32">
        <v>17</v>
      </c>
      <c r="F30" s="32" t="s">
        <v>81</v>
      </c>
      <c r="G30" s="32" t="s">
        <v>512</v>
      </c>
      <c r="L30" s="32">
        <v>18</v>
      </c>
      <c r="M30" s="32" t="s">
        <v>105</v>
      </c>
      <c r="N30" s="32" t="s">
        <v>33</v>
      </c>
      <c r="O30" s="70">
        <v>14</v>
      </c>
      <c r="P30" s="70" t="s">
        <v>78</v>
      </c>
      <c r="Q30" s="70" t="s">
        <v>509</v>
      </c>
    </row>
    <row r="31" spans="1:26" x14ac:dyDescent="0.25">
      <c r="A31">
        <f t="shared" si="1"/>
        <v>30</v>
      </c>
      <c r="B31" t="s">
        <v>129</v>
      </c>
      <c r="E31" s="32">
        <v>18</v>
      </c>
      <c r="F31" s="32" t="s">
        <v>105</v>
      </c>
      <c r="G31" s="32" t="s">
        <v>33</v>
      </c>
      <c r="L31" s="68">
        <v>21</v>
      </c>
      <c r="M31" s="68" t="s">
        <v>30</v>
      </c>
      <c r="N31" s="68" t="s">
        <v>515</v>
      </c>
      <c r="O31" s="70">
        <v>18</v>
      </c>
      <c r="P31" s="70" t="s">
        <v>105</v>
      </c>
      <c r="Q31" s="70" t="s">
        <v>33</v>
      </c>
    </row>
    <row r="32" spans="1:26" x14ac:dyDescent="0.25">
      <c r="A32">
        <f t="shared" si="1"/>
        <v>31</v>
      </c>
      <c r="B32" t="s">
        <v>8</v>
      </c>
      <c r="E32" s="32">
        <v>19</v>
      </c>
      <c r="F32" s="32" t="s">
        <v>26</v>
      </c>
      <c r="G32" s="32" t="s">
        <v>513</v>
      </c>
      <c r="L32" s="68">
        <v>23</v>
      </c>
      <c r="M32" s="68" t="s">
        <v>49</v>
      </c>
      <c r="N32" s="68" t="s">
        <v>517</v>
      </c>
      <c r="O32" s="70">
        <v>11</v>
      </c>
      <c r="P32" s="70" t="s">
        <v>21</v>
      </c>
      <c r="Q32" s="70" t="s">
        <v>506</v>
      </c>
    </row>
    <row r="33" spans="1:17" x14ac:dyDescent="0.25">
      <c r="A33">
        <f t="shared" si="1"/>
        <v>32</v>
      </c>
      <c r="B33" t="s">
        <v>15</v>
      </c>
      <c r="C33" t="s">
        <v>507</v>
      </c>
      <c r="E33" s="32">
        <v>20</v>
      </c>
      <c r="F33" s="32" t="s">
        <v>110</v>
      </c>
      <c r="G33" s="32" t="s">
        <v>514</v>
      </c>
      <c r="L33" s="32">
        <v>20</v>
      </c>
      <c r="M33" s="32" t="s">
        <v>110</v>
      </c>
      <c r="N33" s="32" t="s">
        <v>514</v>
      </c>
      <c r="O33" s="69">
        <v>23</v>
      </c>
      <c r="P33" s="69" t="s">
        <v>49</v>
      </c>
      <c r="Q33" s="69" t="s">
        <v>517</v>
      </c>
    </row>
    <row r="34" spans="1:17" x14ac:dyDescent="0.25">
      <c r="A34">
        <f t="shared" si="1"/>
        <v>33</v>
      </c>
      <c r="B34" t="s">
        <v>24</v>
      </c>
      <c r="C34" t="s">
        <v>508</v>
      </c>
      <c r="E34" s="32">
        <v>21</v>
      </c>
      <c r="F34" s="68" t="s">
        <v>30</v>
      </c>
      <c r="G34" s="68" t="s">
        <v>515</v>
      </c>
      <c r="I34" s="68">
        <v>24</v>
      </c>
      <c r="J34" s="68" t="s">
        <v>230</v>
      </c>
      <c r="K34" s="68" t="s">
        <v>518</v>
      </c>
      <c r="L34" s="70">
        <v>19</v>
      </c>
      <c r="M34" s="70" t="s">
        <v>26</v>
      </c>
      <c r="N34" s="70" t="s">
        <v>513</v>
      </c>
    </row>
    <row r="35" spans="1:17" x14ac:dyDescent="0.25">
      <c r="A35">
        <f t="shared" si="1"/>
        <v>34</v>
      </c>
      <c r="B35" t="s">
        <v>78</v>
      </c>
      <c r="C35" t="s">
        <v>509</v>
      </c>
      <c r="E35" s="32">
        <v>22</v>
      </c>
      <c r="F35" s="68" t="s">
        <v>31</v>
      </c>
      <c r="G35" s="68" t="s">
        <v>516</v>
      </c>
      <c r="I35" s="68">
        <v>25</v>
      </c>
      <c r="J35" s="68" t="s">
        <v>56</v>
      </c>
      <c r="K35" s="68" t="s">
        <v>519</v>
      </c>
      <c r="L35" s="69">
        <v>25</v>
      </c>
      <c r="M35" s="69" t="s">
        <v>56</v>
      </c>
      <c r="N35" s="69" t="s">
        <v>519</v>
      </c>
    </row>
    <row r="36" spans="1:17" x14ac:dyDescent="0.25">
      <c r="A36">
        <f t="shared" ref="A36:A71" si="2">ROW(A36)-1</f>
        <v>35</v>
      </c>
      <c r="B36" t="s">
        <v>5</v>
      </c>
      <c r="E36" s="32">
        <v>23</v>
      </c>
      <c r="F36" s="68" t="s">
        <v>49</v>
      </c>
      <c r="G36" s="68" t="s">
        <v>517</v>
      </c>
      <c r="I36" s="68">
        <v>23</v>
      </c>
      <c r="J36" s="68" t="s">
        <v>49</v>
      </c>
      <c r="K36" s="68" t="s">
        <v>517</v>
      </c>
      <c r="L36" s="70">
        <v>17</v>
      </c>
      <c r="M36" s="70" t="s">
        <v>81</v>
      </c>
      <c r="N36" s="70" t="s">
        <v>512</v>
      </c>
    </row>
    <row r="37" spans="1:17" x14ac:dyDescent="0.25">
      <c r="A37">
        <f t="shared" si="2"/>
        <v>36</v>
      </c>
      <c r="B37" t="s">
        <v>428</v>
      </c>
      <c r="E37" s="32">
        <v>24</v>
      </c>
      <c r="F37" s="68" t="s">
        <v>230</v>
      </c>
      <c r="G37" s="68" t="s">
        <v>518</v>
      </c>
      <c r="I37" s="68">
        <v>21</v>
      </c>
      <c r="J37" s="68" t="s">
        <v>30</v>
      </c>
      <c r="K37" s="68" t="s">
        <v>515</v>
      </c>
      <c r="L37" s="69">
        <v>24</v>
      </c>
      <c r="M37" s="69" t="s">
        <v>230</v>
      </c>
      <c r="N37" s="69" t="s">
        <v>518</v>
      </c>
    </row>
    <row r="38" spans="1:17" x14ac:dyDescent="0.25">
      <c r="A38">
        <f t="shared" si="2"/>
        <v>37</v>
      </c>
      <c r="B38" t="s">
        <v>79</v>
      </c>
      <c r="E38" s="32">
        <v>25</v>
      </c>
      <c r="F38" s="68" t="s">
        <v>56</v>
      </c>
      <c r="G38" s="68" t="s">
        <v>519</v>
      </c>
      <c r="I38" s="69">
        <v>28</v>
      </c>
      <c r="J38" s="69" t="s">
        <v>401</v>
      </c>
      <c r="K38" s="69" t="s">
        <v>522</v>
      </c>
    </row>
    <row r="39" spans="1:17" x14ac:dyDescent="0.25">
      <c r="A39">
        <f t="shared" si="2"/>
        <v>38</v>
      </c>
      <c r="B39" t="s">
        <v>1</v>
      </c>
      <c r="E39" s="32">
        <v>26</v>
      </c>
      <c r="F39" s="68" t="s">
        <v>124</v>
      </c>
      <c r="G39" s="68" t="s">
        <v>520</v>
      </c>
      <c r="I39" s="69">
        <v>27</v>
      </c>
      <c r="J39" s="69" t="s">
        <v>34</v>
      </c>
      <c r="K39" s="69" t="s">
        <v>521</v>
      </c>
    </row>
    <row r="40" spans="1:17" x14ac:dyDescent="0.25">
      <c r="A40">
        <f t="shared" si="2"/>
        <v>39</v>
      </c>
      <c r="B40" t="s">
        <v>14</v>
      </c>
      <c r="E40" s="32">
        <v>27</v>
      </c>
      <c r="F40" s="68" t="s">
        <v>34</v>
      </c>
      <c r="G40" s="68" t="s">
        <v>521</v>
      </c>
      <c r="I40" s="69">
        <v>22</v>
      </c>
      <c r="J40" s="69" t="s">
        <v>31</v>
      </c>
      <c r="K40" s="69" t="s">
        <v>516</v>
      </c>
    </row>
    <row r="41" spans="1:17" x14ac:dyDescent="0.25">
      <c r="A41">
        <f t="shared" si="2"/>
        <v>40</v>
      </c>
      <c r="B41" t="s">
        <v>13</v>
      </c>
      <c r="E41" s="32">
        <v>28</v>
      </c>
      <c r="F41" s="68" t="s">
        <v>401</v>
      </c>
      <c r="G41" s="68" t="s">
        <v>522</v>
      </c>
      <c r="I41" s="69">
        <v>26</v>
      </c>
      <c r="J41" s="69" t="s">
        <v>124</v>
      </c>
      <c r="K41" s="69" t="s">
        <v>520</v>
      </c>
    </row>
    <row r="42" spans="1:17" x14ac:dyDescent="0.25">
      <c r="A42">
        <f t="shared" si="2"/>
        <v>41</v>
      </c>
      <c r="B42" t="s">
        <v>12</v>
      </c>
    </row>
    <row r="43" spans="1:17" x14ac:dyDescent="0.25">
      <c r="A43">
        <f t="shared" si="2"/>
        <v>42</v>
      </c>
      <c r="B43" t="s">
        <v>87</v>
      </c>
      <c r="C43" t="s">
        <v>510</v>
      </c>
    </row>
    <row r="44" spans="1:17" x14ac:dyDescent="0.25">
      <c r="A44">
        <f t="shared" si="2"/>
        <v>43</v>
      </c>
      <c r="B44" t="s">
        <v>61</v>
      </c>
    </row>
    <row r="45" spans="1:17" x14ac:dyDescent="0.25">
      <c r="A45">
        <f t="shared" si="2"/>
        <v>44</v>
      </c>
      <c r="B45" t="s">
        <v>37</v>
      </c>
    </row>
    <row r="46" spans="1:17" x14ac:dyDescent="0.25">
      <c r="A46">
        <f t="shared" si="2"/>
        <v>45</v>
      </c>
      <c r="B46" t="s">
        <v>51</v>
      </c>
    </row>
    <row r="47" spans="1:17" x14ac:dyDescent="0.25">
      <c r="A47">
        <f t="shared" si="2"/>
        <v>46</v>
      </c>
      <c r="B47" t="s">
        <v>4</v>
      </c>
    </row>
    <row r="48" spans="1:17" x14ac:dyDescent="0.25">
      <c r="A48">
        <f t="shared" si="2"/>
        <v>47</v>
      </c>
      <c r="B48" t="s">
        <v>25</v>
      </c>
      <c r="C48" t="s">
        <v>511</v>
      </c>
    </row>
    <row r="49" spans="1:3" x14ac:dyDescent="0.25">
      <c r="A49">
        <f t="shared" si="2"/>
        <v>48</v>
      </c>
      <c r="B49" t="s">
        <v>81</v>
      </c>
      <c r="C49" t="s">
        <v>512</v>
      </c>
    </row>
    <row r="50" spans="1:3" x14ac:dyDescent="0.25">
      <c r="A50">
        <f t="shared" si="2"/>
        <v>49</v>
      </c>
      <c r="B50" t="s">
        <v>105</v>
      </c>
      <c r="C50" t="s">
        <v>33</v>
      </c>
    </row>
    <row r="51" spans="1:3" x14ac:dyDescent="0.25">
      <c r="A51">
        <f t="shared" si="2"/>
        <v>50</v>
      </c>
      <c r="B51" t="s">
        <v>99</v>
      </c>
    </row>
    <row r="52" spans="1:3" x14ac:dyDescent="0.25">
      <c r="A52">
        <f t="shared" si="2"/>
        <v>51</v>
      </c>
      <c r="B52" t="s">
        <v>82</v>
      </c>
    </row>
    <row r="53" spans="1:3" x14ac:dyDescent="0.25">
      <c r="A53">
        <f t="shared" si="2"/>
        <v>52</v>
      </c>
      <c r="B53" t="s">
        <v>20</v>
      </c>
    </row>
    <row r="54" spans="1:3" x14ac:dyDescent="0.25">
      <c r="A54">
        <f t="shared" si="2"/>
        <v>53</v>
      </c>
      <c r="B54" t="s">
        <v>19</v>
      </c>
    </row>
    <row r="55" spans="1:3" x14ac:dyDescent="0.25">
      <c r="A55">
        <f t="shared" si="2"/>
        <v>54</v>
      </c>
      <c r="B55" t="s">
        <v>26</v>
      </c>
      <c r="C55" t="s">
        <v>513</v>
      </c>
    </row>
    <row r="56" spans="1:3" x14ac:dyDescent="0.25">
      <c r="A56">
        <f t="shared" si="2"/>
        <v>55</v>
      </c>
      <c r="B56" t="s">
        <v>514</v>
      </c>
      <c r="C56" t="s">
        <v>110</v>
      </c>
    </row>
    <row r="57" spans="1:3" x14ac:dyDescent="0.25">
      <c r="A57">
        <f t="shared" si="2"/>
        <v>56</v>
      </c>
      <c r="B57" t="s">
        <v>30</v>
      </c>
      <c r="C57" t="s">
        <v>515</v>
      </c>
    </row>
    <row r="58" spans="1:3" x14ac:dyDescent="0.25">
      <c r="A58">
        <f t="shared" si="2"/>
        <v>57</v>
      </c>
      <c r="B58" t="s">
        <v>17</v>
      </c>
    </row>
    <row r="59" spans="1:3" x14ac:dyDescent="0.25">
      <c r="A59">
        <f t="shared" si="2"/>
        <v>58</v>
      </c>
      <c r="B59" t="s">
        <v>404</v>
      </c>
    </row>
    <row r="60" spans="1:3" x14ac:dyDescent="0.25">
      <c r="A60">
        <f t="shared" si="2"/>
        <v>59</v>
      </c>
      <c r="B60" t="s">
        <v>31</v>
      </c>
      <c r="C60" t="s">
        <v>516</v>
      </c>
    </row>
    <row r="61" spans="1:3" x14ac:dyDescent="0.25">
      <c r="A61">
        <f t="shared" si="2"/>
        <v>60</v>
      </c>
      <c r="B61" t="s">
        <v>49</v>
      </c>
      <c r="C61" t="s">
        <v>517</v>
      </c>
    </row>
    <row r="62" spans="1:3" x14ac:dyDescent="0.25">
      <c r="A62">
        <f t="shared" si="2"/>
        <v>61</v>
      </c>
      <c r="B62" t="s">
        <v>230</v>
      </c>
      <c r="C62" t="s">
        <v>518</v>
      </c>
    </row>
    <row r="63" spans="1:3" x14ac:dyDescent="0.25">
      <c r="A63">
        <f t="shared" si="2"/>
        <v>62</v>
      </c>
      <c r="B63" t="s">
        <v>253</v>
      </c>
    </row>
    <row r="64" spans="1:3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Prep 5.0</vt:lpstr>
      <vt:lpstr>4.0</vt:lpstr>
      <vt:lpstr>5.0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2026-04-10T22:48:46Z</dcterms:modified>
</cp:coreProperties>
</file>