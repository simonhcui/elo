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38300" yWindow="5640" windowWidth="28800" windowHeight="15240" firstSheet="2" activeTab="9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" i="13" l="1"/>
  <c r="L47" i="13"/>
  <c r="N49" i="13"/>
  <c r="L49" i="13"/>
  <c r="N14" i="13"/>
  <c r="L14" i="13"/>
  <c r="N40" i="13"/>
  <c r="L40" i="13"/>
  <c r="N69" i="13"/>
  <c r="L69" i="13"/>
  <c r="N34" i="13"/>
  <c r="L34" i="13"/>
  <c r="N55" i="13"/>
  <c r="L55" i="13"/>
  <c r="N59" i="13"/>
  <c r="L59" i="13"/>
  <c r="N23" i="13"/>
  <c r="L23" i="13"/>
  <c r="N41" i="13"/>
  <c r="L41" i="13"/>
  <c r="N15" i="13"/>
  <c r="L15" i="13"/>
  <c r="N71" i="13"/>
  <c r="L71" i="13"/>
  <c r="N26" i="13"/>
  <c r="L26" i="13"/>
  <c r="N46" i="13" l="1"/>
  <c r="L46" i="13"/>
  <c r="N53" i="13"/>
  <c r="L53" i="13"/>
  <c r="N70" i="13"/>
  <c r="L70" i="13"/>
  <c r="N39" i="13"/>
  <c r="L39" i="13"/>
  <c r="N25" i="13"/>
  <c r="L25" i="13"/>
  <c r="N56" i="13"/>
  <c r="L56" i="13"/>
  <c r="N72" i="13"/>
  <c r="L72" i="13"/>
  <c r="N48" i="13"/>
  <c r="L48" i="13"/>
  <c r="N22" i="13"/>
  <c r="L22" i="13"/>
  <c r="N68" i="13"/>
  <c r="L68" i="13"/>
  <c r="N66" i="13"/>
  <c r="L66" i="13"/>
  <c r="N61" i="13"/>
  <c r="L61" i="13"/>
  <c r="N42" i="13"/>
  <c r="L42" i="13"/>
  <c r="N64" i="13"/>
  <c r="L64" i="13"/>
  <c r="N17" i="13"/>
  <c r="L17" i="13"/>
  <c r="N73" i="13"/>
  <c r="L73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45" i="13"/>
  <c r="L45" i="13"/>
  <c r="N60" i="13"/>
  <c r="L60" i="13"/>
  <c r="N28" i="13"/>
  <c r="L28" i="13"/>
  <c r="N67" i="13"/>
  <c r="L67" i="13"/>
  <c r="N33" i="13" l="1"/>
  <c r="L33" i="13"/>
  <c r="N58" i="13"/>
  <c r="L58" i="13"/>
  <c r="L65" i="13"/>
  <c r="N65" i="13"/>
  <c r="N37" i="13"/>
  <c r="L37" i="13"/>
  <c r="N54" i="13"/>
  <c r="L54" i="13"/>
  <c r="L57" i="13"/>
  <c r="N57" i="13"/>
  <c r="L62" i="13"/>
  <c r="N62" i="13"/>
  <c r="L63" i="13"/>
  <c r="N63" i="13"/>
  <c r="L74" i="13"/>
  <c r="N74" i="13"/>
  <c r="N52" i="13"/>
  <c r="L52" i="13"/>
  <c r="N36" i="13"/>
  <c r="L36" i="13"/>
  <c r="N32" i="13"/>
  <c r="L32" i="13"/>
  <c r="N13" i="13"/>
  <c r="L13" i="13"/>
  <c r="N18" i="13" l="1"/>
  <c r="L18" i="13"/>
  <c r="N16" i="13"/>
  <c r="L16" i="13"/>
  <c r="N43" i="13"/>
  <c r="L43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38" i="13"/>
  <c r="L38" i="13"/>
  <c r="N30" i="13"/>
  <c r="L30" i="13"/>
  <c r="N29" i="13"/>
  <c r="L29" i="13"/>
  <c r="N51" i="13" l="1"/>
  <c r="L51" i="13"/>
  <c r="N27" i="13" l="1"/>
  <c r="L27" i="13"/>
  <c r="N24" i="13" l="1"/>
  <c r="L24" i="13"/>
  <c r="F30" i="13" l="1"/>
  <c r="D30" i="13"/>
  <c r="N20" i="13" l="1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0" i="13"/>
  <c r="L50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4" i="13"/>
  <c r="L44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<sst xmlns="http://schemas.openxmlformats.org/spreadsheetml/2006/main" count="16799" uniqueCount="605">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</sst>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4.5" x14ac:dyDescent="0.35"/>
  <cols>
    <col min="1" max="1" width="17.7265625" bestFit="1" customWidth="1"/>
    <col min="2" max="3" width="14" bestFit="1" customWidth="1"/>
    <col min="4" max="4" width="37.453125" bestFit="1" customWidth="1"/>
    <col min="5" max="5" width="14.1796875" bestFit="1" customWidth="1"/>
    <col min="6" max="8" width="17.7265625" bestFit="1" customWidth="1"/>
    <col min="9" max="9" width="14" bestFit="1" customWidth="1"/>
    <col min="10" max="12" width="17.7265625" bestFit="1" customWidth="1"/>
    <col min="13" max="14" width="14" bestFit="1" customWidth="1"/>
    <col min="15" max="15" width="13.54296875" bestFit="1" customWidth="1"/>
    <col min="16" max="16" width="15.1796875" bestFit="1" customWidth="1"/>
    <col min="17" max="18" width="14" bestFit="1" customWidth="1"/>
    <col min="19" max="19" width="17.7265625" bestFit="1" customWidth="1"/>
    <col min="20" max="21" width="14" bestFit="1" customWidth="1"/>
  </cols>
  <sheetData>
    <row r="1" spans="1:14" x14ac:dyDescent="0.3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3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3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3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3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3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3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3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3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3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3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3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3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3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3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3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3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3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3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3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3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3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3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3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3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3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3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3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3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3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3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3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3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3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3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3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3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3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3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3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3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3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3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3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3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3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3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3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3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3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3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3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3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3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3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3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3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3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3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3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3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3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3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3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3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3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3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3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3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3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3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3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3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3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3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3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3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3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3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3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3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3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3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3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3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3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3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3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3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3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3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3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3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4.5" x14ac:dyDescent="0.35"/>
  <cols>
    <col min="1" max="1" width="19.453125" bestFit="1" customWidth="1"/>
    <col min="2" max="2" width="7.453125" bestFit="1" customWidth="1"/>
    <col min="3" max="3" width="8.7265625" bestFit="1" customWidth="1"/>
    <col min="4" max="4" width="12.1796875" bestFit="1" customWidth="1"/>
    <col min="5" max="5" width="12" bestFit="1" customWidth="1"/>
    <col min="6" max="6" width="20.7265625" bestFit="1" customWidth="1"/>
    <col min="8" max="8" width="19.453125" bestFit="1" customWidth="1"/>
    <col min="9" max="9" width="7.453125" bestFit="1" customWidth="1"/>
    <col min="10" max="10" width="8.7265625" bestFit="1" customWidth="1"/>
    <col min="11" max="11" width="12.1796875" bestFit="1" customWidth="1"/>
    <col min="12" max="12" width="12" bestFit="1" customWidth="1"/>
    <col min="15" max="15" width="17.7265625" bestFit="1" customWidth="1"/>
    <col min="16" max="16" width="7.1796875" bestFit="1" customWidth="1"/>
    <col min="17" max="17" width="8.7265625" bestFit="1" customWidth="1"/>
    <col min="18" max="18" width="12" bestFit="1" customWidth="1"/>
    <col min="19" max="19" width="11.54296875" bestFit="1" customWidth="1"/>
    <col min="20" max="20" width="11.1796875" bestFit="1" customWidth="1"/>
  </cols>
  <sheetData>
    <row r="1" spans="1:20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3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3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3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3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3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3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3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3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3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3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3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3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3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3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3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3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3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3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3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3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3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3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3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3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3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3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3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3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3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3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3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3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3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3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3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3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3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3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3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3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3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3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3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3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3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3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3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3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3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3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3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3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3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3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3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3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3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3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3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3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3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3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3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3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3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3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3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3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3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3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3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3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3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3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3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3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3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3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30"/>
  <sheetViews>
    <sheetView topLeftCell="A298" zoomScaleNormal="100" workbookViewId="0">
      <selection activeCell="V322" sqref="V322:AA330"/>
    </sheetView>
  </sheetViews>
  <sheetFormatPr defaultRowHeight="14.5" x14ac:dyDescent="0.35"/>
  <sheetData>
    <row r="1" spans="1:39" x14ac:dyDescent="0.3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3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3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3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3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3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3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3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3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3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3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3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3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3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3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3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3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3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3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3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3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3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3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3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3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3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3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3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3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3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3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3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3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3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3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3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35">
      <c r="K42" s="18" t="s">
        <v>268</v>
      </c>
    </row>
    <row r="43" spans="1:32" x14ac:dyDescent="0.35">
      <c r="K43" t="s">
        <v>177</v>
      </c>
    </row>
    <row r="44" spans="1:32" x14ac:dyDescent="0.3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3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3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3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3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3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3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3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3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35">
      <c r="K53" t="s">
        <v>301</v>
      </c>
    </row>
    <row r="54" spans="11:29" x14ac:dyDescent="0.35">
      <c r="K54" s="18" t="s">
        <v>357</v>
      </c>
    </row>
    <row r="55" spans="11:29" x14ac:dyDescent="0.35">
      <c r="K55" s="18" t="s">
        <v>246</v>
      </c>
    </row>
    <row r="56" spans="11:29" x14ac:dyDescent="0.3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3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3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3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3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3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3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3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3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35">
      <c r="K65" s="18" t="s">
        <v>264</v>
      </c>
    </row>
    <row r="66" spans="11:31" x14ac:dyDescent="0.35">
      <c r="K66" s="18" t="s">
        <v>294</v>
      </c>
    </row>
    <row r="67" spans="11:31" x14ac:dyDescent="0.3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3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3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3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3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3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3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3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3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35">
      <c r="K76">
        <v>2</v>
      </c>
    </row>
    <row r="77" spans="11:31" x14ac:dyDescent="0.3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3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3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3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3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3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3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3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3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35">
      <c r="K86" s="18" t="s">
        <v>354</v>
      </c>
    </row>
    <row r="87" spans="11:31" x14ac:dyDescent="0.3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3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3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3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3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3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3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3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3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35">
      <c r="K96" s="18" t="s">
        <v>299</v>
      </c>
    </row>
    <row r="97" spans="11:33" x14ac:dyDescent="0.35">
      <c r="K97" s="18" t="s">
        <v>330</v>
      </c>
    </row>
    <row r="98" spans="11:33" x14ac:dyDescent="0.35">
      <c r="K98" t="s">
        <v>206</v>
      </c>
    </row>
    <row r="99" spans="11:33" x14ac:dyDescent="0.35">
      <c r="K99" s="18" t="s">
        <v>353</v>
      </c>
    </row>
    <row r="100" spans="11:33" x14ac:dyDescent="0.35">
      <c r="K100" t="s">
        <v>288</v>
      </c>
    </row>
    <row r="101" spans="11:33" x14ac:dyDescent="0.35">
      <c r="K101" t="s">
        <v>209</v>
      </c>
    </row>
    <row r="102" spans="11:33" x14ac:dyDescent="0.3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3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3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3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3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3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3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3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3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35">
      <c r="K111" s="18" t="s">
        <v>247</v>
      </c>
    </row>
    <row r="112" spans="11:33" x14ac:dyDescent="0.3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3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3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3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3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3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3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3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3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3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3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3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3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3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3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3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3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3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3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3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3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3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3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3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3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3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3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3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3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3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3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3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3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3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3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3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3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3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3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3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3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3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3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3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3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3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3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3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3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3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3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3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3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3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3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3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3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3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3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3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3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3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3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3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3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3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3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3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3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3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3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3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3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3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3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3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3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3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3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3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3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3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3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3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3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3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3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3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3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3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3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3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3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3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3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3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3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3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3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3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3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3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3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3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3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3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3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3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3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3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3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3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3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3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3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3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3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3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3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3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3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3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3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3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3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3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3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3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3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3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3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3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3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3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3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3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3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3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3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3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3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3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3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3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3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3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3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3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3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3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3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3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3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3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3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3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3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3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3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3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3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3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3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3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3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3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3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3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3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3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3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3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3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3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3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3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3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3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3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3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3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3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3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3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3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3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3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3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3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3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3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3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3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3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3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3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3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3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915"/>
  <sheetViews>
    <sheetView topLeftCell="A862" workbookViewId="0">
      <selection activeCell="H886" sqref="H886"/>
    </sheetView>
  </sheetViews>
  <sheetFormatPr defaultRowHeight="14.5" x14ac:dyDescent="0.35"/>
  <sheetData>
    <row r="1" spans="1:35" x14ac:dyDescent="0.3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3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3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3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3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3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3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3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3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3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3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3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3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3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3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3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3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3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3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3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3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3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3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3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3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3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3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3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3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3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3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3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3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3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3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3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3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3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3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3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3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3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3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3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3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3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3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3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3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3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3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3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3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3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3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3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3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3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3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3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3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3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3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3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3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3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3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3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3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3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3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3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3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3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3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3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3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3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3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3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3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3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3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3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3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3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3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3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3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3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3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3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3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3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3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3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3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3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3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3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3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3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3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3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3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3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3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3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3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3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3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3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3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3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3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3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3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3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3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3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3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3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3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3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3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3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3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3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3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3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3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3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3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3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3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3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3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3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3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3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3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3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3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3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3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3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3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3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3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3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3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3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3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3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3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3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3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3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3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3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3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3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3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3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3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3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3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3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3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3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3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3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3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3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3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3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3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3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3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3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3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3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3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3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3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3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3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3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3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3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3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3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3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3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3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3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3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3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3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3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3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3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3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3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3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3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3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3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3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3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3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3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3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3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3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3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3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3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3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3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3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3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3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3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3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3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3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3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3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3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3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3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3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3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3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3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3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3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3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3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3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3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3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3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3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3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3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3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3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3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3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3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3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3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3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3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3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3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3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3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3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3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3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3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3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3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3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3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3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3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3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3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3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3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3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3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3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3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3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3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3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3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3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3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3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3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3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3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3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3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3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3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3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3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3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3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3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3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3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3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3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3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3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3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3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3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3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3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3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3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3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3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3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3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3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3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3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3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3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3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3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3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3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3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3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3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3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3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3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3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3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3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3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3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3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3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3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3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3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3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3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3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3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3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3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3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3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3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3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3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3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3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3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3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3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3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3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3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3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3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3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3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3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3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3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3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3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3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3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3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3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3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3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3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3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3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3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3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3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3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3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3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3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3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3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3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3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3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3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3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3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3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3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3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3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3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3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3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3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3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3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3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3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3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3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3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3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3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3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3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3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3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3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3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3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3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3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3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3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3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3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3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3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3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3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3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3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3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3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3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3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3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3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3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3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3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3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3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3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3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3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3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3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3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3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3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3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3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3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3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3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3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3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3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3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3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3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3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3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3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3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3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3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3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3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3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3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3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3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3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3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3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3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3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3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3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3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3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3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3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3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3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3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3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3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3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3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3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3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3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3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3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3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3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3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3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3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3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3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3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3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3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3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3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3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3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3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3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3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3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3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3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3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3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3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3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3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3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3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3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3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3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3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3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3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3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3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3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3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3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3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3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3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3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3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3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3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3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3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3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3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3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3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3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3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3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3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3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3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3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3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3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3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3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3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3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3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3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3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3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3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3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3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3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3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3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3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3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3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3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3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3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3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3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3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3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3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3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3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3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3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3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3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3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3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3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3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3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3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3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3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3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3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3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3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3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3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3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3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3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3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3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3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3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3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3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3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3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3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3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3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3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3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3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3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3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3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3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3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3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3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3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3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3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3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3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3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3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3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3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3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3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3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3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3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3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3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3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3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3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3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3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3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3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3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3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3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3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3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3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3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3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3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3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3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3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3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3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3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3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3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3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3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3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3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3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3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3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3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3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3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3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3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3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3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3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3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3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3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3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3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3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3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3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3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3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3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3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3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3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3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3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3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3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3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3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3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3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3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3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3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3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3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3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3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3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3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3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3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3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3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3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3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3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3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3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3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3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3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3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3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3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3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3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3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3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3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3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3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3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3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3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3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3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3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3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3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3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3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3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3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3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3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3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3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3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3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3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3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3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3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3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3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3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3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3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3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3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3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3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3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3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3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3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3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3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3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3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3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3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3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3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3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3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3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3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3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3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3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3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3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3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3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3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3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3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3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3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3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3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3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3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3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3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3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3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3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3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3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3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3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3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3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3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3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3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3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3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3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3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3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3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3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3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3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3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3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3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3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3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3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3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3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3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3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3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3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3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3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3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3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3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3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3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3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3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3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3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3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3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3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35">
      <c r="H872" s="74" t="s">
        <v>59</v>
      </c>
    </row>
    <row r="873" spans="8:8" x14ac:dyDescent="0.35">
      <c r="H873" s="74" t="s">
        <v>44</v>
      </c>
    </row>
    <row r="874" spans="8:8" x14ac:dyDescent="0.35">
      <c r="H874" s="3" t="s">
        <v>45</v>
      </c>
    </row>
    <row r="875" spans="8:8" x14ac:dyDescent="0.35">
      <c r="H875" s="3" t="s">
        <v>45</v>
      </c>
    </row>
    <row r="876" spans="8:8" x14ac:dyDescent="0.35">
      <c r="H876" s="11" t="s">
        <v>578</v>
      </c>
    </row>
    <row r="877" spans="8:8" x14ac:dyDescent="0.35">
      <c r="H877" s="3" t="s">
        <v>46</v>
      </c>
    </row>
    <row r="878" spans="8:8" x14ac:dyDescent="0.35">
      <c r="H878" s="74" t="s">
        <v>44</v>
      </c>
    </row>
    <row r="879" spans="8:8" x14ac:dyDescent="0.35">
      <c r="H879" s="3" t="s">
        <v>46</v>
      </c>
    </row>
    <row r="880" spans="8:8" x14ac:dyDescent="0.35">
      <c r="H880" s="3" t="s">
        <v>54</v>
      </c>
    </row>
    <row r="881" spans="8:8" x14ac:dyDescent="0.35">
      <c r="H881" s="57" t="s">
        <v>583</v>
      </c>
    </row>
    <row r="882" spans="8:8" x14ac:dyDescent="0.35">
      <c r="H882" s="3" t="s">
        <v>45</v>
      </c>
    </row>
    <row r="883" spans="8:8" x14ac:dyDescent="0.35">
      <c r="H883" s="3" t="s">
        <v>45</v>
      </c>
    </row>
    <row r="884" spans="8:8" x14ac:dyDescent="0.35">
      <c r="H884" s="57" t="s">
        <v>575</v>
      </c>
    </row>
    <row r="885" spans="8:8" x14ac:dyDescent="0.35">
      <c r="H885" s="3" t="s">
        <v>54</v>
      </c>
    </row>
    <row r="886" spans="8:8" x14ac:dyDescent="0.35">
      <c r="H886" s="3" t="s">
        <v>54</v>
      </c>
    </row>
    <row r="887" spans="8:8" x14ac:dyDescent="0.35">
      <c r="H887" s="74" t="s">
        <v>47</v>
      </c>
    </row>
    <row r="888" spans="8:8" x14ac:dyDescent="0.35">
      <c r="H888" s="3" t="s">
        <v>54</v>
      </c>
    </row>
    <row r="889" spans="8:8" x14ac:dyDescent="0.35">
      <c r="H889" s="3" t="s">
        <v>45</v>
      </c>
    </row>
    <row r="890" spans="8:8" x14ac:dyDescent="0.35">
      <c r="H890" s="57" t="s">
        <v>582</v>
      </c>
    </row>
    <row r="891" spans="8:8" x14ac:dyDescent="0.35">
      <c r="H891" s="3" t="s">
        <v>69</v>
      </c>
    </row>
    <row r="892" spans="8:8" x14ac:dyDescent="0.35">
      <c r="H892" s="3" t="s">
        <v>195</v>
      </c>
    </row>
    <row r="893" spans="8:8" x14ac:dyDescent="0.35">
      <c r="H893" s="3" t="s">
        <v>494</v>
      </c>
    </row>
    <row r="894" spans="8:8" x14ac:dyDescent="0.35">
      <c r="H894" s="3" t="s">
        <v>55</v>
      </c>
    </row>
    <row r="895" spans="8:8" x14ac:dyDescent="0.35">
      <c r="H895" s="57" t="s">
        <v>584</v>
      </c>
    </row>
    <row r="896" spans="8:8" x14ac:dyDescent="0.35">
      <c r="H896" s="3" t="s">
        <v>55</v>
      </c>
    </row>
    <row r="897" spans="8:8" x14ac:dyDescent="0.35">
      <c r="H897" s="3" t="s">
        <v>55</v>
      </c>
    </row>
    <row r="898" spans="8:8" x14ac:dyDescent="0.35">
      <c r="H898" s="57" t="s">
        <v>581</v>
      </c>
    </row>
    <row r="899" spans="8:8" x14ac:dyDescent="0.35">
      <c r="H899" s="3" t="s">
        <v>494</v>
      </c>
    </row>
    <row r="900" spans="8:8" x14ac:dyDescent="0.35">
      <c r="H900" s="3" t="s">
        <v>495</v>
      </c>
    </row>
    <row r="901" spans="8:8" x14ac:dyDescent="0.35">
      <c r="H901" s="3" t="s">
        <v>195</v>
      </c>
    </row>
    <row r="902" spans="8:8" x14ac:dyDescent="0.35">
      <c r="H902" s="3" t="s">
        <v>195</v>
      </c>
    </row>
    <row r="903" spans="8:8" x14ac:dyDescent="0.35">
      <c r="H903" s="3" t="s">
        <v>55</v>
      </c>
    </row>
    <row r="904" spans="8:8" x14ac:dyDescent="0.35">
      <c r="H904" s="3" t="s">
        <v>55</v>
      </c>
    </row>
    <row r="905" spans="8:8" x14ac:dyDescent="0.35">
      <c r="H905" s="57" t="s">
        <v>580</v>
      </c>
    </row>
    <row r="906" spans="8:8" x14ac:dyDescent="0.35">
      <c r="H906" s="3" t="s">
        <v>495</v>
      </c>
    </row>
    <row r="907" spans="8:8" x14ac:dyDescent="0.35">
      <c r="H907" s="3" t="s">
        <v>495</v>
      </c>
    </row>
    <row r="908" spans="8:8" x14ac:dyDescent="0.35">
      <c r="H908" s="3" t="s">
        <v>69</v>
      </c>
    </row>
    <row r="909" spans="8:8" x14ac:dyDescent="0.35">
      <c r="H909" s="3" t="s">
        <v>69</v>
      </c>
    </row>
    <row r="910" spans="8:8" x14ac:dyDescent="0.35">
      <c r="H910" s="3" t="s">
        <v>69</v>
      </c>
    </row>
    <row r="911" spans="8:8" x14ac:dyDescent="0.35">
      <c r="H911" s="3" t="s">
        <v>195</v>
      </c>
    </row>
    <row r="912" spans="8:8" x14ac:dyDescent="0.35">
      <c r="H912" s="3" t="s">
        <v>296</v>
      </c>
    </row>
    <row r="913" spans="8:8" x14ac:dyDescent="0.35">
      <c r="H913" s="57" t="s">
        <v>577</v>
      </c>
    </row>
    <row r="914" spans="8:8" x14ac:dyDescent="0.35">
      <c r="H914" s="75" t="s">
        <v>576</v>
      </c>
    </row>
    <row r="915" spans="8:8" x14ac:dyDescent="0.3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4.5" x14ac:dyDescent="0.35"/>
  <cols>
    <col min="1" max="1" width="17.7265625" bestFit="1" customWidth="1"/>
    <col min="2" max="2" width="16.7265625" bestFit="1" customWidth="1"/>
    <col min="3" max="4" width="16.26953125" bestFit="1" customWidth="1"/>
    <col min="5" max="5" width="14.1796875" bestFit="1" customWidth="1"/>
    <col min="6" max="8" width="16.26953125" bestFit="1" customWidth="1"/>
    <col min="9" max="9" width="17.7265625" bestFit="1" customWidth="1"/>
    <col min="10" max="11" width="16.7265625" bestFit="1" customWidth="1"/>
    <col min="12" max="12" width="12" bestFit="1" customWidth="1"/>
    <col min="13" max="13" width="11.54296875" bestFit="1" customWidth="1"/>
  </cols>
  <sheetData>
    <row r="1" spans="1:14" x14ac:dyDescent="0.3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3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3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3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3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3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3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3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3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3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3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3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3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3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3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3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3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3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3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3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3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3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3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3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3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3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3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3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3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3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3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3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3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3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3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3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3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3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3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3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3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3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3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3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3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3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3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3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3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3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3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3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3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3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3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3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3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3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3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3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3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3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3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3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3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3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3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3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3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3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3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3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3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3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3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3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3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3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3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3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3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3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3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3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3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3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3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3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3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3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3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3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3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4.5" x14ac:dyDescent="0.35"/>
  <cols>
    <col min="1" max="1" width="18.816406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4.81640625" bestFit="1" customWidth="1"/>
    <col min="7" max="7" width="33.54296875" bestFit="1" customWidth="1"/>
    <col min="8" max="8" width="18.26953125" customWidth="1"/>
    <col min="9" max="9" width="9.7265625" customWidth="1"/>
    <col min="10" max="10" width="11.26953125" bestFit="1" customWidth="1"/>
    <col min="11" max="11" width="15.453125" bestFit="1" customWidth="1"/>
    <col min="12" max="12" width="15" customWidth="1"/>
    <col min="13" max="13" width="14.453125" bestFit="1" customWidth="1"/>
    <col min="14" max="14" width="37.7265625" bestFit="1" customWidth="1"/>
    <col min="16" max="16" width="18.26953125" bestFit="1" customWidth="1"/>
    <col min="17" max="17" width="9.7265625" bestFit="1" customWidth="1"/>
    <col min="18" max="18" width="11.26953125" bestFit="1" customWidth="1"/>
    <col min="19" max="19" width="15.453125" bestFit="1" customWidth="1"/>
    <col min="20" max="20" width="15" bestFit="1" customWidth="1"/>
    <col min="22" max="22" width="18.26953125" bestFit="1" customWidth="1"/>
    <col min="23" max="23" width="9.7265625" bestFit="1" customWidth="1"/>
    <col min="24" max="24" width="16.54296875" bestFit="1" customWidth="1"/>
    <col min="25" max="25" width="11.26953125" bestFit="1" customWidth="1"/>
    <col min="26" max="26" width="17.81640625" bestFit="1" customWidth="1"/>
    <col min="27" max="27" width="15.453125" bestFit="1" customWidth="1"/>
    <col min="28" max="28" width="21.26953125" bestFit="1" customWidth="1"/>
    <col min="29" max="29" width="14.453125" bestFit="1" customWidth="1"/>
  </cols>
  <sheetData>
    <row r="1" spans="1:29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3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3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3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3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3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3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3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3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3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3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3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3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3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3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3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3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3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3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3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3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3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3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3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3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3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3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3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3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3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3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3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3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3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3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3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3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3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3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3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3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3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3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3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3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3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3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3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3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3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3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3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3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3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3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3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3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3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3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3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3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3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3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3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3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3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3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3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3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3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3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3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3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3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3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3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3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3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4" bestFit="1" customWidth="1"/>
    <col min="15" max="15" width="11.26953125" bestFit="1" customWidth="1"/>
    <col min="16" max="16" width="12" bestFit="1" customWidth="1"/>
  </cols>
  <sheetData>
    <row r="1" spans="1:16" x14ac:dyDescent="0.3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3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3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3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3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3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3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3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3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3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3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3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3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3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3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3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3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3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3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3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3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3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3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3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3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3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3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3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3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3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3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3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3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3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3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3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3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3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3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3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3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3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3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3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3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3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3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3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3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3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3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3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3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3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3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3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3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3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3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3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3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3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3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3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3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3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3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3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3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3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3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3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3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3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3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3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3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3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3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3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3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3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3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3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3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3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3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4.5" x14ac:dyDescent="0.35"/>
  <cols>
    <col min="1" max="1" width="22.4531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9.54296875" bestFit="1" customWidth="1"/>
    <col min="7" max="7" width="33.1796875" bestFit="1" customWidth="1"/>
    <col min="10" max="10" width="22.453125" bestFit="1" customWidth="1"/>
    <col min="11" max="11" width="10" bestFit="1" customWidth="1"/>
    <col min="12" max="12" width="11.54296875" bestFit="1" customWidth="1"/>
    <col min="13" max="13" width="15.81640625" bestFit="1" customWidth="1"/>
    <col min="14" max="14" width="15.453125" customWidth="1"/>
    <col min="15" max="15" width="19.54296875" bestFit="1" customWidth="1"/>
    <col min="16" max="16" width="33.1796875" bestFit="1" customWidth="1"/>
    <col min="20" max="20" width="18.81640625" bestFit="1" customWidth="1"/>
    <col min="21" max="21" width="10" bestFit="1" customWidth="1"/>
    <col min="22" max="22" width="11.54296875" bestFit="1" customWidth="1"/>
    <col min="23" max="23" width="15.81640625" bestFit="1" customWidth="1"/>
    <col min="24" max="24" width="15.453125" bestFit="1" customWidth="1"/>
    <col min="26" max="26" width="22.453125" bestFit="1" customWidth="1"/>
    <col min="27" max="27" width="10" bestFit="1" customWidth="1"/>
    <col min="28" max="28" width="10.54296875" bestFit="1" customWidth="1"/>
    <col min="29" max="29" width="15.81640625" bestFit="1" customWidth="1"/>
    <col min="30" max="30" width="10.54296875" bestFit="1" customWidth="1"/>
    <col min="31" max="31" width="19.54296875" bestFit="1" customWidth="1"/>
    <col min="32" max="32" width="33.1796875" bestFit="1" customWidth="1"/>
    <col min="33" max="33" width="36.26953125" bestFit="1" customWidth="1"/>
  </cols>
  <sheetData>
    <row r="1" spans="1:4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3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3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3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3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3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3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3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3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3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3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3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3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3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3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3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3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3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3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3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3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3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3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3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3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3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3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3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3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3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3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3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3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3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3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3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3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3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3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3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3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3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3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3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3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3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3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3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3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3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3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3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3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3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3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3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3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3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3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3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3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3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3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3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3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3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3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3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3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3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3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3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3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3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3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3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3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3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35">
      <c r="AC81" s="4"/>
      <c r="AD81" s="4"/>
      <c r="AE81" s="4"/>
    </row>
    <row r="86" spans="29:31" x14ac:dyDescent="0.35">
      <c r="AD86" s="7"/>
    </row>
    <row r="1048576" spans="16:33" x14ac:dyDescent="0.3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12" bestFit="1" customWidth="1"/>
    <col min="15" max="15" width="11.26953125" bestFit="1" customWidth="1"/>
    <col min="16" max="16" width="12" bestFit="1" customWidth="1"/>
  </cols>
  <sheetData>
    <row r="1" spans="1:19 16384:16384" x14ac:dyDescent="0.3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3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3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3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3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3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3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3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3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3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3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3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3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3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3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3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3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3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3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3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3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3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3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3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3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3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3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3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3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3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3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3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3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3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3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3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3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3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3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3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3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3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3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3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3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3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3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3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3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3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3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3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3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3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3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3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3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3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3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3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3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3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3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3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3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3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3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3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3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3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3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3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3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3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3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3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3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3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3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3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3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zoomScale="90" zoomScaleNormal="90" workbookViewId="0">
      <selection activeCell="AA15" sqref="AA15"/>
    </sheetView>
  </sheetViews>
  <sheetFormatPr defaultRowHeight="14.5" x14ac:dyDescent="0.35"/>
  <sheetData>
    <row r="1" spans="1:15 16384:16384" x14ac:dyDescent="0.35">
      <c r="A1" s="1">
        <v>46156</v>
      </c>
      <c r="B1" s="1">
        <v>46156</v>
      </c>
      <c r="C1" s="1">
        <v>46156</v>
      </c>
      <c r="D1" s="1">
        <v>46156</v>
      </c>
      <c r="E1" s="1">
        <v>46157</v>
      </c>
      <c r="F1" s="1">
        <v>46157</v>
      </c>
      <c r="G1" s="1">
        <v>46158</v>
      </c>
      <c r="H1" s="1">
        <v>46158</v>
      </c>
      <c r="I1" s="1">
        <v>46158</v>
      </c>
      <c r="J1" s="1">
        <v>46158</v>
      </c>
      <c r="K1" s="1">
        <v>46158</v>
      </c>
      <c r="L1" s="1">
        <v>46158</v>
      </c>
      <c r="M1" s="1">
        <v>46158</v>
      </c>
      <c r="N1" s="1">
        <v>46158</v>
      </c>
      <c r="O1" s="1">
        <v>46158</v>
      </c>
      <c r="XFD1" s="1"/>
    </row>
    <row r="2" spans="1:15 16384:16384" x14ac:dyDescent="0.35">
      <c r="A2" t="s">
        <v>122</v>
      </c>
      <c r="B2" t="s">
        <v>87</v>
      </c>
      <c r="C2" t="s">
        <v>30</v>
      </c>
      <c r="D2" t="s">
        <v>35</v>
      </c>
    </row>
    <row r="3" spans="1:15 16384:16384" x14ac:dyDescent="0.35">
      <c r="A3" t="s">
        <v>25</v>
      </c>
      <c r="B3" t="s">
        <v>122</v>
      </c>
      <c r="C3" t="s">
        <v>232</v>
      </c>
      <c r="D3" t="s">
        <v>2</v>
      </c>
    </row>
    <row r="4" spans="1:15 16384:16384" x14ac:dyDescent="0.35">
      <c r="A4" t="s">
        <v>31</v>
      </c>
      <c r="B4" t="s">
        <v>31</v>
      </c>
      <c r="C4" t="s">
        <v>82</v>
      </c>
      <c r="D4" t="s">
        <v>232</v>
      </c>
    </row>
    <row r="5" spans="1:15 16384:16384" x14ac:dyDescent="0.35">
      <c r="A5" t="s">
        <v>21</v>
      </c>
      <c r="B5" t="s">
        <v>82</v>
      </c>
      <c r="C5" t="s">
        <v>574</v>
      </c>
      <c r="D5" t="s">
        <v>99</v>
      </c>
    </row>
    <row r="6" spans="1:15 16384:16384" x14ac:dyDescent="0.35">
      <c r="A6" t="s">
        <v>99</v>
      </c>
      <c r="B6" t="s">
        <v>21</v>
      </c>
      <c r="C6" t="s">
        <v>35</v>
      </c>
      <c r="D6" t="s">
        <v>104</v>
      </c>
    </row>
    <row r="7" spans="1:15 16384:16384" x14ac:dyDescent="0.35">
      <c r="A7" t="s">
        <v>82</v>
      </c>
      <c r="B7" t="s">
        <v>25</v>
      </c>
      <c r="C7" t="s">
        <v>553</v>
      </c>
      <c r="D7" t="s">
        <v>553</v>
      </c>
    </row>
    <row r="8" spans="1:15 16384:16384" x14ac:dyDescent="0.35">
      <c r="A8" t="s">
        <v>87</v>
      </c>
      <c r="B8" t="s">
        <v>139</v>
      </c>
      <c r="C8" t="s">
        <v>99</v>
      </c>
      <c r="D8" t="s">
        <v>82</v>
      </c>
    </row>
    <row r="9" spans="1:15 16384:16384" x14ac:dyDescent="0.35">
      <c r="A9" t="s">
        <v>139</v>
      </c>
      <c r="B9" t="s">
        <v>99</v>
      </c>
      <c r="C9" t="s">
        <v>587</v>
      </c>
      <c r="D9" t="s">
        <v>574</v>
      </c>
    </row>
    <row r="12" spans="1:15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5 16384:16384" x14ac:dyDescent="0.3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15 16384:16384" x14ac:dyDescent="0.35">
      <c r="A14" s="18" t="s">
        <v>104</v>
      </c>
      <c r="B14" s="18">
        <v>124</v>
      </c>
      <c r="C14" s="18">
        <v>9</v>
      </c>
      <c r="D14" s="18">
        <f t="shared" si="0"/>
        <v>4.2661290322580649</v>
      </c>
      <c r="E14" s="18">
        <v>529</v>
      </c>
      <c r="F14" s="18">
        <f t="shared" si="1"/>
        <v>7.2580645161290328E-2</v>
      </c>
      <c r="G14" s="32">
        <v>2.3273733406281498</v>
      </c>
      <c r="I14" s="18" t="s">
        <v>104</v>
      </c>
      <c r="J14" s="18">
        <v>124</v>
      </c>
      <c r="K14" s="18">
        <v>9</v>
      </c>
      <c r="L14" s="18">
        <f t="shared" si="2"/>
        <v>4.2661290322580649</v>
      </c>
      <c r="M14" s="18">
        <v>529</v>
      </c>
      <c r="N14" s="18">
        <f t="shared" si="3"/>
        <v>7.2580645161290328E-2</v>
      </c>
    </row>
    <row r="15" spans="1:15 16384:16384" x14ac:dyDescent="0.35">
      <c r="A15" s="18" t="s">
        <v>31</v>
      </c>
      <c r="B15" s="18">
        <v>245</v>
      </c>
      <c r="C15" s="18">
        <v>18</v>
      </c>
      <c r="D15" s="18">
        <f t="shared" si="0"/>
        <v>5.0816326530612246</v>
      </c>
      <c r="E15" s="18">
        <v>1245</v>
      </c>
      <c r="F15" s="18">
        <f t="shared" si="1"/>
        <v>7.3469387755102047E-2</v>
      </c>
      <c r="G15" s="32">
        <v>1.87082869338697</v>
      </c>
      <c r="I15" s="18" t="s">
        <v>31</v>
      </c>
      <c r="J15" s="18">
        <v>245</v>
      </c>
      <c r="K15" s="18">
        <v>18</v>
      </c>
      <c r="L15" s="18">
        <f t="shared" si="2"/>
        <v>5.0816326530612246</v>
      </c>
      <c r="M15" s="18">
        <v>1245</v>
      </c>
      <c r="N15" s="18">
        <f t="shared" si="3"/>
        <v>7.3469387755102047E-2</v>
      </c>
    </row>
    <row r="16" spans="1:15 16384:16384" x14ac:dyDescent="0.3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14" x14ac:dyDescent="0.35">
      <c r="A17" s="18" t="s">
        <v>128</v>
      </c>
      <c r="B17" s="18">
        <v>110</v>
      </c>
      <c r="C17" s="18">
        <v>34</v>
      </c>
      <c r="D17" s="18">
        <f t="shared" si="0"/>
        <v>3.2363636363636363</v>
      </c>
      <c r="E17" s="18">
        <v>356</v>
      </c>
      <c r="F17" s="18">
        <f t="shared" si="1"/>
        <v>0.30909090909090908</v>
      </c>
      <c r="G17" s="32">
        <v>2.03049835952651</v>
      </c>
      <c r="I17" s="18" t="s">
        <v>128</v>
      </c>
      <c r="J17" s="18">
        <v>110</v>
      </c>
      <c r="K17" s="18">
        <v>34</v>
      </c>
      <c r="L17" s="18">
        <f t="shared" si="4"/>
        <v>3.2363636363636363</v>
      </c>
      <c r="M17" s="18">
        <v>356</v>
      </c>
      <c r="N17" s="18">
        <f t="shared" si="5"/>
        <v>0.30909090909090908</v>
      </c>
    </row>
    <row r="18" spans="1:14" x14ac:dyDescent="0.3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" si="6">M18/J18</f>
        <v>4.4285714285714288</v>
      </c>
      <c r="M18" s="18">
        <v>217</v>
      </c>
      <c r="N18" s="18">
        <f t="shared" ref="N18" si="7">K18/J18</f>
        <v>0.12244897959183673</v>
      </c>
    </row>
    <row r="19" spans="1:14" x14ac:dyDescent="0.35">
      <c r="A19" t="s">
        <v>37</v>
      </c>
      <c r="B19">
        <v>27</v>
      </c>
      <c r="C19">
        <v>2</v>
      </c>
      <c r="D19">
        <f t="shared" si="0"/>
        <v>5.0370370370370372</v>
      </c>
      <c r="E19">
        <v>136</v>
      </c>
      <c r="F19">
        <f t="shared" si="1"/>
        <v>7.407407407407407E-2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8">M20/J20</f>
        <v>5.6</v>
      </c>
      <c r="M20" s="73">
        <v>168</v>
      </c>
      <c r="N20" s="73">
        <f t="shared" ref="N20" si="9">K20/J20</f>
        <v>0.1</v>
      </c>
    </row>
    <row r="21" spans="1:14" x14ac:dyDescent="0.3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36</v>
      </c>
      <c r="K22" s="18">
        <v>3</v>
      </c>
      <c r="L22" s="18">
        <f t="shared" ref="L22:L23" si="10">M22/J22</f>
        <v>4.9444444444444446</v>
      </c>
      <c r="M22" s="18">
        <v>178</v>
      </c>
      <c r="N22" s="18">
        <f t="shared" ref="N22:N23" si="11">K22/J22</f>
        <v>8.3333333333333329E-2</v>
      </c>
    </row>
    <row r="23" spans="1:14" x14ac:dyDescent="0.35">
      <c r="A23" s="18" t="s">
        <v>19</v>
      </c>
      <c r="B23" s="18">
        <v>36</v>
      </c>
      <c r="C23" s="18">
        <v>3</v>
      </c>
      <c r="D23" s="18">
        <f t="shared" si="0"/>
        <v>4.9444444444444446</v>
      </c>
      <c r="E23" s="18">
        <v>178</v>
      </c>
      <c r="F23" s="18">
        <f t="shared" si="1"/>
        <v>8.3333333333333329E-2</v>
      </c>
      <c r="G23" s="32">
        <v>2.3299294900428702</v>
      </c>
      <c r="I23" s="18" t="s">
        <v>25</v>
      </c>
      <c r="J23" s="18">
        <v>213</v>
      </c>
      <c r="K23" s="18">
        <v>21</v>
      </c>
      <c r="L23" s="18">
        <f t="shared" si="10"/>
        <v>5.070422535211268</v>
      </c>
      <c r="M23" s="18">
        <v>1080</v>
      </c>
      <c r="N23" s="18">
        <f t="shared" si="11"/>
        <v>9.8591549295774641E-2</v>
      </c>
    </row>
    <row r="24" spans="1:14" x14ac:dyDescent="0.35">
      <c r="A24" t="s">
        <v>56</v>
      </c>
      <c r="B24">
        <v>24</v>
      </c>
      <c r="C24">
        <v>0</v>
      </c>
      <c r="D24">
        <f t="shared" si="0"/>
        <v>5.125</v>
      </c>
      <c r="E24">
        <v>123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2">M24/J24</f>
        <v>5.5333333333333332</v>
      </c>
      <c r="M24" s="18">
        <v>166</v>
      </c>
      <c r="N24" s="18">
        <f t="shared" ref="N24:N26" si="13">K24/J24</f>
        <v>6.6666666666666666E-2</v>
      </c>
    </row>
    <row r="25" spans="1:14" x14ac:dyDescent="0.3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129</v>
      </c>
      <c r="K25" s="18">
        <v>27</v>
      </c>
      <c r="L25" s="18">
        <f t="shared" si="12"/>
        <v>3.6821705426356588</v>
      </c>
      <c r="M25" s="18">
        <v>475</v>
      </c>
      <c r="N25" s="18">
        <f t="shared" si="13"/>
        <v>0.20930232558139536</v>
      </c>
    </row>
    <row r="26" spans="1:14" x14ac:dyDescent="0.3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163</v>
      </c>
      <c r="K26" s="18">
        <v>20</v>
      </c>
      <c r="L26" s="18">
        <f t="shared" si="12"/>
        <v>4.96319018404908</v>
      </c>
      <c r="M26" s="18">
        <v>809</v>
      </c>
      <c r="N26" s="18">
        <f t="shared" si="13"/>
        <v>0.12269938650306748</v>
      </c>
    </row>
    <row r="27" spans="1:14" x14ac:dyDescent="0.35">
      <c r="A27" s="18" t="s">
        <v>25</v>
      </c>
      <c r="B27" s="18">
        <v>213</v>
      </c>
      <c r="C27" s="18">
        <v>21</v>
      </c>
      <c r="D27" s="18">
        <f t="shared" si="0"/>
        <v>5.070422535211268</v>
      </c>
      <c r="E27" s="18">
        <v>1080</v>
      </c>
      <c r="F27" s="18">
        <f t="shared" si="1"/>
        <v>9.8591549295774641E-2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4">M27/J27</f>
        <v>4.3</v>
      </c>
      <c r="M27" s="18">
        <v>129</v>
      </c>
      <c r="N27" s="18">
        <f t="shared" ref="N27:N28" si="15">K27/J27</f>
        <v>3.3333333333333333E-2</v>
      </c>
    </row>
    <row r="28" spans="1:14" x14ac:dyDescent="0.3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81</v>
      </c>
      <c r="K28" s="18">
        <v>6</v>
      </c>
      <c r="L28" s="18">
        <f t="shared" si="14"/>
        <v>5.0864197530864201</v>
      </c>
      <c r="M28" s="18">
        <v>412</v>
      </c>
      <c r="N28" s="18">
        <f t="shared" si="15"/>
        <v>7.407407407407407E-2</v>
      </c>
    </row>
    <row r="29" spans="1:14" x14ac:dyDescent="0.35">
      <c r="A29" s="18" t="s">
        <v>147</v>
      </c>
      <c r="B29" s="18">
        <v>129</v>
      </c>
      <c r="C29" s="18">
        <v>27</v>
      </c>
      <c r="D29" s="18">
        <f t="shared" si="0"/>
        <v>3.6821705426356588</v>
      </c>
      <c r="E29" s="18">
        <v>475</v>
      </c>
      <c r="F29" s="18">
        <f t="shared" si="1"/>
        <v>0.20930232558139536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6">M29/J29</f>
        <v>4.5333333333333332</v>
      </c>
      <c r="M29" s="18">
        <v>136</v>
      </c>
      <c r="N29" s="18">
        <f t="shared" ref="N29" si="17">K29/J29</f>
        <v>0</v>
      </c>
    </row>
    <row r="30" spans="1:14" x14ac:dyDescent="0.35">
      <c r="A30" s="18" t="s">
        <v>87</v>
      </c>
      <c r="B30" s="18">
        <v>163</v>
      </c>
      <c r="C30" s="18">
        <v>20</v>
      </c>
      <c r="D30" s="18">
        <f t="shared" si="0"/>
        <v>4.96319018404908</v>
      </c>
      <c r="E30" s="18">
        <v>809</v>
      </c>
      <c r="F30" s="18">
        <f t="shared" si="1"/>
        <v>0.12269938650306748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8">M30/J30</f>
        <v>4.166666666666667</v>
      </c>
      <c r="M30" s="18">
        <v>125</v>
      </c>
      <c r="N30" s="18">
        <f t="shared" ref="N30" si="19">K30/J30</f>
        <v>0.2</v>
      </c>
    </row>
    <row r="31" spans="1:14" x14ac:dyDescent="0.3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35">
      <c r="A32" s="18" t="s">
        <v>81</v>
      </c>
      <c r="B32" s="18">
        <v>81</v>
      </c>
      <c r="C32" s="18">
        <v>6</v>
      </c>
      <c r="D32" s="18">
        <f t="shared" si="0"/>
        <v>5.0864197530864201</v>
      </c>
      <c r="E32" s="18">
        <v>412</v>
      </c>
      <c r="F32" s="18">
        <f t="shared" si="1"/>
        <v>7.407407407407407E-2</v>
      </c>
      <c r="G32" s="32">
        <v>1.76776695296636</v>
      </c>
      <c r="I32" s="18" t="s">
        <v>117</v>
      </c>
      <c r="J32" s="18">
        <v>32</v>
      </c>
      <c r="K32" s="18">
        <v>6</v>
      </c>
      <c r="L32" s="18">
        <f t="shared" ref="L32:L34" si="20">M32/J32</f>
        <v>4.25</v>
      </c>
      <c r="M32" s="18">
        <v>136</v>
      </c>
      <c r="N32" s="18">
        <f t="shared" ref="N32:N34" si="21">K32/J32</f>
        <v>0.1875</v>
      </c>
    </row>
    <row r="33" spans="1:14" x14ac:dyDescent="0.3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67</v>
      </c>
      <c r="K33" s="18">
        <v>3</v>
      </c>
      <c r="L33" s="18">
        <f t="shared" si="20"/>
        <v>5.4776119402985071</v>
      </c>
      <c r="M33" s="18">
        <v>367</v>
      </c>
      <c r="N33" s="18">
        <f t="shared" si="21"/>
        <v>4.4776119402985072E-2</v>
      </c>
    </row>
    <row r="34" spans="1:14" x14ac:dyDescent="0.3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263</v>
      </c>
      <c r="K34" s="18">
        <v>38</v>
      </c>
      <c r="L34" s="18">
        <f t="shared" si="20"/>
        <v>4.6197718631178706</v>
      </c>
      <c r="M34" s="18">
        <v>1215</v>
      </c>
      <c r="N34" s="18">
        <f t="shared" si="21"/>
        <v>0.14448669201520911</v>
      </c>
    </row>
    <row r="35" spans="1:14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35">
      <c r="A36" s="18" t="s">
        <v>117</v>
      </c>
      <c r="B36" s="18">
        <v>32</v>
      </c>
      <c r="C36" s="18">
        <v>6</v>
      </c>
      <c r="D36" s="18">
        <f t="shared" si="0"/>
        <v>4.25</v>
      </c>
      <c r="E36" s="18">
        <v>136</v>
      </c>
      <c r="F36" s="18">
        <f t="shared" si="1"/>
        <v>0.1875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 t="shared" ref="L36" si="22">M36/J36</f>
        <v>3.9452054794520546</v>
      </c>
      <c r="M36" s="18">
        <v>288</v>
      </c>
      <c r="N36" s="18">
        <f t="shared" ref="N36" si="23">K36/J36</f>
        <v>0.17808219178082191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63</v>
      </c>
      <c r="J37" s="18">
        <v>30</v>
      </c>
      <c r="K37" s="18">
        <v>5</v>
      </c>
      <c r="L37" s="18">
        <f t="shared" ref="L37" si="24">M37/J37</f>
        <v>4.2333333333333334</v>
      </c>
      <c r="M37" s="18">
        <v>127</v>
      </c>
      <c r="N37" s="18">
        <f t="shared" ref="N37" si="25">K37/J37</f>
        <v>0.16666666666666666</v>
      </c>
    </row>
    <row r="38" spans="1:14" x14ac:dyDescent="0.35">
      <c r="A38" s="18" t="s">
        <v>401</v>
      </c>
      <c r="B38" s="18">
        <v>67</v>
      </c>
      <c r="C38" s="18">
        <v>3</v>
      </c>
      <c r="D38" s="18">
        <f t="shared" si="0"/>
        <v>5.4776119402985071</v>
      </c>
      <c r="E38" s="18">
        <v>367</v>
      </c>
      <c r="F38" s="18">
        <f t="shared" si="1"/>
        <v>4.4776119402985072E-2</v>
      </c>
      <c r="G38" s="32">
        <v>2.1248885888797799</v>
      </c>
      <c r="I38" s="18" t="s">
        <v>4</v>
      </c>
      <c r="J38" s="18">
        <v>30</v>
      </c>
      <c r="K38" s="18">
        <v>4</v>
      </c>
      <c r="L38" s="18">
        <f t="shared" ref="L38:L42" si="26">M38/J38</f>
        <v>4.8</v>
      </c>
      <c r="M38" s="18">
        <v>144</v>
      </c>
      <c r="N38" s="18">
        <f t="shared" ref="N38:N42" si="27">K38/J38</f>
        <v>0.13333333333333333</v>
      </c>
    </row>
    <row r="39" spans="1:14" x14ac:dyDescent="0.35">
      <c r="A39" s="18" t="s">
        <v>15</v>
      </c>
      <c r="B39" s="18">
        <v>263</v>
      </c>
      <c r="C39" s="18">
        <v>38</v>
      </c>
      <c r="D39" s="18">
        <f t="shared" si="0"/>
        <v>4.6197718631178706</v>
      </c>
      <c r="E39" s="18">
        <v>1215</v>
      </c>
      <c r="F39" s="18">
        <f t="shared" si="1"/>
        <v>0.14448669201520911</v>
      </c>
      <c r="G39" s="32">
        <v>2.3694389634605302</v>
      </c>
      <c r="I39" s="18" t="s">
        <v>121</v>
      </c>
      <c r="J39" s="18">
        <v>101</v>
      </c>
      <c r="K39" s="18">
        <v>22</v>
      </c>
      <c r="L39" s="18">
        <f t="shared" si="26"/>
        <v>3.8811881188118811</v>
      </c>
      <c r="M39" s="18">
        <v>392</v>
      </c>
      <c r="N39" s="18">
        <f t="shared" si="27"/>
        <v>0.21782178217821782</v>
      </c>
    </row>
    <row r="40" spans="1:14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232</v>
      </c>
      <c r="J40" s="18">
        <v>149</v>
      </c>
      <c r="K40" s="18">
        <v>30</v>
      </c>
      <c r="L40" s="18">
        <f t="shared" si="26"/>
        <v>3.6174496644295302</v>
      </c>
      <c r="M40" s="18">
        <v>539</v>
      </c>
      <c r="N40" s="18">
        <f t="shared" si="27"/>
        <v>0.20134228187919462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21</v>
      </c>
      <c r="J41" s="18">
        <v>173</v>
      </c>
      <c r="K41" s="18">
        <v>25</v>
      </c>
      <c r="L41" s="18">
        <f t="shared" si="26"/>
        <v>4.3179190751445082</v>
      </c>
      <c r="M41" s="18">
        <v>747</v>
      </c>
      <c r="N41" s="18">
        <f t="shared" si="27"/>
        <v>0.14450867052023122</v>
      </c>
    </row>
    <row r="42" spans="1:14" x14ac:dyDescent="0.3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51</v>
      </c>
      <c r="J42" s="18">
        <v>47</v>
      </c>
      <c r="K42" s="18">
        <v>4</v>
      </c>
      <c r="L42" s="18">
        <f t="shared" si="26"/>
        <v>4.8085106382978724</v>
      </c>
      <c r="M42" s="18">
        <v>226</v>
      </c>
      <c r="N42" s="18">
        <f t="shared" si="27"/>
        <v>8.5106382978723402E-2</v>
      </c>
    </row>
    <row r="43" spans="1:14" x14ac:dyDescent="0.3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414</v>
      </c>
      <c r="J43" s="18">
        <v>30</v>
      </c>
      <c r="K43" s="18">
        <v>4</v>
      </c>
      <c r="L43" s="18">
        <f t="shared" ref="L43" si="28">M43/J43</f>
        <v>4.6333333333333337</v>
      </c>
      <c r="M43" s="18">
        <v>139</v>
      </c>
      <c r="N43" s="18">
        <f t="shared" ref="N43" si="29">K43/J43</f>
        <v>0.13333333333333333</v>
      </c>
    </row>
    <row r="44" spans="1:14" x14ac:dyDescent="0.35">
      <c r="A44" s="18" t="s">
        <v>121</v>
      </c>
      <c r="B44" s="18">
        <v>101</v>
      </c>
      <c r="C44" s="18">
        <v>22</v>
      </c>
      <c r="D44" s="18">
        <f t="shared" si="0"/>
        <v>3.8811881188118811</v>
      </c>
      <c r="E44" s="18">
        <v>392</v>
      </c>
      <c r="F44" s="18">
        <f t="shared" si="1"/>
        <v>0.21782178217821782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>M44/J44</f>
        <v>4.1547619047619051</v>
      </c>
      <c r="M44" s="18">
        <v>349</v>
      </c>
      <c r="N44" s="18">
        <f>K44/J44</f>
        <v>0.16666666666666666</v>
      </c>
    </row>
    <row r="45" spans="1:14" x14ac:dyDescent="0.35">
      <c r="A45" s="18" t="s">
        <v>232</v>
      </c>
      <c r="B45" s="18">
        <v>149</v>
      </c>
      <c r="C45" s="18">
        <v>30</v>
      </c>
      <c r="D45" s="18">
        <f t="shared" si="0"/>
        <v>3.6174496644295302</v>
      </c>
      <c r="E45" s="18">
        <v>539</v>
      </c>
      <c r="F45" s="18">
        <f t="shared" si="1"/>
        <v>0.20134228187919462</v>
      </c>
      <c r="G45" s="32">
        <v>2.2509257354845502</v>
      </c>
      <c r="I45" s="18" t="s">
        <v>1</v>
      </c>
      <c r="J45" s="18">
        <v>113</v>
      </c>
      <c r="K45" s="18">
        <v>6</v>
      </c>
      <c r="L45" s="18">
        <f t="shared" ref="L45:L49" si="30">M45/J45</f>
        <v>4.610619469026549</v>
      </c>
      <c r="M45" s="18">
        <v>521</v>
      </c>
      <c r="N45" s="18">
        <f t="shared" ref="N45:N48" si="31">K45/J45</f>
        <v>5.3097345132743362E-2</v>
      </c>
    </row>
    <row r="46" spans="1:14" x14ac:dyDescent="0.35">
      <c r="A46" s="18" t="s">
        <v>21</v>
      </c>
      <c r="B46" s="18">
        <v>173</v>
      </c>
      <c r="C46" s="18">
        <v>25</v>
      </c>
      <c r="D46" s="18">
        <f t="shared" si="0"/>
        <v>4.3179190751445082</v>
      </c>
      <c r="E46" s="18">
        <v>747</v>
      </c>
      <c r="F46" s="18">
        <f t="shared" si="1"/>
        <v>0.14450867052023122</v>
      </c>
      <c r="G46" s="32">
        <v>2.0655911179772799</v>
      </c>
      <c r="I46" s="18" t="s">
        <v>28</v>
      </c>
      <c r="J46" s="18">
        <v>69</v>
      </c>
      <c r="K46" s="18">
        <v>2</v>
      </c>
      <c r="L46" s="18">
        <f t="shared" si="30"/>
        <v>5.4637681159420293</v>
      </c>
      <c r="M46" s="18">
        <v>377</v>
      </c>
      <c r="N46" s="18">
        <f t="shared" si="31"/>
        <v>2.8985507246376812E-2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253</v>
      </c>
      <c r="J47" s="18">
        <v>47</v>
      </c>
      <c r="K47" s="18">
        <v>3</v>
      </c>
      <c r="L47" s="18">
        <f t="shared" si="30"/>
        <v>5.3404255319148932</v>
      </c>
      <c r="M47" s="18">
        <v>251</v>
      </c>
      <c r="N47" s="18">
        <f t="shared" si="31"/>
        <v>6.3829787234042548E-2</v>
      </c>
    </row>
    <row r="48" spans="1:14" x14ac:dyDescent="0.3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175</v>
      </c>
      <c r="J48" s="18">
        <v>52</v>
      </c>
      <c r="K48" s="18">
        <v>14</v>
      </c>
      <c r="L48" s="18">
        <f t="shared" si="30"/>
        <v>3.25</v>
      </c>
      <c r="M48" s="18">
        <v>169</v>
      </c>
      <c r="N48" s="18">
        <f t="shared" si="31"/>
        <v>0.26923076923076922</v>
      </c>
    </row>
    <row r="49" spans="1:14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57</v>
      </c>
      <c r="K49" s="18">
        <v>10</v>
      </c>
      <c r="L49" s="18">
        <f t="shared" si="30"/>
        <v>4.6140350877192979</v>
      </c>
      <c r="M49" s="18">
        <v>263</v>
      </c>
      <c r="N49" s="18">
        <f>K49/J49</f>
        <v>0.17543859649122806</v>
      </c>
    </row>
    <row r="50" spans="1:14" x14ac:dyDescent="0.35">
      <c r="A50" s="18" t="s">
        <v>1</v>
      </c>
      <c r="B50" s="18">
        <v>113</v>
      </c>
      <c r="C50" s="18">
        <v>6</v>
      </c>
      <c r="D50" s="18">
        <f t="shared" si="0"/>
        <v>4.610619469026549</v>
      </c>
      <c r="E50" s="18">
        <v>521</v>
      </c>
      <c r="F50" s="18">
        <f t="shared" si="1"/>
        <v>5.3097345132743362E-2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ref="L50:L51" si="32">M50/J50</f>
        <v>4.384615384615385</v>
      </c>
      <c r="M50" s="18">
        <v>171</v>
      </c>
      <c r="N50" s="18">
        <f t="shared" ref="N50:N51" si="33">K50/J50</f>
        <v>7.6923076923076927E-2</v>
      </c>
    </row>
    <row r="51" spans="1:14" x14ac:dyDescent="0.35">
      <c r="A51" s="18" t="s">
        <v>28</v>
      </c>
      <c r="B51" s="18">
        <v>69</v>
      </c>
      <c r="C51" s="18">
        <v>2</v>
      </c>
      <c r="D51" s="18">
        <f t="shared" si="0"/>
        <v>5.4637681159420293</v>
      </c>
      <c r="E51" s="18">
        <v>377</v>
      </c>
      <c r="F51" s="18">
        <f t="shared" si="1"/>
        <v>2.8985507246376812E-2</v>
      </c>
      <c r="G51" s="32">
        <v>1.30384048104052</v>
      </c>
      <c r="I51" s="18" t="s">
        <v>24</v>
      </c>
      <c r="J51" s="18">
        <v>101</v>
      </c>
      <c r="K51" s="18">
        <v>12</v>
      </c>
      <c r="L51" s="18">
        <f t="shared" si="32"/>
        <v>4.5247524752475243</v>
      </c>
      <c r="M51" s="18">
        <v>457</v>
      </c>
      <c r="N51" s="18">
        <f t="shared" si="33"/>
        <v>0.11881188118811881</v>
      </c>
    </row>
    <row r="52" spans="1:14" x14ac:dyDescent="0.35">
      <c r="A52" s="18" t="s">
        <v>253</v>
      </c>
      <c r="B52" s="18">
        <v>47</v>
      </c>
      <c r="C52" s="18">
        <v>3</v>
      </c>
      <c r="D52" s="18">
        <f t="shared" si="0"/>
        <v>5.3404255319148932</v>
      </c>
      <c r="E52" s="18">
        <v>251</v>
      </c>
      <c r="F52" s="18">
        <f t="shared" si="1"/>
        <v>6.3829787234042548E-2</v>
      </c>
      <c r="G52" s="32"/>
      <c r="I52" s="18" t="s">
        <v>116</v>
      </c>
      <c r="J52" s="18">
        <v>30</v>
      </c>
      <c r="K52" s="18">
        <v>5</v>
      </c>
      <c r="L52" s="18">
        <f t="shared" ref="L52" si="34">M52/J52</f>
        <v>4.0666666666666664</v>
      </c>
      <c r="M52" s="18">
        <v>122</v>
      </c>
      <c r="N52" s="18">
        <f t="shared" ref="N52" si="35">K52/J52</f>
        <v>0.16666666666666666</v>
      </c>
    </row>
    <row r="53" spans="1:14" x14ac:dyDescent="0.35">
      <c r="A53" s="18" t="s">
        <v>175</v>
      </c>
      <c r="B53" s="18">
        <v>52</v>
      </c>
      <c r="C53" s="18">
        <v>14</v>
      </c>
      <c r="D53" s="18">
        <f t="shared" si="0"/>
        <v>3.25</v>
      </c>
      <c r="E53" s="18">
        <v>169</v>
      </c>
      <c r="F53" s="18">
        <f t="shared" si="1"/>
        <v>0.26923076923076922</v>
      </c>
      <c r="G53" s="32">
        <v>2</v>
      </c>
      <c r="I53" s="18" t="s">
        <v>5</v>
      </c>
      <c r="J53" s="18">
        <v>31</v>
      </c>
      <c r="K53" s="18">
        <v>1</v>
      </c>
      <c r="L53" s="18">
        <f t="shared" ref="L53" si="36">M53/J53</f>
        <v>4.612903225806452</v>
      </c>
      <c r="M53" s="18">
        <v>143</v>
      </c>
      <c r="N53" s="18">
        <f t="shared" ref="N53" si="37">K53/J53</f>
        <v>3.2258064516129031E-2</v>
      </c>
    </row>
    <row r="54" spans="1:14" x14ac:dyDescent="0.35">
      <c r="A54" s="18" t="s">
        <v>61</v>
      </c>
      <c r="B54" s="18">
        <v>57</v>
      </c>
      <c r="C54" s="18">
        <v>10</v>
      </c>
      <c r="D54" s="18">
        <f t="shared" si="0"/>
        <v>4.6140350877192979</v>
      </c>
      <c r="E54" s="18">
        <v>263</v>
      </c>
      <c r="F54" s="18">
        <f>C54/B54</f>
        <v>0.17543859649122806</v>
      </c>
      <c r="G54" s="32">
        <v>3.2403703492039302</v>
      </c>
      <c r="I54" s="18" t="s">
        <v>58</v>
      </c>
      <c r="J54" s="18">
        <v>30</v>
      </c>
      <c r="K54" s="18">
        <v>6</v>
      </c>
      <c r="L54" s="18">
        <f t="shared" ref="L54:L56" si="38">M54/J54</f>
        <v>3.7</v>
      </c>
      <c r="M54" s="18">
        <v>111</v>
      </c>
      <c r="N54" s="18">
        <f t="shared" ref="N54:N56" si="39">K54/J54</f>
        <v>0.2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30</v>
      </c>
      <c r="J55" s="18">
        <v>63</v>
      </c>
      <c r="K55" s="18">
        <v>5</v>
      </c>
      <c r="L55" s="18">
        <f t="shared" si="38"/>
        <v>5.1428571428571432</v>
      </c>
      <c r="M55" s="18">
        <v>324</v>
      </c>
      <c r="N55" s="18">
        <f t="shared" si="39"/>
        <v>7.9365079365079361E-2</v>
      </c>
    </row>
    <row r="56" spans="1:14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29</v>
      </c>
      <c r="J56" s="18">
        <v>129</v>
      </c>
      <c r="K56" s="18">
        <v>18</v>
      </c>
      <c r="L56" s="18">
        <f t="shared" si="38"/>
        <v>3.9922480620155039</v>
      </c>
      <c r="M56" s="18">
        <v>515</v>
      </c>
      <c r="N56" s="18">
        <f t="shared" si="39"/>
        <v>0.13953488372093023</v>
      </c>
    </row>
    <row r="57" spans="1:14" x14ac:dyDescent="0.3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148</v>
      </c>
      <c r="J57" s="18">
        <v>42</v>
      </c>
      <c r="K57" s="18">
        <v>8</v>
      </c>
      <c r="L57" s="18">
        <f t="shared" ref="L57" si="40">M57/J57</f>
        <v>3.7380952380952381</v>
      </c>
      <c r="M57" s="18">
        <v>157</v>
      </c>
      <c r="N57" s="18">
        <f t="shared" ref="N57" si="41">K57/J57</f>
        <v>0.19047619047619047</v>
      </c>
    </row>
    <row r="58" spans="1:14" x14ac:dyDescent="0.3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9</v>
      </c>
      <c r="J58" s="18">
        <v>30</v>
      </c>
      <c r="K58" s="18">
        <v>3</v>
      </c>
      <c r="L58" s="18">
        <f t="shared" ref="L58" si="42">M58/J58</f>
        <v>3.8</v>
      </c>
      <c r="M58" s="18">
        <v>114</v>
      </c>
      <c r="N58" s="18">
        <f t="shared" ref="N58" si="43">K58/J58</f>
        <v>0.1</v>
      </c>
    </row>
    <row r="59" spans="1:14" x14ac:dyDescent="0.3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139</v>
      </c>
      <c r="J59" s="18">
        <v>30</v>
      </c>
      <c r="K59" s="18">
        <v>4</v>
      </c>
      <c r="L59" s="18">
        <f t="shared" ref="L59" si="44">M59/J59</f>
        <v>4.2666666666666666</v>
      </c>
      <c r="M59" s="18">
        <v>128</v>
      </c>
      <c r="N59" s="18">
        <f t="shared" ref="N59" si="45">K59/J59</f>
        <v>0.13333333333333333</v>
      </c>
    </row>
    <row r="60" spans="1:14" x14ac:dyDescent="0.3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428</v>
      </c>
      <c r="J60" s="18">
        <v>31</v>
      </c>
      <c r="K60" s="18">
        <v>5</v>
      </c>
      <c r="L60" s="18">
        <f>M60/J60</f>
        <v>4.096774193548387</v>
      </c>
      <c r="M60" s="18">
        <v>127</v>
      </c>
      <c r="N60" s="18">
        <f>K60/J60</f>
        <v>0.16129032258064516</v>
      </c>
    </row>
    <row r="61" spans="1:14" x14ac:dyDescent="0.3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17</v>
      </c>
      <c r="J61" s="18">
        <v>30</v>
      </c>
      <c r="K61" s="18">
        <v>2</v>
      </c>
      <c r="L61" s="18">
        <f t="shared" ref="L61" si="46">M61/J61</f>
        <v>5.0999999999999996</v>
      </c>
      <c r="M61" s="18">
        <v>153</v>
      </c>
      <c r="N61" s="18">
        <f t="shared" ref="N61" si="47">K61/J61</f>
        <v>6.6666666666666666E-2</v>
      </c>
    </row>
    <row r="62" spans="1:14" x14ac:dyDescent="0.35">
      <c r="A62" s="18" t="s">
        <v>29</v>
      </c>
      <c r="B62" s="18">
        <v>129</v>
      </c>
      <c r="C62" s="18">
        <v>18</v>
      </c>
      <c r="D62" s="18">
        <f t="shared" si="0"/>
        <v>3.9922480620155039</v>
      </c>
      <c r="E62" s="18">
        <v>515</v>
      </c>
      <c r="F62" s="18">
        <f t="shared" si="1"/>
        <v>0.13953488372093023</v>
      </c>
      <c r="G62" s="32">
        <v>2.0875571218153701</v>
      </c>
      <c r="I62" s="18" t="s">
        <v>79</v>
      </c>
      <c r="J62" s="18">
        <v>54</v>
      </c>
      <c r="K62" s="18">
        <v>6</v>
      </c>
      <c r="L62" s="18">
        <f t="shared" ref="L62:L63" si="48">M62/J62</f>
        <v>4.6296296296296298</v>
      </c>
      <c r="M62" s="18">
        <v>250</v>
      </c>
      <c r="N62" s="18">
        <f t="shared" ref="N62:N63" si="49">K62/J62</f>
        <v>0.1111111111111111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123</v>
      </c>
      <c r="J63" s="18">
        <v>39</v>
      </c>
      <c r="K63" s="18">
        <v>6</v>
      </c>
      <c r="L63" s="18">
        <f t="shared" si="48"/>
        <v>4.3076923076923075</v>
      </c>
      <c r="M63" s="18">
        <v>168</v>
      </c>
      <c r="N63" s="18">
        <f t="shared" si="49"/>
        <v>0.15384615384615385</v>
      </c>
    </row>
    <row r="64" spans="1:14" x14ac:dyDescent="0.3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404</v>
      </c>
      <c r="J64" s="18">
        <v>30</v>
      </c>
      <c r="K64" s="18">
        <v>3</v>
      </c>
      <c r="L64" s="18">
        <f t="shared" ref="L64" si="50">M64/J64</f>
        <v>4.9333333333333336</v>
      </c>
      <c r="M64" s="18">
        <v>148</v>
      </c>
      <c r="N64" s="18">
        <f t="shared" ref="N64" si="51">K64/J64</f>
        <v>0.1</v>
      </c>
    </row>
    <row r="65" spans="1:14" x14ac:dyDescent="0.3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22</v>
      </c>
      <c r="J65" s="18">
        <v>184</v>
      </c>
      <c r="K65" s="18">
        <v>30</v>
      </c>
      <c r="L65" s="18">
        <f>M65/J65</f>
        <v>4.1141304347826084</v>
      </c>
      <c r="M65" s="18">
        <v>757</v>
      </c>
      <c r="N65" s="18">
        <f>K65/J65</f>
        <v>0.16304347826086957</v>
      </c>
    </row>
    <row r="66" spans="1:14" x14ac:dyDescent="0.3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110</v>
      </c>
      <c r="J66" s="18">
        <v>30</v>
      </c>
      <c r="K66" s="18">
        <v>1</v>
      </c>
      <c r="L66" s="18">
        <f>M66/J66</f>
        <v>5.166666666666667</v>
      </c>
      <c r="M66" s="18">
        <v>155</v>
      </c>
      <c r="N66" s="18">
        <f>K66/J66</f>
        <v>3.3333333333333333E-2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33</v>
      </c>
      <c r="J67" s="18">
        <v>66</v>
      </c>
      <c r="K67" s="18">
        <v>4</v>
      </c>
      <c r="L67" s="18">
        <f>M67/J67</f>
        <v>5.5303030303030303</v>
      </c>
      <c r="M67" s="18">
        <v>365</v>
      </c>
      <c r="N67" s="18">
        <f>K67/J67</f>
        <v>6.0606060606060608E-2</v>
      </c>
    </row>
    <row r="68" spans="1:14" x14ac:dyDescent="0.3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129</v>
      </c>
      <c r="J68" s="18">
        <v>45</v>
      </c>
      <c r="K68" s="18">
        <v>8</v>
      </c>
      <c r="L68" s="18">
        <f t="shared" ref="L68:L71" si="52">M68/J68</f>
        <v>4.5555555555555554</v>
      </c>
      <c r="M68" s="18">
        <v>205</v>
      </c>
      <c r="N68" s="18">
        <f t="shared" ref="N68:N71" si="53">K68/J68</f>
        <v>0.17777777777777778</v>
      </c>
    </row>
    <row r="69" spans="1:14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35</v>
      </c>
      <c r="J69" s="18">
        <v>179</v>
      </c>
      <c r="K69" s="18">
        <v>44</v>
      </c>
      <c r="L69" s="18">
        <f t="shared" si="52"/>
        <v>3.558659217877095</v>
      </c>
      <c r="M69" s="18">
        <v>637</v>
      </c>
      <c r="N69" s="18">
        <f t="shared" si="53"/>
        <v>0.24581005586592178</v>
      </c>
    </row>
    <row r="70" spans="1:14" x14ac:dyDescent="0.35">
      <c r="A70" s="18" t="s">
        <v>123</v>
      </c>
      <c r="B70" s="18">
        <v>39</v>
      </c>
      <c r="C70" s="18">
        <v>6</v>
      </c>
      <c r="D70" s="18">
        <f t="shared" si="0"/>
        <v>4.3076923076923075</v>
      </c>
      <c r="E70" s="18">
        <v>168</v>
      </c>
      <c r="F70" s="18">
        <f t="shared" si="1"/>
        <v>0.15384615384615385</v>
      </c>
      <c r="G70" s="32">
        <v>2</v>
      </c>
      <c r="I70" s="18" t="s">
        <v>26</v>
      </c>
      <c r="J70" s="18">
        <v>99</v>
      </c>
      <c r="K70" s="18">
        <v>6</v>
      </c>
      <c r="L70" s="18">
        <f t="shared" si="52"/>
        <v>5.2121212121212119</v>
      </c>
      <c r="M70" s="18">
        <v>516</v>
      </c>
      <c r="N70" s="18">
        <f t="shared" si="53"/>
        <v>6.0606060606060608E-2</v>
      </c>
    </row>
    <row r="71" spans="1:14" x14ac:dyDescent="0.35">
      <c r="A71" t="s">
        <v>12</v>
      </c>
      <c r="B71">
        <v>25</v>
      </c>
      <c r="C71">
        <v>1</v>
      </c>
      <c r="D71">
        <f t="shared" si="0"/>
        <v>4.84</v>
      </c>
      <c r="E71">
        <v>121</v>
      </c>
      <c r="F71">
        <f t="shared" si="1"/>
        <v>0.04</v>
      </c>
      <c r="G71" s="32">
        <v>2.44584195260913</v>
      </c>
      <c r="I71" s="18" t="s">
        <v>122</v>
      </c>
      <c r="J71" s="18">
        <v>141</v>
      </c>
      <c r="K71" s="18">
        <v>19</v>
      </c>
      <c r="L71" s="18">
        <f t="shared" si="52"/>
        <v>3.9858156028368796</v>
      </c>
      <c r="M71" s="18">
        <v>562</v>
      </c>
      <c r="N71" s="18">
        <f t="shared" si="53"/>
        <v>0.13475177304964539</v>
      </c>
    </row>
    <row r="72" spans="1:14" x14ac:dyDescent="0.35">
      <c r="A72" s="18" t="s">
        <v>404</v>
      </c>
      <c r="B72" s="18">
        <v>30</v>
      </c>
      <c r="C72" s="18">
        <v>3</v>
      </c>
      <c r="D72" s="18">
        <f t="shared" si="0"/>
        <v>4.9333333333333336</v>
      </c>
      <c r="E72" s="18">
        <v>148</v>
      </c>
      <c r="F72" s="18">
        <f t="shared" si="1"/>
        <v>0.1</v>
      </c>
      <c r="G72" s="32">
        <v>2.3094010767584998</v>
      </c>
      <c r="I72" s="18" t="s">
        <v>49</v>
      </c>
      <c r="J72" s="18">
        <v>136</v>
      </c>
      <c r="K72" s="18">
        <v>9</v>
      </c>
      <c r="L72" s="18">
        <f t="shared" ref="L72" si="54">M72/J72</f>
        <v>5.1029411764705879</v>
      </c>
      <c r="M72" s="18">
        <v>694</v>
      </c>
      <c r="N72" s="18">
        <f t="shared" ref="N72" si="55">K72/J72</f>
        <v>6.6176470588235295E-2</v>
      </c>
    </row>
    <row r="73" spans="1:14" x14ac:dyDescent="0.3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</v>
      </c>
      <c r="J73" s="18">
        <v>48</v>
      </c>
      <c r="K73" s="18">
        <v>7</v>
      </c>
      <c r="L73" s="18">
        <f>M73/J73</f>
        <v>4.229166666666667</v>
      </c>
      <c r="M73" s="18">
        <v>203</v>
      </c>
      <c r="N73" s="18">
        <f>K73/J73</f>
        <v>0.14583333333333334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124</v>
      </c>
      <c r="J74" s="18">
        <v>31</v>
      </c>
      <c r="K74" s="18">
        <v>1</v>
      </c>
      <c r="L74" s="18">
        <f>M74/J74</f>
        <v>4.935483870967742</v>
      </c>
      <c r="M74" s="18">
        <v>153</v>
      </c>
      <c r="N74" s="18">
        <f>K74/J74</f>
        <v>3.2258064516129031E-2</v>
      </c>
    </row>
    <row r="75" spans="1:14" x14ac:dyDescent="0.3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</row>
    <row r="76" spans="1:14" x14ac:dyDescent="0.35">
      <c r="A76" t="s">
        <v>82</v>
      </c>
      <c r="B76">
        <v>27</v>
      </c>
      <c r="C76">
        <v>0</v>
      </c>
      <c r="D76">
        <f t="shared" ref="D76:D91" si="56">E76/B76</f>
        <v>5.2962962962962967</v>
      </c>
      <c r="E76">
        <v>143</v>
      </c>
      <c r="F76">
        <f>C76/B76</f>
        <v>0</v>
      </c>
      <c r="G76" s="32">
        <v>2</v>
      </c>
    </row>
    <row r="77" spans="1:14" x14ac:dyDescent="0.35">
      <c r="A77" s="18" t="s">
        <v>33</v>
      </c>
      <c r="B77" s="18">
        <v>66</v>
      </c>
      <c r="C77" s="18">
        <v>4</v>
      </c>
      <c r="D77" s="18">
        <f t="shared" si="56"/>
        <v>5.5303030303030303</v>
      </c>
      <c r="E77" s="18">
        <v>365</v>
      </c>
      <c r="F77" s="18">
        <f t="shared" ref="F77:F91" si="57">C77/B77</f>
        <v>6.0606060606060608E-2</v>
      </c>
      <c r="G77" s="32">
        <v>2.14993539954627</v>
      </c>
    </row>
    <row r="78" spans="1:14" x14ac:dyDescent="0.35">
      <c r="A78" t="s">
        <v>99</v>
      </c>
      <c r="B78">
        <v>27</v>
      </c>
      <c r="C78">
        <v>2</v>
      </c>
      <c r="D78">
        <f t="shared" si="56"/>
        <v>5.1481481481481479</v>
      </c>
      <c r="E78">
        <v>139</v>
      </c>
      <c r="F78">
        <f t="shared" si="57"/>
        <v>7.407407407407407E-2</v>
      </c>
      <c r="G78" s="32">
        <v>2.6687491868330699</v>
      </c>
    </row>
    <row r="79" spans="1:14" x14ac:dyDescent="0.35">
      <c r="A79" t="s">
        <v>7</v>
      </c>
      <c r="B79">
        <v>20</v>
      </c>
      <c r="C79">
        <v>4</v>
      </c>
      <c r="D79">
        <f t="shared" si="56"/>
        <v>4.0999999999999996</v>
      </c>
      <c r="E79">
        <v>82</v>
      </c>
      <c r="F79">
        <f t="shared" si="57"/>
        <v>0.2</v>
      </c>
      <c r="G79" s="32">
        <v>2.7888667551135802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56"/>
        <v>4</v>
      </c>
      <c r="E80" s="41">
        <v>20</v>
      </c>
      <c r="F80" s="41">
        <f t="shared" si="57"/>
        <v>0.2</v>
      </c>
      <c r="G80" s="32">
        <v>2.2173557826083399</v>
      </c>
    </row>
    <row r="81" spans="1:7" x14ac:dyDescent="0.35">
      <c r="A81" s="41" t="s">
        <v>137</v>
      </c>
      <c r="B81" s="41">
        <v>11</v>
      </c>
      <c r="C81" s="41">
        <v>1</v>
      </c>
      <c r="D81" s="41">
        <f t="shared" si="56"/>
        <v>4.1818181818181817</v>
      </c>
      <c r="E81" s="41">
        <v>46</v>
      </c>
      <c r="F81" s="41">
        <f t="shared" si="57"/>
        <v>9.0909090909090912E-2</v>
      </c>
      <c r="G81" s="32">
        <v>1.8618986725025199</v>
      </c>
    </row>
    <row r="82" spans="1:7" x14ac:dyDescent="0.35">
      <c r="A82" s="18" t="s">
        <v>129</v>
      </c>
      <c r="B82" s="18">
        <v>45</v>
      </c>
      <c r="C82" s="18">
        <v>8</v>
      </c>
      <c r="D82" s="18">
        <f t="shared" si="56"/>
        <v>4.5555555555555554</v>
      </c>
      <c r="E82" s="18">
        <v>205</v>
      </c>
      <c r="F82" s="18">
        <f t="shared" si="57"/>
        <v>0.17777777777777778</v>
      </c>
      <c r="G82" s="32">
        <v>2.1315096371664199</v>
      </c>
    </row>
    <row r="83" spans="1:7" x14ac:dyDescent="0.35">
      <c r="A83" t="s">
        <v>113</v>
      </c>
      <c r="B83">
        <v>27</v>
      </c>
      <c r="C83">
        <v>0</v>
      </c>
      <c r="D83">
        <f t="shared" si="56"/>
        <v>4.2592592592592595</v>
      </c>
      <c r="E83">
        <v>115</v>
      </c>
      <c r="F83">
        <f t="shared" si="57"/>
        <v>0</v>
      </c>
      <c r="G83" s="32">
        <v>2.4899799195977401</v>
      </c>
    </row>
    <row r="84" spans="1:7" x14ac:dyDescent="0.35">
      <c r="A84" s="18" t="s">
        <v>35</v>
      </c>
      <c r="B84" s="18">
        <v>179</v>
      </c>
      <c r="C84" s="18">
        <v>44</v>
      </c>
      <c r="D84" s="18">
        <f t="shared" si="56"/>
        <v>3.558659217877095</v>
      </c>
      <c r="E84" s="18">
        <v>637</v>
      </c>
      <c r="F84" s="18">
        <f t="shared" si="57"/>
        <v>0.24581005586592178</v>
      </c>
      <c r="G84" s="32">
        <v>2.6214406763289899</v>
      </c>
    </row>
    <row r="85" spans="1:7" x14ac:dyDescent="0.35">
      <c r="A85" s="18" t="s">
        <v>26</v>
      </c>
      <c r="B85" s="18">
        <v>99</v>
      </c>
      <c r="C85" s="18">
        <v>6</v>
      </c>
      <c r="D85" s="18">
        <f t="shared" si="56"/>
        <v>5.2121212121212119</v>
      </c>
      <c r="E85" s="18">
        <v>516</v>
      </c>
      <c r="F85" s="18">
        <f t="shared" si="57"/>
        <v>6.0606060606060608E-2</v>
      </c>
      <c r="G85" s="32">
        <v>2.4494897427831699</v>
      </c>
    </row>
    <row r="86" spans="1:7" x14ac:dyDescent="0.35">
      <c r="A86" s="18" t="s">
        <v>122</v>
      </c>
      <c r="B86" s="18">
        <v>141</v>
      </c>
      <c r="C86" s="18">
        <v>19</v>
      </c>
      <c r="D86" s="18">
        <f t="shared" si="56"/>
        <v>3.9858156028368796</v>
      </c>
      <c r="E86" s="18">
        <v>562</v>
      </c>
      <c r="F86" s="18">
        <f t="shared" si="57"/>
        <v>0.13475177304964539</v>
      </c>
      <c r="G86" s="32">
        <v>1.6329931618554501</v>
      </c>
    </row>
    <row r="87" spans="1:7" x14ac:dyDescent="0.35">
      <c r="A87" s="18" t="s">
        <v>49</v>
      </c>
      <c r="B87" s="18">
        <v>136</v>
      </c>
      <c r="C87" s="18">
        <v>9</v>
      </c>
      <c r="D87" s="18">
        <f t="shared" si="56"/>
        <v>5.1029411764705879</v>
      </c>
      <c r="E87" s="18">
        <v>694</v>
      </c>
      <c r="F87" s="18">
        <f t="shared" si="57"/>
        <v>6.6176470588235295E-2</v>
      </c>
      <c r="G87" s="32">
        <v>2.79455252402308</v>
      </c>
    </row>
    <row r="88" spans="1:7" x14ac:dyDescent="0.35">
      <c r="A88" s="18" t="s">
        <v>3</v>
      </c>
      <c r="B88" s="18">
        <v>48</v>
      </c>
      <c r="C88" s="18">
        <v>7</v>
      </c>
      <c r="D88" s="18">
        <f t="shared" si="56"/>
        <v>4.229166666666667</v>
      </c>
      <c r="E88" s="18">
        <v>203</v>
      </c>
      <c r="F88" s="18">
        <f t="shared" si="57"/>
        <v>0.14583333333333334</v>
      </c>
      <c r="G88" s="32">
        <v>2.3731557327466102</v>
      </c>
    </row>
    <row r="89" spans="1:7" x14ac:dyDescent="0.35">
      <c r="A89" t="s">
        <v>230</v>
      </c>
      <c r="B89">
        <v>26</v>
      </c>
      <c r="C89">
        <v>4</v>
      </c>
      <c r="D89">
        <f t="shared" si="56"/>
        <v>4.8076923076923075</v>
      </c>
      <c r="E89">
        <v>125</v>
      </c>
      <c r="F89">
        <f t="shared" si="57"/>
        <v>0.15384615384615385</v>
      </c>
      <c r="G89" s="32">
        <v>2.7748873851023199</v>
      </c>
    </row>
    <row r="90" spans="1:7" x14ac:dyDescent="0.35">
      <c r="A90" t="s">
        <v>2</v>
      </c>
      <c r="B90">
        <v>29</v>
      </c>
      <c r="C90">
        <v>5</v>
      </c>
      <c r="D90">
        <f t="shared" si="56"/>
        <v>4.068965517241379</v>
      </c>
      <c r="E90">
        <v>118</v>
      </c>
      <c r="F90">
        <f t="shared" si="57"/>
        <v>0.17241379310344829</v>
      </c>
      <c r="G90" s="32">
        <v>2.5876449587894599</v>
      </c>
    </row>
    <row r="91" spans="1:7" x14ac:dyDescent="0.35">
      <c r="A91" s="18" t="s">
        <v>124</v>
      </c>
      <c r="B91" s="18">
        <v>31</v>
      </c>
      <c r="C91" s="18">
        <v>1</v>
      </c>
      <c r="D91" s="18">
        <f t="shared" si="56"/>
        <v>4.935483870967742</v>
      </c>
      <c r="E91" s="18">
        <v>153</v>
      </c>
      <c r="F91" s="18">
        <f t="shared" si="57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L31" sqref="L31"/>
    </sheetView>
  </sheetViews>
  <sheetFormatPr defaultRowHeight="14.5" x14ac:dyDescent="0.35"/>
  <cols>
    <col min="1" max="1" width="22.1796875" bestFit="1" customWidth="1"/>
    <col min="2" max="2" width="7.453125" bestFit="1" customWidth="1"/>
    <col min="3" max="3" width="8.7265625" bestFit="1" customWidth="1"/>
    <col min="4" max="5" width="13" bestFit="1" customWidth="1"/>
    <col min="6" max="6" width="43.81640625" bestFit="1" customWidth="1"/>
    <col min="9" max="9" width="22.1796875" bestFit="1" customWidth="1"/>
    <col min="10" max="10" width="7.453125" customWidth="1"/>
    <col min="11" max="11" width="8.7265625" bestFit="1" customWidth="1"/>
    <col min="12" max="13" width="13" bestFit="1" customWidth="1"/>
    <col min="14" max="14" width="69.54296875" bestFit="1" customWidth="1"/>
  </cols>
  <sheetData>
    <row r="1" spans="1:15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3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3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3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3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3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3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3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3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3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3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3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3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3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3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3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3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3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3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3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3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3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3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3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3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3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3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3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3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3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3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3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3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3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3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3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3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3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3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3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3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3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3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3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3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3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3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3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3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3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3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3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3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3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3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3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3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3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3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3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3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3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3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3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3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3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3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3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3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3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3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3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3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3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3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8"/>
  <sheetViews>
    <sheetView zoomScale="90" zoomScaleNormal="90" workbookViewId="0">
      <selection activeCell="N10" sqref="N10"/>
    </sheetView>
  </sheetViews>
  <sheetFormatPr defaultRowHeight="14.5" x14ac:dyDescent="0.35"/>
  <cols>
    <col min="1" max="1" width="17.7265625" bestFit="1" customWidth="1"/>
    <col min="2" max="2" width="7.1796875" bestFit="1" customWidth="1"/>
    <col min="3" max="3" width="8.7265625" bestFit="1" customWidth="1"/>
    <col min="4" max="4" width="12" bestFit="1" customWidth="1"/>
    <col min="5" max="5" width="11.81640625" customWidth="1"/>
    <col min="8" max="8" width="20.26953125" bestFit="1" customWidth="1"/>
    <col min="9" max="9" width="7.1796875" bestFit="1" customWidth="1"/>
    <col min="10" max="10" width="8.7265625" bestFit="1" customWidth="1"/>
    <col min="11" max="12" width="13.26953125" bestFit="1" customWidth="1"/>
    <col min="13" max="13" width="73.7265625" bestFit="1" customWidth="1"/>
  </cols>
  <sheetData>
    <row r="1" spans="1:1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3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3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3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3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3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3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3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3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3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3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3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3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3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3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3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3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3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3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3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3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3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3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3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3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3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3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3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3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3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3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3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3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3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3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3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3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3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3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3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3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3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3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3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3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3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3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3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3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3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3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3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3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3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3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3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3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3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AB26" sqref="AB26"/>
    </sheetView>
  </sheetViews>
  <sheetFormatPr defaultRowHeight="14.5" x14ac:dyDescent="0.35"/>
  <cols>
    <col min="6" max="6" width="15.1796875" bestFit="1" customWidth="1"/>
  </cols>
  <sheetData>
    <row r="2" spans="1:26" x14ac:dyDescent="0.3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3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3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3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3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3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3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3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3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3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3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3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3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3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3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3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3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3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3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3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3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3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3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3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3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3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3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3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3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3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3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3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3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3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3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3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3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3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3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3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35">
      <c r="A42">
        <f t="shared" si="2"/>
        <v>41</v>
      </c>
      <c r="B42" t="s">
        <v>12</v>
      </c>
    </row>
    <row r="43" spans="1:17" x14ac:dyDescent="0.35">
      <c r="A43">
        <f t="shared" si="2"/>
        <v>42</v>
      </c>
      <c r="B43" t="s">
        <v>87</v>
      </c>
      <c r="C43" t="s">
        <v>510</v>
      </c>
    </row>
    <row r="44" spans="1:17" x14ac:dyDescent="0.35">
      <c r="A44">
        <f t="shared" si="2"/>
        <v>43</v>
      </c>
      <c r="B44" t="s">
        <v>61</v>
      </c>
    </row>
    <row r="45" spans="1:17" x14ac:dyDescent="0.35">
      <c r="A45">
        <f t="shared" si="2"/>
        <v>44</v>
      </c>
      <c r="B45" t="s">
        <v>37</v>
      </c>
    </row>
    <row r="46" spans="1:17" x14ac:dyDescent="0.35">
      <c r="A46">
        <f t="shared" si="2"/>
        <v>45</v>
      </c>
      <c r="B46" t="s">
        <v>51</v>
      </c>
    </row>
    <row r="47" spans="1:17" x14ac:dyDescent="0.35">
      <c r="A47">
        <f t="shared" si="2"/>
        <v>46</v>
      </c>
      <c r="B47" t="s">
        <v>4</v>
      </c>
    </row>
    <row r="48" spans="1:17" x14ac:dyDescent="0.35">
      <c r="A48">
        <f t="shared" si="2"/>
        <v>47</v>
      </c>
      <c r="B48" t="s">
        <v>25</v>
      </c>
      <c r="C48" t="s">
        <v>511</v>
      </c>
    </row>
    <row r="49" spans="1:3" x14ac:dyDescent="0.35">
      <c r="A49">
        <f t="shared" si="2"/>
        <v>48</v>
      </c>
      <c r="B49" t="s">
        <v>81</v>
      </c>
      <c r="C49" t="s">
        <v>512</v>
      </c>
    </row>
    <row r="50" spans="1:3" x14ac:dyDescent="0.35">
      <c r="A50">
        <f t="shared" si="2"/>
        <v>49</v>
      </c>
      <c r="B50" t="s">
        <v>105</v>
      </c>
      <c r="C50" t="s">
        <v>33</v>
      </c>
    </row>
    <row r="51" spans="1:3" x14ac:dyDescent="0.35">
      <c r="A51">
        <f t="shared" si="2"/>
        <v>50</v>
      </c>
      <c r="B51" t="s">
        <v>99</v>
      </c>
    </row>
    <row r="52" spans="1:3" x14ac:dyDescent="0.35">
      <c r="A52">
        <f t="shared" si="2"/>
        <v>51</v>
      </c>
      <c r="B52" t="s">
        <v>82</v>
      </c>
    </row>
    <row r="53" spans="1:3" x14ac:dyDescent="0.35">
      <c r="A53">
        <f t="shared" si="2"/>
        <v>52</v>
      </c>
      <c r="B53" t="s">
        <v>20</v>
      </c>
    </row>
    <row r="54" spans="1:3" x14ac:dyDescent="0.35">
      <c r="A54">
        <f t="shared" si="2"/>
        <v>53</v>
      </c>
      <c r="B54" t="s">
        <v>19</v>
      </c>
    </row>
    <row r="55" spans="1:3" x14ac:dyDescent="0.35">
      <c r="A55">
        <f t="shared" si="2"/>
        <v>54</v>
      </c>
      <c r="B55" t="s">
        <v>26</v>
      </c>
      <c r="C55" t="s">
        <v>513</v>
      </c>
    </row>
    <row r="56" spans="1:3" x14ac:dyDescent="0.35">
      <c r="A56">
        <f t="shared" si="2"/>
        <v>55</v>
      </c>
      <c r="B56" t="s">
        <v>514</v>
      </c>
      <c r="C56" t="s">
        <v>110</v>
      </c>
    </row>
    <row r="57" spans="1:3" x14ac:dyDescent="0.35">
      <c r="A57">
        <f t="shared" si="2"/>
        <v>56</v>
      </c>
      <c r="B57" t="s">
        <v>30</v>
      </c>
      <c r="C57" t="s">
        <v>515</v>
      </c>
    </row>
    <row r="58" spans="1:3" x14ac:dyDescent="0.35">
      <c r="A58">
        <f t="shared" si="2"/>
        <v>57</v>
      </c>
      <c r="B58" t="s">
        <v>17</v>
      </c>
    </row>
    <row r="59" spans="1:3" x14ac:dyDescent="0.35">
      <c r="A59">
        <f t="shared" si="2"/>
        <v>58</v>
      </c>
      <c r="B59" t="s">
        <v>404</v>
      </c>
    </row>
    <row r="60" spans="1:3" x14ac:dyDescent="0.35">
      <c r="A60">
        <f t="shared" si="2"/>
        <v>59</v>
      </c>
      <c r="B60" t="s">
        <v>31</v>
      </c>
      <c r="C60" t="s">
        <v>516</v>
      </c>
    </row>
    <row r="61" spans="1:3" x14ac:dyDescent="0.35">
      <c r="A61">
        <f t="shared" si="2"/>
        <v>60</v>
      </c>
      <c r="B61" t="s">
        <v>49</v>
      </c>
      <c r="C61" t="s">
        <v>517</v>
      </c>
    </row>
    <row r="62" spans="1:3" x14ac:dyDescent="0.35">
      <c r="A62">
        <f t="shared" si="2"/>
        <v>61</v>
      </c>
      <c r="B62" t="s">
        <v>230</v>
      </c>
      <c r="C62" t="s">
        <v>518</v>
      </c>
    </row>
    <row r="63" spans="1:3" x14ac:dyDescent="0.35">
      <c r="A63">
        <f t="shared" si="2"/>
        <v>62</v>
      </c>
      <c r="B63" t="s">
        <v>253</v>
      </c>
    </row>
    <row r="64" spans="1:3" x14ac:dyDescent="0.35">
      <c r="A64">
        <f t="shared" si="2"/>
        <v>63</v>
      </c>
      <c r="B64" t="s">
        <v>6</v>
      </c>
    </row>
    <row r="65" spans="1:3" x14ac:dyDescent="0.35">
      <c r="A65">
        <f t="shared" si="2"/>
        <v>64</v>
      </c>
      <c r="B65" t="s">
        <v>56</v>
      </c>
      <c r="C65" t="s">
        <v>519</v>
      </c>
    </row>
    <row r="66" spans="1:3" x14ac:dyDescent="0.35">
      <c r="A66">
        <f t="shared" si="2"/>
        <v>65</v>
      </c>
      <c r="B66" t="s">
        <v>90</v>
      </c>
    </row>
    <row r="67" spans="1:3" x14ac:dyDescent="0.35">
      <c r="A67">
        <f t="shared" si="2"/>
        <v>66</v>
      </c>
      <c r="B67" t="s">
        <v>124</v>
      </c>
      <c r="C67" t="s">
        <v>520</v>
      </c>
    </row>
    <row r="68" spans="1:3" x14ac:dyDescent="0.35">
      <c r="A68">
        <f t="shared" si="2"/>
        <v>67</v>
      </c>
      <c r="B68" t="s">
        <v>33</v>
      </c>
    </row>
    <row r="69" spans="1:3" x14ac:dyDescent="0.35">
      <c r="A69">
        <f t="shared" si="2"/>
        <v>68</v>
      </c>
      <c r="B69" t="s">
        <v>34</v>
      </c>
      <c r="C69" t="s">
        <v>521</v>
      </c>
    </row>
    <row r="70" spans="1:3" x14ac:dyDescent="0.35">
      <c r="A70">
        <f t="shared" si="2"/>
        <v>69</v>
      </c>
      <c r="B70" t="s">
        <v>28</v>
      </c>
    </row>
    <row r="71" spans="1:3" x14ac:dyDescent="0.35">
      <c r="A71">
        <f t="shared" si="2"/>
        <v>70</v>
      </c>
      <c r="B71" t="s">
        <v>401</v>
      </c>
      <c r="C71" t="s">
        <v>522</v>
      </c>
    </row>
    <row r="74" spans="1:3" x14ac:dyDescent="0.35">
      <c r="A74" t="s">
        <v>523</v>
      </c>
    </row>
    <row r="75" spans="1:3" x14ac:dyDescent="0.35">
      <c r="A75" t="s">
        <v>524</v>
      </c>
    </row>
    <row r="76" spans="1:3" x14ac:dyDescent="0.35">
      <c r="A76" t="s">
        <v>525</v>
      </c>
    </row>
    <row r="77" spans="1:3" x14ac:dyDescent="0.35">
      <c r="A77" t="s">
        <v>526</v>
      </c>
    </row>
    <row r="78" spans="1:3" x14ac:dyDescent="0.35">
      <c r="A78" t="s">
        <v>527</v>
      </c>
    </row>
    <row r="79" spans="1:3" x14ac:dyDescent="0.35">
      <c r="A79" t="s">
        <v>528</v>
      </c>
    </row>
    <row r="80" spans="1:3" x14ac:dyDescent="0.35">
      <c r="A80" t="s">
        <v>529</v>
      </c>
    </row>
    <row r="81" spans="1:1" x14ac:dyDescent="0.35">
      <c r="A81" t="s">
        <v>530</v>
      </c>
    </row>
    <row r="82" spans="1:1" x14ac:dyDescent="0.35">
      <c r="A82" t="s">
        <v>531</v>
      </c>
    </row>
    <row r="83" spans="1:1" x14ac:dyDescent="0.35">
      <c r="A83" t="s">
        <v>532</v>
      </c>
    </row>
    <row r="84" spans="1:1" x14ac:dyDescent="0.35">
      <c r="A84" t="s">
        <v>533</v>
      </c>
    </row>
    <row r="85" spans="1:1" x14ac:dyDescent="0.35">
      <c r="A85" t="s">
        <v>534</v>
      </c>
    </row>
    <row r="86" spans="1:1" x14ac:dyDescent="0.35">
      <c r="A86" t="s">
        <v>535</v>
      </c>
    </row>
    <row r="87" spans="1:1" x14ac:dyDescent="0.35">
      <c r="A87" t="s">
        <v>536</v>
      </c>
    </row>
    <row r="88" spans="1:1" x14ac:dyDescent="0.35">
      <c r="A88" t="s">
        <v>537</v>
      </c>
    </row>
    <row r="89" spans="1:1" x14ac:dyDescent="0.35">
      <c r="A89" t="s">
        <v>538</v>
      </c>
    </row>
    <row r="90" spans="1:1" x14ac:dyDescent="0.35">
      <c r="A90" t="s">
        <v>539</v>
      </c>
    </row>
    <row r="91" spans="1:1" x14ac:dyDescent="0.35">
      <c r="A91" t="s">
        <v>540</v>
      </c>
    </row>
    <row r="92" spans="1:1" x14ac:dyDescent="0.35">
      <c r="A92" t="s">
        <v>541</v>
      </c>
    </row>
    <row r="93" spans="1:1" x14ac:dyDescent="0.35">
      <c r="A93" t="s">
        <v>542</v>
      </c>
    </row>
    <row r="94" spans="1:1" x14ac:dyDescent="0.35">
      <c r="A94" t="s">
        <v>543</v>
      </c>
    </row>
    <row r="95" spans="1:1" x14ac:dyDescent="0.35">
      <c r="A95" t="s">
        <v>544</v>
      </c>
    </row>
    <row r="96" spans="1:1" x14ac:dyDescent="0.35">
      <c r="A96" t="s">
        <v>545</v>
      </c>
    </row>
    <row r="97" spans="1:1" x14ac:dyDescent="0.35">
      <c r="A97" t="s">
        <v>546</v>
      </c>
    </row>
    <row r="98" spans="1:1" x14ac:dyDescent="0.35">
      <c r="A98" t="s">
        <v>547</v>
      </c>
    </row>
    <row r="99" spans="1:1" x14ac:dyDescent="0.35">
      <c r="A99" t="s">
        <v>548</v>
      </c>
    </row>
    <row r="100" spans="1:1" x14ac:dyDescent="0.35">
      <c r="A100" t="s">
        <v>549</v>
      </c>
    </row>
    <row r="101" spans="1:1" x14ac:dyDescent="0.3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2026-05-15T22:30:34Z</dcterms:modified>
</cp:coreProperties>
</file>