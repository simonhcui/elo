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13" hidden="1">'Prep 6.0'!$A$1:$I$9</definedName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15" l="1"/>
  <c r="L70" i="15"/>
  <c r="N32" i="15"/>
  <c r="L32" i="15"/>
  <c r="N41" i="15"/>
  <c r="L41" i="15"/>
  <c r="N37" i="15"/>
  <c r="L37" i="15"/>
  <c r="N46" i="15"/>
  <c r="L46" i="15"/>
  <c r="N57" i="15"/>
  <c r="L57" i="15"/>
  <c r="N58" i="15"/>
  <c r="L58" i="15"/>
  <c r="N49" i="15"/>
  <c r="L49" i="15"/>
  <c r="N50" i="15"/>
  <c r="L50" i="15"/>
  <c r="N47" i="15"/>
  <c r="L47" i="15"/>
  <c r="N24" i="15"/>
  <c r="L24" i="15"/>
  <c r="N39" i="15"/>
  <c r="L39" i="15"/>
  <c r="N64" i="15"/>
  <c r="L64" i="15"/>
  <c r="N15" i="15"/>
  <c r="L15" i="15"/>
  <c r="N19" i="15"/>
  <c r="L19" i="15"/>
  <c r="N60" i="15"/>
  <c r="L60" i="15"/>
  <c r="N18" i="15"/>
  <c r="L18" i="15"/>
  <c r="N67" i="15"/>
  <c r="L67" i="15"/>
  <c r="N56" i="15"/>
  <c r="L56" i="15"/>
  <c r="N29" i="15"/>
  <c r="L29" i="15"/>
  <c r="N14" i="15"/>
  <c r="L14" i="15"/>
  <c r="N35" i="15"/>
  <c r="L35" i="15"/>
  <c r="N72" i="15"/>
  <c r="L72" i="15"/>
  <c r="N73" i="15"/>
  <c r="L73" i="15"/>
  <c r="N34" i="15"/>
  <c r="L34" i="15"/>
  <c r="N42" i="15"/>
  <c r="L42" i="15"/>
  <c r="N69" i="15"/>
  <c r="L69" i="15"/>
  <c r="N66" i="15"/>
  <c r="L66" i="15"/>
  <c r="N71" i="15"/>
  <c r="L71" i="15"/>
  <c r="N61" i="15" l="1"/>
  <c r="L61" i="15"/>
  <c r="N33" i="15" l="1"/>
  <c r="L33" i="15"/>
  <c r="N38" i="15"/>
  <c r="L38" i="15"/>
  <c r="N62" i="15"/>
  <c r="L62" i="15"/>
  <c r="N68" i="15"/>
  <c r="L68" i="15"/>
  <c r="N40" i="15"/>
  <c r="L40" i="15"/>
  <c r="N54" i="15" l="1"/>
  <c r="L54" i="15"/>
  <c r="N55" i="15" l="1"/>
  <c r="L55" i="15"/>
  <c r="N16" i="15"/>
  <c r="L16" i="15"/>
  <c r="N28" i="15"/>
  <c r="L28" i="15"/>
  <c r="N65" i="15" l="1"/>
  <c r="L65" i="15"/>
  <c r="N43" i="15"/>
  <c r="L43" i="15"/>
  <c r="N51" i="15" l="1"/>
  <c r="L51" i="15"/>
  <c r="N74" i="15"/>
  <c r="L74" i="15"/>
  <c r="N45" i="15"/>
  <c r="L45" i="15"/>
  <c r="N27" i="15"/>
  <c r="L27" i="15"/>
  <c r="N36" i="15" l="1"/>
  <c r="L36" i="15"/>
  <c r="N63" i="15"/>
  <c r="L63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75" i="15"/>
  <c r="L75" i="15"/>
  <c r="N44" i="15"/>
  <c r="L44" i="15"/>
  <c r="N25" i="15" l="1"/>
  <c r="L25" i="15"/>
  <c r="N53" i="15"/>
  <c r="L53" i="15"/>
  <c r="N26" i="15" l="1"/>
  <c r="L26" i="15"/>
  <c r="N52" i="15"/>
  <c r="L52" i="15"/>
  <c r="N17" i="15"/>
  <c r="L17" i="15"/>
  <c r="N30" i="15"/>
  <c r="L30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9" i="15"/>
  <c r="L59" i="15"/>
  <c r="N31" i="15"/>
  <c r="L31" i="15"/>
  <c r="N21" i="15"/>
  <c r="L21" i="15"/>
  <c r="F15" i="16" l="1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8" i="15" l="1"/>
  <c r="L48" i="15"/>
  <c r="N23" i="15"/>
  <c r="L23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2" i="15"/>
  <c r="L22" i="15"/>
  <c r="F22" i="15"/>
  <c r="D22" i="15"/>
  <c r="F21" i="15"/>
  <c r="D21" i="15"/>
  <c r="N20" i="15"/>
  <c r="L20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<sst xmlns="http://schemas.openxmlformats.org/spreadsheetml/2006/main" count="18409" uniqueCount="613">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</sst>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00"/>
  <sheetViews>
    <sheetView topLeftCell="F349" zoomScaleNormal="100" workbookViewId="0">
      <selection activeCell="J392" sqref="J392:O40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3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3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3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3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3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3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3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3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3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3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  <c r="X382" s="1">
        <v>46290</v>
      </c>
      <c r="Y382" s="1">
        <v>46290</v>
      </c>
      <c r="Z382" s="1">
        <v>46296</v>
      </c>
      <c r="AA382" s="1">
        <v>46296</v>
      </c>
      <c r="AB382" s="1">
        <v>46296</v>
      </c>
      <c r="AC382" s="1">
        <v>46296</v>
      </c>
      <c r="AE382" s="1">
        <v>46297</v>
      </c>
      <c r="AF382" s="1">
        <v>46297</v>
      </c>
      <c r="AG382" s="1">
        <v>46298</v>
      </c>
      <c r="AH382" s="1">
        <v>46298</v>
      </c>
      <c r="AI382" s="1">
        <v>46298</v>
      </c>
      <c r="AJ382" s="1">
        <v>46298</v>
      </c>
      <c r="AK382" s="1">
        <v>46298</v>
      </c>
      <c r="AL382" s="1">
        <v>46298</v>
      </c>
      <c r="AM382" s="1">
        <v>46298</v>
      </c>
      <c r="AN382" s="1">
        <v>46298</v>
      </c>
    </row>
    <row r="383" spans="10:40" x14ac:dyDescent="0.3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  <c r="X383" t="s">
        <v>553</v>
      </c>
      <c r="Y383" t="s">
        <v>232</v>
      </c>
      <c r="Z383" t="s">
        <v>1</v>
      </c>
      <c r="AA383" t="s">
        <v>1</v>
      </c>
      <c r="AB383" t="s">
        <v>49</v>
      </c>
      <c r="AC383" t="s">
        <v>232</v>
      </c>
      <c r="AE383" t="s">
        <v>31</v>
      </c>
      <c r="AF383" t="s">
        <v>552</v>
      </c>
      <c r="AG383" t="s">
        <v>232</v>
      </c>
      <c r="AH383" t="s">
        <v>129</v>
      </c>
      <c r="AI383" t="s">
        <v>17</v>
      </c>
      <c r="AJ383" t="s">
        <v>552</v>
      </c>
      <c r="AK383" t="s">
        <v>1</v>
      </c>
      <c r="AL383" t="s">
        <v>31</v>
      </c>
      <c r="AM383" t="s">
        <v>15</v>
      </c>
      <c r="AN383" t="s">
        <v>12</v>
      </c>
    </row>
    <row r="384" spans="10:40" x14ac:dyDescent="0.3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  <c r="X384" t="s">
        <v>58</v>
      </c>
      <c r="Y384" t="s">
        <v>12</v>
      </c>
      <c r="Z384" t="s">
        <v>122</v>
      </c>
      <c r="AA384" t="s">
        <v>123</v>
      </c>
      <c r="AB384" t="s">
        <v>12</v>
      </c>
      <c r="AC384" t="s">
        <v>552</v>
      </c>
      <c r="AE384" t="s">
        <v>10</v>
      </c>
      <c r="AF384" t="s">
        <v>1</v>
      </c>
      <c r="AG384" t="s">
        <v>58</v>
      </c>
      <c r="AH384" t="s">
        <v>99</v>
      </c>
      <c r="AI384" t="s">
        <v>5</v>
      </c>
      <c r="AJ384" t="s">
        <v>16</v>
      </c>
      <c r="AK384" t="s">
        <v>230</v>
      </c>
      <c r="AL384" t="s">
        <v>105</v>
      </c>
      <c r="AM384" t="s">
        <v>58</v>
      </c>
      <c r="AN384" t="s">
        <v>26</v>
      </c>
    </row>
    <row r="385" spans="10:40" x14ac:dyDescent="0.3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  <c r="X385" t="s">
        <v>552</v>
      </c>
      <c r="Y385" t="s">
        <v>553</v>
      </c>
      <c r="Z385" t="s">
        <v>612</v>
      </c>
      <c r="AA385" t="s">
        <v>122</v>
      </c>
      <c r="AB385" t="s">
        <v>63</v>
      </c>
      <c r="AC385" t="s">
        <v>49</v>
      </c>
      <c r="AE385" t="s">
        <v>232</v>
      </c>
      <c r="AF385" t="s">
        <v>31</v>
      </c>
      <c r="AG385" t="s">
        <v>7</v>
      </c>
      <c r="AH385" t="s">
        <v>58</v>
      </c>
      <c r="AI385" t="s">
        <v>612</v>
      </c>
      <c r="AJ385" t="s">
        <v>1</v>
      </c>
      <c r="AK385" t="s">
        <v>31</v>
      </c>
      <c r="AL385" t="s">
        <v>30</v>
      </c>
      <c r="AM385" t="s">
        <v>232</v>
      </c>
      <c r="AN385" t="s">
        <v>37</v>
      </c>
    </row>
    <row r="386" spans="10:40" x14ac:dyDescent="0.3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  <c r="X386" t="s">
        <v>232</v>
      </c>
      <c r="Y386" t="s">
        <v>1</v>
      </c>
      <c r="Z386" t="s">
        <v>123</v>
      </c>
      <c r="AA386" t="s">
        <v>21</v>
      </c>
      <c r="AB386" t="s">
        <v>35</v>
      </c>
      <c r="AC386" t="s">
        <v>33</v>
      </c>
      <c r="AE386" t="s">
        <v>1</v>
      </c>
      <c r="AF386" t="s">
        <v>232</v>
      </c>
      <c r="AG386" t="s">
        <v>15</v>
      </c>
      <c r="AH386" t="s">
        <v>26</v>
      </c>
      <c r="AI386" t="s">
        <v>28</v>
      </c>
      <c r="AJ386" t="s">
        <v>553</v>
      </c>
      <c r="AK386" t="s">
        <v>30</v>
      </c>
      <c r="AL386" t="s">
        <v>1</v>
      </c>
      <c r="AM386" t="s">
        <v>17</v>
      </c>
      <c r="AN386" t="s">
        <v>17</v>
      </c>
    </row>
    <row r="387" spans="10:40" x14ac:dyDescent="0.3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  <c r="X387" t="s">
        <v>1</v>
      </c>
      <c r="Y387" t="s">
        <v>28</v>
      </c>
      <c r="Z387" t="s">
        <v>121</v>
      </c>
      <c r="AA387" t="s">
        <v>82</v>
      </c>
      <c r="AB387" t="s">
        <v>15</v>
      </c>
      <c r="AC387" t="s">
        <v>9</v>
      </c>
      <c r="AE387" t="s">
        <v>17</v>
      </c>
      <c r="AF387" t="s">
        <v>553</v>
      </c>
      <c r="AG387" t="s">
        <v>82</v>
      </c>
      <c r="AH387" t="s">
        <v>232</v>
      </c>
      <c r="AI387" t="s">
        <v>16</v>
      </c>
      <c r="AJ387" t="s">
        <v>28</v>
      </c>
      <c r="AK387" t="s">
        <v>4</v>
      </c>
      <c r="AL387" t="s">
        <v>123</v>
      </c>
      <c r="AM387" t="s">
        <v>12</v>
      </c>
      <c r="AN387" t="s">
        <v>15</v>
      </c>
    </row>
    <row r="388" spans="10:40" x14ac:dyDescent="0.3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  <c r="X388" t="s">
        <v>37</v>
      </c>
      <c r="Y388" t="s">
        <v>37</v>
      </c>
      <c r="Z388" t="s">
        <v>28</v>
      </c>
      <c r="AA388" t="s">
        <v>28</v>
      </c>
      <c r="AB388" t="s">
        <v>33</v>
      </c>
      <c r="AC388" t="s">
        <v>15</v>
      </c>
      <c r="AE388" t="s">
        <v>28</v>
      </c>
      <c r="AF388" t="s">
        <v>28</v>
      </c>
      <c r="AG388" t="s">
        <v>26</v>
      </c>
      <c r="AH388" t="s">
        <v>7</v>
      </c>
      <c r="AI388" t="s">
        <v>122</v>
      </c>
      <c r="AJ388" t="s">
        <v>122</v>
      </c>
      <c r="AK388" t="s">
        <v>25</v>
      </c>
      <c r="AL388" t="s">
        <v>17</v>
      </c>
      <c r="AM388" t="s">
        <v>37</v>
      </c>
      <c r="AN388" t="s">
        <v>7</v>
      </c>
    </row>
    <row r="389" spans="10:40" x14ac:dyDescent="0.3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  <c r="X389" t="s">
        <v>121</v>
      </c>
      <c r="Y389" t="s">
        <v>552</v>
      </c>
      <c r="Z389" t="s">
        <v>21</v>
      </c>
      <c r="AA389" t="s">
        <v>612</v>
      </c>
      <c r="AB389" t="s">
        <v>82</v>
      </c>
      <c r="AC389" t="s">
        <v>35</v>
      </c>
      <c r="AE389" t="s">
        <v>113</v>
      </c>
      <c r="AF389" t="s">
        <v>17</v>
      </c>
      <c r="AG389" t="s">
        <v>99</v>
      </c>
      <c r="AH389" t="s">
        <v>82</v>
      </c>
      <c r="AI389" t="s">
        <v>37</v>
      </c>
      <c r="AJ389" t="s">
        <v>5</v>
      </c>
      <c r="AK389" t="s">
        <v>17</v>
      </c>
      <c r="AL389" t="s">
        <v>25</v>
      </c>
      <c r="AM389" t="s">
        <v>113</v>
      </c>
      <c r="AN389" t="s">
        <v>58</v>
      </c>
    </row>
    <row r="390" spans="10:40" x14ac:dyDescent="0.3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  <c r="X390" t="s">
        <v>28</v>
      </c>
      <c r="Y390" t="s">
        <v>58</v>
      </c>
      <c r="Z390" t="s">
        <v>31</v>
      </c>
      <c r="AA390" t="s">
        <v>31</v>
      </c>
      <c r="AB390" t="s">
        <v>51</v>
      </c>
      <c r="AC390" t="s">
        <v>553</v>
      </c>
      <c r="AE390" t="s">
        <v>27</v>
      </c>
      <c r="AF390" t="s">
        <v>27</v>
      </c>
      <c r="AG390" t="s">
        <v>129</v>
      </c>
      <c r="AH390" t="s">
        <v>15</v>
      </c>
      <c r="AI390" t="s">
        <v>1</v>
      </c>
      <c r="AJ390" t="s">
        <v>37</v>
      </c>
      <c r="AK390" t="s">
        <v>50</v>
      </c>
      <c r="AL390" t="s">
        <v>612</v>
      </c>
      <c r="AM390" t="s">
        <v>26</v>
      </c>
      <c r="AN390" t="s">
        <v>104</v>
      </c>
    </row>
    <row r="392" spans="10:40" x14ac:dyDescent="0.35">
      <c r="J392" s="1">
        <v>46303</v>
      </c>
      <c r="K392" s="1">
        <v>46303</v>
      </c>
      <c r="L392" s="1">
        <v>46303</v>
      </c>
      <c r="M392" s="1">
        <v>46303</v>
      </c>
      <c r="N392" s="1">
        <v>46304</v>
      </c>
      <c r="O392" s="1">
        <v>46304</v>
      </c>
    </row>
    <row r="393" spans="10:40" x14ac:dyDescent="0.35">
      <c r="J393" t="s">
        <v>10</v>
      </c>
      <c r="K393" t="s">
        <v>16</v>
      </c>
      <c r="L393" t="s">
        <v>122</v>
      </c>
      <c r="M393" t="s">
        <v>15</v>
      </c>
      <c r="N393" t="s">
        <v>232</v>
      </c>
      <c r="O393" t="s">
        <v>232</v>
      </c>
    </row>
    <row r="394" spans="10:40" x14ac:dyDescent="0.35">
      <c r="J394" t="s">
        <v>121</v>
      </c>
      <c r="K394" t="s">
        <v>4</v>
      </c>
      <c r="L394" t="s">
        <v>117</v>
      </c>
      <c r="M394" t="s">
        <v>553</v>
      </c>
      <c r="N394" t="s">
        <v>37</v>
      </c>
      <c r="O394" t="s">
        <v>27</v>
      </c>
    </row>
    <row r="395" spans="10:40" x14ac:dyDescent="0.35">
      <c r="J395" t="s">
        <v>27</v>
      </c>
      <c r="K395" t="s">
        <v>63</v>
      </c>
      <c r="L395" t="s">
        <v>29</v>
      </c>
      <c r="M395" t="s">
        <v>122</v>
      </c>
      <c r="N395" t="s">
        <v>27</v>
      </c>
      <c r="O395" t="s">
        <v>589</v>
      </c>
    </row>
    <row r="396" spans="10:40" x14ac:dyDescent="0.35">
      <c r="J396" t="s">
        <v>110</v>
      </c>
      <c r="K396" t="s">
        <v>27</v>
      </c>
      <c r="L396" t="s">
        <v>21</v>
      </c>
      <c r="M396" t="s">
        <v>21</v>
      </c>
      <c r="N396" t="s">
        <v>4</v>
      </c>
      <c r="O396" t="s">
        <v>472</v>
      </c>
    </row>
    <row r="397" spans="10:40" x14ac:dyDescent="0.35">
      <c r="J397" t="s">
        <v>113</v>
      </c>
      <c r="K397" t="s">
        <v>31</v>
      </c>
      <c r="L397" t="s">
        <v>35</v>
      </c>
      <c r="M397" t="s">
        <v>35</v>
      </c>
      <c r="N397" t="s">
        <v>12</v>
      </c>
      <c r="O397" t="s">
        <v>122</v>
      </c>
    </row>
    <row r="398" spans="10:40" x14ac:dyDescent="0.35">
      <c r="J398" t="s">
        <v>28</v>
      </c>
      <c r="K398" t="s">
        <v>232</v>
      </c>
      <c r="L398" t="s">
        <v>12</v>
      </c>
      <c r="M398" t="s">
        <v>552</v>
      </c>
      <c r="N398" t="s">
        <v>589</v>
      </c>
      <c r="O398" t="s">
        <v>12</v>
      </c>
    </row>
    <row r="399" spans="10:40" x14ac:dyDescent="0.35">
      <c r="J399" t="s">
        <v>4</v>
      </c>
      <c r="K399" t="s">
        <v>10</v>
      </c>
      <c r="L399" t="s">
        <v>49</v>
      </c>
      <c r="M399" t="s">
        <v>49</v>
      </c>
      <c r="N399" t="s">
        <v>31</v>
      </c>
      <c r="O399" t="s">
        <v>31</v>
      </c>
    </row>
    <row r="400" spans="10:40" x14ac:dyDescent="0.35">
      <c r="J400" t="s">
        <v>31</v>
      </c>
      <c r="K400" t="s">
        <v>28</v>
      </c>
      <c r="L400" t="s">
        <v>15</v>
      </c>
      <c r="M400" t="s">
        <v>29</v>
      </c>
      <c r="N400" t="s">
        <v>122</v>
      </c>
      <c r="O400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M47" sqref="M47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U16" sqref="U16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15 16384:16384" x14ac:dyDescent="0.35">
      <c r="A1" s="1">
        <v>46310</v>
      </c>
      <c r="B1" s="1">
        <v>46310</v>
      </c>
      <c r="C1" s="1">
        <v>46310</v>
      </c>
      <c r="D1" s="1">
        <v>46310</v>
      </c>
      <c r="E1" s="1">
        <v>46311</v>
      </c>
      <c r="F1" s="1">
        <v>46311</v>
      </c>
      <c r="G1" s="1">
        <v>46311</v>
      </c>
      <c r="H1" s="1">
        <v>46311</v>
      </c>
      <c r="I1" s="1">
        <v>46313</v>
      </c>
      <c r="J1" s="1">
        <v>46317</v>
      </c>
      <c r="K1" s="1">
        <v>46317</v>
      </c>
      <c r="L1" s="1">
        <v>46317</v>
      </c>
      <c r="M1" s="1">
        <v>46317</v>
      </c>
      <c r="N1" s="1">
        <v>46318</v>
      </c>
      <c r="O1" s="1">
        <v>46318</v>
      </c>
      <c r="XFD1" s="1"/>
    </row>
    <row r="2" spans="1:15 16384:16384" x14ac:dyDescent="0.35">
      <c r="A2" t="s">
        <v>35</v>
      </c>
      <c r="B2" t="s">
        <v>122</v>
      </c>
      <c r="C2" t="s">
        <v>89</v>
      </c>
      <c r="D2" t="s">
        <v>3</v>
      </c>
      <c r="E2" t="s">
        <v>4</v>
      </c>
      <c r="F2" t="s">
        <v>1</v>
      </c>
      <c r="G2" t="s">
        <v>4</v>
      </c>
      <c r="H2" t="s">
        <v>232</v>
      </c>
      <c r="I2" t="s">
        <v>173</v>
      </c>
    </row>
    <row r="3" spans="1:15 16384:16384" x14ac:dyDescent="0.35">
      <c r="A3" t="s">
        <v>27</v>
      </c>
      <c r="B3" t="s">
        <v>110</v>
      </c>
      <c r="C3" t="s">
        <v>3</v>
      </c>
      <c r="D3" t="s">
        <v>49</v>
      </c>
      <c r="E3" t="s">
        <v>232</v>
      </c>
      <c r="F3" t="s">
        <v>110</v>
      </c>
      <c r="G3" t="s">
        <v>25</v>
      </c>
      <c r="H3" t="s">
        <v>110</v>
      </c>
      <c r="I3" t="s">
        <v>148</v>
      </c>
    </row>
    <row r="4" spans="1:15 16384:16384" x14ac:dyDescent="0.35">
      <c r="A4" t="s">
        <v>110</v>
      </c>
      <c r="B4" t="s">
        <v>25</v>
      </c>
      <c r="C4" t="s">
        <v>29</v>
      </c>
      <c r="D4" t="s">
        <v>232</v>
      </c>
      <c r="E4" t="s">
        <v>37</v>
      </c>
      <c r="F4" t="s">
        <v>28</v>
      </c>
      <c r="G4" t="s">
        <v>9</v>
      </c>
      <c r="H4" t="s">
        <v>4</v>
      </c>
      <c r="I4" t="s">
        <v>99</v>
      </c>
    </row>
    <row r="5" spans="1:15 16384:16384" x14ac:dyDescent="0.35">
      <c r="A5" t="s">
        <v>7</v>
      </c>
      <c r="B5" t="s">
        <v>7</v>
      </c>
      <c r="C5" t="s">
        <v>15</v>
      </c>
      <c r="D5" t="s">
        <v>15</v>
      </c>
      <c r="E5" t="s">
        <v>175</v>
      </c>
      <c r="F5" t="s">
        <v>9</v>
      </c>
      <c r="G5" t="s">
        <v>232</v>
      </c>
      <c r="H5" t="s">
        <v>25</v>
      </c>
      <c r="I5" t="s">
        <v>1</v>
      </c>
    </row>
    <row r="6" spans="1:15 16384:16384" x14ac:dyDescent="0.35">
      <c r="A6" t="s">
        <v>25</v>
      </c>
      <c r="B6" t="s">
        <v>27</v>
      </c>
      <c r="C6" t="s">
        <v>110</v>
      </c>
      <c r="D6" t="s">
        <v>104</v>
      </c>
      <c r="E6" t="s">
        <v>8</v>
      </c>
      <c r="F6" t="s">
        <v>31</v>
      </c>
      <c r="G6" t="s">
        <v>1</v>
      </c>
      <c r="H6" t="s">
        <v>28</v>
      </c>
      <c r="I6" t="s">
        <v>10</v>
      </c>
    </row>
    <row r="7" spans="1:15 16384:16384" x14ac:dyDescent="0.35">
      <c r="A7" t="s">
        <v>21</v>
      </c>
      <c r="B7" t="s">
        <v>28</v>
      </c>
      <c r="C7" t="s">
        <v>104</v>
      </c>
      <c r="D7" t="s">
        <v>81</v>
      </c>
      <c r="E7" t="s">
        <v>25</v>
      </c>
      <c r="F7" t="s">
        <v>27</v>
      </c>
      <c r="G7" t="s">
        <v>37</v>
      </c>
      <c r="H7" t="s">
        <v>1</v>
      </c>
      <c r="I7" t="s">
        <v>232</v>
      </c>
    </row>
    <row r="8" spans="1:15 16384:16384" x14ac:dyDescent="0.35">
      <c r="A8" t="s">
        <v>122</v>
      </c>
      <c r="B8" t="s">
        <v>35</v>
      </c>
      <c r="C8" t="s">
        <v>49</v>
      </c>
      <c r="D8" t="s">
        <v>29</v>
      </c>
      <c r="E8" t="s">
        <v>61</v>
      </c>
      <c r="F8" t="s">
        <v>61</v>
      </c>
      <c r="G8" t="s">
        <v>28</v>
      </c>
      <c r="H8" t="s">
        <v>61</v>
      </c>
      <c r="I8" t="s">
        <v>27</v>
      </c>
    </row>
    <row r="9" spans="1:15 16384:16384" x14ac:dyDescent="0.35">
      <c r="A9" t="s">
        <v>28</v>
      </c>
      <c r="B9" t="s">
        <v>21</v>
      </c>
      <c r="C9" t="s">
        <v>81</v>
      </c>
      <c r="D9" t="s">
        <v>129</v>
      </c>
      <c r="E9" t="s">
        <v>123</v>
      </c>
      <c r="F9" t="s">
        <v>175</v>
      </c>
      <c r="G9" t="s">
        <v>31</v>
      </c>
      <c r="H9" t="s">
        <v>175</v>
      </c>
      <c r="I9" t="s">
        <v>26</v>
      </c>
    </row>
    <row r="12" spans="1:15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5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9" si="2">M13/J13</f>
        <v>4.375</v>
      </c>
      <c r="M13" s="18">
        <v>175</v>
      </c>
      <c r="N13" s="18">
        <f t="shared" ref="N13:N19" si="3">K13/J13</f>
        <v>0.05</v>
      </c>
    </row>
    <row r="14" spans="1:15 16384:16384" x14ac:dyDescent="0.35">
      <c r="A14" s="18" t="s">
        <v>104</v>
      </c>
      <c r="B14" s="18">
        <v>141</v>
      </c>
      <c r="C14" s="18">
        <v>10</v>
      </c>
      <c r="D14" s="18">
        <f t="shared" si="0"/>
        <v>4.2907801418439719</v>
      </c>
      <c r="E14" s="18">
        <v>605</v>
      </c>
      <c r="F14" s="18">
        <f t="shared" si="1"/>
        <v>7.0921985815602842E-2</v>
      </c>
      <c r="G14" s="32">
        <v>2.3273733406281498</v>
      </c>
      <c r="I14" s="18" t="s">
        <v>104</v>
      </c>
      <c r="J14" s="18">
        <v>141</v>
      </c>
      <c r="K14" s="18">
        <v>10</v>
      </c>
      <c r="L14" s="18">
        <f t="shared" si="2"/>
        <v>4.2907801418439719</v>
      </c>
      <c r="M14" s="18">
        <v>605</v>
      </c>
      <c r="N14" s="18">
        <f t="shared" si="3"/>
        <v>7.0921985815602842E-2</v>
      </c>
    </row>
    <row r="15" spans="1:15 16384:16384" x14ac:dyDescent="0.35">
      <c r="A15" s="18" t="s">
        <v>31</v>
      </c>
      <c r="B15" s="18">
        <v>306</v>
      </c>
      <c r="C15" s="18">
        <v>26</v>
      </c>
      <c r="D15" s="18">
        <f t="shared" si="0"/>
        <v>5.0555555555555554</v>
      </c>
      <c r="E15" s="18">
        <v>1547</v>
      </c>
      <c r="F15" s="18">
        <f t="shared" si="1"/>
        <v>8.4967320261437912E-2</v>
      </c>
      <c r="G15" s="32">
        <v>1.87082869338697</v>
      </c>
      <c r="I15" s="18" t="s">
        <v>31</v>
      </c>
      <c r="J15" s="18">
        <v>306</v>
      </c>
      <c r="K15" s="18">
        <v>26</v>
      </c>
      <c r="L15" s="18">
        <f t="shared" si="2"/>
        <v>5.0555555555555554</v>
      </c>
      <c r="M15" s="18">
        <v>1547</v>
      </c>
      <c r="N15" s="18">
        <f t="shared" si="3"/>
        <v>8.4967320261437912E-2</v>
      </c>
    </row>
    <row r="16" spans="1:15 16384:16384" x14ac:dyDescent="0.35">
      <c r="A16" s="18" t="s">
        <v>105</v>
      </c>
      <c r="B16" s="18">
        <v>47</v>
      </c>
      <c r="C16" s="18">
        <v>6</v>
      </c>
      <c r="D16" s="18">
        <f t="shared" si="0"/>
        <v>4.3191489361702127</v>
      </c>
      <c r="E16" s="18">
        <v>203</v>
      </c>
      <c r="F16" s="18">
        <f t="shared" si="1"/>
        <v>0.1276595744680851</v>
      </c>
      <c r="G16" s="32">
        <v>1.8165902124584901</v>
      </c>
      <c r="I16" s="18" t="s">
        <v>105</v>
      </c>
      <c r="J16" s="18">
        <v>47</v>
      </c>
      <c r="K16" s="18">
        <v>6</v>
      </c>
      <c r="L16" s="18">
        <f t="shared" si="2"/>
        <v>4.3191489361702127</v>
      </c>
      <c r="M16" s="18">
        <v>203</v>
      </c>
      <c r="N16" s="18">
        <f t="shared" si="3"/>
        <v>0.1276595744680851</v>
      </c>
    </row>
    <row r="17" spans="1:14" x14ac:dyDescent="0.3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35">
      <c r="A18" s="18" t="s">
        <v>8</v>
      </c>
      <c r="B18" s="18">
        <v>55</v>
      </c>
      <c r="C18" s="18">
        <v>7</v>
      </c>
      <c r="D18" s="18">
        <f t="shared" si="0"/>
        <v>4.418181818181818</v>
      </c>
      <c r="E18" s="18">
        <v>243</v>
      </c>
      <c r="F18" s="18">
        <f t="shared" si="1"/>
        <v>0.12727272727272726</v>
      </c>
      <c r="G18" s="32">
        <v>2.4994623077688098</v>
      </c>
      <c r="I18" s="18" t="s">
        <v>8</v>
      </c>
      <c r="J18" s="18">
        <v>55</v>
      </c>
      <c r="K18" s="18">
        <v>7</v>
      </c>
      <c r="L18" s="18">
        <f t="shared" si="2"/>
        <v>4.418181818181818</v>
      </c>
      <c r="M18" s="18">
        <v>243</v>
      </c>
      <c r="N18" s="18">
        <f t="shared" si="3"/>
        <v>0.12727272727272726</v>
      </c>
    </row>
    <row r="19" spans="1:14" x14ac:dyDescent="0.35">
      <c r="A19" s="18" t="s">
        <v>37</v>
      </c>
      <c r="B19" s="18">
        <v>42</v>
      </c>
      <c r="C19" s="18">
        <v>2</v>
      </c>
      <c r="D19" s="18">
        <f t="shared" si="0"/>
        <v>5.0952380952380949</v>
      </c>
      <c r="E19" s="18">
        <v>214</v>
      </c>
      <c r="F19" s="18">
        <f t="shared" si="1"/>
        <v>4.7619047619047616E-2</v>
      </c>
      <c r="G19" s="32">
        <v>2.4235565546581199</v>
      </c>
      <c r="I19" s="18" t="s">
        <v>37</v>
      </c>
      <c r="J19" s="18">
        <v>42</v>
      </c>
      <c r="K19" s="18">
        <v>2</v>
      </c>
      <c r="L19" s="18">
        <f t="shared" si="2"/>
        <v>5.0952380952380949</v>
      </c>
      <c r="M19" s="18">
        <v>214</v>
      </c>
      <c r="N19" s="18">
        <f t="shared" si="3"/>
        <v>4.7619047619047616E-2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14</v>
      </c>
      <c r="J20" s="18">
        <v>45</v>
      </c>
      <c r="K20" s="18">
        <v>3</v>
      </c>
      <c r="L20" s="18">
        <f t="shared" ref="L20" si="4">M20/J20</f>
        <v>4.7111111111111112</v>
      </c>
      <c r="M20" s="18">
        <v>212</v>
      </c>
      <c r="N20" s="18">
        <f t="shared" ref="N20" si="5">K20/J20</f>
        <v>6.6666666666666666E-2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73" t="s">
        <v>90</v>
      </c>
      <c r="J21" s="73">
        <v>40</v>
      </c>
      <c r="K21" s="73">
        <v>3</v>
      </c>
      <c r="L21" s="73">
        <f t="shared" ref="L21" si="6">M21/J21</f>
        <v>5.35</v>
      </c>
      <c r="M21" s="73">
        <v>214</v>
      </c>
      <c r="N21" s="73">
        <f t="shared" ref="N21" si="7">K21/J21</f>
        <v>7.4999999999999997E-2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56</v>
      </c>
      <c r="J23" s="18">
        <v>40</v>
      </c>
      <c r="K23" s="18">
        <v>0</v>
      </c>
      <c r="L23" s="18">
        <f>M23/J23</f>
        <v>5.0750000000000002</v>
      </c>
      <c r="M23" s="18">
        <v>203</v>
      </c>
      <c r="N23" s="18">
        <f>K23/J23</f>
        <v>0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25</v>
      </c>
      <c r="J24" s="18">
        <v>264</v>
      </c>
      <c r="K24" s="18">
        <v>23</v>
      </c>
      <c r="L24" s="18">
        <f t="shared" ref="L24" si="8">M24/J24</f>
        <v>5.0151515151515156</v>
      </c>
      <c r="M24" s="18">
        <v>1324</v>
      </c>
      <c r="N24" s="18">
        <f t="shared" ref="N24" si="9">K24/J24</f>
        <v>8.7121212121212127E-2</v>
      </c>
    </row>
    <row r="25" spans="1:14" x14ac:dyDescent="0.3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34</v>
      </c>
      <c r="J25" s="18">
        <v>41</v>
      </c>
      <c r="K25" s="18">
        <v>3</v>
      </c>
      <c r="L25" s="18">
        <f t="shared" ref="L25" si="10">M25/J25</f>
        <v>5.3170731707317076</v>
      </c>
      <c r="M25" s="18">
        <v>218</v>
      </c>
      <c r="N25" s="18">
        <f t="shared" ref="N25" si="11">K25/J25</f>
        <v>7.3170731707317069E-2</v>
      </c>
    </row>
    <row r="26" spans="1:14" x14ac:dyDescent="0.3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147</v>
      </c>
      <c r="J26" s="18">
        <v>145</v>
      </c>
      <c r="K26" s="18">
        <v>28</v>
      </c>
      <c r="L26" s="18">
        <f t="shared" ref="L26:L29" si="12">M26/J26</f>
        <v>3.8620689655172415</v>
      </c>
      <c r="M26" s="18">
        <v>560</v>
      </c>
      <c r="N26" s="18">
        <f t="shared" ref="N26:N29" si="13">K26/J26</f>
        <v>0.19310344827586207</v>
      </c>
    </row>
    <row r="27" spans="1:14" x14ac:dyDescent="0.35">
      <c r="A27" s="18" t="s">
        <v>25</v>
      </c>
      <c r="B27" s="18">
        <v>264</v>
      </c>
      <c r="C27" s="18">
        <v>23</v>
      </c>
      <c r="D27" s="18">
        <f t="shared" si="0"/>
        <v>5.0151515151515156</v>
      </c>
      <c r="E27" s="18">
        <v>1324</v>
      </c>
      <c r="F27" s="18">
        <f t="shared" si="1"/>
        <v>8.7121212121212127E-2</v>
      </c>
      <c r="G27" s="32">
        <v>2.1609054109613202</v>
      </c>
      <c r="I27" s="18" t="s">
        <v>87</v>
      </c>
      <c r="J27" s="18">
        <v>213</v>
      </c>
      <c r="K27" s="18">
        <v>25</v>
      </c>
      <c r="L27" s="18">
        <f t="shared" si="12"/>
        <v>5.018779342723005</v>
      </c>
      <c r="M27" s="18">
        <v>1069</v>
      </c>
      <c r="N27" s="18">
        <f t="shared" si="13"/>
        <v>0.11737089201877934</v>
      </c>
    </row>
    <row r="28" spans="1:14" x14ac:dyDescent="0.3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50</v>
      </c>
      <c r="J28" s="18">
        <v>41</v>
      </c>
      <c r="K28" s="18">
        <v>4</v>
      </c>
      <c r="L28" s="18">
        <f t="shared" si="12"/>
        <v>4.2682926829268295</v>
      </c>
      <c r="M28" s="18">
        <v>175</v>
      </c>
      <c r="N28" s="18">
        <f t="shared" si="13"/>
        <v>9.7560975609756101E-2</v>
      </c>
    </row>
    <row r="29" spans="1:14" x14ac:dyDescent="0.3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81</v>
      </c>
      <c r="J29" s="18">
        <v>91</v>
      </c>
      <c r="K29" s="18">
        <v>6</v>
      </c>
      <c r="L29" s="18">
        <f t="shared" si="12"/>
        <v>5.2197802197802199</v>
      </c>
      <c r="M29" s="18">
        <v>475</v>
      </c>
      <c r="N29" s="18">
        <f t="shared" si="13"/>
        <v>6.5934065934065936E-2</v>
      </c>
    </row>
    <row r="30" spans="1:14" x14ac:dyDescent="0.3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36</v>
      </c>
      <c r="J30" s="18">
        <v>40</v>
      </c>
      <c r="K30" s="18">
        <v>3</v>
      </c>
      <c r="L30" s="18">
        <f t="shared" ref="L30" si="14">M30/J30</f>
        <v>4.2750000000000004</v>
      </c>
      <c r="M30" s="18">
        <v>171</v>
      </c>
      <c r="N30" s="18">
        <f t="shared" ref="N30" si="15">K30/J30</f>
        <v>7.4999999999999997E-2</v>
      </c>
    </row>
    <row r="31" spans="1:14" x14ac:dyDescent="0.35">
      <c r="A31" s="18" t="s">
        <v>50</v>
      </c>
      <c r="B31" s="18">
        <v>41</v>
      </c>
      <c r="C31" s="18">
        <v>4</v>
      </c>
      <c r="D31" s="18">
        <f t="shared" si="0"/>
        <v>4.2682926829268295</v>
      </c>
      <c r="E31" s="18">
        <v>175</v>
      </c>
      <c r="F31" s="18">
        <f t="shared" si="1"/>
        <v>9.7560975609756101E-2</v>
      </c>
      <c r="G31" s="32">
        <v>2.2360679774997898</v>
      </c>
      <c r="I31" s="18" t="s">
        <v>112</v>
      </c>
      <c r="J31" s="18">
        <v>42</v>
      </c>
      <c r="K31" s="18">
        <v>8</v>
      </c>
      <c r="L31" s="18">
        <f t="shared" ref="L31:L35" si="16">M31/J31</f>
        <v>3.7619047619047619</v>
      </c>
      <c r="M31" s="18">
        <v>158</v>
      </c>
      <c r="N31" s="18">
        <f t="shared" ref="N31:N35" si="17">K31/J31</f>
        <v>0.19047619047619047</v>
      </c>
    </row>
    <row r="32" spans="1:14" x14ac:dyDescent="0.35">
      <c r="A32" s="18" t="s">
        <v>81</v>
      </c>
      <c r="B32" s="18">
        <v>91</v>
      </c>
      <c r="C32" s="18">
        <v>6</v>
      </c>
      <c r="D32" s="18">
        <f t="shared" si="0"/>
        <v>5.2197802197802199</v>
      </c>
      <c r="E32" s="18">
        <v>475</v>
      </c>
      <c r="F32" s="18">
        <f t="shared" si="1"/>
        <v>6.5934065934065936E-2</v>
      </c>
      <c r="G32" s="32">
        <v>1.76776695296636</v>
      </c>
      <c r="I32" s="18" t="s">
        <v>27</v>
      </c>
      <c r="J32" s="18">
        <v>62</v>
      </c>
      <c r="K32" s="18">
        <v>4</v>
      </c>
      <c r="L32" s="18">
        <f t="shared" si="16"/>
        <v>4.5483870967741939</v>
      </c>
      <c r="M32" s="18">
        <v>282</v>
      </c>
      <c r="N32" s="18">
        <f t="shared" si="17"/>
        <v>6.4516129032258063E-2</v>
      </c>
    </row>
    <row r="33" spans="1:14" x14ac:dyDescent="0.3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117</v>
      </c>
      <c r="J33" s="18">
        <v>41</v>
      </c>
      <c r="K33" s="18">
        <v>7</v>
      </c>
      <c r="L33" s="18">
        <f t="shared" si="16"/>
        <v>4.2682926829268295</v>
      </c>
      <c r="M33" s="18">
        <v>175</v>
      </c>
      <c r="N33" s="18">
        <f t="shared" si="17"/>
        <v>0.17073170731707318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401</v>
      </c>
      <c r="J34" s="18">
        <v>72</v>
      </c>
      <c r="K34" s="18">
        <v>4</v>
      </c>
      <c r="L34" s="18">
        <f t="shared" si="16"/>
        <v>5.3055555555555554</v>
      </c>
      <c r="M34" s="18">
        <v>382</v>
      </c>
      <c r="N34" s="18">
        <f t="shared" si="17"/>
        <v>5.5555555555555552E-2</v>
      </c>
    </row>
    <row r="35" spans="1:14" x14ac:dyDescent="0.35">
      <c r="A35" s="18" t="s">
        <v>27</v>
      </c>
      <c r="B35" s="18">
        <v>62</v>
      </c>
      <c r="C35" s="18">
        <v>4</v>
      </c>
      <c r="D35" s="18">
        <f t="shared" si="0"/>
        <v>4.5483870967741939</v>
      </c>
      <c r="E35" s="18">
        <v>282</v>
      </c>
      <c r="F35" s="18">
        <f t="shared" si="1"/>
        <v>6.4516129032258063E-2</v>
      </c>
      <c r="G35" s="32">
        <v>2.54950975679639</v>
      </c>
      <c r="I35" s="18" t="s">
        <v>15</v>
      </c>
      <c r="J35" s="18">
        <v>303</v>
      </c>
      <c r="K35" s="18">
        <v>43</v>
      </c>
      <c r="L35" s="18">
        <f t="shared" si="16"/>
        <v>4.6171617161716174</v>
      </c>
      <c r="M35" s="18">
        <v>1399</v>
      </c>
      <c r="N35" s="18">
        <f t="shared" si="17"/>
        <v>0.14191419141914191</v>
      </c>
    </row>
    <row r="36" spans="1:14" x14ac:dyDescent="0.35">
      <c r="A36" s="18" t="s">
        <v>117</v>
      </c>
      <c r="B36" s="18">
        <v>41</v>
      </c>
      <c r="C36" s="18">
        <v>7</v>
      </c>
      <c r="D36" s="18">
        <f t="shared" si="0"/>
        <v>4.2682926829268295</v>
      </c>
      <c r="E36" s="18">
        <v>175</v>
      </c>
      <c r="F36" s="18">
        <f t="shared" si="1"/>
        <v>0.17073170731707318</v>
      </c>
      <c r="G36" s="32">
        <v>2.7284509239574799</v>
      </c>
      <c r="I36" s="18" t="s">
        <v>13</v>
      </c>
      <c r="J36" s="18">
        <v>42</v>
      </c>
      <c r="K36" s="18">
        <v>2</v>
      </c>
      <c r="L36" s="18">
        <f t="shared" ref="L34:L39" si="18">M36/J36</f>
        <v>4.9523809523809526</v>
      </c>
      <c r="M36" s="18">
        <v>208</v>
      </c>
      <c r="N36" s="18">
        <f t="shared" ref="N34:N39" si="19">K36/J36</f>
        <v>4.7619047619047616E-2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10</v>
      </c>
      <c r="J37" s="18">
        <v>77</v>
      </c>
      <c r="K37" s="18">
        <v>14</v>
      </c>
      <c r="L37" s="18">
        <f t="shared" si="18"/>
        <v>3.9350649350649349</v>
      </c>
      <c r="M37" s="18">
        <v>303</v>
      </c>
      <c r="N37" s="18">
        <f t="shared" si="19"/>
        <v>0.18181818181818182</v>
      </c>
    </row>
    <row r="38" spans="1:14" x14ac:dyDescent="0.35">
      <c r="A38" s="18" t="s">
        <v>401</v>
      </c>
      <c r="B38" s="18">
        <v>72</v>
      </c>
      <c r="C38" s="18">
        <v>4</v>
      </c>
      <c r="D38" s="18">
        <f t="shared" si="0"/>
        <v>5.3055555555555554</v>
      </c>
      <c r="E38" s="18">
        <v>382</v>
      </c>
      <c r="F38" s="18">
        <f t="shared" si="1"/>
        <v>5.5555555555555552E-2</v>
      </c>
      <c r="G38" s="32">
        <v>2.1248885888797799</v>
      </c>
      <c r="I38" s="18" t="s">
        <v>63</v>
      </c>
      <c r="J38" s="18">
        <v>42</v>
      </c>
      <c r="K38" s="18">
        <v>5</v>
      </c>
      <c r="L38" s="18">
        <f t="shared" si="18"/>
        <v>4.5476190476190474</v>
      </c>
      <c r="M38" s="18">
        <v>191</v>
      </c>
      <c r="N38" s="18">
        <f t="shared" si="19"/>
        <v>0.11904761904761904</v>
      </c>
    </row>
    <row r="39" spans="1:14" x14ac:dyDescent="0.35">
      <c r="A39" s="18" t="s">
        <v>15</v>
      </c>
      <c r="B39" s="18">
        <v>303</v>
      </c>
      <c r="C39" s="18">
        <v>43</v>
      </c>
      <c r="D39" s="18">
        <f t="shared" si="0"/>
        <v>4.6171617161716174</v>
      </c>
      <c r="E39" s="18">
        <v>1399</v>
      </c>
      <c r="F39" s="18">
        <f t="shared" si="1"/>
        <v>0.14191419141914191</v>
      </c>
      <c r="G39" s="32">
        <v>2.3694389634605302</v>
      </c>
      <c r="I39" s="18" t="s">
        <v>4</v>
      </c>
      <c r="J39" s="18">
        <v>48</v>
      </c>
      <c r="K39" s="18">
        <v>7</v>
      </c>
      <c r="L39" s="18">
        <f t="shared" si="18"/>
        <v>4.729166666666667</v>
      </c>
      <c r="M39" s="18">
        <v>227</v>
      </c>
      <c r="N39" s="18">
        <f t="shared" si="19"/>
        <v>0.14583333333333334</v>
      </c>
    </row>
    <row r="40" spans="1:14" x14ac:dyDescent="0.3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121</v>
      </c>
      <c r="J40" s="18">
        <v>125</v>
      </c>
      <c r="K40" s="18">
        <v>28</v>
      </c>
      <c r="L40" s="18">
        <f t="shared" ref="L40:L42" si="20">M40/J40</f>
        <v>3.8319999999999999</v>
      </c>
      <c r="M40" s="18">
        <v>479</v>
      </c>
      <c r="N40" s="18">
        <f t="shared" ref="N40:N42" si="21">K40/J40</f>
        <v>0.224</v>
      </c>
    </row>
    <row r="41" spans="1:14" x14ac:dyDescent="0.35">
      <c r="A41" s="18" t="s">
        <v>10</v>
      </c>
      <c r="B41" s="18">
        <v>77</v>
      </c>
      <c r="C41" s="18">
        <v>14</v>
      </c>
      <c r="D41" s="18">
        <f t="shared" si="0"/>
        <v>3.9350649350649349</v>
      </c>
      <c r="E41" s="18">
        <v>303</v>
      </c>
      <c r="F41" s="18">
        <f t="shared" si="1"/>
        <v>0.18181818181818182</v>
      </c>
      <c r="G41" s="32">
        <v>2.2086889501029501</v>
      </c>
      <c r="I41" s="18" t="s">
        <v>232</v>
      </c>
      <c r="J41" s="18">
        <v>221</v>
      </c>
      <c r="K41" s="18">
        <v>53</v>
      </c>
      <c r="L41" s="18">
        <f t="shared" si="20"/>
        <v>3.6968325791855206</v>
      </c>
      <c r="M41" s="18">
        <v>817</v>
      </c>
      <c r="N41" s="18">
        <f t="shared" si="21"/>
        <v>0.23981900452488689</v>
      </c>
    </row>
    <row r="42" spans="1:14" x14ac:dyDescent="0.35">
      <c r="A42" s="18" t="s">
        <v>63</v>
      </c>
      <c r="B42" s="18">
        <v>42</v>
      </c>
      <c r="C42" s="18">
        <v>5</v>
      </c>
      <c r="D42" s="18">
        <f t="shared" si="0"/>
        <v>4.5476190476190474</v>
      </c>
      <c r="E42" s="18">
        <v>191</v>
      </c>
      <c r="F42" s="18">
        <f t="shared" si="1"/>
        <v>0.11904761904761904</v>
      </c>
      <c r="G42" s="32">
        <v>2.6394443859772201</v>
      </c>
      <c r="I42" s="18" t="s">
        <v>21</v>
      </c>
      <c r="J42" s="18">
        <v>195</v>
      </c>
      <c r="K42" s="18">
        <v>26</v>
      </c>
      <c r="L42" s="18">
        <f t="shared" si="20"/>
        <v>4.3282051282051279</v>
      </c>
      <c r="M42" s="18">
        <v>844</v>
      </c>
      <c r="N42" s="18">
        <f t="shared" si="21"/>
        <v>0.13333333333333333</v>
      </c>
    </row>
    <row r="43" spans="1:14" x14ac:dyDescent="0.35">
      <c r="A43" s="18" t="s">
        <v>4</v>
      </c>
      <c r="B43" s="18">
        <v>48</v>
      </c>
      <c r="C43" s="18">
        <v>7</v>
      </c>
      <c r="D43" s="18">
        <f t="shared" si="0"/>
        <v>4.729166666666667</v>
      </c>
      <c r="E43" s="18">
        <v>227</v>
      </c>
      <c r="F43" s="18">
        <f t="shared" si="1"/>
        <v>0.14583333333333334</v>
      </c>
      <c r="G43" s="32">
        <v>2.08832734769027</v>
      </c>
      <c r="I43" s="18" t="s">
        <v>51</v>
      </c>
      <c r="J43" s="18">
        <v>49</v>
      </c>
      <c r="K43" s="18">
        <v>4</v>
      </c>
      <c r="L43" s="18">
        <f t="shared" ref="L43" si="22">M43/J43</f>
        <v>4.8775510204081636</v>
      </c>
      <c r="M43" s="18">
        <v>239</v>
      </c>
      <c r="N43" s="18">
        <f t="shared" ref="N43" si="23">K43/J43</f>
        <v>8.1632653061224483E-2</v>
      </c>
    </row>
    <row r="44" spans="1:14" x14ac:dyDescent="0.35">
      <c r="A44" s="18" t="s">
        <v>121</v>
      </c>
      <c r="B44" s="18">
        <v>125</v>
      </c>
      <c r="C44" s="18">
        <v>28</v>
      </c>
      <c r="D44" s="18">
        <f t="shared" si="0"/>
        <v>3.8319999999999999</v>
      </c>
      <c r="E44" s="18">
        <v>479</v>
      </c>
      <c r="F44" s="18">
        <f t="shared" si="1"/>
        <v>0.224</v>
      </c>
      <c r="G44" s="32">
        <v>2.2233267457082899</v>
      </c>
      <c r="I44" s="18" t="s">
        <v>414</v>
      </c>
      <c r="J44" s="18">
        <v>40</v>
      </c>
      <c r="K44" s="18">
        <v>4</v>
      </c>
      <c r="L44" s="18">
        <f t="shared" ref="L44:L47" si="24">M44/J44</f>
        <v>4.9000000000000004</v>
      </c>
      <c r="M44" s="18">
        <v>196</v>
      </c>
      <c r="N44" s="18">
        <f t="shared" ref="N44:N47" si="25">K44/J44</f>
        <v>0.1</v>
      </c>
    </row>
    <row r="45" spans="1:14" x14ac:dyDescent="0.35">
      <c r="A45" s="18" t="s">
        <v>232</v>
      </c>
      <c r="B45" s="18">
        <v>221</v>
      </c>
      <c r="C45" s="18">
        <v>53</v>
      </c>
      <c r="D45" s="18">
        <f t="shared" si="0"/>
        <v>3.6968325791855206</v>
      </c>
      <c r="E45" s="18">
        <v>817</v>
      </c>
      <c r="F45" s="18">
        <f t="shared" si="1"/>
        <v>0.23981900452488689</v>
      </c>
      <c r="G45" s="32">
        <v>2.2509257354845502</v>
      </c>
      <c r="I45" s="18" t="s">
        <v>0</v>
      </c>
      <c r="J45" s="18">
        <v>86</v>
      </c>
      <c r="K45" s="18">
        <v>14</v>
      </c>
      <c r="L45" s="18">
        <f t="shared" si="24"/>
        <v>4.2093023255813957</v>
      </c>
      <c r="M45" s="18">
        <v>362</v>
      </c>
      <c r="N45" s="18">
        <f t="shared" si="25"/>
        <v>0.16279069767441862</v>
      </c>
    </row>
    <row r="46" spans="1:14" x14ac:dyDescent="0.35">
      <c r="A46" s="18" t="s">
        <v>21</v>
      </c>
      <c r="B46" s="18">
        <v>195</v>
      </c>
      <c r="C46" s="18">
        <v>26</v>
      </c>
      <c r="D46" s="18">
        <f t="shared" si="0"/>
        <v>4.3282051282051279</v>
      </c>
      <c r="E46" s="18">
        <v>844</v>
      </c>
      <c r="F46" s="18">
        <f t="shared" si="1"/>
        <v>0.13333333333333333</v>
      </c>
      <c r="G46" s="32">
        <v>2.0655911179772799</v>
      </c>
      <c r="I46" s="18" t="s">
        <v>1</v>
      </c>
      <c r="J46" s="18">
        <v>149</v>
      </c>
      <c r="K46" s="18">
        <v>11</v>
      </c>
      <c r="L46" s="18">
        <f t="shared" si="24"/>
        <v>4.5771812080536911</v>
      </c>
      <c r="M46" s="18">
        <v>682</v>
      </c>
      <c r="N46" s="18">
        <f t="shared" si="25"/>
        <v>7.3825503355704702E-2</v>
      </c>
    </row>
    <row r="47" spans="1:14" x14ac:dyDescent="0.35">
      <c r="A47" s="18" t="s">
        <v>51</v>
      </c>
      <c r="B47" s="18">
        <v>49</v>
      </c>
      <c r="C47" s="18">
        <v>4</v>
      </c>
      <c r="D47" s="18">
        <f t="shared" si="0"/>
        <v>4.8775510204081636</v>
      </c>
      <c r="E47" s="18">
        <v>239</v>
      </c>
      <c r="F47" s="18">
        <f t="shared" si="1"/>
        <v>8.1632653061224483E-2</v>
      </c>
      <c r="G47" s="32">
        <v>2.2967049878400898</v>
      </c>
      <c r="I47" s="18" t="s">
        <v>28</v>
      </c>
      <c r="J47" s="18">
        <v>148</v>
      </c>
      <c r="K47" s="18">
        <v>10</v>
      </c>
      <c r="L47" s="18">
        <f t="shared" si="24"/>
        <v>5.1891891891891895</v>
      </c>
      <c r="M47" s="18">
        <v>768</v>
      </c>
      <c r="N47" s="18">
        <f t="shared" si="25"/>
        <v>6.7567567567567571E-2</v>
      </c>
    </row>
    <row r="48" spans="1:14" x14ac:dyDescent="0.3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253</v>
      </c>
      <c r="J48" s="18">
        <v>61</v>
      </c>
      <c r="K48" s="18">
        <v>4</v>
      </c>
      <c r="L48" s="18">
        <f t="shared" ref="L48:L51" si="26">M48/J48</f>
        <v>5.6065573770491799</v>
      </c>
      <c r="M48" s="18">
        <v>342</v>
      </c>
      <c r="N48" s="18">
        <f t="shared" ref="N48:N49" si="27">K48/J48</f>
        <v>6.5573770491803282E-2</v>
      </c>
    </row>
    <row r="49" spans="1:14" x14ac:dyDescent="0.3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175</v>
      </c>
      <c r="J49" s="18">
        <v>96</v>
      </c>
      <c r="K49" s="18">
        <v>25</v>
      </c>
      <c r="L49" s="18">
        <f t="shared" si="26"/>
        <v>3.5625</v>
      </c>
      <c r="M49" s="18">
        <v>342</v>
      </c>
      <c r="N49" s="18">
        <f t="shared" si="27"/>
        <v>0.26041666666666669</v>
      </c>
    </row>
    <row r="50" spans="1:14" x14ac:dyDescent="0.35">
      <c r="A50" s="18" t="s">
        <v>1</v>
      </c>
      <c r="B50" s="18">
        <v>149</v>
      </c>
      <c r="C50" s="18">
        <v>11</v>
      </c>
      <c r="D50" s="18">
        <f t="shared" si="0"/>
        <v>4.5771812080536911</v>
      </c>
      <c r="E50" s="18">
        <v>682</v>
      </c>
      <c r="F50" s="18">
        <f t="shared" si="1"/>
        <v>7.3825503355704702E-2</v>
      </c>
      <c r="G50" s="32">
        <v>2.0412414523193099</v>
      </c>
      <c r="I50" s="18" t="s">
        <v>61</v>
      </c>
      <c r="J50" s="18">
        <v>99</v>
      </c>
      <c r="K50" s="18">
        <v>19</v>
      </c>
      <c r="L50" s="18">
        <f t="shared" si="26"/>
        <v>4.3535353535353538</v>
      </c>
      <c r="M50" s="18">
        <v>431</v>
      </c>
      <c r="N50" s="18">
        <f>K50/J50</f>
        <v>0.19191919191919191</v>
      </c>
    </row>
    <row r="51" spans="1:14" x14ac:dyDescent="0.35">
      <c r="A51" s="18" t="s">
        <v>28</v>
      </c>
      <c r="B51" s="18">
        <v>148</v>
      </c>
      <c r="C51" s="18">
        <v>10</v>
      </c>
      <c r="D51" s="18">
        <f t="shared" si="0"/>
        <v>5.1891891891891895</v>
      </c>
      <c r="E51" s="18">
        <v>768</v>
      </c>
      <c r="F51" s="18">
        <f t="shared" si="1"/>
        <v>6.7567567567567571E-2</v>
      </c>
      <c r="G51" s="32">
        <v>1.30384048104052</v>
      </c>
      <c r="I51" s="18" t="s">
        <v>115</v>
      </c>
      <c r="J51" s="18">
        <v>41</v>
      </c>
      <c r="K51" s="18">
        <v>4</v>
      </c>
      <c r="L51" s="18">
        <f t="shared" si="26"/>
        <v>4.3902439024390247</v>
      </c>
      <c r="M51" s="18">
        <v>180</v>
      </c>
      <c r="N51" s="18">
        <f t="shared" ref="N51" si="28">K51/J51</f>
        <v>9.7560975609756101E-2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24</v>
      </c>
      <c r="J52" s="18">
        <v>103</v>
      </c>
      <c r="K52" s="18">
        <v>12</v>
      </c>
      <c r="L52" s="18">
        <f t="shared" ref="L52" si="29">M52/J52</f>
        <v>4.5533980582524274</v>
      </c>
      <c r="M52" s="18">
        <v>469</v>
      </c>
      <c r="N52" s="18">
        <f t="shared" ref="N52" si="30">K52/J52</f>
        <v>0.11650485436893204</v>
      </c>
    </row>
    <row r="53" spans="1:14" x14ac:dyDescent="0.35">
      <c r="A53" s="18" t="s">
        <v>175</v>
      </c>
      <c r="B53" s="18">
        <v>96</v>
      </c>
      <c r="C53" s="18">
        <v>25</v>
      </c>
      <c r="D53" s="18">
        <f t="shared" si="0"/>
        <v>3.5625</v>
      </c>
      <c r="E53" s="18">
        <v>342</v>
      </c>
      <c r="F53" s="18">
        <f t="shared" si="1"/>
        <v>0.26041666666666669</v>
      </c>
      <c r="G53" s="32">
        <v>2</v>
      </c>
      <c r="I53" s="18" t="s">
        <v>116</v>
      </c>
      <c r="J53" s="18">
        <v>40</v>
      </c>
      <c r="K53" s="18">
        <v>5</v>
      </c>
      <c r="L53" s="18">
        <f>M53/J53</f>
        <v>3.85</v>
      </c>
      <c r="M53" s="18">
        <v>154</v>
      </c>
      <c r="N53" s="18">
        <f>K53/J53</f>
        <v>0.125</v>
      </c>
    </row>
    <row r="54" spans="1:14" x14ac:dyDescent="0.35">
      <c r="A54" s="18" t="s">
        <v>61</v>
      </c>
      <c r="B54" s="18">
        <v>99</v>
      </c>
      <c r="C54" s="18">
        <v>19</v>
      </c>
      <c r="D54" s="18">
        <f t="shared" si="0"/>
        <v>4.3535353535353538</v>
      </c>
      <c r="E54" s="18">
        <v>431</v>
      </c>
      <c r="F54" s="18">
        <f>C54/B54</f>
        <v>0.19191919191919191</v>
      </c>
      <c r="G54" s="32">
        <v>3.2403703492039302</v>
      </c>
      <c r="I54" s="18" t="s">
        <v>58</v>
      </c>
      <c r="J54" s="18">
        <v>40</v>
      </c>
      <c r="K54" s="18">
        <v>7</v>
      </c>
      <c r="L54" s="18">
        <f t="shared" ref="L54" si="31">M54/J54</f>
        <v>3.8250000000000002</v>
      </c>
      <c r="M54" s="18">
        <v>153</v>
      </c>
      <c r="N54" s="18">
        <f t="shared" ref="N54" si="32">K54/J54</f>
        <v>0.17499999999999999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30</v>
      </c>
      <c r="J55" s="18">
        <v>70</v>
      </c>
      <c r="K55" s="18">
        <v>5</v>
      </c>
      <c r="L55" s="18">
        <f t="shared" ref="L55:L57" si="33">M55/J55</f>
        <v>5.128571428571429</v>
      </c>
      <c r="M55" s="18">
        <v>359</v>
      </c>
      <c r="N55" s="18">
        <f t="shared" ref="N55:N57" si="34">K55/J55</f>
        <v>7.1428571428571425E-2</v>
      </c>
    </row>
    <row r="56" spans="1:14" x14ac:dyDescent="0.3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29</v>
      </c>
      <c r="J56" s="18">
        <v>152</v>
      </c>
      <c r="K56" s="18">
        <v>21</v>
      </c>
      <c r="L56" s="18">
        <f t="shared" si="33"/>
        <v>4.0592105263157894</v>
      </c>
      <c r="M56" s="18">
        <v>617</v>
      </c>
      <c r="N56" s="18">
        <f t="shared" si="34"/>
        <v>0.13815789473684212</v>
      </c>
    </row>
    <row r="57" spans="1:14" x14ac:dyDescent="0.3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148</v>
      </c>
      <c r="J57" s="18">
        <v>43</v>
      </c>
      <c r="K57" s="18">
        <v>8</v>
      </c>
      <c r="L57" s="18">
        <f t="shared" si="33"/>
        <v>3.6976744186046511</v>
      </c>
      <c r="M57" s="18">
        <v>159</v>
      </c>
      <c r="N57" s="18">
        <f t="shared" si="34"/>
        <v>0.18604651162790697</v>
      </c>
    </row>
    <row r="58" spans="1:14" x14ac:dyDescent="0.3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428</v>
      </c>
      <c r="J58" s="18">
        <v>41</v>
      </c>
      <c r="K58" s="18">
        <v>8</v>
      </c>
      <c r="L58" s="18">
        <f t="shared" ref="L57:L58" si="35">M58/J58</f>
        <v>3.9512195121951219</v>
      </c>
      <c r="M58" s="18">
        <v>162</v>
      </c>
      <c r="N58" s="18">
        <f t="shared" ref="N57:N58" si="36">K58/J58</f>
        <v>0.1951219512195122</v>
      </c>
    </row>
    <row r="59" spans="1:14" x14ac:dyDescent="0.35">
      <c r="A59" t="s">
        <v>5</v>
      </c>
      <c r="B59">
        <v>38</v>
      </c>
      <c r="C59">
        <v>2</v>
      </c>
      <c r="D59">
        <f t="shared" si="0"/>
        <v>4.5526315789473681</v>
      </c>
      <c r="E59">
        <v>173</v>
      </c>
      <c r="F59">
        <f t="shared" si="1"/>
        <v>5.2631578947368418E-2</v>
      </c>
      <c r="G59" s="32">
        <v>1.8898223650461301</v>
      </c>
      <c r="I59" s="18" t="s">
        <v>79</v>
      </c>
      <c r="J59" s="18">
        <v>55</v>
      </c>
      <c r="K59" s="18">
        <v>6</v>
      </c>
      <c r="L59" s="18">
        <f>M59/J59</f>
        <v>4.6363636363636367</v>
      </c>
      <c r="M59" s="18">
        <v>255</v>
      </c>
      <c r="N59" s="18">
        <f>K59/J59</f>
        <v>0.10909090909090909</v>
      </c>
    </row>
    <row r="60" spans="1:14" x14ac:dyDescent="0.35">
      <c r="A60" s="18" t="s">
        <v>58</v>
      </c>
      <c r="B60" s="18">
        <v>40</v>
      </c>
      <c r="C60" s="18">
        <v>7</v>
      </c>
      <c r="D60" s="18">
        <f t="shared" si="0"/>
        <v>3.8250000000000002</v>
      </c>
      <c r="E60" s="18">
        <v>153</v>
      </c>
      <c r="F60" s="18">
        <f t="shared" si="1"/>
        <v>0.17499999999999999</v>
      </c>
      <c r="G60" s="32">
        <v>2.33809038890002</v>
      </c>
      <c r="I60" s="18" t="s">
        <v>123</v>
      </c>
      <c r="J60" s="18">
        <v>59</v>
      </c>
      <c r="K60" s="18">
        <v>8</v>
      </c>
      <c r="L60" s="18">
        <f t="shared" ref="L60" si="37">M60/J60</f>
        <v>4.4915254237288131</v>
      </c>
      <c r="M60" s="18">
        <v>265</v>
      </c>
      <c r="N60" s="18">
        <f t="shared" ref="N60" si="38">K60/J60</f>
        <v>0.13559322033898305</v>
      </c>
    </row>
    <row r="61" spans="1:14" x14ac:dyDescent="0.35">
      <c r="A61" s="18" t="s">
        <v>30</v>
      </c>
      <c r="B61" s="18">
        <v>70</v>
      </c>
      <c r="C61" s="18">
        <v>5</v>
      </c>
      <c r="D61" s="18">
        <f t="shared" si="0"/>
        <v>5.128571428571429</v>
      </c>
      <c r="E61" s="18">
        <v>359</v>
      </c>
      <c r="F61" s="18">
        <f t="shared" si="1"/>
        <v>7.1428571428571425E-2</v>
      </c>
      <c r="G61" s="32">
        <v>2.5226248955475601</v>
      </c>
      <c r="I61" s="18" t="s">
        <v>12</v>
      </c>
      <c r="J61" s="18">
        <v>40</v>
      </c>
      <c r="K61" s="18">
        <v>2</v>
      </c>
      <c r="L61" s="18">
        <f t="shared" ref="L61" si="39">M61/J61</f>
        <v>4.7249999999999996</v>
      </c>
      <c r="M61" s="18">
        <v>189</v>
      </c>
      <c r="N61" s="18">
        <f t="shared" ref="N61" si="40">K61/J61</f>
        <v>0.05</v>
      </c>
    </row>
    <row r="62" spans="1:14" x14ac:dyDescent="0.35">
      <c r="A62" s="18" t="s">
        <v>29</v>
      </c>
      <c r="B62" s="18">
        <v>152</v>
      </c>
      <c r="C62" s="18">
        <v>21</v>
      </c>
      <c r="D62" s="18">
        <f t="shared" si="0"/>
        <v>4.0592105263157894</v>
      </c>
      <c r="E62" s="18">
        <v>617</v>
      </c>
      <c r="F62" s="18">
        <f t="shared" si="1"/>
        <v>0.13815789473684212</v>
      </c>
      <c r="G62" s="32">
        <v>2.0875571218153701</v>
      </c>
      <c r="I62" s="18" t="s">
        <v>404</v>
      </c>
      <c r="J62" s="18">
        <v>40</v>
      </c>
      <c r="K62" s="18">
        <v>4</v>
      </c>
      <c r="L62" s="18">
        <f t="shared" ref="L62" si="41">M62/J62</f>
        <v>4.9249999999999998</v>
      </c>
      <c r="M62" s="18">
        <v>197</v>
      </c>
      <c r="N62" s="18">
        <f t="shared" ref="N62" si="42">K62/J62</f>
        <v>0.1</v>
      </c>
    </row>
    <row r="63" spans="1:14" x14ac:dyDescent="0.35">
      <c r="A63" s="18" t="s">
        <v>148</v>
      </c>
      <c r="B63" s="18">
        <v>43</v>
      </c>
      <c r="C63" s="18">
        <v>8</v>
      </c>
      <c r="D63" s="18">
        <f t="shared" si="0"/>
        <v>3.6976744186046511</v>
      </c>
      <c r="E63" s="18">
        <v>159</v>
      </c>
      <c r="F63" s="18">
        <f t="shared" si="1"/>
        <v>0.18604651162790697</v>
      </c>
      <c r="G63" s="32">
        <v>2.0528725518857001</v>
      </c>
      <c r="I63" s="18" t="s">
        <v>22</v>
      </c>
      <c r="J63" s="18">
        <v>186</v>
      </c>
      <c r="K63" s="18">
        <v>30</v>
      </c>
      <c r="L63" s="18">
        <f>M63/J63</f>
        <v>4.123655913978495</v>
      </c>
      <c r="M63" s="18">
        <v>767</v>
      </c>
      <c r="N63" s="18">
        <f>K63/J63</f>
        <v>0.16129032258064516</v>
      </c>
    </row>
    <row r="64" spans="1:14" x14ac:dyDescent="0.35">
      <c r="A64" t="s">
        <v>9</v>
      </c>
      <c r="B64">
        <v>39</v>
      </c>
      <c r="C64">
        <v>4</v>
      </c>
      <c r="D64">
        <f t="shared" si="0"/>
        <v>3.9743589743589745</v>
      </c>
      <c r="E64">
        <v>155</v>
      </c>
      <c r="F64">
        <f t="shared" si="1"/>
        <v>0.10256410256410256</v>
      </c>
      <c r="G64" s="32">
        <v>2.42097317438899</v>
      </c>
      <c r="I64" s="18" t="s">
        <v>110</v>
      </c>
      <c r="J64" s="18">
        <v>40</v>
      </c>
      <c r="K64" s="18">
        <v>1</v>
      </c>
      <c r="L64" s="18">
        <f>M64/J64</f>
        <v>4.4749999999999996</v>
      </c>
      <c r="M64" s="18">
        <v>179</v>
      </c>
      <c r="N64" s="18">
        <f>K64/J64</f>
        <v>2.5000000000000001E-2</v>
      </c>
    </row>
    <row r="65" spans="1:14" x14ac:dyDescent="0.3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33</v>
      </c>
      <c r="J65" s="18">
        <v>79</v>
      </c>
      <c r="K65" s="18">
        <v>4</v>
      </c>
      <c r="L65" s="18">
        <f>M65/J65</f>
        <v>5.518987341772152</v>
      </c>
      <c r="M65" s="18">
        <v>436</v>
      </c>
      <c r="N65" s="18">
        <f>K65/J65</f>
        <v>5.0632911392405063E-2</v>
      </c>
    </row>
    <row r="66" spans="1:14" x14ac:dyDescent="0.35">
      <c r="A66" s="18" t="s">
        <v>428</v>
      </c>
      <c r="B66" s="18">
        <v>41</v>
      </c>
      <c r="C66" s="18">
        <v>8</v>
      </c>
      <c r="D66" s="18">
        <f t="shared" si="0"/>
        <v>3.9512195121951219</v>
      </c>
      <c r="E66" s="18">
        <v>162</v>
      </c>
      <c r="F66" s="18">
        <f t="shared" si="1"/>
        <v>0.1951219512195122</v>
      </c>
      <c r="G66" s="32">
        <v>1.9414506867882999</v>
      </c>
      <c r="I66" s="18" t="s">
        <v>7</v>
      </c>
      <c r="J66" s="18">
        <v>40</v>
      </c>
      <c r="K66" s="18">
        <v>8</v>
      </c>
      <c r="L66" s="18">
        <f t="shared" ref="L66:L67" si="43">M66/J66</f>
        <v>3.85</v>
      </c>
      <c r="M66" s="18">
        <v>154</v>
      </c>
      <c r="N66" s="18">
        <f t="shared" ref="N66:N67" si="44">K66/J66</f>
        <v>0.2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129</v>
      </c>
      <c r="J67" s="18">
        <v>56</v>
      </c>
      <c r="K67" s="18">
        <v>10</v>
      </c>
      <c r="L67" s="18">
        <f t="shared" si="43"/>
        <v>4.5535714285714288</v>
      </c>
      <c r="M67" s="18">
        <v>255</v>
      </c>
      <c r="N67" s="18">
        <f t="shared" si="44"/>
        <v>0.17857142857142858</v>
      </c>
    </row>
    <row r="68" spans="1:14" x14ac:dyDescent="0.35">
      <c r="A68" t="s">
        <v>17</v>
      </c>
      <c r="B68">
        <v>39</v>
      </c>
      <c r="C68">
        <v>3</v>
      </c>
      <c r="D68">
        <f t="shared" si="0"/>
        <v>5.1025641025641022</v>
      </c>
      <c r="E68">
        <v>199</v>
      </c>
      <c r="F68">
        <f t="shared" si="1"/>
        <v>7.6923076923076927E-2</v>
      </c>
      <c r="G68" s="32">
        <v>2.4832774042918899</v>
      </c>
      <c r="I68" s="18" t="s">
        <v>113</v>
      </c>
      <c r="J68" s="18">
        <v>45</v>
      </c>
      <c r="K68" s="18">
        <v>1</v>
      </c>
      <c r="L68" s="18">
        <f>M68/J68</f>
        <v>4.5111111111111111</v>
      </c>
      <c r="M68" s="18">
        <v>203</v>
      </c>
      <c r="N68" s="18">
        <f>K68/J68</f>
        <v>2.2222222222222223E-2</v>
      </c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35</v>
      </c>
      <c r="J69" s="18">
        <v>209</v>
      </c>
      <c r="K69" s="18">
        <v>48</v>
      </c>
      <c r="L69" s="18">
        <f t="shared" ref="L69:L70" si="45">M69/J69</f>
        <v>3.5885167464114831</v>
      </c>
      <c r="M69" s="18">
        <v>750</v>
      </c>
      <c r="N69" s="18">
        <f t="shared" ref="N69:N70" si="46">K69/J69</f>
        <v>0.22966507177033493</v>
      </c>
    </row>
    <row r="70" spans="1:14" x14ac:dyDescent="0.35">
      <c r="A70" s="18" t="s">
        <v>123</v>
      </c>
      <c r="B70" s="18">
        <v>59</v>
      </c>
      <c r="C70" s="18">
        <v>8</v>
      </c>
      <c r="D70" s="18">
        <f t="shared" si="0"/>
        <v>4.4915254237288131</v>
      </c>
      <c r="E70" s="18">
        <v>265</v>
      </c>
      <c r="F70" s="18">
        <f t="shared" si="1"/>
        <v>0.13559322033898305</v>
      </c>
      <c r="G70" s="32">
        <v>2</v>
      </c>
      <c r="I70" s="18" t="s">
        <v>26</v>
      </c>
      <c r="J70" s="18">
        <v>125</v>
      </c>
      <c r="K70" s="18">
        <v>7</v>
      </c>
      <c r="L70" s="18">
        <f t="shared" si="45"/>
        <v>5.2560000000000002</v>
      </c>
      <c r="M70" s="18">
        <v>657</v>
      </c>
      <c r="N70" s="18">
        <f t="shared" si="46"/>
        <v>5.6000000000000001E-2</v>
      </c>
    </row>
    <row r="71" spans="1:14" x14ac:dyDescent="0.35">
      <c r="A71" s="18" t="s">
        <v>12</v>
      </c>
      <c r="B71" s="18">
        <v>40</v>
      </c>
      <c r="C71" s="18">
        <v>2</v>
      </c>
      <c r="D71" s="18">
        <f t="shared" si="0"/>
        <v>4.7249999999999996</v>
      </c>
      <c r="E71" s="18">
        <v>189</v>
      </c>
      <c r="F71" s="18">
        <f t="shared" si="1"/>
        <v>0.05</v>
      </c>
      <c r="G71" s="32">
        <v>2.44584195260913</v>
      </c>
      <c r="I71" s="18" t="s">
        <v>122</v>
      </c>
      <c r="J71" s="18">
        <v>202</v>
      </c>
      <c r="K71" s="18">
        <v>24</v>
      </c>
      <c r="L71" s="18">
        <f t="shared" ref="L71:L73" si="47">M71/J71</f>
        <v>4.0049504950495045</v>
      </c>
      <c r="M71" s="18">
        <v>809</v>
      </c>
      <c r="N71" s="18">
        <f t="shared" ref="N71:N73" si="48">K71/J71</f>
        <v>0.11881188118811881</v>
      </c>
    </row>
    <row r="72" spans="1:14" x14ac:dyDescent="0.35">
      <c r="A72" s="18" t="s">
        <v>404</v>
      </c>
      <c r="B72" s="18">
        <v>40</v>
      </c>
      <c r="C72" s="18">
        <v>4</v>
      </c>
      <c r="D72" s="18">
        <f t="shared" si="0"/>
        <v>4.9249999999999998</v>
      </c>
      <c r="E72" s="18">
        <v>197</v>
      </c>
      <c r="F72" s="18">
        <f t="shared" si="1"/>
        <v>0.1</v>
      </c>
      <c r="G72" s="32">
        <v>2.3094010767584998</v>
      </c>
      <c r="I72" s="18" t="s">
        <v>49</v>
      </c>
      <c r="J72" s="18">
        <v>165</v>
      </c>
      <c r="K72" s="18">
        <v>12</v>
      </c>
      <c r="L72" s="18">
        <f t="shared" si="47"/>
        <v>4.9636363636363638</v>
      </c>
      <c r="M72" s="18">
        <v>819</v>
      </c>
      <c r="N72" s="18">
        <f t="shared" si="48"/>
        <v>7.2727272727272724E-2</v>
      </c>
    </row>
    <row r="73" spans="1:14" x14ac:dyDescent="0.3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  <c r="I73" s="18" t="s">
        <v>3</v>
      </c>
      <c r="J73" s="18">
        <v>58</v>
      </c>
      <c r="K73" s="18">
        <v>8</v>
      </c>
      <c r="L73" s="18">
        <f t="shared" si="47"/>
        <v>4.1724137931034484</v>
      </c>
      <c r="M73" s="18">
        <v>242</v>
      </c>
      <c r="N73" s="18">
        <f t="shared" si="48"/>
        <v>0.13793103448275862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2</v>
      </c>
      <c r="J74" s="18">
        <v>41</v>
      </c>
      <c r="K74" s="18">
        <v>10</v>
      </c>
      <c r="L74" s="18">
        <f>M74/J74</f>
        <v>3.8048780487804876</v>
      </c>
      <c r="M74" s="18">
        <v>156</v>
      </c>
      <c r="N74" s="18">
        <f>K74/J74</f>
        <v>0.24390243902439024</v>
      </c>
    </row>
    <row r="75" spans="1:14" x14ac:dyDescent="0.35">
      <c r="A75" s="18" t="s">
        <v>110</v>
      </c>
      <c r="B75" s="18">
        <v>40</v>
      </c>
      <c r="C75" s="18">
        <v>1</v>
      </c>
      <c r="D75" s="18">
        <f>E75/B75</f>
        <v>4.4749999999999996</v>
      </c>
      <c r="E75" s="18">
        <v>179</v>
      </c>
      <c r="F75" s="18">
        <f>C75/B75</f>
        <v>2.5000000000000001E-2</v>
      </c>
      <c r="G75" s="32">
        <v>1.9407902170679501</v>
      </c>
      <c r="I75" s="18" t="s">
        <v>124</v>
      </c>
      <c r="J75" s="18">
        <v>40</v>
      </c>
      <c r="K75" s="18">
        <v>1</v>
      </c>
      <c r="L75" s="18">
        <f>M75/J75</f>
        <v>5.15</v>
      </c>
      <c r="M75" s="18">
        <v>206</v>
      </c>
      <c r="N75" s="18">
        <f>K75/J75</f>
        <v>2.5000000000000001E-2</v>
      </c>
    </row>
    <row r="76" spans="1:14" x14ac:dyDescent="0.35">
      <c r="A76" t="s">
        <v>82</v>
      </c>
      <c r="B76">
        <v>38</v>
      </c>
      <c r="C76">
        <v>1</v>
      </c>
      <c r="D76">
        <f t="shared" ref="D76:D91" si="49">E76/B76</f>
        <v>5.3421052631578947</v>
      </c>
      <c r="E76">
        <v>203</v>
      </c>
      <c r="F76">
        <f>C76/B76</f>
        <v>2.6315789473684209E-2</v>
      </c>
      <c r="G76" s="32">
        <v>2</v>
      </c>
    </row>
    <row r="77" spans="1:14" x14ac:dyDescent="0.35">
      <c r="A77" s="18" t="s">
        <v>33</v>
      </c>
      <c r="B77" s="18">
        <v>79</v>
      </c>
      <c r="C77" s="18">
        <v>4</v>
      </c>
      <c r="D77" s="18">
        <f t="shared" si="49"/>
        <v>5.518987341772152</v>
      </c>
      <c r="E77" s="18">
        <v>436</v>
      </c>
      <c r="F77" s="18">
        <f t="shared" ref="F77:F91" si="50">C77/B77</f>
        <v>5.0632911392405063E-2</v>
      </c>
      <c r="G77" s="32">
        <v>2.14993539954627</v>
      </c>
    </row>
    <row r="78" spans="1:14" x14ac:dyDescent="0.35">
      <c r="A78" t="s">
        <v>99</v>
      </c>
      <c r="B78">
        <v>38</v>
      </c>
      <c r="C78">
        <v>3</v>
      </c>
      <c r="D78">
        <f t="shared" si="49"/>
        <v>5.0526315789473681</v>
      </c>
      <c r="E78">
        <v>192</v>
      </c>
      <c r="F78">
        <f t="shared" si="50"/>
        <v>7.8947368421052627E-2</v>
      </c>
      <c r="G78" s="32">
        <v>2.6687491868330699</v>
      </c>
    </row>
    <row r="79" spans="1:14" x14ac:dyDescent="0.35">
      <c r="A79" s="18" t="s">
        <v>7</v>
      </c>
      <c r="B79" s="18">
        <v>40</v>
      </c>
      <c r="C79" s="18">
        <v>8</v>
      </c>
      <c r="D79" s="18">
        <f t="shared" si="49"/>
        <v>3.85</v>
      </c>
      <c r="E79" s="18">
        <v>154</v>
      </c>
      <c r="F79" s="18">
        <f t="shared" si="50"/>
        <v>0.2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49"/>
        <v>4</v>
      </c>
      <c r="E80" s="41">
        <v>20</v>
      </c>
      <c r="F80" s="41">
        <f t="shared" si="50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49"/>
        <v>4.1818181818181817</v>
      </c>
      <c r="E81" s="41">
        <v>46</v>
      </c>
      <c r="F81" s="41">
        <f t="shared" si="50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56</v>
      </c>
      <c r="C82" s="18">
        <v>10</v>
      </c>
      <c r="D82" s="18">
        <f t="shared" si="49"/>
        <v>4.5535714285714288</v>
      </c>
      <c r="E82" s="18">
        <v>255</v>
      </c>
      <c r="F82" s="18">
        <f t="shared" si="50"/>
        <v>0.17857142857142858</v>
      </c>
      <c r="G82" s="32">
        <v>2.1315096371664199</v>
      </c>
    </row>
    <row r="83" spans="1:7" x14ac:dyDescent="0.35">
      <c r="A83" s="18" t="s">
        <v>113</v>
      </c>
      <c r="B83" s="18">
        <v>45</v>
      </c>
      <c r="C83" s="18">
        <v>1</v>
      </c>
      <c r="D83" s="18">
        <f t="shared" si="49"/>
        <v>4.5111111111111111</v>
      </c>
      <c r="E83" s="18">
        <v>203</v>
      </c>
      <c r="F83" s="18">
        <f t="shared" si="50"/>
        <v>2.2222222222222223E-2</v>
      </c>
      <c r="G83" s="32">
        <v>2.4899799195977401</v>
      </c>
    </row>
    <row r="84" spans="1:7" x14ac:dyDescent="0.35">
      <c r="A84" s="18" t="s">
        <v>35</v>
      </c>
      <c r="B84" s="18">
        <v>209</v>
      </c>
      <c r="C84" s="18">
        <v>48</v>
      </c>
      <c r="D84" s="18">
        <f t="shared" si="49"/>
        <v>3.5885167464114831</v>
      </c>
      <c r="E84" s="18">
        <v>750</v>
      </c>
      <c r="F84" s="18">
        <f t="shared" si="50"/>
        <v>0.22966507177033493</v>
      </c>
      <c r="G84" s="32">
        <v>2.6214406763289899</v>
      </c>
    </row>
    <row r="85" spans="1:7" x14ac:dyDescent="0.35">
      <c r="A85" s="18" t="s">
        <v>26</v>
      </c>
      <c r="B85" s="18">
        <v>125</v>
      </c>
      <c r="C85" s="18">
        <v>7</v>
      </c>
      <c r="D85" s="18">
        <f t="shared" si="49"/>
        <v>5.2560000000000002</v>
      </c>
      <c r="E85" s="18">
        <v>657</v>
      </c>
      <c r="F85" s="18">
        <f t="shared" si="50"/>
        <v>5.6000000000000001E-2</v>
      </c>
      <c r="G85" s="32">
        <v>2.4494897427831699</v>
      </c>
    </row>
    <row r="86" spans="1:7" x14ac:dyDescent="0.35">
      <c r="A86" s="18" t="s">
        <v>122</v>
      </c>
      <c r="B86" s="18">
        <v>202</v>
      </c>
      <c r="C86" s="18">
        <v>24</v>
      </c>
      <c r="D86" s="18">
        <f t="shared" si="49"/>
        <v>4.0049504950495045</v>
      </c>
      <c r="E86" s="18">
        <v>809</v>
      </c>
      <c r="F86" s="18">
        <f t="shared" si="50"/>
        <v>0.11881188118811881</v>
      </c>
      <c r="G86" s="32">
        <v>1.6329931618554501</v>
      </c>
    </row>
    <row r="87" spans="1:7" x14ac:dyDescent="0.35">
      <c r="A87" s="18" t="s">
        <v>49</v>
      </c>
      <c r="B87" s="18">
        <v>165</v>
      </c>
      <c r="C87" s="18">
        <v>12</v>
      </c>
      <c r="D87" s="18">
        <f t="shared" si="49"/>
        <v>4.9636363636363638</v>
      </c>
      <c r="E87" s="18">
        <v>819</v>
      </c>
      <c r="F87" s="18">
        <f t="shared" si="50"/>
        <v>7.2727272727272724E-2</v>
      </c>
      <c r="G87" s="32">
        <v>2.79455252402308</v>
      </c>
    </row>
    <row r="88" spans="1:7" x14ac:dyDescent="0.35">
      <c r="A88" s="18" t="s">
        <v>3</v>
      </c>
      <c r="B88" s="18">
        <v>58</v>
      </c>
      <c r="C88" s="18">
        <v>8</v>
      </c>
      <c r="D88" s="18">
        <f t="shared" si="49"/>
        <v>4.1724137931034484</v>
      </c>
      <c r="E88" s="18">
        <v>242</v>
      </c>
      <c r="F88" s="18">
        <f t="shared" si="50"/>
        <v>0.13793103448275862</v>
      </c>
      <c r="G88" s="32">
        <v>2.3731557327466102</v>
      </c>
    </row>
    <row r="89" spans="1:7" x14ac:dyDescent="0.35">
      <c r="A89" t="s">
        <v>230</v>
      </c>
      <c r="B89">
        <v>37</v>
      </c>
      <c r="C89">
        <v>4</v>
      </c>
      <c r="D89">
        <f t="shared" si="49"/>
        <v>5.0270270270270272</v>
      </c>
      <c r="E89">
        <v>186</v>
      </c>
      <c r="F89">
        <f t="shared" si="50"/>
        <v>0.10810810810810811</v>
      </c>
      <c r="G89" s="32">
        <v>2.7748873851023199</v>
      </c>
    </row>
    <row r="90" spans="1:7" x14ac:dyDescent="0.35">
      <c r="A90" s="18" t="s">
        <v>2</v>
      </c>
      <c r="B90" s="18">
        <v>41</v>
      </c>
      <c r="C90" s="18">
        <v>10</v>
      </c>
      <c r="D90" s="18">
        <f t="shared" si="49"/>
        <v>3.8048780487804876</v>
      </c>
      <c r="E90" s="18">
        <v>156</v>
      </c>
      <c r="F90" s="18">
        <f t="shared" si="50"/>
        <v>0.24390243902439024</v>
      </c>
      <c r="G90" s="32">
        <v>2.5876449587894599</v>
      </c>
    </row>
    <row r="91" spans="1:7" x14ac:dyDescent="0.35">
      <c r="A91" s="18" t="s">
        <v>124</v>
      </c>
      <c r="B91" s="18">
        <v>40</v>
      </c>
      <c r="C91" s="18">
        <v>1</v>
      </c>
      <c r="D91" s="18">
        <f t="shared" si="49"/>
        <v>5.15</v>
      </c>
      <c r="E91" s="18">
        <v>206</v>
      </c>
      <c r="F91" s="18">
        <f t="shared" si="50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"/>
  <sheetViews>
    <sheetView zoomScale="90" zoomScaleNormal="90" workbookViewId="0">
      <selection activeCell="AA35" sqref="AA35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9" width="13.26953125" bestFit="1" customWidth="1"/>
  </cols>
  <sheetData>
    <row r="1" spans="1:21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3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3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3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3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3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3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3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2026-10-19T05:08:42Z</dcterms:modified>
</cp:coreProperties>
</file>