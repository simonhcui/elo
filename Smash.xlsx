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ui\Desktop\elosite\elo\"/>
    </mc:Choice>
  </mc:AlternateContent>
  <bookViews>
    <workbookView xWindow="38280" yWindow="5280" windowWidth="29040" windowHeight="15720" firstSheet="2" activeTab="9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r:id="rId11"/>
    <sheet name="WE25" sheetId="12" r:id="rId12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13" l="1"/>
  <c r="L23" i="13"/>
  <c r="N26" i="13"/>
  <c r="L26" i="13"/>
  <c r="N56" i="13"/>
  <c r="L56" i="13"/>
  <c r="N15" i="13"/>
  <c r="L15" i="13"/>
  <c r="N43" i="13"/>
  <c r="L43" i="13"/>
  <c r="N42" i="13"/>
  <c r="L42" i="13"/>
  <c r="N55" i="13"/>
  <c r="L55" i="13"/>
  <c r="N32" i="13"/>
  <c r="L32" i="13"/>
  <c r="N41" i="13"/>
  <c r="L41" i="13"/>
  <c r="N36" i="13"/>
  <c r="L36" i="13"/>
  <c r="N37" i="13"/>
  <c r="L37" i="13"/>
  <c r="N14" i="13"/>
  <c r="L14" i="13"/>
  <c r="N57" i="13"/>
  <c r="L57" i="13"/>
  <c r="N29" i="13"/>
  <c r="L29" i="13"/>
  <c r="N28" i="13"/>
  <c r="L28" i="13"/>
  <c r="N40" i="13" l="1"/>
  <c r="L40" i="13"/>
  <c r="N48" i="13"/>
  <c r="L48" i="13"/>
  <c r="N45" i="13"/>
  <c r="L45" i="13"/>
  <c r="N31" i="13" l="1"/>
  <c r="L31" i="13"/>
  <c r="N35" i="13"/>
  <c r="L35" i="13"/>
  <c r="N54" i="13"/>
  <c r="L54" i="13"/>
  <c r="N47" i="13"/>
  <c r="L47" i="13"/>
  <c r="N38" i="13"/>
  <c r="L38" i="13"/>
  <c r="N17" i="13"/>
  <c r="L17" i="13"/>
  <c r="N27" i="13"/>
  <c r="L27" i="13"/>
  <c r="N46" i="13" l="1"/>
  <c r="L46" i="13"/>
  <c r="N22" i="13"/>
  <c r="L22" i="13"/>
  <c r="N25" i="13"/>
  <c r="L25" i="13"/>
  <c r="N24" i="13"/>
  <c r="L24" i="13"/>
  <c r="N58" i="13"/>
  <c r="L58" i="13"/>
  <c r="F30" i="13" l="1"/>
  <c r="D30" i="13"/>
  <c r="N50" i="13"/>
  <c r="L50" i="13"/>
  <c r="N34" i="13" l="1"/>
  <c r="L34" i="13"/>
  <c r="N16" i="13"/>
  <c r="L16" i="13"/>
  <c r="N13" i="13" l="1"/>
  <c r="L13" i="13"/>
  <c r="N53" i="13"/>
  <c r="L53" i="13"/>
  <c r="N20" i="13"/>
  <c r="L20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N52" i="13"/>
  <c r="L52" i="13"/>
  <c r="F71" i="13"/>
  <c r="D71" i="13"/>
  <c r="N51" i="13"/>
  <c r="L51" i="13"/>
  <c r="F70" i="13"/>
  <c r="D70" i="13"/>
  <c r="F69" i="13"/>
  <c r="D69" i="13"/>
  <c r="F68" i="13"/>
  <c r="D68" i="13"/>
  <c r="F67" i="13"/>
  <c r="D67" i="13"/>
  <c r="N49" i="13"/>
  <c r="L49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44" i="13"/>
  <c r="L44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39" i="13"/>
  <c r="L39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3" i="13"/>
  <c r="L33" i="13"/>
  <c r="F39" i="13"/>
  <c r="D39" i="13"/>
  <c r="F38" i="13"/>
  <c r="D38" i="13"/>
  <c r="F37" i="13"/>
  <c r="D37" i="13"/>
  <c r="F36" i="13"/>
  <c r="D36" i="13"/>
  <c r="N30" i="13"/>
  <c r="L30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1" i="13"/>
  <c r="L21" i="13"/>
  <c r="F22" i="13"/>
  <c r="D22" i="13"/>
  <c r="F21" i="13"/>
  <c r="D21" i="13"/>
  <c r="N19" i="13"/>
  <c r="L19" i="13"/>
  <c r="F20" i="13"/>
  <c r="D20" i="13"/>
  <c r="F19" i="13"/>
  <c r="D19" i="13"/>
  <c r="N18" i="13"/>
  <c r="L18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<sst xmlns="http://schemas.openxmlformats.org/spreadsheetml/2006/main" count="15872" uniqueCount="575">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</sst>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3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5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290"/>
  <sheetViews>
    <sheetView topLeftCell="A253" zoomScaleNormal="100" workbookViewId="0">
      <selection activeCell="J282" sqref="J282:R29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23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23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23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23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23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23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23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23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23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</row>
    <row r="283" spans="10:23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</row>
    <row r="284" spans="10:23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</row>
    <row r="285" spans="10:23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</row>
    <row r="286" spans="10:23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</row>
    <row r="287" spans="10:23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</row>
    <row r="288" spans="10:23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</row>
    <row r="289" spans="10:18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</row>
    <row r="290" spans="10:18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862"/>
  <sheetViews>
    <sheetView topLeftCell="A778" workbookViewId="0">
      <selection activeCell="Q797" sqref="Q797:W85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</row>
    <row r="801" spans="1:23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</row>
    <row r="802" spans="1:23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</row>
    <row r="803" spans="1:23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</row>
    <row r="804" spans="1:23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</row>
    <row r="805" spans="1:23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</row>
    <row r="806" spans="1:23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</row>
    <row r="807" spans="1:23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</row>
    <row r="808" spans="1:23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</row>
    <row r="809" spans="1:23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</row>
    <row r="810" spans="1:23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</row>
    <row r="811" spans="1:23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</row>
    <row r="812" spans="1:23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</row>
    <row r="813" spans="1:23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</row>
    <row r="814" spans="1:23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</row>
    <row r="815" spans="1:23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</row>
    <row r="816" spans="1:23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</row>
    <row r="817" spans="1:23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</row>
    <row r="818" spans="1:23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</row>
    <row r="819" spans="1:23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</row>
    <row r="820" spans="1:23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</row>
    <row r="821" spans="1:23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</row>
    <row r="822" spans="1:23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</row>
    <row r="823" spans="1:23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</row>
    <row r="824" spans="1:23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</row>
    <row r="825" spans="1:23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</row>
    <row r="826" spans="1:23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</row>
    <row r="827" spans="1:23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</row>
    <row r="828" spans="1:23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</row>
    <row r="829" spans="1:23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</row>
    <row r="830" spans="1:23" x14ac:dyDescent="0.25">
      <c r="A830" s="32" t="s">
        <v>24</v>
      </c>
      <c r="B830" s="32">
        <v>89</v>
      </c>
      <c r="C830" s="32">
        <v>10</v>
      </c>
      <c r="D830" s="32">
        <f t="shared" ref="D830:D862" si="88">G830/B830</f>
        <v>4.5505617977528088</v>
      </c>
      <c r="E830" s="32">
        <f t="shared" ref="E830:E862" si="89">C830/B830</f>
        <v>0.11235955056179775</v>
      </c>
      <c r="G830" s="18">
        <v>405</v>
      </c>
      <c r="I830">
        <f t="shared" ref="I830:I862" si="90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1">N830/K830</f>
        <v>4.5505617977528088</v>
      </c>
      <c r="N830" s="18">
        <v>405</v>
      </c>
      <c r="O830" s="18">
        <f t="shared" ref="O830:O862" si="92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3">W830/R830</f>
        <v>4.5421686746987948</v>
      </c>
      <c r="U830" s="32">
        <f t="shared" ref="U830:U857" si="94">S830/R830</f>
        <v>4.8192771084337352E-2</v>
      </c>
      <c r="V830" s="3" t="s">
        <v>46</v>
      </c>
      <c r="W830" s="18">
        <v>377</v>
      </c>
    </row>
    <row r="831" spans="1:23" x14ac:dyDescent="0.25">
      <c r="A831" s="32" t="s">
        <v>5</v>
      </c>
      <c r="B831" s="32">
        <v>23</v>
      </c>
      <c r="C831" s="32">
        <v>1</v>
      </c>
      <c r="D831" s="32">
        <f t="shared" si="88"/>
        <v>4.6086956521739131</v>
      </c>
      <c r="E831" s="32">
        <f t="shared" si="89"/>
        <v>4.3478260869565216E-2</v>
      </c>
      <c r="G831" s="18">
        <v>106</v>
      </c>
      <c r="I831">
        <f t="shared" si="90"/>
        <v>830</v>
      </c>
      <c r="J831" s="18" t="s">
        <v>5</v>
      </c>
      <c r="K831" s="18">
        <v>23</v>
      </c>
      <c r="L831" s="18">
        <v>1</v>
      </c>
      <c r="M831" s="18">
        <f t="shared" si="91"/>
        <v>4.6086956521739131</v>
      </c>
      <c r="N831" s="18">
        <v>106</v>
      </c>
      <c r="O831" s="18">
        <f t="shared" si="92"/>
        <v>4.3478260869565216E-2</v>
      </c>
      <c r="Q831" s="32" t="s">
        <v>428</v>
      </c>
      <c r="R831" s="32">
        <v>21</v>
      </c>
      <c r="S831" s="32">
        <v>0</v>
      </c>
      <c r="T831" s="32">
        <f t="shared" si="93"/>
        <v>4.6190476190476186</v>
      </c>
      <c r="U831" s="32">
        <f t="shared" si="94"/>
        <v>0</v>
      </c>
      <c r="W831">
        <v>97</v>
      </c>
    </row>
    <row r="832" spans="1:23" x14ac:dyDescent="0.25">
      <c r="A832" s="32" t="s">
        <v>428</v>
      </c>
      <c r="B832" s="32">
        <v>21</v>
      </c>
      <c r="C832" s="32">
        <v>0</v>
      </c>
      <c r="D832" s="32">
        <f t="shared" si="88"/>
        <v>4.6190476190476186</v>
      </c>
      <c r="E832" s="32">
        <f t="shared" si="89"/>
        <v>0</v>
      </c>
      <c r="G832">
        <v>97</v>
      </c>
      <c r="I832">
        <f t="shared" si="90"/>
        <v>831</v>
      </c>
      <c r="J832" t="s">
        <v>428</v>
      </c>
      <c r="K832">
        <v>21</v>
      </c>
      <c r="L832">
        <v>0</v>
      </c>
      <c r="M832">
        <f t="shared" si="91"/>
        <v>4.6190476190476186</v>
      </c>
      <c r="N832">
        <v>97</v>
      </c>
      <c r="O832">
        <f t="shared" si="92"/>
        <v>0</v>
      </c>
      <c r="Q832" s="32" t="s">
        <v>14</v>
      </c>
      <c r="R832" s="32">
        <v>45</v>
      </c>
      <c r="S832" s="32">
        <v>3</v>
      </c>
      <c r="T832" s="32">
        <f t="shared" si="93"/>
        <v>4.7111111111111112</v>
      </c>
      <c r="U832" s="32">
        <f t="shared" si="94"/>
        <v>6.6666666666666666E-2</v>
      </c>
      <c r="W832">
        <v>212</v>
      </c>
    </row>
    <row r="833" spans="1:23" x14ac:dyDescent="0.25">
      <c r="A833" s="32" t="s">
        <v>1</v>
      </c>
      <c r="B833" s="32">
        <v>90</v>
      </c>
      <c r="C833" s="32">
        <v>4</v>
      </c>
      <c r="D833" s="32">
        <f t="shared" si="88"/>
        <v>4.6222222222222218</v>
      </c>
      <c r="E833" s="32">
        <f t="shared" si="89"/>
        <v>4.4444444444444446E-2</v>
      </c>
      <c r="G833" s="18">
        <v>416</v>
      </c>
      <c r="I833">
        <f t="shared" si="90"/>
        <v>832</v>
      </c>
      <c r="J833" s="18" t="s">
        <v>79</v>
      </c>
      <c r="K833" s="18">
        <v>54</v>
      </c>
      <c r="L833" s="18">
        <v>6</v>
      </c>
      <c r="M833" s="18">
        <f t="shared" si="91"/>
        <v>4.6296296296296298</v>
      </c>
      <c r="N833" s="18">
        <v>250</v>
      </c>
      <c r="O833" s="18">
        <f t="shared" si="92"/>
        <v>0.1111111111111111</v>
      </c>
      <c r="Q833" s="32" t="s">
        <v>61</v>
      </c>
      <c r="R833" s="32">
        <v>25</v>
      </c>
      <c r="S833" s="32">
        <v>6</v>
      </c>
      <c r="T833" s="32">
        <f t="shared" si="93"/>
        <v>4.72</v>
      </c>
      <c r="U833" s="32">
        <f t="shared" si="94"/>
        <v>0.24</v>
      </c>
      <c r="V833" s="3" t="s">
        <v>54</v>
      </c>
      <c r="W833" s="18">
        <v>118</v>
      </c>
    </row>
    <row r="834" spans="1:23" x14ac:dyDescent="0.25">
      <c r="A834" s="32" t="s">
        <v>79</v>
      </c>
      <c r="B834" s="32">
        <v>54</v>
      </c>
      <c r="C834" s="32">
        <v>6</v>
      </c>
      <c r="D834" s="32">
        <f t="shared" si="88"/>
        <v>4.6296296296296298</v>
      </c>
      <c r="E834" s="32">
        <f t="shared" si="89"/>
        <v>0.1111111111111111</v>
      </c>
      <c r="G834" s="18">
        <v>250</v>
      </c>
      <c r="I834">
        <f t="shared" si="90"/>
        <v>833</v>
      </c>
      <c r="J834" s="18" t="s">
        <v>1</v>
      </c>
      <c r="K834" s="18">
        <v>92</v>
      </c>
      <c r="L834" s="18">
        <v>4</v>
      </c>
      <c r="M834" s="18">
        <f t="shared" si="91"/>
        <v>4.6739130434782608</v>
      </c>
      <c r="N834" s="18">
        <v>430</v>
      </c>
      <c r="O834" s="18">
        <f t="shared" si="92"/>
        <v>4.3478260869565216E-2</v>
      </c>
      <c r="Q834" s="32" t="s">
        <v>13</v>
      </c>
      <c r="R834" s="32">
        <v>36</v>
      </c>
      <c r="S834" s="32">
        <v>2</v>
      </c>
      <c r="T834" s="32">
        <f t="shared" si="93"/>
        <v>4.7222222222222223</v>
      </c>
      <c r="U834" s="32">
        <f t="shared" si="94"/>
        <v>5.5555555555555552E-2</v>
      </c>
      <c r="V834" s="3" t="s">
        <v>46</v>
      </c>
      <c r="W834" s="18">
        <v>170</v>
      </c>
    </row>
    <row r="835" spans="1:23" x14ac:dyDescent="0.25">
      <c r="A835" s="32" t="s">
        <v>14</v>
      </c>
      <c r="B835" s="32">
        <v>45</v>
      </c>
      <c r="C835" s="32">
        <v>3</v>
      </c>
      <c r="D835" s="32">
        <f t="shared" si="88"/>
        <v>4.7111111111111112</v>
      </c>
      <c r="E835" s="32">
        <f t="shared" si="89"/>
        <v>6.6666666666666666E-2</v>
      </c>
      <c r="G835">
        <v>212</v>
      </c>
      <c r="I835">
        <f t="shared" si="90"/>
        <v>834</v>
      </c>
      <c r="J835" t="s">
        <v>14</v>
      </c>
      <c r="K835">
        <v>45</v>
      </c>
      <c r="L835">
        <v>3</v>
      </c>
      <c r="M835">
        <f t="shared" si="91"/>
        <v>4.7111111111111112</v>
      </c>
      <c r="N835">
        <v>212</v>
      </c>
      <c r="O835">
        <f t="shared" si="92"/>
        <v>6.6666666666666666E-2</v>
      </c>
      <c r="Q835" s="32" t="s">
        <v>12</v>
      </c>
      <c r="R835" s="32">
        <v>20</v>
      </c>
      <c r="S835" s="32">
        <v>0</v>
      </c>
      <c r="T835" s="32">
        <f t="shared" si="93"/>
        <v>4.75</v>
      </c>
      <c r="U835" s="32">
        <f t="shared" si="94"/>
        <v>0</v>
      </c>
      <c r="V835" s="13" t="s">
        <v>489</v>
      </c>
      <c r="W835" s="18">
        <v>95</v>
      </c>
    </row>
    <row r="836" spans="1:23" x14ac:dyDescent="0.25">
      <c r="A836" s="32" t="s">
        <v>13</v>
      </c>
      <c r="B836" s="32">
        <v>36</v>
      </c>
      <c r="C836" s="32">
        <v>2</v>
      </c>
      <c r="D836" s="32">
        <f t="shared" si="88"/>
        <v>4.7222222222222223</v>
      </c>
      <c r="E836" s="32">
        <f t="shared" si="89"/>
        <v>5.5555555555555552E-2</v>
      </c>
      <c r="G836" s="18">
        <v>170</v>
      </c>
      <c r="I836">
        <f t="shared" si="90"/>
        <v>835</v>
      </c>
      <c r="J836" s="18" t="s">
        <v>13</v>
      </c>
      <c r="K836" s="18">
        <v>36</v>
      </c>
      <c r="L836" s="18">
        <v>2</v>
      </c>
      <c r="M836" s="18">
        <f t="shared" si="91"/>
        <v>4.7222222222222223</v>
      </c>
      <c r="N836" s="18">
        <v>170</v>
      </c>
      <c r="O836" s="18">
        <f t="shared" si="92"/>
        <v>5.5555555555555552E-2</v>
      </c>
      <c r="Q836" s="38" t="s">
        <v>87</v>
      </c>
      <c r="R836" s="38">
        <v>54</v>
      </c>
      <c r="S836" s="38">
        <v>8</v>
      </c>
      <c r="T836" s="38">
        <f t="shared" si="93"/>
        <v>4.8518518518518521</v>
      </c>
      <c r="U836" s="38">
        <f t="shared" si="94"/>
        <v>0.14814814814814814</v>
      </c>
      <c r="V836" s="3" t="s">
        <v>46</v>
      </c>
      <c r="W836" s="18">
        <v>262</v>
      </c>
    </row>
    <row r="837" spans="1:23" x14ac:dyDescent="0.25">
      <c r="A837" s="32" t="s">
        <v>12</v>
      </c>
      <c r="B837" s="32">
        <v>20</v>
      </c>
      <c r="C837" s="32">
        <v>0</v>
      </c>
      <c r="D837" s="32">
        <f t="shared" si="88"/>
        <v>4.75</v>
      </c>
      <c r="E837" s="32">
        <f t="shared" si="89"/>
        <v>0</v>
      </c>
      <c r="G837" s="18">
        <v>95</v>
      </c>
      <c r="I837">
        <f t="shared" si="90"/>
        <v>836</v>
      </c>
      <c r="J837" s="18" t="s">
        <v>12</v>
      </c>
      <c r="K837" s="18">
        <v>20</v>
      </c>
      <c r="L837" s="18">
        <v>0</v>
      </c>
      <c r="M837" s="18">
        <f t="shared" si="91"/>
        <v>4.75</v>
      </c>
      <c r="N837" s="18">
        <v>95</v>
      </c>
      <c r="O837" s="18">
        <f t="shared" si="92"/>
        <v>0</v>
      </c>
      <c r="Q837" s="38" t="s">
        <v>37</v>
      </c>
      <c r="R837" s="38">
        <v>22</v>
      </c>
      <c r="S837" s="38">
        <v>2</v>
      </c>
      <c r="T837" s="38">
        <f t="shared" si="93"/>
        <v>4.9090909090909092</v>
      </c>
      <c r="U837" s="38">
        <f t="shared" si="94"/>
        <v>9.0909090909090912E-2</v>
      </c>
      <c r="V837" s="3" t="s">
        <v>54</v>
      </c>
      <c r="W837" s="18">
        <v>108</v>
      </c>
    </row>
    <row r="838" spans="1:23" x14ac:dyDescent="0.25">
      <c r="A838" s="32" t="s">
        <v>87</v>
      </c>
      <c r="B838" s="32">
        <v>80</v>
      </c>
      <c r="C838" s="32">
        <v>12</v>
      </c>
      <c r="D838" s="32">
        <f t="shared" si="88"/>
        <v>4.7750000000000004</v>
      </c>
      <c r="E838" s="32">
        <f t="shared" si="89"/>
        <v>0.15</v>
      </c>
      <c r="G838" s="18">
        <v>382</v>
      </c>
      <c r="I838">
        <f t="shared" si="90"/>
        <v>837</v>
      </c>
      <c r="J838" s="18" t="s">
        <v>87</v>
      </c>
      <c r="K838" s="18">
        <v>84</v>
      </c>
      <c r="L838" s="18">
        <v>12</v>
      </c>
      <c r="M838" s="18">
        <f t="shared" si="91"/>
        <v>4.7619047619047619</v>
      </c>
      <c r="N838" s="18">
        <v>400</v>
      </c>
      <c r="O838" s="18">
        <f t="shared" si="92"/>
        <v>0.14285714285714285</v>
      </c>
      <c r="Q838" s="38" t="s">
        <v>4</v>
      </c>
      <c r="R838" s="38">
        <v>20</v>
      </c>
      <c r="S838" s="38">
        <v>3</v>
      </c>
      <c r="T838" s="38">
        <f t="shared" si="93"/>
        <v>4.95</v>
      </c>
      <c r="U838" s="38">
        <f t="shared" si="94"/>
        <v>0.15</v>
      </c>
      <c r="V838" s="3" t="s">
        <v>487</v>
      </c>
      <c r="W838" s="18">
        <v>99</v>
      </c>
    </row>
    <row r="839" spans="1:23" x14ac:dyDescent="0.25">
      <c r="A839" s="18" t="s">
        <v>61</v>
      </c>
      <c r="B839" s="18">
        <v>27</v>
      </c>
      <c r="C839" s="18">
        <v>6</v>
      </c>
      <c r="D839" s="18">
        <f t="shared" si="88"/>
        <v>4.8518518518518521</v>
      </c>
      <c r="E839" s="18">
        <f t="shared" si="89"/>
        <v>0.22222222222222221</v>
      </c>
      <c r="G839" s="18">
        <v>131</v>
      </c>
      <c r="I839">
        <f t="shared" si="90"/>
        <v>838</v>
      </c>
      <c r="J839" s="18" t="s">
        <v>61</v>
      </c>
      <c r="K839" s="18">
        <v>28</v>
      </c>
      <c r="L839" s="18">
        <v>6</v>
      </c>
      <c r="M839" s="18">
        <f t="shared" si="91"/>
        <v>4.8571428571428568</v>
      </c>
      <c r="N839" s="18">
        <v>136</v>
      </c>
      <c r="O839" s="18">
        <f t="shared" si="92"/>
        <v>0.21428571428571427</v>
      </c>
      <c r="Q839" s="38" t="s">
        <v>25</v>
      </c>
      <c r="R839" s="38">
        <v>88</v>
      </c>
      <c r="S839" s="38">
        <v>8</v>
      </c>
      <c r="T839" s="38">
        <f t="shared" si="93"/>
        <v>5.0227272727272725</v>
      </c>
      <c r="U839" s="38">
        <f t="shared" si="94"/>
        <v>9.0909090909090912E-2</v>
      </c>
      <c r="V839" s="3" t="s">
        <v>45</v>
      </c>
      <c r="W839" s="18">
        <v>442</v>
      </c>
    </row>
    <row r="840" spans="1:23" x14ac:dyDescent="0.25">
      <c r="A840" s="18" t="s">
        <v>37</v>
      </c>
      <c r="B840" s="18">
        <v>22</v>
      </c>
      <c r="C840" s="18">
        <v>2</v>
      </c>
      <c r="D840" s="18">
        <f t="shared" si="88"/>
        <v>4.9090909090909092</v>
      </c>
      <c r="E840" s="18">
        <f t="shared" si="89"/>
        <v>9.0909090909090912E-2</v>
      </c>
      <c r="G840" s="18">
        <v>108</v>
      </c>
      <c r="I840">
        <f t="shared" si="90"/>
        <v>839</v>
      </c>
      <c r="J840" s="18" t="s">
        <v>37</v>
      </c>
      <c r="K840" s="18">
        <v>22</v>
      </c>
      <c r="L840" s="18">
        <v>2</v>
      </c>
      <c r="M840" s="18">
        <f t="shared" si="91"/>
        <v>4.9090909090909092</v>
      </c>
      <c r="N840" s="18">
        <v>108</v>
      </c>
      <c r="O840" s="18">
        <f t="shared" si="92"/>
        <v>9.0909090909090912E-2</v>
      </c>
      <c r="Q840" s="38" t="s">
        <v>30</v>
      </c>
      <c r="R840" s="38">
        <v>33</v>
      </c>
      <c r="S840" s="38">
        <v>3</v>
      </c>
      <c r="T840" s="38">
        <f t="shared" si="93"/>
        <v>5.0303030303030303</v>
      </c>
      <c r="U840" s="38">
        <f t="shared" si="94"/>
        <v>9.0909090909090912E-2</v>
      </c>
      <c r="V840" s="3" t="s">
        <v>55</v>
      </c>
      <c r="W840" s="18">
        <v>166</v>
      </c>
    </row>
    <row r="841" spans="1:23" x14ac:dyDescent="0.25">
      <c r="A841" s="18" t="s">
        <v>51</v>
      </c>
      <c r="B841" s="18">
        <v>37</v>
      </c>
      <c r="C841" s="18">
        <v>3</v>
      </c>
      <c r="D841" s="18">
        <f t="shared" si="88"/>
        <v>4.9189189189189193</v>
      </c>
      <c r="E841" s="18">
        <f t="shared" si="89"/>
        <v>8.1081081081081086E-2</v>
      </c>
      <c r="G841" s="18">
        <v>182</v>
      </c>
      <c r="I841">
        <f t="shared" si="90"/>
        <v>840</v>
      </c>
      <c r="J841" s="18" t="s">
        <v>51</v>
      </c>
      <c r="K841" s="18">
        <v>37</v>
      </c>
      <c r="L841" s="18">
        <v>3</v>
      </c>
      <c r="M841" s="18">
        <f t="shared" si="91"/>
        <v>4.9189189189189193</v>
      </c>
      <c r="N841" s="18">
        <v>182</v>
      </c>
      <c r="O841" s="18">
        <f t="shared" si="92"/>
        <v>8.1081081081081086E-2</v>
      </c>
      <c r="Q841" s="38" t="s">
        <v>81</v>
      </c>
      <c r="R841" s="38">
        <v>48</v>
      </c>
      <c r="S841" s="38">
        <v>2</v>
      </c>
      <c r="T841" s="38">
        <f t="shared" si="93"/>
        <v>5.041666666666667</v>
      </c>
      <c r="U841" s="38">
        <f t="shared" si="94"/>
        <v>4.1666666666666664E-2</v>
      </c>
      <c r="V841" s="3" t="s">
        <v>45</v>
      </c>
      <c r="W841" s="18">
        <v>242</v>
      </c>
    </row>
    <row r="842" spans="1:23" x14ac:dyDescent="0.25">
      <c r="A842" s="18" t="s">
        <v>25</v>
      </c>
      <c r="B842" s="18">
        <v>117</v>
      </c>
      <c r="C842" s="18">
        <v>11</v>
      </c>
      <c r="D842" s="18">
        <f t="shared" si="88"/>
        <v>4.9230769230769234</v>
      </c>
      <c r="E842" s="18">
        <f t="shared" si="89"/>
        <v>9.4017094017094016E-2</v>
      </c>
      <c r="G842" s="18">
        <v>576</v>
      </c>
      <c r="I842">
        <f t="shared" si="90"/>
        <v>841</v>
      </c>
      <c r="J842" s="18" t="s">
        <v>4</v>
      </c>
      <c r="K842" s="18">
        <v>20</v>
      </c>
      <c r="L842" s="18">
        <v>3</v>
      </c>
      <c r="M842" s="18">
        <f t="shared" si="91"/>
        <v>4.95</v>
      </c>
      <c r="N842" s="18">
        <v>99</v>
      </c>
      <c r="O842" s="18">
        <f t="shared" si="92"/>
        <v>0.15</v>
      </c>
      <c r="Q842" s="38" t="s">
        <v>105</v>
      </c>
      <c r="R842" s="38">
        <v>20</v>
      </c>
      <c r="S842" s="38">
        <v>0</v>
      </c>
      <c r="T842" s="38">
        <f t="shared" si="93"/>
        <v>5.05</v>
      </c>
      <c r="U842" s="38">
        <f t="shared" si="94"/>
        <v>0</v>
      </c>
      <c r="V842" s="3" t="s">
        <v>45</v>
      </c>
      <c r="W842">
        <v>101</v>
      </c>
    </row>
    <row r="843" spans="1:23" x14ac:dyDescent="0.25">
      <c r="A843" s="18" t="s">
        <v>4</v>
      </c>
      <c r="B843" s="18">
        <v>20</v>
      </c>
      <c r="C843" s="18">
        <v>3</v>
      </c>
      <c r="D843" s="18">
        <f t="shared" si="88"/>
        <v>4.95</v>
      </c>
      <c r="E843" s="18">
        <f t="shared" si="89"/>
        <v>0.15</v>
      </c>
      <c r="G843" s="18">
        <v>99</v>
      </c>
      <c r="I843">
        <f t="shared" si="90"/>
        <v>842</v>
      </c>
      <c r="J843" s="18" t="s">
        <v>25</v>
      </c>
      <c r="K843" s="18">
        <v>123</v>
      </c>
      <c r="L843" s="18">
        <v>11</v>
      </c>
      <c r="M843" s="18">
        <f t="shared" si="91"/>
        <v>4.9674796747967482</v>
      </c>
      <c r="N843" s="18">
        <v>611</v>
      </c>
      <c r="O843" s="18">
        <f t="shared" si="92"/>
        <v>8.943089430894309E-2</v>
      </c>
      <c r="Q843" s="38" t="s">
        <v>99</v>
      </c>
      <c r="R843" s="38">
        <v>20</v>
      </c>
      <c r="S843" s="38">
        <v>2</v>
      </c>
      <c r="T843" s="38">
        <f t="shared" si="93"/>
        <v>5.05</v>
      </c>
      <c r="U843" s="38">
        <f t="shared" si="94"/>
        <v>0.1</v>
      </c>
      <c r="V843" s="3" t="s">
        <v>488</v>
      </c>
      <c r="W843" s="18">
        <v>101</v>
      </c>
    </row>
    <row r="844" spans="1:23" x14ac:dyDescent="0.25">
      <c r="A844" s="18" t="s">
        <v>81</v>
      </c>
      <c r="B844" s="18">
        <v>53</v>
      </c>
      <c r="C844" s="18">
        <v>2</v>
      </c>
      <c r="D844" s="18">
        <f t="shared" si="88"/>
        <v>5</v>
      </c>
      <c r="E844" s="18">
        <f t="shared" si="89"/>
        <v>3.7735849056603772E-2</v>
      </c>
      <c r="G844" s="18">
        <v>265</v>
      </c>
      <c r="I844">
        <f t="shared" si="90"/>
        <v>843</v>
      </c>
      <c r="J844" s="18" t="s">
        <v>81</v>
      </c>
      <c r="K844" s="18">
        <v>53</v>
      </c>
      <c r="L844" s="18">
        <v>2</v>
      </c>
      <c r="M844" s="18">
        <f t="shared" si="91"/>
        <v>5</v>
      </c>
      <c r="N844" s="18">
        <v>265</v>
      </c>
      <c r="O844" s="18">
        <f t="shared" si="92"/>
        <v>3.7735849056603772E-2</v>
      </c>
      <c r="Q844" s="38" t="s">
        <v>51</v>
      </c>
      <c r="R844" s="38">
        <v>33</v>
      </c>
      <c r="S844" s="38">
        <v>2</v>
      </c>
      <c r="T844" s="38">
        <f t="shared" si="93"/>
        <v>5.0606060606060606</v>
      </c>
      <c r="U844" s="38">
        <f t="shared" si="94"/>
        <v>6.0606060606060608E-2</v>
      </c>
      <c r="V844" s="3" t="s">
        <v>54</v>
      </c>
      <c r="W844" s="18">
        <v>167</v>
      </c>
    </row>
    <row r="845" spans="1:23" x14ac:dyDescent="0.25">
      <c r="A845" t="s">
        <v>105</v>
      </c>
      <c r="B845">
        <v>20</v>
      </c>
      <c r="C845">
        <v>0</v>
      </c>
      <c r="D845">
        <f t="shared" si="88"/>
        <v>5.05</v>
      </c>
      <c r="E845">
        <f t="shared" si="89"/>
        <v>0</v>
      </c>
      <c r="G845">
        <v>101</v>
      </c>
      <c r="I845">
        <f t="shared" si="90"/>
        <v>844</v>
      </c>
      <c r="J845" t="s">
        <v>105</v>
      </c>
      <c r="K845">
        <v>20</v>
      </c>
      <c r="L845">
        <v>0</v>
      </c>
      <c r="M845">
        <f t="shared" si="91"/>
        <v>5.05</v>
      </c>
      <c r="N845">
        <v>101</v>
      </c>
      <c r="O845">
        <f t="shared" si="92"/>
        <v>0</v>
      </c>
      <c r="Q845" s="38" t="s">
        <v>79</v>
      </c>
      <c r="R845" s="38">
        <v>30</v>
      </c>
      <c r="S845" s="38">
        <v>1</v>
      </c>
      <c r="T845" s="38">
        <f t="shared" si="93"/>
        <v>5.0666666666666664</v>
      </c>
      <c r="U845" s="38">
        <f t="shared" si="94"/>
        <v>3.3333333333333333E-2</v>
      </c>
      <c r="V845" s="3" t="s">
        <v>69</v>
      </c>
      <c r="W845" s="18">
        <v>152</v>
      </c>
    </row>
    <row r="846" spans="1:23" x14ac:dyDescent="0.25">
      <c r="A846" s="18" t="s">
        <v>99</v>
      </c>
      <c r="B846" s="18">
        <v>20</v>
      </c>
      <c r="C846" s="18">
        <v>2</v>
      </c>
      <c r="D846" s="18">
        <f t="shared" si="88"/>
        <v>5.05</v>
      </c>
      <c r="E846" s="18">
        <f t="shared" si="89"/>
        <v>0.1</v>
      </c>
      <c r="G846" s="18">
        <v>101</v>
      </c>
      <c r="I846">
        <f t="shared" si="90"/>
        <v>845</v>
      </c>
      <c r="J846" s="18" t="s">
        <v>99</v>
      </c>
      <c r="K846" s="18">
        <v>20</v>
      </c>
      <c r="L846" s="18">
        <v>2</v>
      </c>
      <c r="M846" s="18">
        <f t="shared" si="91"/>
        <v>5.05</v>
      </c>
      <c r="N846" s="18">
        <v>101</v>
      </c>
      <c r="O846" s="18">
        <f t="shared" si="92"/>
        <v>0.1</v>
      </c>
      <c r="Q846" s="38" t="s">
        <v>20</v>
      </c>
      <c r="R846" s="38">
        <v>22</v>
      </c>
      <c r="S846" s="38">
        <v>2</v>
      </c>
      <c r="T846" s="38">
        <f t="shared" si="93"/>
        <v>5.1818181818181817</v>
      </c>
      <c r="U846" s="38">
        <f t="shared" si="94"/>
        <v>9.0909090909090912E-2</v>
      </c>
      <c r="V846" s="3" t="s">
        <v>55</v>
      </c>
      <c r="W846" s="18">
        <v>114</v>
      </c>
    </row>
    <row r="847" spans="1:23" x14ac:dyDescent="0.25">
      <c r="A847" s="18" t="s">
        <v>82</v>
      </c>
      <c r="B847" s="18">
        <v>20</v>
      </c>
      <c r="C847" s="18">
        <v>0</v>
      </c>
      <c r="D847" s="18">
        <f t="shared" si="88"/>
        <v>5.15</v>
      </c>
      <c r="E847" s="18">
        <f t="shared" si="89"/>
        <v>0</v>
      </c>
      <c r="G847" s="18">
        <v>103</v>
      </c>
      <c r="I847">
        <f t="shared" si="90"/>
        <v>846</v>
      </c>
      <c r="J847" s="18" t="s">
        <v>82</v>
      </c>
      <c r="K847" s="18">
        <v>20</v>
      </c>
      <c r="L847" s="18">
        <v>0</v>
      </c>
      <c r="M847" s="18">
        <f t="shared" si="91"/>
        <v>5.15</v>
      </c>
      <c r="N847" s="18">
        <v>103</v>
      </c>
      <c r="O847" s="18">
        <f t="shared" si="92"/>
        <v>0</v>
      </c>
      <c r="Q847" s="66" t="s">
        <v>31</v>
      </c>
      <c r="R847" s="66">
        <v>126</v>
      </c>
      <c r="S847" s="66">
        <v>8</v>
      </c>
      <c r="T847" s="66">
        <f t="shared" si="93"/>
        <v>5.3253968253968251</v>
      </c>
      <c r="U847" s="66">
        <f t="shared" si="94"/>
        <v>6.3492063492063489E-2</v>
      </c>
      <c r="W847" s="18">
        <v>671</v>
      </c>
    </row>
    <row r="848" spans="1:23" x14ac:dyDescent="0.25">
      <c r="A848" s="18" t="s">
        <v>20</v>
      </c>
      <c r="B848" s="18">
        <v>22</v>
      </c>
      <c r="C848" s="18">
        <v>2</v>
      </c>
      <c r="D848" s="18">
        <f t="shared" si="88"/>
        <v>5.1818181818181817</v>
      </c>
      <c r="E848" s="18">
        <f t="shared" si="89"/>
        <v>9.0909090909090912E-2</v>
      </c>
      <c r="G848" s="18">
        <v>114</v>
      </c>
      <c r="I848">
        <f t="shared" si="90"/>
        <v>847</v>
      </c>
      <c r="J848" s="18" t="s">
        <v>20</v>
      </c>
      <c r="K848" s="18">
        <v>22</v>
      </c>
      <c r="L848" s="18">
        <v>2</v>
      </c>
      <c r="M848" s="18">
        <f t="shared" si="91"/>
        <v>5.1818181818181817</v>
      </c>
      <c r="N848" s="18">
        <v>114</v>
      </c>
      <c r="O848" s="18">
        <f t="shared" si="92"/>
        <v>9.0909090909090912E-2</v>
      </c>
      <c r="Q848" s="66" t="s">
        <v>19</v>
      </c>
      <c r="R848" s="66">
        <v>23</v>
      </c>
      <c r="S848" s="66">
        <v>1</v>
      </c>
      <c r="T848" s="66">
        <f t="shared" si="93"/>
        <v>5.3478260869565215</v>
      </c>
      <c r="U848" s="66">
        <f t="shared" si="94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88"/>
        <v>5.1923076923076925</v>
      </c>
      <c r="E849" s="18">
        <f t="shared" si="89"/>
        <v>7.6923076923076927E-2</v>
      </c>
      <c r="G849" s="18">
        <v>135</v>
      </c>
      <c r="I849">
        <f t="shared" si="90"/>
        <v>848</v>
      </c>
      <c r="J849" s="18" t="s">
        <v>19</v>
      </c>
      <c r="K849" s="18">
        <v>26</v>
      </c>
      <c r="L849" s="18">
        <v>2</v>
      </c>
      <c r="M849" s="18">
        <f t="shared" si="91"/>
        <v>5.1923076923076925</v>
      </c>
      <c r="N849" s="18">
        <v>135</v>
      </c>
      <c r="O849" s="18">
        <f t="shared" si="92"/>
        <v>7.6923076923076927E-2</v>
      </c>
      <c r="Q849" s="66" t="s">
        <v>6</v>
      </c>
      <c r="R849" s="66">
        <v>45</v>
      </c>
      <c r="S849" s="66">
        <v>3</v>
      </c>
      <c r="T849" s="66">
        <f t="shared" si="93"/>
        <v>5.3555555555555552</v>
      </c>
      <c r="U849" s="66">
        <f t="shared" si="94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88"/>
        <v>5.2</v>
      </c>
      <c r="E850" s="18">
        <f t="shared" si="89"/>
        <v>7.4999999999999997E-2</v>
      </c>
      <c r="G850" s="18">
        <v>208</v>
      </c>
      <c r="I850">
        <f t="shared" si="90"/>
        <v>849</v>
      </c>
      <c r="J850" s="18" t="s">
        <v>26</v>
      </c>
      <c r="K850" s="18">
        <v>50</v>
      </c>
      <c r="L850" s="18">
        <v>4</v>
      </c>
      <c r="M850" s="18">
        <f t="shared" si="91"/>
        <v>5.2</v>
      </c>
      <c r="N850" s="18">
        <v>260</v>
      </c>
      <c r="O850" s="18">
        <f t="shared" si="92"/>
        <v>0.08</v>
      </c>
      <c r="Q850" s="66" t="s">
        <v>253</v>
      </c>
      <c r="R850" s="66">
        <v>28</v>
      </c>
      <c r="S850" s="66">
        <v>1</v>
      </c>
      <c r="T850" s="66">
        <f t="shared" si="93"/>
        <v>5.3571428571428568</v>
      </c>
      <c r="U850" s="66">
        <f t="shared" si="94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88"/>
        <v>5.2</v>
      </c>
      <c r="E851" s="18">
        <f t="shared" si="89"/>
        <v>0.08</v>
      </c>
      <c r="G851" s="18">
        <v>260</v>
      </c>
      <c r="I851">
        <f t="shared" si="90"/>
        <v>850</v>
      </c>
      <c r="J851" s="18" t="s">
        <v>30</v>
      </c>
      <c r="K851" s="18">
        <v>41</v>
      </c>
      <c r="L851" s="18">
        <v>3</v>
      </c>
      <c r="M851" s="18">
        <f t="shared" si="91"/>
        <v>5.2439024390243905</v>
      </c>
      <c r="N851" s="18">
        <v>215</v>
      </c>
      <c r="O851" s="18">
        <f t="shared" si="92"/>
        <v>7.3170731707317069E-2</v>
      </c>
      <c r="Q851" s="66" t="s">
        <v>26</v>
      </c>
      <c r="R851" s="66">
        <v>32</v>
      </c>
      <c r="S851" s="66">
        <v>2</v>
      </c>
      <c r="T851" s="66">
        <f t="shared" si="93"/>
        <v>5.375</v>
      </c>
      <c r="U851" s="66">
        <f t="shared" si="94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88"/>
        <v>5.2356687898089174</v>
      </c>
      <c r="E852" s="18">
        <f t="shared" si="89"/>
        <v>7.6433121019108277E-2</v>
      </c>
      <c r="G852" s="18">
        <v>822</v>
      </c>
      <c r="I852">
        <f t="shared" si="90"/>
        <v>851</v>
      </c>
      <c r="J852" s="18" t="s">
        <v>17</v>
      </c>
      <c r="K852" s="18">
        <v>20</v>
      </c>
      <c r="L852" s="18">
        <v>2</v>
      </c>
      <c r="M852" s="18">
        <f t="shared" si="91"/>
        <v>5.25</v>
      </c>
      <c r="N852" s="18">
        <v>105</v>
      </c>
      <c r="O852" s="18">
        <f t="shared" si="92"/>
        <v>0.1</v>
      </c>
      <c r="Q852" s="66" t="s">
        <v>56</v>
      </c>
      <c r="R852" s="66">
        <v>21</v>
      </c>
      <c r="S852" s="66">
        <v>0</v>
      </c>
      <c r="T852" s="66">
        <f t="shared" si="93"/>
        <v>5.3809523809523814</v>
      </c>
      <c r="U852" s="66">
        <f t="shared" si="94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88"/>
        <v>5.25</v>
      </c>
      <c r="E853" s="18">
        <f t="shared" si="89"/>
        <v>0.1</v>
      </c>
      <c r="G853" s="18">
        <v>105</v>
      </c>
      <c r="I853">
        <f t="shared" si="90"/>
        <v>852</v>
      </c>
      <c r="J853" s="18" t="s">
        <v>404</v>
      </c>
      <c r="K853" s="18">
        <v>20</v>
      </c>
      <c r="L853" s="18">
        <v>2</v>
      </c>
      <c r="M853" s="18">
        <f t="shared" si="91"/>
        <v>5.25</v>
      </c>
      <c r="N853" s="18">
        <v>105</v>
      </c>
      <c r="O853" s="18">
        <f t="shared" si="92"/>
        <v>0.1</v>
      </c>
      <c r="Q853" s="66" t="s">
        <v>90</v>
      </c>
      <c r="R853" s="66">
        <v>27</v>
      </c>
      <c r="S853" s="66">
        <v>3</v>
      </c>
      <c r="T853" s="66">
        <f t="shared" si="93"/>
        <v>5.4074074074074074</v>
      </c>
      <c r="U853" s="66">
        <f t="shared" si="94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88"/>
        <v>5.25</v>
      </c>
      <c r="E854" s="18">
        <f t="shared" si="89"/>
        <v>0.1</v>
      </c>
      <c r="G854" s="18">
        <v>105</v>
      </c>
      <c r="I854">
        <f t="shared" si="90"/>
        <v>853</v>
      </c>
      <c r="J854" s="18" t="s">
        <v>31</v>
      </c>
      <c r="K854" s="18">
        <v>161</v>
      </c>
      <c r="L854" s="18">
        <v>12</v>
      </c>
      <c r="M854" s="18">
        <f t="shared" si="91"/>
        <v>5.2546583850931681</v>
      </c>
      <c r="N854" s="18">
        <v>846</v>
      </c>
      <c r="O854" s="18">
        <f t="shared" si="92"/>
        <v>7.4534161490683232E-2</v>
      </c>
      <c r="Q854" s="66" t="s">
        <v>49</v>
      </c>
      <c r="R854" s="66">
        <v>68</v>
      </c>
      <c r="S854" s="66">
        <v>3</v>
      </c>
      <c r="T854" s="66">
        <f t="shared" si="93"/>
        <v>5.5147058823529411</v>
      </c>
      <c r="U854" s="66">
        <f t="shared" si="94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88"/>
        <v>5.3103448275862073</v>
      </c>
      <c r="E855" s="18">
        <f t="shared" si="89"/>
        <v>3.4482758620689655E-2</v>
      </c>
      <c r="G855" s="18">
        <v>154</v>
      </c>
      <c r="I855">
        <f t="shared" si="90"/>
        <v>854</v>
      </c>
      <c r="J855" s="18" t="s">
        <v>49</v>
      </c>
      <c r="K855" s="18">
        <v>95</v>
      </c>
      <c r="L855" s="18">
        <v>7</v>
      </c>
      <c r="M855" s="18">
        <f t="shared" si="91"/>
        <v>5.2631578947368425</v>
      </c>
      <c r="N855" s="18">
        <v>500</v>
      </c>
      <c r="O855" s="18">
        <f t="shared" si="92"/>
        <v>7.3684210526315783E-2</v>
      </c>
      <c r="Q855" s="66" t="s">
        <v>33</v>
      </c>
      <c r="R855" s="66">
        <v>64</v>
      </c>
      <c r="S855" s="66">
        <v>4</v>
      </c>
      <c r="T855" s="66">
        <f t="shared" si="93"/>
        <v>5.515625</v>
      </c>
      <c r="U855" s="66">
        <f t="shared" si="94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88"/>
        <v>5.32258064516129</v>
      </c>
      <c r="E856" s="18">
        <f t="shared" si="89"/>
        <v>6.4516129032258063E-2</v>
      </c>
      <c r="G856" s="18">
        <v>495</v>
      </c>
      <c r="I856">
        <f t="shared" si="90"/>
        <v>855</v>
      </c>
      <c r="J856" s="18" t="s">
        <v>253</v>
      </c>
      <c r="K856" s="18">
        <v>29</v>
      </c>
      <c r="L856" s="18">
        <v>1</v>
      </c>
      <c r="M856" s="18">
        <f t="shared" si="91"/>
        <v>5.3103448275862073</v>
      </c>
      <c r="N856" s="18">
        <v>154</v>
      </c>
      <c r="O856" s="18">
        <f t="shared" si="92"/>
        <v>3.4482758620689655E-2</v>
      </c>
      <c r="Q856" s="66" t="s">
        <v>28</v>
      </c>
      <c r="R856" s="66">
        <v>20</v>
      </c>
      <c r="S856" s="66">
        <v>0</v>
      </c>
      <c r="T856" s="66">
        <f t="shared" si="93"/>
        <v>5.65</v>
      </c>
      <c r="U856" s="66">
        <f t="shared" si="94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88"/>
        <v>5.3555555555555552</v>
      </c>
      <c r="E857" s="18">
        <f t="shared" si="89"/>
        <v>6.6666666666666666E-2</v>
      </c>
      <c r="G857" s="18">
        <v>241</v>
      </c>
      <c r="I857">
        <f t="shared" si="90"/>
        <v>856</v>
      </c>
      <c r="J857" s="18" t="s">
        <v>6</v>
      </c>
      <c r="K857" s="18">
        <v>45</v>
      </c>
      <c r="L857" s="18">
        <v>3</v>
      </c>
      <c r="M857" s="18">
        <f t="shared" si="91"/>
        <v>5.3555555555555552</v>
      </c>
      <c r="N857" s="18">
        <v>241</v>
      </c>
      <c r="O857" s="18">
        <f t="shared" si="92"/>
        <v>6.6666666666666666E-2</v>
      </c>
      <c r="Q857" s="66" t="s">
        <v>401</v>
      </c>
      <c r="R857" s="66">
        <v>45</v>
      </c>
      <c r="S857" s="66">
        <v>1</v>
      </c>
      <c r="T857" s="66">
        <f t="shared" si="93"/>
        <v>5.9777777777777779</v>
      </c>
      <c r="U857" s="66">
        <f t="shared" si="94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88"/>
        <v>5.3809523809523814</v>
      </c>
      <c r="E858" s="18">
        <f t="shared" si="89"/>
        <v>0</v>
      </c>
      <c r="G858" s="18">
        <v>113</v>
      </c>
      <c r="I858">
        <f t="shared" si="90"/>
        <v>857</v>
      </c>
      <c r="J858" s="18" t="s">
        <v>56</v>
      </c>
      <c r="K858" s="18">
        <v>21</v>
      </c>
      <c r="L858" s="18">
        <v>0</v>
      </c>
      <c r="M858" s="18">
        <f t="shared" si="91"/>
        <v>5.3809523809523814</v>
      </c>
      <c r="N858" s="18">
        <v>113</v>
      </c>
      <c r="O858" s="18">
        <f t="shared" si="92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88"/>
        <v>5.4074074074074074</v>
      </c>
      <c r="E859">
        <f t="shared" si="89"/>
        <v>0.1111111111111111</v>
      </c>
      <c r="G859">
        <v>146</v>
      </c>
      <c r="I859">
        <f t="shared" si="90"/>
        <v>858</v>
      </c>
      <c r="J859" t="s">
        <v>90</v>
      </c>
      <c r="K859">
        <v>27</v>
      </c>
      <c r="L859">
        <v>3</v>
      </c>
      <c r="M859">
        <f t="shared" si="91"/>
        <v>5.4074074074074074</v>
      </c>
      <c r="N859">
        <v>146</v>
      </c>
      <c r="O859">
        <f t="shared" si="92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88"/>
        <v>5.515625</v>
      </c>
      <c r="E860" s="18">
        <f t="shared" si="89"/>
        <v>6.25E-2</v>
      </c>
      <c r="G860" s="18">
        <v>353</v>
      </c>
      <c r="I860">
        <f t="shared" si="90"/>
        <v>859</v>
      </c>
      <c r="J860" s="18" t="s">
        <v>33</v>
      </c>
      <c r="K860" s="18">
        <v>64</v>
      </c>
      <c r="L860" s="18">
        <v>4</v>
      </c>
      <c r="M860" s="18">
        <f t="shared" si="91"/>
        <v>5.515625</v>
      </c>
      <c r="N860" s="18">
        <v>353</v>
      </c>
      <c r="O860" s="18">
        <f t="shared" si="92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88"/>
        <v>5.65</v>
      </c>
      <c r="E861" s="18">
        <f t="shared" si="89"/>
        <v>0</v>
      </c>
      <c r="G861" s="18">
        <v>113</v>
      </c>
      <c r="I861">
        <f t="shared" si="90"/>
        <v>860</v>
      </c>
      <c r="J861" s="18" t="s">
        <v>28</v>
      </c>
      <c r="K861" s="18">
        <v>20</v>
      </c>
      <c r="L861" s="18">
        <v>0</v>
      </c>
      <c r="M861" s="18">
        <f t="shared" si="91"/>
        <v>5.65</v>
      </c>
      <c r="N861" s="18">
        <v>113</v>
      </c>
      <c r="O861" s="18">
        <f t="shared" si="92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88"/>
        <v>5.6785714285714288</v>
      </c>
      <c r="E862" s="18">
        <f t="shared" si="89"/>
        <v>5.3571428571428568E-2</v>
      </c>
      <c r="G862" s="18">
        <v>318</v>
      </c>
      <c r="I862">
        <f t="shared" si="90"/>
        <v>861</v>
      </c>
      <c r="J862" s="18" t="s">
        <v>401</v>
      </c>
      <c r="K862" s="18">
        <v>57</v>
      </c>
      <c r="L862" s="18">
        <v>3</v>
      </c>
      <c r="M862" s="18">
        <f t="shared" ref="M862" si="95">N862/K862</f>
        <v>5.6842105263157894</v>
      </c>
      <c r="N862" s="18">
        <v>324</v>
      </c>
      <c r="O862" s="18">
        <f t="shared" si="92"/>
        <v>5.2631578947368418E-2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1"/>
  <sheetViews>
    <sheetView tabSelected="1" workbookViewId="0">
      <selection activeCell="Q13" sqref="Q13"/>
    </sheetView>
  </sheetViews>
  <sheetFormatPr defaultRowHeight="15" x14ac:dyDescent="0.25"/>
  <sheetData>
    <row r="1" spans="1:16 16384:16384" x14ac:dyDescent="0.25">
      <c r="A1" s="1">
        <v>46081</v>
      </c>
      <c r="B1" s="1">
        <v>46081</v>
      </c>
      <c r="C1" s="1">
        <v>46081</v>
      </c>
      <c r="D1" s="1">
        <v>46081</v>
      </c>
      <c r="E1" s="1">
        <v>46081</v>
      </c>
      <c r="F1" s="1">
        <v>46081</v>
      </c>
      <c r="G1" s="1">
        <v>46081</v>
      </c>
      <c r="H1" s="1">
        <v>46081</v>
      </c>
      <c r="I1" s="1">
        <v>46081</v>
      </c>
      <c r="J1" s="1">
        <v>46081</v>
      </c>
      <c r="K1" s="1">
        <v>46081</v>
      </c>
      <c r="L1" s="1">
        <v>46081</v>
      </c>
      <c r="M1" s="1">
        <v>46086</v>
      </c>
      <c r="N1" s="1">
        <v>46086</v>
      </c>
      <c r="O1" s="1">
        <v>46086</v>
      </c>
      <c r="P1" s="1">
        <v>46086</v>
      </c>
      <c r="XFD1" s="1"/>
    </row>
    <row r="2" spans="1:16 16384:16384" x14ac:dyDescent="0.25">
      <c r="A2" t="s">
        <v>121</v>
      </c>
      <c r="B2" t="s">
        <v>63</v>
      </c>
      <c r="C2" t="s">
        <v>112</v>
      </c>
      <c r="D2" t="s">
        <v>4</v>
      </c>
      <c r="E2" t="s">
        <v>572</v>
      </c>
      <c r="F2" t="s">
        <v>552</v>
      </c>
      <c r="G2" t="s">
        <v>31</v>
      </c>
      <c r="H2" t="s">
        <v>104</v>
      </c>
      <c r="I2" t="s">
        <v>104</v>
      </c>
      <c r="J2" t="s">
        <v>25</v>
      </c>
      <c r="K2" t="s">
        <v>552</v>
      </c>
      <c r="L2" t="s">
        <v>552</v>
      </c>
    </row>
    <row r="3" spans="1:16 16384:16384" x14ac:dyDescent="0.25">
      <c r="A3" t="s">
        <v>36</v>
      </c>
      <c r="B3" t="s">
        <v>49</v>
      </c>
      <c r="C3" t="s">
        <v>21</v>
      </c>
      <c r="D3" t="s">
        <v>112</v>
      </c>
      <c r="E3" t="s">
        <v>104</v>
      </c>
      <c r="F3" t="s">
        <v>104</v>
      </c>
      <c r="G3" t="s">
        <v>4</v>
      </c>
      <c r="H3" t="s">
        <v>4</v>
      </c>
      <c r="I3" t="s">
        <v>232</v>
      </c>
      <c r="J3" t="s">
        <v>124</v>
      </c>
      <c r="K3" t="s">
        <v>232</v>
      </c>
      <c r="L3" t="s">
        <v>553</v>
      </c>
    </row>
    <row r="4" spans="1:16 16384:16384" x14ac:dyDescent="0.25">
      <c r="A4" t="s">
        <v>78</v>
      </c>
      <c r="B4" t="s">
        <v>36</v>
      </c>
      <c r="C4" t="s">
        <v>63</v>
      </c>
      <c r="D4" t="s">
        <v>121</v>
      </c>
      <c r="E4" t="s">
        <v>26</v>
      </c>
      <c r="F4" t="s">
        <v>32</v>
      </c>
      <c r="G4" t="s">
        <v>122</v>
      </c>
      <c r="H4" t="s">
        <v>26</v>
      </c>
      <c r="I4" t="s">
        <v>4</v>
      </c>
      <c r="J4" t="s">
        <v>87</v>
      </c>
      <c r="K4" t="s">
        <v>28</v>
      </c>
      <c r="L4" t="s">
        <v>124</v>
      </c>
    </row>
    <row r="5" spans="1:16 16384:16384" x14ac:dyDescent="0.25">
      <c r="A5" t="s">
        <v>87</v>
      </c>
      <c r="B5" t="s">
        <v>21</v>
      </c>
      <c r="C5" t="s">
        <v>122</v>
      </c>
      <c r="D5" t="s">
        <v>25</v>
      </c>
      <c r="E5" t="s">
        <v>253</v>
      </c>
      <c r="F5" t="s">
        <v>572</v>
      </c>
      <c r="G5" t="s">
        <v>87</v>
      </c>
      <c r="H5" t="s">
        <v>81</v>
      </c>
      <c r="I5" t="s">
        <v>15</v>
      </c>
      <c r="J5" t="s">
        <v>21</v>
      </c>
      <c r="K5" t="s">
        <v>574</v>
      </c>
      <c r="L5" t="s">
        <v>31</v>
      </c>
    </row>
    <row r="6" spans="1:16 16384:16384" x14ac:dyDescent="0.25">
      <c r="A6" t="s">
        <v>112</v>
      </c>
      <c r="B6" t="s">
        <v>31</v>
      </c>
      <c r="C6" t="s">
        <v>232</v>
      </c>
      <c r="D6" t="s">
        <v>87</v>
      </c>
      <c r="E6" t="s">
        <v>32</v>
      </c>
      <c r="F6" t="s">
        <v>81</v>
      </c>
      <c r="G6" t="s">
        <v>21</v>
      </c>
      <c r="H6" t="s">
        <v>36</v>
      </c>
      <c r="I6" t="s">
        <v>63</v>
      </c>
      <c r="J6" t="s">
        <v>574</v>
      </c>
      <c r="K6" t="s">
        <v>15</v>
      </c>
      <c r="L6" t="s">
        <v>122</v>
      </c>
    </row>
    <row r="7" spans="1:16 16384:16384" x14ac:dyDescent="0.25">
      <c r="A7" t="s">
        <v>25</v>
      </c>
      <c r="B7" t="s">
        <v>232</v>
      </c>
      <c r="C7" t="s">
        <v>49</v>
      </c>
      <c r="D7" t="s">
        <v>36</v>
      </c>
      <c r="E7" t="s">
        <v>81</v>
      </c>
      <c r="F7" t="s">
        <v>36</v>
      </c>
      <c r="G7" t="s">
        <v>25</v>
      </c>
      <c r="H7" t="s">
        <v>63</v>
      </c>
      <c r="I7" t="s">
        <v>574</v>
      </c>
      <c r="J7" t="s">
        <v>122</v>
      </c>
      <c r="K7" t="s">
        <v>4</v>
      </c>
      <c r="L7" t="s">
        <v>28</v>
      </c>
    </row>
    <row r="8" spans="1:16 16384:16384" x14ac:dyDescent="0.25">
      <c r="A8" t="s">
        <v>28</v>
      </c>
      <c r="B8" t="s">
        <v>15</v>
      </c>
      <c r="C8" t="s">
        <v>36</v>
      </c>
      <c r="D8" t="s">
        <v>31</v>
      </c>
      <c r="E8" t="s">
        <v>36</v>
      </c>
      <c r="F8" t="s">
        <v>26</v>
      </c>
      <c r="G8" t="s">
        <v>28</v>
      </c>
      <c r="H8" t="s">
        <v>15</v>
      </c>
      <c r="I8" t="s">
        <v>553</v>
      </c>
      <c r="J8" t="s">
        <v>572</v>
      </c>
      <c r="K8" t="s">
        <v>26</v>
      </c>
      <c r="L8" t="s">
        <v>87</v>
      </c>
    </row>
    <row r="9" spans="1:16 16384:16384" x14ac:dyDescent="0.25">
      <c r="A9" t="s">
        <v>4</v>
      </c>
      <c r="B9" t="s">
        <v>122</v>
      </c>
      <c r="C9" t="s">
        <v>15</v>
      </c>
      <c r="D9" t="s">
        <v>28</v>
      </c>
      <c r="E9" t="s">
        <v>4</v>
      </c>
      <c r="F9" t="s">
        <v>4</v>
      </c>
      <c r="G9" t="s">
        <v>232</v>
      </c>
      <c r="H9" t="s">
        <v>49</v>
      </c>
      <c r="I9" t="s">
        <v>26</v>
      </c>
      <c r="J9" t="s">
        <v>31</v>
      </c>
      <c r="K9" t="s">
        <v>572</v>
      </c>
      <c r="L9" t="s">
        <v>25</v>
      </c>
    </row>
    <row r="12" spans="1:16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6 16384:16384" x14ac:dyDescent="0.25">
      <c r="A13" s="18" t="s">
        <v>125</v>
      </c>
      <c r="B13" s="18">
        <v>31</v>
      </c>
      <c r="C13" s="18">
        <v>2</v>
      </c>
      <c r="D13" s="18">
        <f t="shared" ref="D13:D72" si="0">E13/B13</f>
        <v>4</v>
      </c>
      <c r="E13" s="18">
        <v>124</v>
      </c>
      <c r="F13" s="18">
        <f t="shared" ref="F13:F72" si="1">C13/B13</f>
        <v>6.4516129032258063E-2</v>
      </c>
      <c r="G13" s="32">
        <v>2.3664319132398401</v>
      </c>
      <c r="I13" s="18" t="s">
        <v>125</v>
      </c>
      <c r="J13" s="18">
        <v>31</v>
      </c>
      <c r="K13" s="18">
        <v>2</v>
      </c>
      <c r="L13" s="18">
        <f t="shared" ref="L13:L15" si="2">M13/J13</f>
        <v>4</v>
      </c>
      <c r="M13" s="18">
        <v>124</v>
      </c>
      <c r="N13" s="18">
        <f t="shared" ref="N13:N15" si="3">K13/J13</f>
        <v>6.4516129032258063E-2</v>
      </c>
    </row>
    <row r="14" spans="1:16 16384:16384" x14ac:dyDescent="0.25">
      <c r="A14" s="18" t="s">
        <v>104</v>
      </c>
      <c r="B14" s="18">
        <v>107</v>
      </c>
      <c r="C14" s="18">
        <v>8</v>
      </c>
      <c r="D14" s="18">
        <f t="shared" si="0"/>
        <v>4.2056074766355138</v>
      </c>
      <c r="E14" s="18">
        <v>450</v>
      </c>
      <c r="F14" s="18">
        <f t="shared" si="1"/>
        <v>7.476635514018691E-2</v>
      </c>
      <c r="G14" s="32">
        <v>2.3273733406281498</v>
      </c>
      <c r="I14" s="18" t="s">
        <v>104</v>
      </c>
      <c r="J14" s="18">
        <v>107</v>
      </c>
      <c r="K14" s="18">
        <v>8</v>
      </c>
      <c r="L14" s="18">
        <f t="shared" si="2"/>
        <v>4.2056074766355138</v>
      </c>
      <c r="M14" s="18">
        <v>450</v>
      </c>
      <c r="N14" s="18">
        <f t="shared" si="3"/>
        <v>7.476635514018691E-2</v>
      </c>
    </row>
    <row r="15" spans="1:16 16384:16384" x14ac:dyDescent="0.25">
      <c r="A15" s="18" t="s">
        <v>31</v>
      </c>
      <c r="B15" s="18">
        <v>203</v>
      </c>
      <c r="C15" s="18">
        <v>13</v>
      </c>
      <c r="D15" s="18">
        <f t="shared" si="0"/>
        <v>5.2709359605911326</v>
      </c>
      <c r="E15" s="18">
        <v>1070</v>
      </c>
      <c r="F15" s="18">
        <f t="shared" si="1"/>
        <v>6.4039408866995079E-2</v>
      </c>
      <c r="G15" s="32">
        <v>1.87082869338697</v>
      </c>
      <c r="I15" s="18" t="s">
        <v>31</v>
      </c>
      <c r="J15" s="18">
        <v>203</v>
      </c>
      <c r="K15" s="18">
        <v>13</v>
      </c>
      <c r="L15" s="18">
        <f t="shared" si="2"/>
        <v>5.2709359605911326</v>
      </c>
      <c r="M15" s="18">
        <v>1070</v>
      </c>
      <c r="N15" s="18">
        <f t="shared" si="3"/>
        <v>6.4039408866995079E-2</v>
      </c>
    </row>
    <row r="16" spans="1:16 16384:16384" x14ac:dyDescent="0.25">
      <c r="A16" s="18" t="s">
        <v>105</v>
      </c>
      <c r="B16" s="18">
        <v>30</v>
      </c>
      <c r="C16" s="18">
        <v>4</v>
      </c>
      <c r="D16" s="18">
        <f t="shared" si="0"/>
        <v>4.6333333333333337</v>
      </c>
      <c r="E16" s="18">
        <v>139</v>
      </c>
      <c r="F16" s="18">
        <f t="shared" si="1"/>
        <v>0.13333333333333333</v>
      </c>
      <c r="G16" s="32">
        <v>1.8165902124584901</v>
      </c>
      <c r="I16" s="18" t="s">
        <v>105</v>
      </c>
      <c r="J16" s="18">
        <v>30</v>
      </c>
      <c r="K16" s="18">
        <v>4</v>
      </c>
      <c r="L16" s="18">
        <f t="shared" ref="L16:L17" si="4">M16/J16</f>
        <v>4.6333333333333337</v>
      </c>
      <c r="M16" s="18">
        <v>139</v>
      </c>
      <c r="N16" s="18">
        <f t="shared" ref="N16:N17" si="5">K16/J16</f>
        <v>0.13333333333333333</v>
      </c>
    </row>
    <row r="17" spans="1:14" x14ac:dyDescent="0.25">
      <c r="A17" s="18" t="s">
        <v>128</v>
      </c>
      <c r="B17" s="18">
        <v>105</v>
      </c>
      <c r="C17" s="18">
        <v>32</v>
      </c>
      <c r="D17" s="18">
        <f t="shared" si="0"/>
        <v>3.2285714285714286</v>
      </c>
      <c r="E17" s="18">
        <v>339</v>
      </c>
      <c r="F17" s="18">
        <f t="shared" si="1"/>
        <v>0.30476190476190479</v>
      </c>
      <c r="G17" s="32">
        <v>2.03049835952651</v>
      </c>
      <c r="I17" s="18" t="s">
        <v>128</v>
      </c>
      <c r="J17" s="18">
        <v>105</v>
      </c>
      <c r="K17" s="18">
        <v>32</v>
      </c>
      <c r="L17" s="18">
        <f t="shared" si="4"/>
        <v>3.2285714285714286</v>
      </c>
      <c r="M17" s="18">
        <v>339</v>
      </c>
      <c r="N17" s="18">
        <f t="shared" si="5"/>
        <v>0.30476190476190479</v>
      </c>
    </row>
    <row r="18" spans="1:14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>M18/J18</f>
        <v>4.4782608695652177</v>
      </c>
      <c r="M18" s="18">
        <v>206</v>
      </c>
      <c r="N18" s="18">
        <f>K18/J18</f>
        <v>0.10869565217391304</v>
      </c>
    </row>
    <row r="19" spans="1:14" x14ac:dyDescent="0.25">
      <c r="A19" t="s">
        <v>37</v>
      </c>
      <c r="B19">
        <v>23</v>
      </c>
      <c r="C19">
        <v>2</v>
      </c>
      <c r="D19">
        <f t="shared" si="0"/>
        <v>4.9130434782608692</v>
      </c>
      <c r="E19">
        <v>113</v>
      </c>
      <c r="F19">
        <f t="shared" si="1"/>
        <v>8.6956521739130432E-2</v>
      </c>
      <c r="G19" s="32">
        <v>2.4235565546581199</v>
      </c>
      <c r="I19" t="s">
        <v>14</v>
      </c>
      <c r="J19">
        <v>45</v>
      </c>
      <c r="K19">
        <v>3</v>
      </c>
      <c r="L19">
        <f>M19/J19</f>
        <v>4.7111111111111112</v>
      </c>
      <c r="M19">
        <v>212</v>
      </c>
      <c r="N19">
        <f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30</v>
      </c>
      <c r="K20" s="73">
        <v>3</v>
      </c>
      <c r="L20" s="73">
        <f t="shared" ref="L20" si="6">M20/J20</f>
        <v>5.6</v>
      </c>
      <c r="M20" s="73">
        <v>168</v>
      </c>
      <c r="N20" s="73">
        <f t="shared" ref="N20" si="7">K20/J20</f>
        <v>0.1</v>
      </c>
    </row>
    <row r="21" spans="1:1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19</v>
      </c>
      <c r="J22" s="18">
        <v>30</v>
      </c>
      <c r="K22" s="18">
        <v>3</v>
      </c>
      <c r="L22" s="18">
        <f t="shared" ref="L22:L23" si="8">M22/J22</f>
        <v>5.166666666666667</v>
      </c>
      <c r="M22" s="18">
        <v>155</v>
      </c>
      <c r="N22" s="18">
        <f t="shared" ref="N22:N23" si="9">K22/J22</f>
        <v>0.1</v>
      </c>
    </row>
    <row r="23" spans="1:14" x14ac:dyDescent="0.25">
      <c r="A23" s="18" t="s">
        <v>19</v>
      </c>
      <c r="B23" s="18">
        <v>30</v>
      </c>
      <c r="C23" s="18">
        <v>3</v>
      </c>
      <c r="D23" s="18">
        <f t="shared" si="0"/>
        <v>5.166666666666667</v>
      </c>
      <c r="E23" s="18">
        <v>155</v>
      </c>
      <c r="F23" s="18">
        <f t="shared" si="1"/>
        <v>0.1</v>
      </c>
      <c r="G23" s="32">
        <v>2.3299294900428702</v>
      </c>
      <c r="I23" s="18" t="s">
        <v>25</v>
      </c>
      <c r="J23" s="18">
        <v>168</v>
      </c>
      <c r="K23" s="18">
        <v>16</v>
      </c>
      <c r="L23" s="18">
        <f t="shared" si="8"/>
        <v>5.0238095238095237</v>
      </c>
      <c r="M23" s="18">
        <v>844</v>
      </c>
      <c r="N23" s="18">
        <f t="shared" si="9"/>
        <v>9.5238095238095233E-2</v>
      </c>
    </row>
    <row r="24" spans="1:14" x14ac:dyDescent="0.25">
      <c r="A24" s="74" t="s">
        <v>56</v>
      </c>
      <c r="B24" s="74">
        <v>23</v>
      </c>
      <c r="C24" s="74">
        <v>0</v>
      </c>
      <c r="D24" s="74">
        <f t="shared" si="0"/>
        <v>5.2608695652173916</v>
      </c>
      <c r="E24" s="74">
        <v>121</v>
      </c>
      <c r="F24" s="74">
        <f t="shared" si="1"/>
        <v>0</v>
      </c>
      <c r="G24" s="32">
        <v>2.0655911179772799</v>
      </c>
      <c r="I24" s="18" t="s">
        <v>34</v>
      </c>
      <c r="J24" s="18">
        <v>30</v>
      </c>
      <c r="K24" s="18">
        <v>2</v>
      </c>
      <c r="L24" s="18">
        <f t="shared" ref="L24:L26" si="10">M24/J24</f>
        <v>5.5333333333333332</v>
      </c>
      <c r="M24" s="18">
        <v>166</v>
      </c>
      <c r="N24" s="18">
        <f t="shared" ref="N24:N26" si="11">K24/J24</f>
        <v>6.6666666666666666E-2</v>
      </c>
    </row>
    <row r="25" spans="1:14" x14ac:dyDescent="0.25">
      <c r="A25" t="s">
        <v>52</v>
      </c>
      <c r="B25">
        <v>27</v>
      </c>
      <c r="C25">
        <v>3</v>
      </c>
      <c r="D25">
        <f t="shared" si="0"/>
        <v>3.6666666666666665</v>
      </c>
      <c r="E25">
        <v>99</v>
      </c>
      <c r="F25">
        <f t="shared" si="1"/>
        <v>0.1111111111111111</v>
      </c>
      <c r="G25" s="32">
        <v>2.1794494717703299</v>
      </c>
      <c r="I25" s="18" t="s">
        <v>147</v>
      </c>
      <c r="J25" s="18">
        <v>123</v>
      </c>
      <c r="K25" s="18">
        <v>25</v>
      </c>
      <c r="L25" s="18">
        <f t="shared" si="10"/>
        <v>3.6991869918699187</v>
      </c>
      <c r="M25" s="18">
        <v>455</v>
      </c>
      <c r="N25" s="18">
        <f t="shared" si="11"/>
        <v>0.2032520325203252</v>
      </c>
    </row>
    <row r="26" spans="1:14" x14ac:dyDescent="0.25">
      <c r="A26" t="s">
        <v>20</v>
      </c>
      <c r="B26">
        <v>27</v>
      </c>
      <c r="C26">
        <v>2</v>
      </c>
      <c r="D26">
        <f t="shared" si="0"/>
        <v>5.3703703703703702</v>
      </c>
      <c r="E26">
        <v>145</v>
      </c>
      <c r="F26">
        <f t="shared" si="1"/>
        <v>7.407407407407407E-2</v>
      </c>
      <c r="G26" s="32">
        <v>2.3159525823376299</v>
      </c>
      <c r="I26" s="18" t="s">
        <v>87</v>
      </c>
      <c r="J26" s="18">
        <v>124</v>
      </c>
      <c r="K26" s="18">
        <v>15</v>
      </c>
      <c r="L26" s="18">
        <f t="shared" si="10"/>
        <v>4.830645161290323</v>
      </c>
      <c r="M26" s="18">
        <v>599</v>
      </c>
      <c r="N26" s="18">
        <f t="shared" si="11"/>
        <v>0.12096774193548387</v>
      </c>
    </row>
    <row r="27" spans="1:14" x14ac:dyDescent="0.25">
      <c r="A27" s="18" t="s">
        <v>25</v>
      </c>
      <c r="B27" s="18">
        <v>168</v>
      </c>
      <c r="C27" s="18">
        <v>16</v>
      </c>
      <c r="D27" s="18">
        <f t="shared" si="0"/>
        <v>5.0238095238095237</v>
      </c>
      <c r="E27" s="18">
        <v>844</v>
      </c>
      <c r="F27" s="18">
        <f t="shared" si="1"/>
        <v>9.5238095238095233E-2</v>
      </c>
      <c r="G27" s="32">
        <v>2.1609054109613202</v>
      </c>
      <c r="I27" s="18" t="s">
        <v>50</v>
      </c>
      <c r="J27" s="18">
        <v>30</v>
      </c>
      <c r="K27" s="18">
        <v>1</v>
      </c>
      <c r="L27" s="18">
        <f t="shared" ref="L27:L28" si="12">M27/J27</f>
        <v>4.3</v>
      </c>
      <c r="M27" s="18">
        <v>129</v>
      </c>
      <c r="N27" s="18">
        <f t="shared" ref="N27:N28" si="13">K27/J27</f>
        <v>3.3333333333333333E-2</v>
      </c>
    </row>
    <row r="28" spans="1:1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81</v>
      </c>
      <c r="J28" s="18">
        <v>74</v>
      </c>
      <c r="K28" s="18">
        <v>5</v>
      </c>
      <c r="L28" s="18">
        <f t="shared" si="12"/>
        <v>5.1891891891891895</v>
      </c>
      <c r="M28" s="18">
        <v>384</v>
      </c>
      <c r="N28" s="18">
        <f t="shared" si="13"/>
        <v>6.7567567567567571E-2</v>
      </c>
    </row>
    <row r="29" spans="1:14" x14ac:dyDescent="0.25">
      <c r="A29" s="18" t="s">
        <v>147</v>
      </c>
      <c r="B29" s="18">
        <v>123</v>
      </c>
      <c r="C29" s="18">
        <v>25</v>
      </c>
      <c r="D29" s="18">
        <f t="shared" si="0"/>
        <v>3.6991869918699187</v>
      </c>
      <c r="E29" s="18">
        <v>455</v>
      </c>
      <c r="F29" s="18">
        <f t="shared" si="1"/>
        <v>0.2032520325203252</v>
      </c>
      <c r="G29" s="32">
        <v>1.94935886896179</v>
      </c>
      <c r="I29" s="18" t="s">
        <v>36</v>
      </c>
      <c r="J29" s="18">
        <v>30</v>
      </c>
      <c r="K29" s="18">
        <v>0</v>
      </c>
      <c r="L29" s="18">
        <f t="shared" ref="L29" si="14">M29/J29</f>
        <v>4.5333333333333332</v>
      </c>
      <c r="M29" s="18">
        <v>136</v>
      </c>
      <c r="N29" s="18">
        <f t="shared" ref="N29" si="15">K29/J29</f>
        <v>0</v>
      </c>
    </row>
    <row r="30" spans="1:14" x14ac:dyDescent="0.25">
      <c r="A30" s="18" t="s">
        <v>87</v>
      </c>
      <c r="B30" s="18">
        <v>124</v>
      </c>
      <c r="C30" s="18">
        <v>15</v>
      </c>
      <c r="D30" s="18">
        <f t="shared" si="0"/>
        <v>4.830645161290323</v>
      </c>
      <c r="E30" s="18">
        <v>599</v>
      </c>
      <c r="F30" s="18">
        <f t="shared" si="1"/>
        <v>0.12096774193548387</v>
      </c>
      <c r="G30" s="32">
        <v>1.7888543819998299</v>
      </c>
      <c r="I30" s="18" t="s">
        <v>27</v>
      </c>
      <c r="J30" s="18">
        <v>36</v>
      </c>
      <c r="K30" s="18">
        <v>3</v>
      </c>
      <c r="L30" s="18">
        <f>M30/J30</f>
        <v>4.4444444444444446</v>
      </c>
      <c r="M30" s="18">
        <v>160</v>
      </c>
      <c r="N30" s="18">
        <f>K30/J30</f>
        <v>8.3333333333333329E-2</v>
      </c>
    </row>
    <row r="31" spans="1:1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401</v>
      </c>
      <c r="J31" s="18">
        <v>63</v>
      </c>
      <c r="K31" s="18">
        <v>3</v>
      </c>
      <c r="L31" s="18">
        <f t="shared" ref="L31:L32" si="16">M31/J31</f>
        <v>5.4761904761904763</v>
      </c>
      <c r="M31" s="18">
        <v>345</v>
      </c>
      <c r="N31" s="18">
        <f t="shared" ref="N31:N32" si="17">K31/J31</f>
        <v>4.7619047619047616E-2</v>
      </c>
    </row>
    <row r="32" spans="1:14" x14ac:dyDescent="0.25">
      <c r="A32" s="18" t="s">
        <v>81</v>
      </c>
      <c r="B32" s="18">
        <v>74</v>
      </c>
      <c r="C32" s="18">
        <v>5</v>
      </c>
      <c r="D32" s="18">
        <f t="shared" si="0"/>
        <v>5.1891891891891895</v>
      </c>
      <c r="E32" s="18">
        <v>384</v>
      </c>
      <c r="F32" s="18">
        <f t="shared" si="1"/>
        <v>6.7567567567567571E-2</v>
      </c>
      <c r="G32" s="32">
        <v>1.76776695296636</v>
      </c>
      <c r="I32" s="18" t="s">
        <v>15</v>
      </c>
      <c r="J32" s="18">
        <v>241</v>
      </c>
      <c r="K32" s="18">
        <v>36</v>
      </c>
      <c r="L32" s="18">
        <f t="shared" si="16"/>
        <v>4.5850622406639001</v>
      </c>
      <c r="M32" s="18">
        <v>1105</v>
      </c>
      <c r="N32" s="18">
        <f t="shared" si="17"/>
        <v>0.14937759336099585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13</v>
      </c>
      <c r="J33" s="18">
        <v>36</v>
      </c>
      <c r="K33" s="18">
        <v>2</v>
      </c>
      <c r="L33" s="18">
        <f>M33/J33</f>
        <v>4.7222222222222223</v>
      </c>
      <c r="M33" s="18">
        <v>170</v>
      </c>
      <c r="N33" s="18">
        <f>K33/J33</f>
        <v>5.5555555555555552E-2</v>
      </c>
    </row>
    <row r="34" spans="1:14" x14ac:dyDescent="0.25">
      <c r="A34" t="s">
        <v>112</v>
      </c>
      <c r="B34">
        <v>29</v>
      </c>
      <c r="C34">
        <v>6</v>
      </c>
      <c r="D34">
        <f t="shared" si="0"/>
        <v>4.068965517241379</v>
      </c>
      <c r="E34">
        <v>118</v>
      </c>
      <c r="F34">
        <f t="shared" si="1"/>
        <v>0.20689655172413793</v>
      </c>
      <c r="G34" s="32">
        <v>2.71006354989037</v>
      </c>
      <c r="I34" s="18" t="s">
        <v>10</v>
      </c>
      <c r="J34" s="18">
        <v>67</v>
      </c>
      <c r="K34" s="18">
        <v>13</v>
      </c>
      <c r="L34" s="18">
        <f t="shared" ref="L34:L38" si="18">M34/J34</f>
        <v>3.8955223880597014</v>
      </c>
      <c r="M34" s="18">
        <v>261</v>
      </c>
      <c r="N34" s="18">
        <f t="shared" ref="N34:N38" si="19">K34/J34</f>
        <v>0.19402985074626866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121</v>
      </c>
      <c r="J35" s="18">
        <v>92</v>
      </c>
      <c r="K35" s="18">
        <v>21</v>
      </c>
      <c r="L35" s="18">
        <f t="shared" si="18"/>
        <v>3.8695652173913042</v>
      </c>
      <c r="M35" s="18">
        <v>356</v>
      </c>
      <c r="N35" s="18">
        <f t="shared" si="19"/>
        <v>0.22826086956521738</v>
      </c>
    </row>
    <row r="36" spans="1:14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232</v>
      </c>
      <c r="J36" s="18">
        <v>110</v>
      </c>
      <c r="K36" s="18">
        <v>20</v>
      </c>
      <c r="L36" s="18">
        <f t="shared" si="18"/>
        <v>3.8909090909090911</v>
      </c>
      <c r="M36" s="18">
        <v>428</v>
      </c>
      <c r="N36" s="18">
        <f t="shared" si="19"/>
        <v>0.18181818181818182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21</v>
      </c>
      <c r="J37" s="18">
        <v>158</v>
      </c>
      <c r="K37" s="18">
        <v>24</v>
      </c>
      <c r="L37" s="18">
        <f t="shared" si="18"/>
        <v>4.2974683544303796</v>
      </c>
      <c r="M37" s="18">
        <v>679</v>
      </c>
      <c r="N37" s="18">
        <f t="shared" si="19"/>
        <v>0.15189873417721519</v>
      </c>
    </row>
    <row r="38" spans="1:14" x14ac:dyDescent="0.25">
      <c r="A38" s="18" t="s">
        <v>401</v>
      </c>
      <c r="B38" s="18">
        <v>63</v>
      </c>
      <c r="C38" s="18">
        <v>3</v>
      </c>
      <c r="D38" s="18">
        <f t="shared" si="0"/>
        <v>5.4761904761904763</v>
      </c>
      <c r="E38" s="18">
        <v>345</v>
      </c>
      <c r="F38" s="18">
        <f t="shared" si="1"/>
        <v>4.7619047619047616E-2</v>
      </c>
      <c r="G38" s="32">
        <v>2.1248885888797799</v>
      </c>
      <c r="I38" s="18" t="s">
        <v>51</v>
      </c>
      <c r="J38" s="18">
        <v>41</v>
      </c>
      <c r="K38" s="18">
        <v>3</v>
      </c>
      <c r="L38" s="18">
        <f t="shared" si="18"/>
        <v>4.8536585365853657</v>
      </c>
      <c r="M38" s="18">
        <v>199</v>
      </c>
      <c r="N38" s="18">
        <f t="shared" si="19"/>
        <v>7.3170731707317069E-2</v>
      </c>
    </row>
    <row r="39" spans="1:14" x14ac:dyDescent="0.25">
      <c r="A39" s="18" t="s">
        <v>15</v>
      </c>
      <c r="B39" s="18">
        <v>241</v>
      </c>
      <c r="C39" s="18">
        <v>36</v>
      </c>
      <c r="D39" s="18">
        <f t="shared" si="0"/>
        <v>4.5850622406639001</v>
      </c>
      <c r="E39" s="18">
        <v>1105</v>
      </c>
      <c r="F39" s="18">
        <f t="shared" si="1"/>
        <v>0.14937759336099585</v>
      </c>
      <c r="G39" s="32">
        <v>2.3694389634605302</v>
      </c>
      <c r="I39" s="18" t="s">
        <v>0</v>
      </c>
      <c r="J39" s="18">
        <v>84</v>
      </c>
      <c r="K39" s="18">
        <v>14</v>
      </c>
      <c r="L39" s="18">
        <f>M39/J39</f>
        <v>4.1547619047619051</v>
      </c>
      <c r="M39" s="18">
        <v>349</v>
      </c>
      <c r="N39" s="18">
        <f>K39/J39</f>
        <v>0.16666666666666666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</v>
      </c>
      <c r="J40" s="18">
        <v>103</v>
      </c>
      <c r="K40" s="18">
        <v>6</v>
      </c>
      <c r="L40" s="18">
        <f t="shared" ref="L40:L43" si="20">M40/J40</f>
        <v>4.6116504854368934</v>
      </c>
      <c r="M40" s="18">
        <v>475</v>
      </c>
      <c r="N40" s="18">
        <f t="shared" ref="N40:N42" si="21">K40/J40</f>
        <v>5.8252427184466021E-2</v>
      </c>
    </row>
    <row r="41" spans="1:14" x14ac:dyDescent="0.25">
      <c r="A41" s="18" t="s">
        <v>10</v>
      </c>
      <c r="B41" s="18">
        <v>67</v>
      </c>
      <c r="C41" s="18">
        <v>13</v>
      </c>
      <c r="D41" s="18">
        <f t="shared" si="0"/>
        <v>3.8955223880597014</v>
      </c>
      <c r="E41" s="18">
        <v>261</v>
      </c>
      <c r="F41" s="18">
        <f t="shared" si="1"/>
        <v>0.19402985074626866</v>
      </c>
      <c r="G41" s="32">
        <v>2.2086889501029501</v>
      </c>
      <c r="I41" s="18" t="s">
        <v>253</v>
      </c>
      <c r="J41" s="18">
        <v>36</v>
      </c>
      <c r="K41" s="18">
        <v>1</v>
      </c>
      <c r="L41" s="18">
        <f t="shared" si="20"/>
        <v>5.3611111111111107</v>
      </c>
      <c r="M41" s="18">
        <v>193</v>
      </c>
      <c r="N41" s="18">
        <f t="shared" si="21"/>
        <v>2.7777777777777776E-2</v>
      </c>
    </row>
    <row r="42" spans="1:14" x14ac:dyDescent="0.25">
      <c r="A42" s="74" t="s">
        <v>63</v>
      </c>
      <c r="B42" s="74">
        <v>25</v>
      </c>
      <c r="C42" s="74">
        <v>4</v>
      </c>
      <c r="D42" s="74">
        <f t="shared" si="0"/>
        <v>4.16</v>
      </c>
      <c r="E42" s="74">
        <v>104</v>
      </c>
      <c r="F42" s="74">
        <f t="shared" si="1"/>
        <v>0.16</v>
      </c>
      <c r="G42" s="32">
        <v>2.6394443859772201</v>
      </c>
      <c r="I42" s="18" t="s">
        <v>175</v>
      </c>
      <c r="J42" s="18">
        <v>48</v>
      </c>
      <c r="K42" s="18">
        <v>13</v>
      </c>
      <c r="L42" s="18">
        <f t="shared" si="20"/>
        <v>3.2083333333333335</v>
      </c>
      <c r="M42" s="18">
        <v>154</v>
      </c>
      <c r="N42" s="18">
        <f t="shared" si="21"/>
        <v>0.27083333333333331</v>
      </c>
    </row>
    <row r="43" spans="1:14" x14ac:dyDescent="0.25">
      <c r="A43" s="74" t="s">
        <v>4</v>
      </c>
      <c r="B43" s="74">
        <v>28</v>
      </c>
      <c r="C43" s="74">
        <v>4</v>
      </c>
      <c r="D43" s="74">
        <f t="shared" si="0"/>
        <v>4.8928571428571432</v>
      </c>
      <c r="E43" s="74">
        <v>137</v>
      </c>
      <c r="F43" s="74">
        <f t="shared" si="1"/>
        <v>0.14285714285714285</v>
      </c>
      <c r="G43" s="32">
        <v>2.08832734769027</v>
      </c>
      <c r="I43" s="18" t="s">
        <v>61</v>
      </c>
      <c r="J43" s="18">
        <v>46</v>
      </c>
      <c r="K43" s="18">
        <v>8</v>
      </c>
      <c r="L43" s="18">
        <f t="shared" si="20"/>
        <v>4.8260869565217392</v>
      </c>
      <c r="M43" s="18">
        <v>222</v>
      </c>
      <c r="N43" s="18">
        <f>K43/J43</f>
        <v>0.17391304347826086</v>
      </c>
    </row>
    <row r="44" spans="1:14" x14ac:dyDescent="0.25">
      <c r="A44" s="18" t="s">
        <v>121</v>
      </c>
      <c r="B44" s="18">
        <v>92</v>
      </c>
      <c r="C44" s="18">
        <v>21</v>
      </c>
      <c r="D44" s="18">
        <f t="shared" si="0"/>
        <v>3.8695652173913042</v>
      </c>
      <c r="E44" s="18">
        <v>356</v>
      </c>
      <c r="F44" s="18">
        <f t="shared" si="1"/>
        <v>0.22826086956521738</v>
      </c>
      <c r="G44" s="32">
        <v>2.2233267457082899</v>
      </c>
      <c r="I44" s="18" t="s">
        <v>115</v>
      </c>
      <c r="J44" s="18">
        <v>39</v>
      </c>
      <c r="K44" s="18">
        <v>3</v>
      </c>
      <c r="L44" s="18">
        <f t="shared" ref="L44:L51" si="22">M44/J44</f>
        <v>4.384615384615385</v>
      </c>
      <c r="M44" s="18">
        <v>171</v>
      </c>
      <c r="N44" s="18">
        <f t="shared" ref="N44:N51" si="23">K44/J44</f>
        <v>7.6923076923076927E-2</v>
      </c>
    </row>
    <row r="45" spans="1:14" x14ac:dyDescent="0.25">
      <c r="A45" s="18" t="s">
        <v>232</v>
      </c>
      <c r="B45" s="18">
        <v>110</v>
      </c>
      <c r="C45" s="18">
        <v>20</v>
      </c>
      <c r="D45" s="18">
        <f t="shared" si="0"/>
        <v>3.8909090909090911</v>
      </c>
      <c r="E45" s="18">
        <v>428</v>
      </c>
      <c r="F45" s="18">
        <f t="shared" si="1"/>
        <v>0.18181818181818182</v>
      </c>
      <c r="G45" s="32">
        <v>2.2509257354845502</v>
      </c>
      <c r="I45" s="18" t="s">
        <v>24</v>
      </c>
      <c r="J45" s="18">
        <v>101</v>
      </c>
      <c r="K45" s="18">
        <v>12</v>
      </c>
      <c r="L45" s="18">
        <f t="shared" si="22"/>
        <v>4.5247524752475243</v>
      </c>
      <c r="M45" s="18">
        <v>457</v>
      </c>
      <c r="N45" s="18">
        <f t="shared" si="23"/>
        <v>0.11881188118811881</v>
      </c>
    </row>
    <row r="46" spans="1:14" x14ac:dyDescent="0.25">
      <c r="A46" s="18" t="s">
        <v>21</v>
      </c>
      <c r="B46" s="18">
        <v>158</v>
      </c>
      <c r="C46" s="18">
        <v>24</v>
      </c>
      <c r="D46" s="18">
        <f t="shared" si="0"/>
        <v>4.2974683544303796</v>
      </c>
      <c r="E46" s="18">
        <v>679</v>
      </c>
      <c r="F46" s="18">
        <f t="shared" si="1"/>
        <v>0.15189873417721519</v>
      </c>
      <c r="G46" s="32">
        <v>2.0655911179772799</v>
      </c>
      <c r="I46" s="18" t="s">
        <v>30</v>
      </c>
      <c r="J46" s="18">
        <v>54</v>
      </c>
      <c r="K46" s="18">
        <v>3</v>
      </c>
      <c r="L46" s="18">
        <f t="shared" si="22"/>
        <v>5.1111111111111107</v>
      </c>
      <c r="M46" s="18">
        <v>276</v>
      </c>
      <c r="N46" s="18">
        <f t="shared" si="23"/>
        <v>5.5555555555555552E-2</v>
      </c>
    </row>
    <row r="47" spans="1:14" x14ac:dyDescent="0.25">
      <c r="A47" s="18" t="s">
        <v>51</v>
      </c>
      <c r="B47" s="18">
        <v>41</v>
      </c>
      <c r="C47" s="18">
        <v>3</v>
      </c>
      <c r="D47" s="18">
        <f t="shared" si="0"/>
        <v>4.8536585365853657</v>
      </c>
      <c r="E47" s="18">
        <v>199</v>
      </c>
      <c r="F47" s="18">
        <f t="shared" si="1"/>
        <v>7.3170731707317069E-2</v>
      </c>
      <c r="G47" s="32">
        <v>2.2967049878400898</v>
      </c>
      <c r="I47" s="18" t="s">
        <v>29</v>
      </c>
      <c r="J47" s="18">
        <v>114</v>
      </c>
      <c r="K47" s="18">
        <v>16</v>
      </c>
      <c r="L47" s="18">
        <f t="shared" si="22"/>
        <v>3.8947368421052633</v>
      </c>
      <c r="M47" s="18">
        <v>444</v>
      </c>
      <c r="N47" s="18">
        <f t="shared" si="23"/>
        <v>0.14035087719298245</v>
      </c>
    </row>
    <row r="48" spans="1:14" x14ac:dyDescent="0.25">
      <c r="A48" s="74" t="s">
        <v>414</v>
      </c>
      <c r="B48" s="74">
        <v>22</v>
      </c>
      <c r="C48" s="74">
        <v>2</v>
      </c>
      <c r="D48" s="74">
        <f t="shared" si="0"/>
        <v>4.6818181818181817</v>
      </c>
      <c r="E48" s="74">
        <v>103</v>
      </c>
      <c r="F48" s="74">
        <f t="shared" si="1"/>
        <v>9.0909090909090912E-2</v>
      </c>
      <c r="G48" s="32">
        <v>2.8702082220799299</v>
      </c>
      <c r="I48" s="18" t="s">
        <v>148</v>
      </c>
      <c r="J48" s="18">
        <v>42</v>
      </c>
      <c r="K48" s="18">
        <v>8</v>
      </c>
      <c r="L48" s="18">
        <f t="shared" si="22"/>
        <v>3.7380952380952381</v>
      </c>
      <c r="M48" s="18">
        <v>157</v>
      </c>
      <c r="N48" s="18">
        <f t="shared" si="23"/>
        <v>0.19047619047619047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79</v>
      </c>
      <c r="J49" s="18">
        <v>54</v>
      </c>
      <c r="K49" s="18">
        <v>6</v>
      </c>
      <c r="L49" s="18">
        <f t="shared" si="22"/>
        <v>4.6296296296296298</v>
      </c>
      <c r="M49" s="18">
        <v>250</v>
      </c>
      <c r="N49" s="18">
        <f t="shared" si="23"/>
        <v>0.1111111111111111</v>
      </c>
    </row>
    <row r="50" spans="1:14" x14ac:dyDescent="0.25">
      <c r="A50" s="18" t="s">
        <v>1</v>
      </c>
      <c r="B50" s="18">
        <v>103</v>
      </c>
      <c r="C50" s="18">
        <v>6</v>
      </c>
      <c r="D50" s="18">
        <f t="shared" si="0"/>
        <v>4.6116504854368934</v>
      </c>
      <c r="E50" s="18">
        <v>475</v>
      </c>
      <c r="F50" s="18">
        <f t="shared" si="1"/>
        <v>5.8252427184466021E-2</v>
      </c>
      <c r="G50" s="32">
        <v>2.0412414523193099</v>
      </c>
      <c r="I50" s="18" t="s">
        <v>123</v>
      </c>
      <c r="J50" s="18">
        <v>34</v>
      </c>
      <c r="K50" s="18">
        <v>5</v>
      </c>
      <c r="L50" s="18">
        <f t="shared" si="22"/>
        <v>4.5588235294117645</v>
      </c>
      <c r="M50" s="18">
        <v>155</v>
      </c>
      <c r="N50" s="18">
        <f t="shared" si="23"/>
        <v>0.14705882352941177</v>
      </c>
    </row>
    <row r="51" spans="1:14" x14ac:dyDescent="0.25">
      <c r="A51" s="74" t="s">
        <v>28</v>
      </c>
      <c r="B51" s="74">
        <v>26</v>
      </c>
      <c r="C51" s="74">
        <v>0</v>
      </c>
      <c r="D51" s="74">
        <f t="shared" si="0"/>
        <v>5.8461538461538458</v>
      </c>
      <c r="E51" s="74">
        <v>152</v>
      </c>
      <c r="F51" s="74">
        <f t="shared" si="1"/>
        <v>0</v>
      </c>
      <c r="G51" s="32">
        <v>1.30384048104052</v>
      </c>
      <c r="I51" s="18" t="s">
        <v>22</v>
      </c>
      <c r="J51" s="18">
        <v>182</v>
      </c>
      <c r="K51" s="18">
        <v>30</v>
      </c>
      <c r="L51" s="18">
        <f t="shared" si="22"/>
        <v>4.104395604395604</v>
      </c>
      <c r="M51" s="18">
        <v>747</v>
      </c>
      <c r="N51" s="18">
        <f t="shared" si="23"/>
        <v>0.16483516483516483</v>
      </c>
    </row>
    <row r="52" spans="1:14" x14ac:dyDescent="0.25">
      <c r="A52" s="18" t="s">
        <v>253</v>
      </c>
      <c r="B52" s="18">
        <v>36</v>
      </c>
      <c r="C52" s="18">
        <v>1</v>
      </c>
      <c r="D52" s="18">
        <f t="shared" si="0"/>
        <v>5.3611111111111107</v>
      </c>
      <c r="E52" s="18">
        <v>193</v>
      </c>
      <c r="F52" s="18">
        <f t="shared" si="1"/>
        <v>2.7777777777777776E-2</v>
      </c>
      <c r="G52" s="32"/>
      <c r="I52" s="18" t="s">
        <v>33</v>
      </c>
      <c r="J52" s="18">
        <v>64</v>
      </c>
      <c r="K52" s="18">
        <v>4</v>
      </c>
      <c r="L52" s="18">
        <f t="shared" ref="L52:L58" si="24">M52/J52</f>
        <v>5.515625</v>
      </c>
      <c r="M52" s="18">
        <v>353</v>
      </c>
      <c r="N52" s="18">
        <f t="shared" ref="N52:N58" si="25">K52/J52</f>
        <v>6.25E-2</v>
      </c>
    </row>
    <row r="53" spans="1:14" x14ac:dyDescent="0.25">
      <c r="A53" s="18" t="s">
        <v>175</v>
      </c>
      <c r="B53" s="18">
        <v>48</v>
      </c>
      <c r="C53" s="18">
        <v>13</v>
      </c>
      <c r="D53" s="18">
        <f t="shared" si="0"/>
        <v>3.2083333333333335</v>
      </c>
      <c r="E53" s="18">
        <v>154</v>
      </c>
      <c r="F53" s="18">
        <f t="shared" si="1"/>
        <v>0.27083333333333331</v>
      </c>
      <c r="G53" s="32">
        <v>2</v>
      </c>
      <c r="I53" s="18" t="s">
        <v>129</v>
      </c>
      <c r="J53" s="18">
        <v>42</v>
      </c>
      <c r="K53" s="18">
        <v>7</v>
      </c>
      <c r="L53" s="18">
        <f t="shared" si="24"/>
        <v>4.5714285714285712</v>
      </c>
      <c r="M53" s="18">
        <v>192</v>
      </c>
      <c r="N53" s="18">
        <f t="shared" si="25"/>
        <v>0.16666666666666666</v>
      </c>
    </row>
    <row r="54" spans="1:14" x14ac:dyDescent="0.25">
      <c r="A54" s="18" t="s">
        <v>61</v>
      </c>
      <c r="B54" s="18">
        <v>46</v>
      </c>
      <c r="C54" s="18">
        <v>8</v>
      </c>
      <c r="D54" s="18">
        <f t="shared" si="0"/>
        <v>4.8260869565217392</v>
      </c>
      <c r="E54" s="18">
        <v>222</v>
      </c>
      <c r="F54" s="18">
        <f>C54/B54</f>
        <v>0.17391304347826086</v>
      </c>
      <c r="G54" s="32">
        <v>3.2403703492039302</v>
      </c>
      <c r="I54" s="18" t="s">
        <v>35</v>
      </c>
      <c r="J54" s="18">
        <v>161</v>
      </c>
      <c r="K54" s="18">
        <v>42</v>
      </c>
      <c r="L54" s="18">
        <f t="shared" si="24"/>
        <v>3.5527950310559007</v>
      </c>
      <c r="M54" s="18">
        <v>572</v>
      </c>
      <c r="N54" s="18">
        <f t="shared" si="25"/>
        <v>0.2608695652173913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26</v>
      </c>
      <c r="J55" s="18">
        <v>77</v>
      </c>
      <c r="K55" s="18">
        <v>5</v>
      </c>
      <c r="L55" s="18">
        <f t="shared" si="24"/>
        <v>5.1948051948051948</v>
      </c>
      <c r="M55" s="18">
        <v>400</v>
      </c>
      <c r="N55" s="18">
        <f t="shared" si="25"/>
        <v>6.4935064935064929E-2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122</v>
      </c>
      <c r="J56" s="18">
        <v>114</v>
      </c>
      <c r="K56" s="18">
        <v>14</v>
      </c>
      <c r="L56" s="18">
        <f t="shared" si="24"/>
        <v>4.1315789473684212</v>
      </c>
      <c r="M56" s="18">
        <v>471</v>
      </c>
      <c r="N56" s="18">
        <f t="shared" si="25"/>
        <v>0.12280701754385964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49</v>
      </c>
      <c r="J57" s="18">
        <v>120</v>
      </c>
      <c r="K57" s="18">
        <v>7</v>
      </c>
      <c r="L57" s="18">
        <f t="shared" si="24"/>
        <v>5.15</v>
      </c>
      <c r="M57" s="18">
        <v>618</v>
      </c>
      <c r="N57" s="18">
        <f t="shared" si="25"/>
        <v>5.8333333333333334E-2</v>
      </c>
    </row>
    <row r="58" spans="1:14" x14ac:dyDescent="0.25">
      <c r="A58" s="74" t="s">
        <v>116</v>
      </c>
      <c r="B58" s="74">
        <v>20</v>
      </c>
      <c r="C58" s="74">
        <v>4</v>
      </c>
      <c r="D58" s="74">
        <f t="shared" si="0"/>
        <v>4.05</v>
      </c>
      <c r="E58" s="74">
        <v>81</v>
      </c>
      <c r="F58" s="74">
        <f t="shared" si="1"/>
        <v>0.2</v>
      </c>
      <c r="G58" s="32">
        <v>1.7043362064926899</v>
      </c>
      <c r="I58" s="18" t="s">
        <v>3</v>
      </c>
      <c r="J58" s="18">
        <v>46</v>
      </c>
      <c r="K58" s="18">
        <v>7</v>
      </c>
      <c r="L58" s="18">
        <f t="shared" si="24"/>
        <v>4.1304347826086953</v>
      </c>
      <c r="M58" s="18">
        <v>190</v>
      </c>
      <c r="N58" s="18">
        <f t="shared" si="25"/>
        <v>0.15217391304347827</v>
      </c>
    </row>
    <row r="59" spans="1:14" x14ac:dyDescent="0.25">
      <c r="A59" s="74" t="s">
        <v>5</v>
      </c>
      <c r="B59" s="74">
        <v>23</v>
      </c>
      <c r="C59" s="74">
        <v>1</v>
      </c>
      <c r="D59" s="74">
        <f t="shared" si="0"/>
        <v>4.6086956521739131</v>
      </c>
      <c r="E59" s="74">
        <v>106</v>
      </c>
      <c r="F59" s="74">
        <f t="shared" si="1"/>
        <v>4.3478260869565216E-2</v>
      </c>
      <c r="G59" s="32">
        <v>1.8898223650461301</v>
      </c>
    </row>
    <row r="60" spans="1:14" x14ac:dyDescent="0.25">
      <c r="A60" t="s">
        <v>58</v>
      </c>
      <c r="B60">
        <v>25</v>
      </c>
      <c r="C60">
        <v>5</v>
      </c>
      <c r="D60">
        <f t="shared" si="0"/>
        <v>3.72</v>
      </c>
      <c r="E60">
        <v>93</v>
      </c>
      <c r="F60">
        <f t="shared" si="1"/>
        <v>0.2</v>
      </c>
      <c r="G60" s="32">
        <v>2.33809038890002</v>
      </c>
    </row>
    <row r="61" spans="1:14" x14ac:dyDescent="0.25">
      <c r="A61" s="18" t="s">
        <v>30</v>
      </c>
      <c r="B61" s="18">
        <v>54</v>
      </c>
      <c r="C61" s="18">
        <v>3</v>
      </c>
      <c r="D61" s="18">
        <f t="shared" si="0"/>
        <v>5.1111111111111107</v>
      </c>
      <c r="E61" s="18">
        <v>276</v>
      </c>
      <c r="F61" s="18">
        <f t="shared" si="1"/>
        <v>5.5555555555555552E-2</v>
      </c>
      <c r="G61" s="32">
        <v>2.5226248955475601</v>
      </c>
    </row>
    <row r="62" spans="1:14" x14ac:dyDescent="0.25">
      <c r="A62" s="18" t="s">
        <v>29</v>
      </c>
      <c r="B62" s="18">
        <v>114</v>
      </c>
      <c r="C62" s="18">
        <v>16</v>
      </c>
      <c r="D62" s="18">
        <f t="shared" si="0"/>
        <v>3.8947368421052633</v>
      </c>
      <c r="E62" s="18">
        <v>444</v>
      </c>
      <c r="F62" s="18">
        <f t="shared" si="1"/>
        <v>0.14035087719298245</v>
      </c>
      <c r="G62" s="32">
        <v>2.0875571218153701</v>
      </c>
      <c r="I62" s="18"/>
      <c r="J62" s="18"/>
      <c r="K62" s="18"/>
      <c r="L62" s="18"/>
      <c r="M62" s="18"/>
      <c r="N62" s="18"/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/>
      <c r="J63" s="18"/>
      <c r="K63" s="18"/>
      <c r="L63" s="18"/>
      <c r="M63" s="18"/>
      <c r="N63" s="18"/>
    </row>
    <row r="64" spans="1:14" x14ac:dyDescent="0.25">
      <c r="A64" s="74" t="s">
        <v>9</v>
      </c>
      <c r="B64" s="74">
        <v>20</v>
      </c>
      <c r="C64" s="74">
        <v>2</v>
      </c>
      <c r="D64" s="74">
        <f t="shared" si="0"/>
        <v>4.1500000000000004</v>
      </c>
      <c r="E64" s="74">
        <v>83</v>
      </c>
      <c r="F64" s="74">
        <f t="shared" si="1"/>
        <v>0.1</v>
      </c>
      <c r="G64" s="32">
        <v>2.42097317438899</v>
      </c>
    </row>
    <row r="65" spans="1:14" x14ac:dyDescent="0.25">
      <c r="A65" t="s">
        <v>139</v>
      </c>
      <c r="B65">
        <v>26</v>
      </c>
      <c r="C65">
        <v>4</v>
      </c>
      <c r="D65">
        <f t="shared" si="0"/>
        <v>3.9230769230769229</v>
      </c>
      <c r="E65">
        <v>102</v>
      </c>
      <c r="F65">
        <f t="shared" si="1"/>
        <v>0.15384615384615385</v>
      </c>
      <c r="G65" s="32">
        <v>1.9944979263017399</v>
      </c>
      <c r="I65" s="18"/>
      <c r="J65" s="18"/>
      <c r="K65" s="18"/>
      <c r="L65" s="18"/>
      <c r="M65" s="18"/>
      <c r="N65" s="18"/>
    </row>
    <row r="66" spans="1:14" x14ac:dyDescent="0.25">
      <c r="A66" s="74" t="s">
        <v>428</v>
      </c>
      <c r="B66" s="74">
        <v>21</v>
      </c>
      <c r="C66" s="74">
        <v>0</v>
      </c>
      <c r="D66" s="74">
        <f t="shared" si="0"/>
        <v>4.6190476190476186</v>
      </c>
      <c r="E66" s="74">
        <v>97</v>
      </c>
      <c r="F66" s="74">
        <f t="shared" si="1"/>
        <v>0</v>
      </c>
      <c r="G66" s="32">
        <v>1.9414506867882999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</row>
    <row r="68" spans="1:14" x14ac:dyDescent="0.25">
      <c r="A68" s="74" t="s">
        <v>17</v>
      </c>
      <c r="B68" s="74">
        <v>20</v>
      </c>
      <c r="C68" s="74">
        <v>2</v>
      </c>
      <c r="D68" s="74">
        <f t="shared" si="0"/>
        <v>5.25</v>
      </c>
      <c r="E68" s="74">
        <v>105</v>
      </c>
      <c r="F68" s="74">
        <f t="shared" si="1"/>
        <v>0.1</v>
      </c>
      <c r="G68" s="32">
        <v>2.4832774042918899</v>
      </c>
      <c r="I68" s="18"/>
      <c r="J68" s="18"/>
      <c r="K68" s="18"/>
      <c r="L68" s="18"/>
      <c r="M68" s="18"/>
      <c r="N68" s="18"/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/>
      <c r="J69" s="18"/>
      <c r="K69" s="18"/>
      <c r="L69" s="18"/>
      <c r="M69" s="18"/>
      <c r="N69" s="18"/>
    </row>
    <row r="70" spans="1:14" x14ac:dyDescent="0.25">
      <c r="A70" s="18" t="s">
        <v>123</v>
      </c>
      <c r="B70" s="18">
        <v>34</v>
      </c>
      <c r="C70" s="18">
        <v>5</v>
      </c>
      <c r="D70" s="18">
        <f t="shared" si="0"/>
        <v>4.5588235294117645</v>
      </c>
      <c r="E70" s="18">
        <v>155</v>
      </c>
      <c r="F70" s="18">
        <f t="shared" si="1"/>
        <v>0.14705882352941177</v>
      </c>
      <c r="G70" s="32">
        <v>2</v>
      </c>
    </row>
    <row r="71" spans="1:14" x14ac:dyDescent="0.25">
      <c r="A71" s="74" t="s">
        <v>12</v>
      </c>
      <c r="B71" s="74">
        <v>20</v>
      </c>
      <c r="C71" s="74">
        <v>0</v>
      </c>
      <c r="D71" s="74">
        <f t="shared" si="0"/>
        <v>4.75</v>
      </c>
      <c r="E71" s="74">
        <v>95</v>
      </c>
      <c r="F71" s="74">
        <f t="shared" si="1"/>
        <v>0</v>
      </c>
      <c r="G71" s="32">
        <v>2.44584195260913</v>
      </c>
    </row>
    <row r="72" spans="1:14" x14ac:dyDescent="0.25">
      <c r="A72" s="74" t="s">
        <v>404</v>
      </c>
      <c r="B72" s="74">
        <v>20</v>
      </c>
      <c r="C72" s="74">
        <v>2</v>
      </c>
      <c r="D72" s="74">
        <f t="shared" si="0"/>
        <v>5.25</v>
      </c>
      <c r="E72" s="74">
        <v>105</v>
      </c>
      <c r="F72" s="74">
        <f t="shared" si="1"/>
        <v>0.1</v>
      </c>
      <c r="G72" s="32">
        <v>2.3094010767584998</v>
      </c>
    </row>
    <row r="73" spans="1:14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/>
      <c r="J73" s="18"/>
      <c r="K73" s="18"/>
      <c r="L73" s="18"/>
      <c r="M73" s="18"/>
      <c r="N73" s="18"/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/>
      <c r="J74" s="18"/>
      <c r="K74" s="18"/>
      <c r="L74" s="18"/>
      <c r="M74" s="18"/>
      <c r="N74" s="18"/>
    </row>
    <row r="75" spans="1:14" x14ac:dyDescent="0.25">
      <c r="A75" s="74" t="s">
        <v>110</v>
      </c>
      <c r="B75" s="74">
        <v>20</v>
      </c>
      <c r="C75" s="74">
        <v>1</v>
      </c>
      <c r="D75" s="74">
        <f>E75/B75</f>
        <v>5.15</v>
      </c>
      <c r="E75" s="74">
        <v>103</v>
      </c>
      <c r="F75" s="74">
        <f>C75/B75</f>
        <v>0.05</v>
      </c>
      <c r="G75" s="32">
        <v>1.9407902170679501</v>
      </c>
      <c r="I75" s="18"/>
      <c r="J75" s="18"/>
      <c r="K75" s="18"/>
      <c r="L75" s="18"/>
      <c r="M75" s="18"/>
      <c r="N75" s="18"/>
    </row>
    <row r="76" spans="1:14" x14ac:dyDescent="0.25">
      <c r="A76" s="74" t="s">
        <v>82</v>
      </c>
      <c r="B76" s="74">
        <v>20</v>
      </c>
      <c r="C76" s="74">
        <v>0</v>
      </c>
      <c r="D76" s="74">
        <f t="shared" ref="D76:D91" si="26">E76/B76</f>
        <v>5.15</v>
      </c>
      <c r="E76" s="74">
        <v>103</v>
      </c>
      <c r="F76" s="74">
        <f>C76/B76</f>
        <v>0</v>
      </c>
      <c r="G76" s="32">
        <v>2</v>
      </c>
    </row>
    <row r="77" spans="1:14" x14ac:dyDescent="0.25">
      <c r="A77" s="18" t="s">
        <v>33</v>
      </c>
      <c r="B77" s="18">
        <v>64</v>
      </c>
      <c r="C77" s="18">
        <v>4</v>
      </c>
      <c r="D77" s="18">
        <f t="shared" si="26"/>
        <v>5.515625</v>
      </c>
      <c r="E77" s="18">
        <v>353</v>
      </c>
      <c r="F77" s="18">
        <f t="shared" ref="F77:F91" si="27">C77/B77</f>
        <v>6.25E-2</v>
      </c>
      <c r="G77" s="32">
        <v>2.14993539954627</v>
      </c>
      <c r="I77" s="18"/>
      <c r="J77" s="18"/>
      <c r="K77" s="18"/>
      <c r="L77" s="18"/>
      <c r="M77" s="18"/>
      <c r="N77" s="18"/>
    </row>
    <row r="78" spans="1:14" x14ac:dyDescent="0.25">
      <c r="A78" s="74" t="s">
        <v>99</v>
      </c>
      <c r="B78" s="74">
        <v>20</v>
      </c>
      <c r="C78" s="74">
        <v>2</v>
      </c>
      <c r="D78" s="74">
        <f t="shared" si="26"/>
        <v>5.05</v>
      </c>
      <c r="E78" s="74">
        <v>101</v>
      </c>
      <c r="F78" s="74">
        <f t="shared" si="27"/>
        <v>0.1</v>
      </c>
      <c r="G78" s="32">
        <v>2.6687491868330699</v>
      </c>
    </row>
    <row r="79" spans="1:14" x14ac:dyDescent="0.25">
      <c r="A79" s="74" t="s">
        <v>7</v>
      </c>
      <c r="B79" s="74">
        <v>20</v>
      </c>
      <c r="C79" s="74">
        <v>4</v>
      </c>
      <c r="D79" s="74">
        <f t="shared" si="26"/>
        <v>4.0999999999999996</v>
      </c>
      <c r="E79" s="74">
        <v>82</v>
      </c>
      <c r="F79" s="74">
        <f t="shared" si="27"/>
        <v>0.2</v>
      </c>
      <c r="G79" s="32">
        <v>2.7888667551135802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26"/>
        <v>4</v>
      </c>
      <c r="E80" s="41">
        <v>20</v>
      </c>
      <c r="F80" s="41">
        <f t="shared" si="27"/>
        <v>0.2</v>
      </c>
      <c r="G80" s="32">
        <v>2.2173557826083399</v>
      </c>
    </row>
    <row r="81" spans="1:14" x14ac:dyDescent="0.25">
      <c r="A81" s="41" t="s">
        <v>137</v>
      </c>
      <c r="B81" s="41">
        <v>11</v>
      </c>
      <c r="C81" s="41">
        <v>1</v>
      </c>
      <c r="D81" s="41">
        <f t="shared" si="26"/>
        <v>4.1818181818181817</v>
      </c>
      <c r="E81" s="41">
        <v>46</v>
      </c>
      <c r="F81" s="41">
        <f t="shared" si="27"/>
        <v>9.0909090909090912E-2</v>
      </c>
      <c r="G81" s="32">
        <v>1.8618986725025199</v>
      </c>
    </row>
    <row r="82" spans="1:14" x14ac:dyDescent="0.25">
      <c r="A82" s="18" t="s">
        <v>129</v>
      </c>
      <c r="B82" s="18">
        <v>42</v>
      </c>
      <c r="C82" s="18">
        <v>7</v>
      </c>
      <c r="D82" s="18">
        <f t="shared" si="26"/>
        <v>4.5714285714285712</v>
      </c>
      <c r="E82" s="18">
        <v>192</v>
      </c>
      <c r="F82" s="18">
        <f t="shared" si="27"/>
        <v>0.16666666666666666</v>
      </c>
      <c r="G82" s="32">
        <v>2.1315096371664199</v>
      </c>
    </row>
    <row r="83" spans="1:14" x14ac:dyDescent="0.25">
      <c r="A83" t="s">
        <v>113</v>
      </c>
      <c r="B83">
        <v>22</v>
      </c>
      <c r="C83">
        <v>0</v>
      </c>
      <c r="D83">
        <f t="shared" si="26"/>
        <v>4.4090909090909092</v>
      </c>
      <c r="E83">
        <v>97</v>
      </c>
      <c r="F83">
        <f t="shared" si="27"/>
        <v>0</v>
      </c>
      <c r="G83" s="32">
        <v>2.4899799195977401</v>
      </c>
    </row>
    <row r="84" spans="1:14" x14ac:dyDescent="0.25">
      <c r="A84" s="18" t="s">
        <v>35</v>
      </c>
      <c r="B84" s="18">
        <v>161</v>
      </c>
      <c r="C84" s="18">
        <v>42</v>
      </c>
      <c r="D84" s="18">
        <f t="shared" si="26"/>
        <v>3.5527950310559007</v>
      </c>
      <c r="E84" s="18">
        <v>572</v>
      </c>
      <c r="F84" s="18">
        <f t="shared" si="27"/>
        <v>0.2608695652173913</v>
      </c>
      <c r="G84" s="32">
        <v>2.6214406763289899</v>
      </c>
    </row>
    <row r="85" spans="1:14" x14ac:dyDescent="0.25">
      <c r="A85" s="18" t="s">
        <v>26</v>
      </c>
      <c r="B85" s="18">
        <v>77</v>
      </c>
      <c r="C85" s="18">
        <v>5</v>
      </c>
      <c r="D85" s="18">
        <f t="shared" si="26"/>
        <v>5.1948051948051948</v>
      </c>
      <c r="E85" s="18">
        <v>400</v>
      </c>
      <c r="F85" s="18">
        <f t="shared" si="27"/>
        <v>6.4935064935064929E-2</v>
      </c>
      <c r="G85" s="32">
        <v>2.4494897427831699</v>
      </c>
      <c r="I85" s="18"/>
      <c r="J85" s="18"/>
      <c r="K85" s="18"/>
      <c r="L85" s="18"/>
      <c r="M85" s="18"/>
      <c r="N85" s="18"/>
    </row>
    <row r="86" spans="1:14" x14ac:dyDescent="0.25">
      <c r="A86" s="18" t="s">
        <v>122</v>
      </c>
      <c r="B86" s="18">
        <v>114</v>
      </c>
      <c r="C86" s="18">
        <v>14</v>
      </c>
      <c r="D86" s="18">
        <f t="shared" si="26"/>
        <v>4.1315789473684212</v>
      </c>
      <c r="E86" s="18">
        <v>471</v>
      </c>
      <c r="F86" s="18">
        <f t="shared" si="27"/>
        <v>0.12280701754385964</v>
      </c>
      <c r="G86" s="32">
        <v>1.6329931618554501</v>
      </c>
    </row>
    <row r="87" spans="1:14" x14ac:dyDescent="0.25">
      <c r="A87" s="18" t="s">
        <v>49</v>
      </c>
      <c r="B87" s="18">
        <v>120</v>
      </c>
      <c r="C87" s="18">
        <v>7</v>
      </c>
      <c r="D87" s="18">
        <f t="shared" si="26"/>
        <v>5.15</v>
      </c>
      <c r="E87" s="18">
        <v>618</v>
      </c>
      <c r="F87" s="18">
        <f t="shared" si="27"/>
        <v>5.8333333333333334E-2</v>
      </c>
      <c r="G87" s="32">
        <v>2.79455252402308</v>
      </c>
    </row>
    <row r="88" spans="1:14" x14ac:dyDescent="0.25">
      <c r="A88" s="18" t="s">
        <v>3</v>
      </c>
      <c r="B88" s="18">
        <v>46</v>
      </c>
      <c r="C88" s="18">
        <v>7</v>
      </c>
      <c r="D88" s="18">
        <f t="shared" si="26"/>
        <v>4.1304347826086953</v>
      </c>
      <c r="E88" s="18">
        <v>190</v>
      </c>
      <c r="F88" s="18">
        <f t="shared" si="27"/>
        <v>0.15217391304347827</v>
      </c>
      <c r="G88" s="32">
        <v>2.3731557327466102</v>
      </c>
    </row>
    <row r="89" spans="1:14" x14ac:dyDescent="0.25">
      <c r="A89" t="s">
        <v>230</v>
      </c>
      <c r="B89">
        <v>26</v>
      </c>
      <c r="C89">
        <v>4</v>
      </c>
      <c r="D89">
        <f t="shared" si="26"/>
        <v>4.8076923076923075</v>
      </c>
      <c r="E89">
        <v>125</v>
      </c>
      <c r="F89">
        <f t="shared" si="27"/>
        <v>0.15384615384615385</v>
      </c>
      <c r="G89" s="32">
        <v>2.7748873851023199</v>
      </c>
    </row>
    <row r="90" spans="1:14" x14ac:dyDescent="0.25">
      <c r="A90" s="74" t="s">
        <v>2</v>
      </c>
      <c r="B90" s="74">
        <v>28</v>
      </c>
      <c r="C90" s="74">
        <v>5</v>
      </c>
      <c r="D90" s="74">
        <f t="shared" si="26"/>
        <v>4.1428571428571432</v>
      </c>
      <c r="E90" s="74">
        <v>116</v>
      </c>
      <c r="F90" s="74">
        <f t="shared" si="27"/>
        <v>0.17857142857142858</v>
      </c>
      <c r="G90" s="32">
        <v>2.5876449587894599</v>
      </c>
    </row>
    <row r="91" spans="1:14" x14ac:dyDescent="0.25">
      <c r="A91" s="74" t="s">
        <v>124</v>
      </c>
      <c r="B91" s="74">
        <v>24</v>
      </c>
      <c r="C91" s="74">
        <v>0</v>
      </c>
      <c r="D91" s="74">
        <f t="shared" si="26"/>
        <v>5.208333333333333</v>
      </c>
      <c r="E91" s="74">
        <v>125</v>
      </c>
      <c r="F91" s="74">
        <f t="shared" si="27"/>
        <v>0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48576"/>
  <sheetViews>
    <sheetView zoomScale="70" zoomScaleNormal="70" workbookViewId="0">
      <selection activeCell="Q59" sqref="Q59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Z101"/>
  <sheetViews>
    <sheetView workbookViewId="0">
      <selection activeCell="X30" sqref="X30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I2" s="36">
        <v>6</v>
      </c>
      <c r="J2" s="36" t="s">
        <v>125</v>
      </c>
      <c r="K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I3" s="36">
        <v>2</v>
      </c>
      <c r="J3" s="36" t="s">
        <v>35</v>
      </c>
      <c r="K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I4" s="36">
        <v>8</v>
      </c>
      <c r="J4" s="36" t="s">
        <v>58</v>
      </c>
      <c r="K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I5" s="36">
        <v>7</v>
      </c>
      <c r="J5" s="36" t="s">
        <v>22</v>
      </c>
      <c r="K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I6" s="32">
        <v>4</v>
      </c>
      <c r="J6" s="32" t="s">
        <v>121</v>
      </c>
      <c r="K6" s="32" t="s">
        <v>499</v>
      </c>
      <c r="O6" s="36">
        <v>7</v>
      </c>
      <c r="P6" s="36" t="s">
        <v>22</v>
      </c>
      <c r="Q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I7" s="32">
        <v>1</v>
      </c>
      <c r="J7" s="32" t="s">
        <v>128</v>
      </c>
      <c r="K7" s="32" t="s">
        <v>496</v>
      </c>
      <c r="O7" s="36">
        <v>8</v>
      </c>
      <c r="P7" s="36" t="s">
        <v>58</v>
      </c>
      <c r="Q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I8" s="32">
        <v>5</v>
      </c>
      <c r="J8" s="32" t="s">
        <v>232</v>
      </c>
      <c r="K8" s="32" t="s">
        <v>500</v>
      </c>
      <c r="O8" s="36">
        <v>2</v>
      </c>
      <c r="P8" s="36" t="s">
        <v>35</v>
      </c>
      <c r="Q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I9" s="32">
        <v>3</v>
      </c>
      <c r="J9" s="32" t="s">
        <v>147</v>
      </c>
      <c r="K9" s="32" t="s">
        <v>498</v>
      </c>
      <c r="O9" s="36">
        <v>12</v>
      </c>
      <c r="P9" s="36" t="s">
        <v>15</v>
      </c>
      <c r="Q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I10" s="36">
        <v>13</v>
      </c>
      <c r="J10" s="36" t="s">
        <v>24</v>
      </c>
      <c r="K10" s="36" t="s">
        <v>508</v>
      </c>
      <c r="O10" s="32">
        <v>16</v>
      </c>
      <c r="P10" s="32" t="s">
        <v>25</v>
      </c>
      <c r="Q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I11" s="36">
        <v>10</v>
      </c>
      <c r="J11" s="36" t="s">
        <v>122</v>
      </c>
      <c r="K11" s="36" t="s">
        <v>505</v>
      </c>
      <c r="O11" s="32">
        <v>13</v>
      </c>
      <c r="P11" s="32" t="s">
        <v>24</v>
      </c>
      <c r="Q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I12" s="36">
        <v>12</v>
      </c>
      <c r="J12" s="36" t="s">
        <v>15</v>
      </c>
      <c r="K12" s="36" t="s">
        <v>507</v>
      </c>
      <c r="O12" s="32">
        <v>6</v>
      </c>
      <c r="P12" s="32" t="s">
        <v>125</v>
      </c>
      <c r="Q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I13" s="36">
        <v>16</v>
      </c>
      <c r="J13" s="36" t="s">
        <v>25</v>
      </c>
      <c r="K13" s="36" t="s">
        <v>511</v>
      </c>
      <c r="O13" s="32">
        <v>10</v>
      </c>
      <c r="P13" s="32" t="s">
        <v>122</v>
      </c>
      <c r="Q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I14" s="32">
        <v>14</v>
      </c>
      <c r="J14" s="32" t="s">
        <v>78</v>
      </c>
      <c r="K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I15" s="32">
        <v>11</v>
      </c>
      <c r="J15" s="32" t="s">
        <v>21</v>
      </c>
      <c r="K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I16" s="32">
        <v>9</v>
      </c>
      <c r="J16" s="32" t="s">
        <v>104</v>
      </c>
      <c r="K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I17" s="32">
        <v>15</v>
      </c>
      <c r="J17" s="32" t="s">
        <v>87</v>
      </c>
      <c r="K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cui</cp:lastModifiedBy>
  <dcterms:created xsi:type="dcterms:W3CDTF">2023-04-24T17:39:22Z</dcterms:created>
  <dcterms:modified xsi:type="dcterms:W3CDTF">2026-03-03T05:20:50Z</dcterms:modified>
</cp:coreProperties>
</file>