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747C35AA-B213-4B44-8060-D38183EF19E1}" xr6:coauthVersionLast="47" xr6:coauthVersionMax="47" xr10:uidLastSave="{00000000-0000-0000-0000-000000000000}"/>
  <bookViews>
    <workbookView xWindow="-120" yWindow="-120" windowWidth="38640" windowHeight="21120" firstSheet="2" activeTab="14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8" i="16" l="1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47" i="15"/>
  <c r="L47" i="15"/>
  <c r="N58" i="15"/>
  <c r="L58" i="15"/>
  <c r="N48" i="15"/>
  <c r="L48" i="15"/>
  <c r="N34" i="15"/>
  <c r="L34" i="15"/>
  <c r="N40" i="15"/>
  <c r="L40" i="15"/>
  <c r="N16" i="15"/>
  <c r="L16" i="15"/>
  <c r="N39" i="15"/>
  <c r="L39" i="15"/>
  <c r="N62" i="15"/>
  <c r="L62" i="15"/>
  <c r="N44" i="15"/>
  <c r="L44" i="15"/>
  <c r="N18" i="15"/>
  <c r="L18" i="15"/>
  <c r="N56" i="15"/>
  <c r="L56" i="15"/>
  <c r="N45" i="15"/>
  <c r="L45" i="15"/>
  <c r="N26" i="15"/>
  <c r="L26" i="15"/>
  <c r="N43" i="15"/>
  <c r="L43" i="15"/>
  <c r="N15" i="15"/>
  <c r="L15" i="15"/>
  <c r="N64" i="15"/>
  <c r="L64" i="15"/>
  <c r="N59" i="15"/>
  <c r="L59" i="15"/>
  <c r="N63" i="15"/>
  <c r="L63" i="15"/>
  <c r="N67" i="15"/>
  <c r="L67" i="15"/>
  <c r="N42" i="15"/>
  <c r="L42" i="15"/>
  <c r="N14" i="15"/>
  <c r="L14" i="15"/>
  <c r="N66" i="15"/>
  <c r="L66" i="15"/>
  <c r="N61" i="15" l="1"/>
  <c r="L61" i="15"/>
  <c r="N24" i="15"/>
  <c r="L24" i="15"/>
  <c r="N37" i="15"/>
  <c r="L37" i="15"/>
  <c r="L52" i="15"/>
  <c r="N52" i="15"/>
  <c r="N51" i="15"/>
  <c r="L51" i="15"/>
  <c r="N60" i="15" l="1"/>
  <c r="L60" i="15"/>
  <c r="N25" i="15"/>
  <c r="L25" i="15"/>
  <c r="N38" i="15"/>
  <c r="L38" i="15"/>
  <c r="N50" i="15"/>
  <c r="L50" i="15"/>
  <c r="N53" i="15"/>
  <c r="L53" i="15"/>
  <c r="N17" i="15"/>
  <c r="L17" i="15"/>
  <c r="N29" i="15"/>
  <c r="L29" i="15"/>
  <c r="N65" i="15"/>
  <c r="L65" i="15"/>
  <c r="N23" i="15"/>
  <c r="L23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35" i="15"/>
  <c r="L35" i="15"/>
  <c r="N49" i="15"/>
  <c r="L49" i="15"/>
  <c r="N55" i="15"/>
  <c r="L55" i="15"/>
  <c r="N30" i="15"/>
  <c r="L30" i="15"/>
  <c r="N20" i="15"/>
  <c r="L20" i="15"/>
  <c r="N27" i="15" l="1"/>
  <c r="L27" i="15"/>
  <c r="N31" i="15"/>
  <c r="L31" i="15"/>
  <c r="N28" i="15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6" i="15" l="1"/>
  <c r="L46" i="15"/>
  <c r="N22" i="15"/>
  <c r="L22" i="15"/>
  <c r="L33" i="15"/>
  <c r="N33" i="15"/>
  <c r="L36" i="15"/>
  <c r="N36" i="15"/>
  <c r="L41" i="15"/>
  <c r="N41" i="15"/>
  <c r="L54" i="15"/>
  <c r="N54" i="15"/>
  <c r="L57" i="15"/>
  <c r="N57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<sst xmlns="http://schemas.openxmlformats.org/spreadsheetml/2006/main" count="18017" uniqueCount="612">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</sst>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80"/>
  <sheetViews>
    <sheetView topLeftCell="A331" zoomScaleNormal="100" workbookViewId="0">
      <selection activeCell="R374" sqref="R374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37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37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37" x14ac:dyDescent="0.2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</row>
    <row r="373" spans="10:37" x14ac:dyDescent="0.2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</row>
    <row r="374" spans="10:37" x14ac:dyDescent="0.2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</row>
    <row r="375" spans="10:37" x14ac:dyDescent="0.2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</row>
    <row r="376" spans="10:37" x14ac:dyDescent="0.2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</row>
    <row r="377" spans="10:37" x14ac:dyDescent="0.2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</row>
    <row r="378" spans="10:37" x14ac:dyDescent="0.2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</row>
    <row r="379" spans="10:37" x14ac:dyDescent="0.2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</row>
    <row r="380" spans="10:37" x14ac:dyDescent="0.2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M47" sqref="M47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workbookViewId="0">
      <selection activeCell="O5" sqref="O5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21 16384:16384" x14ac:dyDescent="0.25">
      <c r="A1" s="1">
        <v>46268</v>
      </c>
      <c r="B1" s="1">
        <v>46268</v>
      </c>
      <c r="C1" s="1">
        <v>46268</v>
      </c>
      <c r="D1" s="1">
        <v>46268</v>
      </c>
      <c r="E1" s="1">
        <v>46269</v>
      </c>
      <c r="F1" s="1">
        <v>46269</v>
      </c>
      <c r="G1" s="1">
        <v>46269</v>
      </c>
      <c r="H1" s="1">
        <v>46270</v>
      </c>
      <c r="I1" s="1">
        <v>46270</v>
      </c>
      <c r="J1" s="1">
        <v>46270</v>
      </c>
      <c r="K1" s="1">
        <v>46270</v>
      </c>
      <c r="L1" s="1">
        <v>46270</v>
      </c>
      <c r="M1" s="1">
        <v>46270</v>
      </c>
      <c r="N1" s="1">
        <v>46270</v>
      </c>
      <c r="O1" s="1">
        <v>46270</v>
      </c>
      <c r="P1" s="1">
        <v>46275</v>
      </c>
      <c r="Q1" s="1">
        <v>46275</v>
      </c>
      <c r="R1" s="1">
        <v>46275</v>
      </c>
      <c r="S1" s="1">
        <v>46275</v>
      </c>
      <c r="T1" s="1">
        <v>46276</v>
      </c>
      <c r="U1" s="1">
        <v>46276</v>
      </c>
      <c r="XFD1" s="1"/>
    </row>
    <row r="2" spans="1:21 16384:16384" x14ac:dyDescent="0.25">
      <c r="A2" t="s">
        <v>123</v>
      </c>
      <c r="B2" t="s">
        <v>2</v>
      </c>
      <c r="C2" t="s">
        <v>552</v>
      </c>
      <c r="D2" t="s">
        <v>26</v>
      </c>
      <c r="E2" t="s">
        <v>1</v>
      </c>
      <c r="F2" t="s">
        <v>552</v>
      </c>
      <c r="G2" t="s">
        <v>552</v>
      </c>
      <c r="H2" t="s">
        <v>572</v>
      </c>
      <c r="I2" t="s">
        <v>104</v>
      </c>
      <c r="J2" t="s">
        <v>99</v>
      </c>
      <c r="K2" t="s">
        <v>122</v>
      </c>
      <c r="L2" t="s">
        <v>21</v>
      </c>
      <c r="M2" t="s">
        <v>28</v>
      </c>
      <c r="N2" t="s">
        <v>58</v>
      </c>
      <c r="O2" t="s">
        <v>232</v>
      </c>
    </row>
    <row r="3" spans="1:21 16384:16384" x14ac:dyDescent="0.25">
      <c r="A3" t="s">
        <v>7</v>
      </c>
      <c r="B3" t="s">
        <v>232</v>
      </c>
      <c r="C3" t="s">
        <v>35</v>
      </c>
      <c r="D3" t="s">
        <v>34</v>
      </c>
      <c r="E3" t="s">
        <v>232</v>
      </c>
      <c r="F3" t="s">
        <v>585</v>
      </c>
      <c r="G3" t="s">
        <v>553</v>
      </c>
      <c r="H3" t="s">
        <v>104</v>
      </c>
      <c r="I3" t="s">
        <v>552</v>
      </c>
      <c r="J3" t="s">
        <v>15</v>
      </c>
      <c r="K3" t="s">
        <v>1</v>
      </c>
      <c r="L3" t="s">
        <v>232</v>
      </c>
      <c r="M3" t="s">
        <v>232</v>
      </c>
      <c r="N3" t="s">
        <v>552</v>
      </c>
      <c r="O3" t="s">
        <v>403</v>
      </c>
    </row>
    <row r="4" spans="1:21 16384:16384" x14ac:dyDescent="0.25">
      <c r="A4" t="s">
        <v>116</v>
      </c>
      <c r="B4" t="s">
        <v>87</v>
      </c>
      <c r="C4" t="s">
        <v>15</v>
      </c>
      <c r="D4" t="s">
        <v>35</v>
      </c>
      <c r="E4" t="s">
        <v>8</v>
      </c>
      <c r="F4" t="s">
        <v>87</v>
      </c>
      <c r="G4" t="s">
        <v>9</v>
      </c>
      <c r="H4" t="s">
        <v>2</v>
      </c>
      <c r="I4" t="s">
        <v>553</v>
      </c>
      <c r="J4" t="s">
        <v>37</v>
      </c>
      <c r="K4" t="s">
        <v>553</v>
      </c>
      <c r="L4" t="s">
        <v>49</v>
      </c>
      <c r="M4" t="s">
        <v>8</v>
      </c>
      <c r="N4" t="s">
        <v>12</v>
      </c>
      <c r="O4" t="s">
        <v>21</v>
      </c>
    </row>
    <row r="5" spans="1:21 16384:16384" x14ac:dyDescent="0.25">
      <c r="A5" t="s">
        <v>28</v>
      </c>
      <c r="B5" t="s">
        <v>7</v>
      </c>
      <c r="C5" t="s">
        <v>572</v>
      </c>
      <c r="D5" t="s">
        <v>122</v>
      </c>
      <c r="E5" t="s">
        <v>123</v>
      </c>
      <c r="F5" t="s">
        <v>553</v>
      </c>
      <c r="G5" t="s">
        <v>28</v>
      </c>
      <c r="H5" t="s">
        <v>552</v>
      </c>
      <c r="I5" t="s">
        <v>99</v>
      </c>
      <c r="J5" t="s">
        <v>124</v>
      </c>
      <c r="K5" t="s">
        <v>37</v>
      </c>
      <c r="L5" t="s">
        <v>31</v>
      </c>
      <c r="M5" t="s">
        <v>21</v>
      </c>
      <c r="N5" t="s">
        <v>15</v>
      </c>
      <c r="O5" t="s">
        <v>15</v>
      </c>
    </row>
    <row r="6" spans="1:21 16384:16384" x14ac:dyDescent="0.25">
      <c r="A6" t="s">
        <v>2</v>
      </c>
      <c r="B6" t="s">
        <v>31</v>
      </c>
      <c r="C6" t="s">
        <v>49</v>
      </c>
      <c r="D6" t="s">
        <v>33</v>
      </c>
      <c r="E6" t="s">
        <v>0</v>
      </c>
      <c r="F6" t="s">
        <v>9</v>
      </c>
      <c r="G6" t="s">
        <v>123</v>
      </c>
      <c r="H6" t="s">
        <v>78</v>
      </c>
      <c r="I6" t="s">
        <v>124</v>
      </c>
      <c r="J6" t="s">
        <v>129</v>
      </c>
      <c r="K6" t="s">
        <v>129</v>
      </c>
      <c r="L6" t="s">
        <v>28</v>
      </c>
      <c r="M6" t="s">
        <v>49</v>
      </c>
      <c r="N6" t="s">
        <v>61</v>
      </c>
      <c r="O6" t="s">
        <v>61</v>
      </c>
    </row>
    <row r="7" spans="1:21 16384:16384" x14ac:dyDescent="0.25">
      <c r="A7" t="s">
        <v>31</v>
      </c>
      <c r="B7" t="s">
        <v>116</v>
      </c>
      <c r="C7" t="s">
        <v>26</v>
      </c>
      <c r="D7" t="s">
        <v>572</v>
      </c>
      <c r="E7" t="s">
        <v>28</v>
      </c>
      <c r="F7" t="s">
        <v>232</v>
      </c>
      <c r="G7" t="s">
        <v>8</v>
      </c>
      <c r="H7" t="s">
        <v>99</v>
      </c>
      <c r="I7" t="s">
        <v>15</v>
      </c>
      <c r="J7" t="s">
        <v>122</v>
      </c>
      <c r="K7" t="s">
        <v>99</v>
      </c>
      <c r="L7" t="s">
        <v>87</v>
      </c>
      <c r="M7" t="s">
        <v>31</v>
      </c>
      <c r="N7" t="s">
        <v>9</v>
      </c>
      <c r="O7" t="s">
        <v>9</v>
      </c>
    </row>
    <row r="8" spans="1:21 16384:16384" x14ac:dyDescent="0.25">
      <c r="A8" t="s">
        <v>82</v>
      </c>
      <c r="B8" t="s">
        <v>28</v>
      </c>
      <c r="C8" t="s">
        <v>33</v>
      </c>
      <c r="D8" t="s">
        <v>15</v>
      </c>
      <c r="E8" t="s">
        <v>21</v>
      </c>
      <c r="F8" t="s">
        <v>63</v>
      </c>
      <c r="G8" t="s">
        <v>12</v>
      </c>
      <c r="H8" t="s">
        <v>124</v>
      </c>
      <c r="I8" t="s">
        <v>26</v>
      </c>
      <c r="J8" t="s">
        <v>1</v>
      </c>
      <c r="K8" t="s">
        <v>552</v>
      </c>
      <c r="L8" t="s">
        <v>82</v>
      </c>
      <c r="M8" t="s">
        <v>87</v>
      </c>
      <c r="N8" t="s">
        <v>26</v>
      </c>
      <c r="O8" t="s">
        <v>610</v>
      </c>
    </row>
    <row r="9" spans="1:21 16384:16384" x14ac:dyDescent="0.25">
      <c r="A9" t="s">
        <v>87</v>
      </c>
      <c r="B9" t="s">
        <v>4</v>
      </c>
      <c r="C9" t="s">
        <v>122</v>
      </c>
      <c r="D9" t="s">
        <v>552</v>
      </c>
      <c r="E9" t="s">
        <v>87</v>
      </c>
      <c r="F9" t="s">
        <v>21</v>
      </c>
      <c r="G9" t="s">
        <v>589</v>
      </c>
      <c r="H9" t="s">
        <v>26</v>
      </c>
      <c r="I9" t="s">
        <v>78</v>
      </c>
      <c r="J9" t="s">
        <v>16</v>
      </c>
      <c r="K9" t="s">
        <v>16</v>
      </c>
      <c r="L9" t="s">
        <v>609</v>
      </c>
      <c r="M9" t="s">
        <v>9</v>
      </c>
      <c r="N9" t="s">
        <v>63</v>
      </c>
      <c r="O9" t="s">
        <v>552</v>
      </c>
    </row>
    <row r="12" spans="1:21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1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21 16384:16384" x14ac:dyDescent="0.2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21 16384:16384" x14ac:dyDescent="0.25">
      <c r="A15" s="18" t="s">
        <v>31</v>
      </c>
      <c r="B15" s="18">
        <v>290</v>
      </c>
      <c r="C15" s="18">
        <v>24</v>
      </c>
      <c r="D15" s="18">
        <f t="shared" si="0"/>
        <v>5.0310344827586206</v>
      </c>
      <c r="E15" s="18">
        <v>1459</v>
      </c>
      <c r="F15" s="18">
        <f t="shared" si="1"/>
        <v>8.2758620689655171E-2</v>
      </c>
      <c r="G15" s="32">
        <v>1.87082869338697</v>
      </c>
      <c r="I15" s="18" t="s">
        <v>31</v>
      </c>
      <c r="J15" s="18">
        <v>290</v>
      </c>
      <c r="K15" s="18">
        <v>24</v>
      </c>
      <c r="L15" s="18">
        <f t="shared" si="2"/>
        <v>5.0310344827586206</v>
      </c>
      <c r="M15" s="18">
        <v>1459</v>
      </c>
      <c r="N15" s="18">
        <f t="shared" si="3"/>
        <v>8.2758620689655171E-2</v>
      </c>
    </row>
    <row r="16" spans="1:21 16384:16384" x14ac:dyDescent="0.25">
      <c r="A16" s="18" t="s">
        <v>105</v>
      </c>
      <c r="B16" s="18">
        <v>46</v>
      </c>
      <c r="C16" s="18">
        <v>6</v>
      </c>
      <c r="D16" s="18">
        <f t="shared" si="0"/>
        <v>4.3695652173913047</v>
      </c>
      <c r="E16" s="18">
        <v>201</v>
      </c>
      <c r="F16" s="18">
        <f t="shared" si="1"/>
        <v>0.13043478260869565</v>
      </c>
      <c r="G16" s="32">
        <v>1.8165902124584901</v>
      </c>
      <c r="I16" s="18" t="s">
        <v>105</v>
      </c>
      <c r="J16" s="18">
        <v>46</v>
      </c>
      <c r="K16" s="18">
        <v>6</v>
      </c>
      <c r="L16" s="18">
        <f t="shared" si="2"/>
        <v>4.3695652173913047</v>
      </c>
      <c r="M16" s="18">
        <v>201</v>
      </c>
      <c r="N16" s="18">
        <f t="shared" si="3"/>
        <v>0.13043478260869565</v>
      </c>
    </row>
    <row r="17" spans="1:14" x14ac:dyDescent="0.2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25">
      <c r="A18" s="18" t="s">
        <v>8</v>
      </c>
      <c r="B18" s="18">
        <v>52</v>
      </c>
      <c r="C18" s="18">
        <v>6</v>
      </c>
      <c r="D18" s="18">
        <f t="shared" si="0"/>
        <v>4.4038461538461542</v>
      </c>
      <c r="E18" s="18">
        <v>229</v>
      </c>
      <c r="F18" s="18">
        <f t="shared" si="1"/>
        <v>0.11538461538461539</v>
      </c>
      <c r="G18" s="32">
        <v>2.4994623077688098</v>
      </c>
      <c r="I18" s="18" t="s">
        <v>8</v>
      </c>
      <c r="J18" s="18">
        <v>52</v>
      </c>
      <c r="K18" s="18">
        <v>6</v>
      </c>
      <c r="L18" s="18">
        <f t="shared" si="2"/>
        <v>4.4038461538461542</v>
      </c>
      <c r="M18" s="18">
        <v>229</v>
      </c>
      <c r="N18" s="18">
        <f t="shared" si="3"/>
        <v>0.11538461538461539</v>
      </c>
    </row>
    <row r="19" spans="1:14" x14ac:dyDescent="0.25">
      <c r="A19" t="s">
        <v>37</v>
      </c>
      <c r="B19">
        <v>32</v>
      </c>
      <c r="C19">
        <v>2</v>
      </c>
      <c r="D19">
        <f t="shared" si="0"/>
        <v>4.96875</v>
      </c>
      <c r="E19">
        <v>159</v>
      </c>
      <c r="F19">
        <f t="shared" si="1"/>
        <v>6.25E-2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:L24" si="8">M23/J23</f>
        <v>5.0233463035019454</v>
      </c>
      <c r="M23" s="18">
        <v>1291</v>
      </c>
      <c r="N23" s="18">
        <f t="shared" ref="N23:N24" si="9">K23/J23</f>
        <v>8.9494163424124515E-2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si="8"/>
        <v>5.3170731707317076</v>
      </c>
      <c r="M24" s="18">
        <v>218</v>
      </c>
      <c r="N24" s="18">
        <f t="shared" si="9"/>
        <v>7.3170731707317069E-2</v>
      </c>
    </row>
    <row r="25" spans="1:14" x14ac:dyDescent="0.25">
      <c r="A25" t="s">
        <v>52</v>
      </c>
      <c r="B25">
        <v>37</v>
      </c>
      <c r="C25">
        <v>7</v>
      </c>
      <c r="D25">
        <f t="shared" si="0"/>
        <v>3.7567567567567566</v>
      </c>
      <c r="E25">
        <v>139</v>
      </c>
      <c r="F25">
        <f t="shared" si="1"/>
        <v>0.1891891891891892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6" si="10">M25/J25</f>
        <v>3.8620689655172415</v>
      </c>
      <c r="M25" s="18">
        <v>560</v>
      </c>
      <c r="N25" s="18">
        <f t="shared" ref="N25:N26" si="11">K25/J25</f>
        <v>0.19310344827586207</v>
      </c>
    </row>
    <row r="26" spans="1:14" x14ac:dyDescent="0.25">
      <c r="A26" t="s">
        <v>20</v>
      </c>
      <c r="B26">
        <v>37</v>
      </c>
      <c r="C26">
        <v>2</v>
      </c>
      <c r="D26">
        <f t="shared" si="0"/>
        <v>5.3513513513513518</v>
      </c>
      <c r="E26">
        <v>198</v>
      </c>
      <c r="F26">
        <f t="shared" si="1"/>
        <v>5.4054054054054057E-2</v>
      </c>
      <c r="G26" s="32">
        <v>2.3159525823376299</v>
      </c>
      <c r="I26" s="18" t="s">
        <v>87</v>
      </c>
      <c r="J26" s="18">
        <v>212</v>
      </c>
      <c r="K26" s="18">
        <v>25</v>
      </c>
      <c r="L26" s="18">
        <f t="shared" si="10"/>
        <v>5.033018867924528</v>
      </c>
      <c r="M26" s="18">
        <v>1067</v>
      </c>
      <c r="N26" s="18">
        <f t="shared" si="11"/>
        <v>0.11792452830188679</v>
      </c>
    </row>
    <row r="27" spans="1:14" x14ac:dyDescent="0.2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2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25">
      <c r="A30" s="18" t="s">
        <v>87</v>
      </c>
      <c r="B30" s="18">
        <v>212</v>
      </c>
      <c r="C30" s="18">
        <v>25</v>
      </c>
      <c r="D30" s="18">
        <f t="shared" si="0"/>
        <v>5.033018867924528</v>
      </c>
      <c r="E30" s="18">
        <v>1067</v>
      </c>
      <c r="F30" s="18">
        <f t="shared" si="1"/>
        <v>0.11792452830188679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" si="16">M30/J30</f>
        <v>3.7619047619047619</v>
      </c>
      <c r="M30" s="18">
        <v>158</v>
      </c>
      <c r="N30" s="18">
        <f t="shared" ref="N30" si="17">K30/J30</f>
        <v>0.19047619047619047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40</v>
      </c>
      <c r="K31" s="18">
        <v>3</v>
      </c>
      <c r="L31" s="18">
        <f t="shared" ref="L31" si="18">M31/J31</f>
        <v>4.5750000000000002</v>
      </c>
      <c r="M31" s="18">
        <v>183</v>
      </c>
      <c r="N31" s="18">
        <f t="shared" ref="N31" si="19">K31/J31</f>
        <v>7.4999999999999997E-2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20">M32/J32</f>
        <v>4.3250000000000002</v>
      </c>
      <c r="M32" s="18">
        <v>173</v>
      </c>
      <c r="N32" s="18">
        <f t="shared" ref="N32" si="21">K32/J32</f>
        <v>0.17499999999999999</v>
      </c>
    </row>
    <row r="33" spans="1:14" x14ac:dyDescent="0.2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4" si="22">M33/J33</f>
        <v>5.3661971830985919</v>
      </c>
      <c r="M33" s="18">
        <v>381</v>
      </c>
      <c r="N33" s="18">
        <f t="shared" ref="N33:N34" si="23">K33/J33</f>
        <v>4.2253521126760563E-2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288</v>
      </c>
      <c r="K34" s="18">
        <v>40</v>
      </c>
      <c r="L34" s="18">
        <f t="shared" si="22"/>
        <v>4.6215277777777777</v>
      </c>
      <c r="M34" s="18">
        <v>1331</v>
      </c>
      <c r="N34" s="18">
        <f t="shared" si="23"/>
        <v>0.1388888888888889</v>
      </c>
    </row>
    <row r="35" spans="1:14" x14ac:dyDescent="0.2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13</v>
      </c>
      <c r="J35" s="18">
        <v>40</v>
      </c>
      <c r="K35" s="18">
        <v>2</v>
      </c>
      <c r="L35" s="18">
        <f t="shared" ref="L35" si="24">M35/J35</f>
        <v>4.9000000000000004</v>
      </c>
      <c r="M35" s="18">
        <v>196</v>
      </c>
      <c r="N35" s="18">
        <f t="shared" ref="N35" si="25">K35/J35</f>
        <v>0.05</v>
      </c>
    </row>
    <row r="36" spans="1:14" x14ac:dyDescent="0.2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41</v>
      </c>
      <c r="K37" s="18">
        <v>5</v>
      </c>
      <c r="L37" s="18">
        <f t="shared" ref="L37" si="26">M37/J37</f>
        <v>4.975609756097561</v>
      </c>
      <c r="M37" s="18">
        <v>204</v>
      </c>
      <c r="N37" s="18">
        <f t="shared" ref="N37" si="27">K37/J37</f>
        <v>0.12195121951219512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121</v>
      </c>
      <c r="J38" s="18">
        <v>117</v>
      </c>
      <c r="K38" s="18">
        <v>27</v>
      </c>
      <c r="L38" s="18">
        <f t="shared" ref="L38:L40" si="28">M38/J38</f>
        <v>3.7948717948717947</v>
      </c>
      <c r="M38" s="18">
        <v>444</v>
      </c>
      <c r="N38" s="18">
        <f t="shared" ref="N38:N40" si="29">K38/J38</f>
        <v>0.23076923076923078</v>
      </c>
    </row>
    <row r="39" spans="1:14" x14ac:dyDescent="0.25">
      <c r="A39" s="18" t="s">
        <v>15</v>
      </c>
      <c r="B39" s="18">
        <v>288</v>
      </c>
      <c r="C39" s="18">
        <v>40</v>
      </c>
      <c r="D39" s="18">
        <f t="shared" si="0"/>
        <v>4.6215277777777777</v>
      </c>
      <c r="E39" s="18">
        <v>1331</v>
      </c>
      <c r="F39" s="18">
        <f t="shared" si="1"/>
        <v>0.1388888888888889</v>
      </c>
      <c r="G39" s="32">
        <v>2.3694389634605302</v>
      </c>
      <c r="I39" s="18" t="s">
        <v>232</v>
      </c>
      <c r="J39" s="18">
        <v>199</v>
      </c>
      <c r="K39" s="18">
        <v>45</v>
      </c>
      <c r="L39" s="18">
        <f t="shared" si="28"/>
        <v>3.7839195979899496</v>
      </c>
      <c r="M39" s="18">
        <v>753</v>
      </c>
      <c r="N39" s="18">
        <f t="shared" si="29"/>
        <v>0.22613065326633167</v>
      </c>
    </row>
    <row r="40" spans="1:14" x14ac:dyDescent="0.25">
      <c r="A40" s="18" t="s">
        <v>13</v>
      </c>
      <c r="B40" s="18">
        <v>40</v>
      </c>
      <c r="C40" s="18">
        <v>2</v>
      </c>
      <c r="D40" s="18">
        <f t="shared" si="0"/>
        <v>4.9000000000000004</v>
      </c>
      <c r="E40" s="18">
        <v>196</v>
      </c>
      <c r="F40" s="18">
        <f t="shared" si="1"/>
        <v>0.05</v>
      </c>
      <c r="G40" s="32">
        <v>2.1392325234704299</v>
      </c>
      <c r="I40" s="18" t="s">
        <v>21</v>
      </c>
      <c r="J40" s="18">
        <v>185</v>
      </c>
      <c r="K40" s="18">
        <v>26</v>
      </c>
      <c r="L40" s="18">
        <f t="shared" si="28"/>
        <v>4.3135135135135139</v>
      </c>
      <c r="M40" s="18">
        <v>798</v>
      </c>
      <c r="N40" s="18">
        <f t="shared" si="29"/>
        <v>0.14054054054054055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51</v>
      </c>
      <c r="J41" s="18">
        <v>47</v>
      </c>
      <c r="K41" s="18">
        <v>4</v>
      </c>
      <c r="L41" s="18">
        <f>M41/J41</f>
        <v>4.8085106382978724</v>
      </c>
      <c r="M41" s="18">
        <v>226</v>
      </c>
      <c r="N41" s="18">
        <f>K41/J41</f>
        <v>8.5106382978723402E-2</v>
      </c>
    </row>
    <row r="42" spans="1:14" x14ac:dyDescent="0.25">
      <c r="A42" t="s">
        <v>63</v>
      </c>
      <c r="B42">
        <v>37</v>
      </c>
      <c r="C42">
        <v>5</v>
      </c>
      <c r="D42">
        <f t="shared" si="0"/>
        <v>4.7027027027027026</v>
      </c>
      <c r="E42">
        <v>174</v>
      </c>
      <c r="F42">
        <f t="shared" si="1"/>
        <v>0.13513513513513514</v>
      </c>
      <c r="G42" s="32">
        <v>2.6394443859772201</v>
      </c>
      <c r="I42" s="18" t="s">
        <v>414</v>
      </c>
      <c r="J42" s="18">
        <v>40</v>
      </c>
      <c r="K42" s="18">
        <v>4</v>
      </c>
      <c r="L42" s="18">
        <f t="shared" ref="L42:L44" si="30">M42/J42</f>
        <v>4.9000000000000004</v>
      </c>
      <c r="M42" s="18">
        <v>196</v>
      </c>
      <c r="N42" s="18">
        <f t="shared" ref="N42:N44" si="31">K42/J42</f>
        <v>0.1</v>
      </c>
    </row>
    <row r="43" spans="1:14" x14ac:dyDescent="0.25">
      <c r="A43" s="18" t="s">
        <v>4</v>
      </c>
      <c r="B43" s="18">
        <v>41</v>
      </c>
      <c r="C43" s="18">
        <v>5</v>
      </c>
      <c r="D43" s="18">
        <f t="shared" si="0"/>
        <v>4.975609756097561</v>
      </c>
      <c r="E43" s="18">
        <v>204</v>
      </c>
      <c r="F43" s="18">
        <f t="shared" si="1"/>
        <v>0.12195121951219512</v>
      </c>
      <c r="G43" s="32">
        <v>2.08832734769027</v>
      </c>
      <c r="I43" s="18" t="s">
        <v>0</v>
      </c>
      <c r="J43" s="18">
        <v>85</v>
      </c>
      <c r="K43" s="18">
        <v>14</v>
      </c>
      <c r="L43" s="18">
        <f t="shared" si="30"/>
        <v>4.1647058823529415</v>
      </c>
      <c r="M43" s="18">
        <v>354</v>
      </c>
      <c r="N43" s="18">
        <f t="shared" si="31"/>
        <v>0.16470588235294117</v>
      </c>
    </row>
    <row r="44" spans="1:14" x14ac:dyDescent="0.25">
      <c r="A44" s="18" t="s">
        <v>121</v>
      </c>
      <c r="B44" s="18">
        <v>117</v>
      </c>
      <c r="C44" s="18">
        <v>27</v>
      </c>
      <c r="D44" s="18">
        <f t="shared" si="0"/>
        <v>3.7948717948717947</v>
      </c>
      <c r="E44" s="18">
        <v>444</v>
      </c>
      <c r="F44" s="18">
        <f t="shared" si="1"/>
        <v>0.23076923076923078</v>
      </c>
      <c r="G44" s="32">
        <v>2.2233267457082899</v>
      </c>
      <c r="I44" s="18" t="s">
        <v>1</v>
      </c>
      <c r="J44" s="18">
        <v>131</v>
      </c>
      <c r="K44" s="18">
        <v>7</v>
      </c>
      <c r="L44" s="18">
        <f t="shared" si="30"/>
        <v>4.7175572519083966</v>
      </c>
      <c r="M44" s="18">
        <v>618</v>
      </c>
      <c r="N44" s="18">
        <f t="shared" si="31"/>
        <v>5.3435114503816793E-2</v>
      </c>
    </row>
    <row r="45" spans="1:14" x14ac:dyDescent="0.25">
      <c r="A45" s="18" t="s">
        <v>232</v>
      </c>
      <c r="B45" s="18">
        <v>199</v>
      </c>
      <c r="C45" s="18">
        <v>45</v>
      </c>
      <c r="D45" s="18">
        <f t="shared" si="0"/>
        <v>3.7839195979899496</v>
      </c>
      <c r="E45" s="18">
        <v>753</v>
      </c>
      <c r="F45" s="18">
        <f t="shared" si="1"/>
        <v>0.22613065326633167</v>
      </c>
      <c r="G45" s="32">
        <v>2.2509257354845502</v>
      </c>
      <c r="I45" s="18" t="s">
        <v>28</v>
      </c>
      <c r="J45" s="18">
        <v>124</v>
      </c>
      <c r="K45" s="18">
        <v>9</v>
      </c>
      <c r="L45" s="18">
        <f t="shared" ref="L44:L45" si="32">M45/J45</f>
        <v>5.104838709677419</v>
      </c>
      <c r="M45" s="18">
        <v>633</v>
      </c>
      <c r="N45" s="18">
        <f t="shared" ref="N44:N45" si="33">K45/J45</f>
        <v>7.2580645161290328E-2</v>
      </c>
    </row>
    <row r="46" spans="1:14" x14ac:dyDescent="0.25">
      <c r="A46" s="18" t="s">
        <v>21</v>
      </c>
      <c r="B46" s="18">
        <v>185</v>
      </c>
      <c r="C46" s="18">
        <v>26</v>
      </c>
      <c r="D46" s="18">
        <f t="shared" si="0"/>
        <v>4.3135135135135139</v>
      </c>
      <c r="E46" s="18">
        <v>798</v>
      </c>
      <c r="F46" s="18">
        <f t="shared" si="1"/>
        <v>0.14054054054054055</v>
      </c>
      <c r="G46" s="32">
        <v>2.0655911179772799</v>
      </c>
      <c r="I46" s="18" t="s">
        <v>253</v>
      </c>
      <c r="J46" s="18">
        <v>61</v>
      </c>
      <c r="K46" s="18">
        <v>4</v>
      </c>
      <c r="L46" s="18">
        <f t="shared" ref="L46:L48" si="34">M46/J46</f>
        <v>5.6065573770491799</v>
      </c>
      <c r="M46" s="18">
        <v>342</v>
      </c>
      <c r="N46" s="18">
        <f t="shared" ref="N46:N47" si="35">K46/J46</f>
        <v>6.5573770491803282E-2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175</v>
      </c>
      <c r="J47" s="18">
        <v>83</v>
      </c>
      <c r="K47" s="18">
        <v>22</v>
      </c>
      <c r="L47" s="18">
        <f t="shared" si="34"/>
        <v>3.5060240963855422</v>
      </c>
      <c r="M47" s="18">
        <v>291</v>
      </c>
      <c r="N47" s="18">
        <f t="shared" si="35"/>
        <v>0.26506024096385544</v>
      </c>
    </row>
    <row r="48" spans="1:14" x14ac:dyDescent="0.2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61</v>
      </c>
      <c r="J48" s="18">
        <v>86</v>
      </c>
      <c r="K48" s="18">
        <v>18</v>
      </c>
      <c r="L48" s="18">
        <f t="shared" si="34"/>
        <v>4.3139534883720927</v>
      </c>
      <c r="M48" s="18">
        <v>371</v>
      </c>
      <c r="N48" s="18">
        <f>K48/J48</f>
        <v>0.20930232558139536</v>
      </c>
    </row>
    <row r="49" spans="1:14" x14ac:dyDescent="0.25">
      <c r="A49" s="18" t="s">
        <v>0</v>
      </c>
      <c r="B49" s="18">
        <v>85</v>
      </c>
      <c r="C49" s="18">
        <v>14</v>
      </c>
      <c r="D49" s="18">
        <f t="shared" si="0"/>
        <v>4.1647058823529415</v>
      </c>
      <c r="E49" s="18">
        <v>354</v>
      </c>
      <c r="F49" s="18">
        <f t="shared" si="1"/>
        <v>0.16470588235294117</v>
      </c>
      <c r="G49" s="32">
        <v>2.16465107712866</v>
      </c>
      <c r="I49" s="18" t="s">
        <v>115</v>
      </c>
      <c r="J49" s="18">
        <v>40</v>
      </c>
      <c r="K49" s="18">
        <v>3</v>
      </c>
      <c r="L49" s="18">
        <f t="shared" ref="L49:L50" si="36">M49/J49</f>
        <v>4.4749999999999996</v>
      </c>
      <c r="M49" s="18">
        <v>179</v>
      </c>
      <c r="N49" s="18">
        <f t="shared" ref="N49:N50" si="37">K49/J49</f>
        <v>7.4999999999999997E-2</v>
      </c>
    </row>
    <row r="50" spans="1:14" x14ac:dyDescent="0.25">
      <c r="A50" s="18" t="s">
        <v>1</v>
      </c>
      <c r="B50" s="18">
        <v>131</v>
      </c>
      <c r="C50" s="18">
        <v>7</v>
      </c>
      <c r="D50" s="18">
        <f t="shared" si="0"/>
        <v>4.7175572519083966</v>
      </c>
      <c r="E50" s="18">
        <v>618</v>
      </c>
      <c r="F50" s="18">
        <f t="shared" si="1"/>
        <v>5.3435114503816793E-2</v>
      </c>
      <c r="G50" s="32">
        <v>2.0412414523193099</v>
      </c>
      <c r="I50" s="18" t="s">
        <v>24</v>
      </c>
      <c r="J50" s="18">
        <v>103</v>
      </c>
      <c r="K50" s="18">
        <v>12</v>
      </c>
      <c r="L50" s="18">
        <f t="shared" si="36"/>
        <v>4.5533980582524274</v>
      </c>
      <c r="M50" s="18">
        <v>469</v>
      </c>
      <c r="N50" s="18">
        <f t="shared" si="37"/>
        <v>0.11650485436893204</v>
      </c>
    </row>
    <row r="51" spans="1:14" x14ac:dyDescent="0.25">
      <c r="A51" s="18" t="s">
        <v>28</v>
      </c>
      <c r="B51" s="18">
        <v>124</v>
      </c>
      <c r="C51" s="18">
        <v>9</v>
      </c>
      <c r="D51" s="18">
        <f t="shared" si="0"/>
        <v>5.104838709677419</v>
      </c>
      <c r="E51" s="18">
        <v>633</v>
      </c>
      <c r="F51" s="18">
        <f t="shared" si="1"/>
        <v>7.2580645161290328E-2</v>
      </c>
      <c r="G51" s="32">
        <v>1.30384048104052</v>
      </c>
      <c r="I51" s="18" t="s">
        <v>116</v>
      </c>
      <c r="J51" s="18">
        <v>40</v>
      </c>
      <c r="K51" s="18">
        <v>5</v>
      </c>
      <c r="L51" s="18">
        <f>M51/J51</f>
        <v>3.85</v>
      </c>
      <c r="M51" s="18">
        <v>154</v>
      </c>
      <c r="N51" s="18">
        <f>K51/J51</f>
        <v>0.125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30</v>
      </c>
      <c r="J52" s="18">
        <v>65</v>
      </c>
      <c r="K52" s="18">
        <v>5</v>
      </c>
      <c r="L52" s="18">
        <f t="shared" ref="L52:L56" si="38">M52/J52</f>
        <v>5.1230769230769226</v>
      </c>
      <c r="M52" s="18">
        <v>333</v>
      </c>
      <c r="N52" s="18">
        <f t="shared" ref="N52:N56" si="39">K52/J52</f>
        <v>7.6923076923076927E-2</v>
      </c>
    </row>
    <row r="53" spans="1:14" x14ac:dyDescent="0.25">
      <c r="A53" s="18" t="s">
        <v>175</v>
      </c>
      <c r="B53" s="18">
        <v>83</v>
      </c>
      <c r="C53" s="18">
        <v>22</v>
      </c>
      <c r="D53" s="18">
        <f t="shared" si="0"/>
        <v>3.5060240963855422</v>
      </c>
      <c r="E53" s="18">
        <v>291</v>
      </c>
      <c r="F53" s="18">
        <f t="shared" si="1"/>
        <v>0.26506024096385544</v>
      </c>
      <c r="G53" s="32">
        <v>2</v>
      </c>
      <c r="I53" s="18" t="s">
        <v>29</v>
      </c>
      <c r="J53" s="18">
        <v>143</v>
      </c>
      <c r="K53" s="18">
        <v>21</v>
      </c>
      <c r="L53" s="18">
        <f t="shared" si="38"/>
        <v>3.9790209790209792</v>
      </c>
      <c r="M53" s="18">
        <v>569</v>
      </c>
      <c r="N53" s="18">
        <f t="shared" si="39"/>
        <v>0.14685314685314685</v>
      </c>
    </row>
    <row r="54" spans="1:14" x14ac:dyDescent="0.25">
      <c r="A54" s="18" t="s">
        <v>61</v>
      </c>
      <c r="B54" s="18">
        <v>86</v>
      </c>
      <c r="C54" s="18">
        <v>18</v>
      </c>
      <c r="D54" s="18">
        <f t="shared" si="0"/>
        <v>4.3139534883720927</v>
      </c>
      <c r="E54" s="18">
        <v>371</v>
      </c>
      <c r="F54" s="18">
        <f>C54/B54</f>
        <v>0.20930232558139536</v>
      </c>
      <c r="G54" s="32">
        <v>3.2403703492039302</v>
      </c>
      <c r="I54" s="18" t="s">
        <v>148</v>
      </c>
      <c r="J54" s="18">
        <v>42</v>
      </c>
      <c r="K54" s="18">
        <v>8</v>
      </c>
      <c r="L54" s="18">
        <f t="shared" si="38"/>
        <v>3.7380952380952381</v>
      </c>
      <c r="M54" s="18">
        <v>157</v>
      </c>
      <c r="N54" s="18">
        <f t="shared" si="39"/>
        <v>0.19047619047619047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79</v>
      </c>
      <c r="J55" s="18">
        <v>55</v>
      </c>
      <c r="K55" s="18">
        <v>6</v>
      </c>
      <c r="L55" s="18">
        <f t="shared" si="38"/>
        <v>4.6363636363636367</v>
      </c>
      <c r="M55" s="18">
        <v>255</v>
      </c>
      <c r="N55" s="18">
        <f t="shared" si="39"/>
        <v>0.10909090909090909</v>
      </c>
    </row>
    <row r="56" spans="1:14" x14ac:dyDescent="0.25">
      <c r="A56" s="18" t="s">
        <v>115</v>
      </c>
      <c r="B56" s="18">
        <v>40</v>
      </c>
      <c r="C56" s="18">
        <v>3</v>
      </c>
      <c r="D56" s="18">
        <f t="shared" si="0"/>
        <v>4.4749999999999996</v>
      </c>
      <c r="E56" s="18">
        <v>179</v>
      </c>
      <c r="F56" s="18">
        <f t="shared" si="1"/>
        <v>7.4999999999999997E-2</v>
      </c>
      <c r="G56" s="32">
        <v>1.71824938596844</v>
      </c>
      <c r="I56" s="18" t="s">
        <v>123</v>
      </c>
      <c r="J56" s="18">
        <v>49</v>
      </c>
      <c r="K56" s="18">
        <v>7</v>
      </c>
      <c r="L56" s="18">
        <f t="shared" si="38"/>
        <v>4.3265306122448983</v>
      </c>
      <c r="M56" s="18">
        <v>212</v>
      </c>
      <c r="N56" s="18">
        <f t="shared" si="39"/>
        <v>0.14285714285714285</v>
      </c>
    </row>
    <row r="57" spans="1:14" x14ac:dyDescent="0.2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22</v>
      </c>
      <c r="J57" s="18">
        <v>185</v>
      </c>
      <c r="K57" s="18">
        <v>30</v>
      </c>
      <c r="L57" s="18">
        <f>M57/J57</f>
        <v>4.1243243243243244</v>
      </c>
      <c r="M57" s="18">
        <v>763</v>
      </c>
      <c r="N57" s="18">
        <f>K57/J57</f>
        <v>0.16216216216216217</v>
      </c>
    </row>
    <row r="58" spans="1:14" x14ac:dyDescent="0.2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33</v>
      </c>
      <c r="J58" s="18">
        <v>73</v>
      </c>
      <c r="K58" s="18">
        <v>4</v>
      </c>
      <c r="L58" s="18">
        <f t="shared" ref="L58" si="40">M58/J58</f>
        <v>5.5342465753424657</v>
      </c>
      <c r="M58" s="18">
        <v>404</v>
      </c>
      <c r="N58" s="18">
        <f t="shared" ref="N58" si="41">K58/J58</f>
        <v>5.4794520547945202E-2</v>
      </c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  <c r="I59" s="18" t="s">
        <v>129</v>
      </c>
      <c r="J59" s="18">
        <v>51</v>
      </c>
      <c r="K59" s="18">
        <v>8</v>
      </c>
      <c r="L59" s="18">
        <f t="shared" ref="L58:L59" si="42">M59/J59</f>
        <v>4.5490196078431371</v>
      </c>
      <c r="M59" s="18">
        <v>232</v>
      </c>
      <c r="N59" s="18">
        <f t="shared" ref="N58:N59" si="43">K59/J59</f>
        <v>0.15686274509803921</v>
      </c>
    </row>
    <row r="60" spans="1:14" x14ac:dyDescent="0.25">
      <c r="A60" t="s">
        <v>58</v>
      </c>
      <c r="B60">
        <v>32</v>
      </c>
      <c r="C60">
        <v>7</v>
      </c>
      <c r="D60">
        <f t="shared" si="0"/>
        <v>3.71875</v>
      </c>
      <c r="E60">
        <v>119</v>
      </c>
      <c r="F60">
        <f t="shared" si="1"/>
        <v>0.21875</v>
      </c>
      <c r="G60" s="32">
        <v>2.33809038890002</v>
      </c>
      <c r="I60" s="18" t="s">
        <v>113</v>
      </c>
      <c r="J60" s="18">
        <v>41</v>
      </c>
      <c r="K60" s="18">
        <v>1</v>
      </c>
      <c r="L60" s="18">
        <f t="shared" ref="L60:L64" si="44">M60/J60</f>
        <v>4.2926829268292686</v>
      </c>
      <c r="M60" s="18">
        <v>176</v>
      </c>
      <c r="N60" s="18">
        <f t="shared" ref="N60:N64" si="45">K60/J60</f>
        <v>2.4390243902439025E-2</v>
      </c>
    </row>
    <row r="61" spans="1:14" x14ac:dyDescent="0.25">
      <c r="A61" s="18" t="s">
        <v>30</v>
      </c>
      <c r="B61" s="18">
        <v>65</v>
      </c>
      <c r="C61" s="18">
        <v>5</v>
      </c>
      <c r="D61" s="18">
        <f t="shared" si="0"/>
        <v>5.1230769230769226</v>
      </c>
      <c r="E61" s="18">
        <v>333</v>
      </c>
      <c r="F61" s="18">
        <f t="shared" si="1"/>
        <v>7.6923076923076927E-2</v>
      </c>
      <c r="G61" s="32">
        <v>2.5226248955475601</v>
      </c>
      <c r="I61" s="18" t="s">
        <v>35</v>
      </c>
      <c r="J61" s="18">
        <v>199</v>
      </c>
      <c r="K61" s="18">
        <v>47</v>
      </c>
      <c r="L61" s="18">
        <f t="shared" si="44"/>
        <v>3.5376884422110555</v>
      </c>
      <c r="M61" s="18">
        <v>704</v>
      </c>
      <c r="N61" s="18">
        <f t="shared" si="45"/>
        <v>0.23618090452261306</v>
      </c>
    </row>
    <row r="62" spans="1:14" x14ac:dyDescent="0.25">
      <c r="A62" s="18" t="s">
        <v>29</v>
      </c>
      <c r="B62" s="18">
        <v>143</v>
      </c>
      <c r="C62" s="18">
        <v>21</v>
      </c>
      <c r="D62" s="18">
        <f t="shared" si="0"/>
        <v>3.9790209790209792</v>
      </c>
      <c r="E62" s="18">
        <v>569</v>
      </c>
      <c r="F62" s="18">
        <f t="shared" si="1"/>
        <v>0.14685314685314685</v>
      </c>
      <c r="G62" s="32">
        <v>2.0875571218153701</v>
      </c>
      <c r="I62" s="18" t="s">
        <v>26</v>
      </c>
      <c r="J62" s="18">
        <v>116</v>
      </c>
      <c r="K62" s="18">
        <v>7</v>
      </c>
      <c r="L62" s="18">
        <f t="shared" si="44"/>
        <v>5.25</v>
      </c>
      <c r="M62" s="18">
        <v>609</v>
      </c>
      <c r="N62" s="18">
        <f t="shared" si="45"/>
        <v>6.0344827586206899E-2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122</v>
      </c>
      <c r="J63" s="18">
        <v>186</v>
      </c>
      <c r="K63" s="18">
        <v>21</v>
      </c>
      <c r="L63" s="18">
        <f t="shared" si="44"/>
        <v>3.9731182795698925</v>
      </c>
      <c r="M63" s="18">
        <v>739</v>
      </c>
      <c r="N63" s="18">
        <f t="shared" si="45"/>
        <v>0.11290322580645161</v>
      </c>
    </row>
    <row r="64" spans="1:14" x14ac:dyDescent="0.25">
      <c r="A64" t="s">
        <v>9</v>
      </c>
      <c r="B64">
        <v>36</v>
      </c>
      <c r="C64">
        <v>4</v>
      </c>
      <c r="D64">
        <f t="shared" si="0"/>
        <v>3.9722222222222223</v>
      </c>
      <c r="E64">
        <v>143</v>
      </c>
      <c r="F64">
        <f t="shared" si="1"/>
        <v>0.1111111111111111</v>
      </c>
      <c r="G64" s="32">
        <v>2.42097317438899</v>
      </c>
      <c r="I64" s="18" t="s">
        <v>49</v>
      </c>
      <c r="J64" s="18">
        <v>156</v>
      </c>
      <c r="K64" s="18">
        <v>9</v>
      </c>
      <c r="L64" s="18">
        <f t="shared" si="44"/>
        <v>5.0128205128205128</v>
      </c>
      <c r="M64" s="18">
        <v>782</v>
      </c>
      <c r="N64" s="18">
        <f t="shared" si="45"/>
        <v>5.7692307692307696E-2</v>
      </c>
    </row>
    <row r="65" spans="1:14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 t="s">
        <v>3</v>
      </c>
      <c r="J65" s="18">
        <v>54</v>
      </c>
      <c r="K65" s="18">
        <v>7</v>
      </c>
      <c r="L65" s="18">
        <f t="shared" ref="L65" si="46">M65/J65</f>
        <v>4.3148148148148149</v>
      </c>
      <c r="M65" s="18">
        <v>233</v>
      </c>
      <c r="N65" s="18">
        <f t="shared" ref="N65" si="47">K65/J65</f>
        <v>0.12962962962962962</v>
      </c>
    </row>
    <row r="66" spans="1:14" x14ac:dyDescent="0.25">
      <c r="A66" t="s">
        <v>428</v>
      </c>
      <c r="B66">
        <v>33</v>
      </c>
      <c r="C66">
        <v>5</v>
      </c>
      <c r="D66">
        <f t="shared" si="0"/>
        <v>4.1515151515151514</v>
      </c>
      <c r="E66">
        <v>137</v>
      </c>
      <c r="F66">
        <f t="shared" si="1"/>
        <v>0.15151515151515152</v>
      </c>
      <c r="G66" s="32">
        <v>1.9414506867882999</v>
      </c>
      <c r="I66" s="18" t="s">
        <v>2</v>
      </c>
      <c r="J66" s="18">
        <v>40</v>
      </c>
      <c r="K66" s="18">
        <v>10</v>
      </c>
      <c r="L66" s="18">
        <f t="shared" ref="L66" si="48">M66/J66</f>
        <v>3.8</v>
      </c>
      <c r="M66" s="18">
        <v>152</v>
      </c>
      <c r="N66" s="18">
        <f t="shared" ref="N66" si="49">K66/J66</f>
        <v>0.25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124</v>
      </c>
      <c r="J67" s="18">
        <v>40</v>
      </c>
      <c r="K67" s="18">
        <v>1</v>
      </c>
      <c r="L67" s="18">
        <f t="shared" ref="L67" si="50">M67/J67</f>
        <v>5.15</v>
      </c>
      <c r="M67" s="18">
        <v>206</v>
      </c>
      <c r="N67" s="18">
        <f t="shared" ref="N67" si="51">K67/J67</f>
        <v>2.5000000000000001E-2</v>
      </c>
    </row>
    <row r="68" spans="1:14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</row>
    <row r="69" spans="1:14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14" x14ac:dyDescent="0.25">
      <c r="A70" s="18" t="s">
        <v>123</v>
      </c>
      <c r="B70" s="18">
        <v>49</v>
      </c>
      <c r="C70" s="18">
        <v>7</v>
      </c>
      <c r="D70" s="18">
        <f t="shared" si="0"/>
        <v>4.3265306122448983</v>
      </c>
      <c r="E70" s="18">
        <v>212</v>
      </c>
      <c r="F70" s="18">
        <f t="shared" si="1"/>
        <v>0.14285714285714285</v>
      </c>
      <c r="G70" s="32">
        <v>2</v>
      </c>
    </row>
    <row r="71" spans="1:14" x14ac:dyDescent="0.25">
      <c r="A71" t="s">
        <v>12</v>
      </c>
      <c r="B71">
        <v>33</v>
      </c>
      <c r="C71">
        <v>1</v>
      </c>
      <c r="D71">
        <f t="shared" si="0"/>
        <v>4.9090909090909092</v>
      </c>
      <c r="E71">
        <v>162</v>
      </c>
      <c r="F71">
        <f t="shared" si="1"/>
        <v>3.0303030303030304E-2</v>
      </c>
      <c r="G71" s="32">
        <v>2.44584195260913</v>
      </c>
    </row>
    <row r="72" spans="1:14" x14ac:dyDescent="0.25">
      <c r="A72" t="s">
        <v>404</v>
      </c>
      <c r="B72">
        <v>34</v>
      </c>
      <c r="C72">
        <v>3</v>
      </c>
      <c r="D72">
        <f t="shared" si="0"/>
        <v>5</v>
      </c>
      <c r="E72">
        <v>170</v>
      </c>
      <c r="F72">
        <f t="shared" si="1"/>
        <v>8.8235294117647065E-2</v>
      </c>
      <c r="G72" s="32">
        <v>2.3094010767584998</v>
      </c>
    </row>
    <row r="73" spans="1:14" x14ac:dyDescent="0.2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14" x14ac:dyDescent="0.25">
      <c r="A76" t="s">
        <v>82</v>
      </c>
      <c r="B76">
        <v>32</v>
      </c>
      <c r="C76">
        <v>1</v>
      </c>
      <c r="D76">
        <f t="shared" ref="D76:D91" si="52">E76/B76</f>
        <v>5.3125</v>
      </c>
      <c r="E76">
        <v>170</v>
      </c>
      <c r="F76">
        <f>C76/B76</f>
        <v>3.125E-2</v>
      </c>
      <c r="G76" s="32">
        <v>2</v>
      </c>
    </row>
    <row r="77" spans="1:14" x14ac:dyDescent="0.25">
      <c r="A77" s="18" t="s">
        <v>33</v>
      </c>
      <c r="B77" s="18">
        <v>73</v>
      </c>
      <c r="C77" s="18">
        <v>4</v>
      </c>
      <c r="D77" s="18">
        <f t="shared" si="52"/>
        <v>5.5342465753424657</v>
      </c>
      <c r="E77" s="18">
        <v>404</v>
      </c>
      <c r="F77" s="18">
        <f t="shared" ref="F77:F91" si="53">C77/B77</f>
        <v>5.4794520547945202E-2</v>
      </c>
      <c r="G77" s="32">
        <v>2.14993539954627</v>
      </c>
    </row>
    <row r="78" spans="1:14" x14ac:dyDescent="0.25">
      <c r="A78" t="s">
        <v>99</v>
      </c>
      <c r="B78">
        <v>34</v>
      </c>
      <c r="C78">
        <v>3</v>
      </c>
      <c r="D78">
        <f t="shared" si="52"/>
        <v>5.0882352941176467</v>
      </c>
      <c r="E78">
        <v>173</v>
      </c>
      <c r="F78">
        <f t="shared" si="53"/>
        <v>8.8235294117647065E-2</v>
      </c>
      <c r="G78" s="32">
        <v>2.6687491868330699</v>
      </c>
    </row>
    <row r="79" spans="1:14" x14ac:dyDescent="0.25">
      <c r="A79" t="s">
        <v>7</v>
      </c>
      <c r="B79">
        <v>35</v>
      </c>
      <c r="C79">
        <v>8</v>
      </c>
      <c r="D79">
        <f t="shared" si="52"/>
        <v>3.7428571428571429</v>
      </c>
      <c r="E79">
        <v>131</v>
      </c>
      <c r="F79">
        <f t="shared" si="53"/>
        <v>0.22857142857142856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2"/>
        <v>4</v>
      </c>
      <c r="E80" s="41">
        <v>20</v>
      </c>
      <c r="F80" s="41">
        <f t="shared" si="53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2"/>
        <v>4.1818181818181817</v>
      </c>
      <c r="E81" s="41">
        <v>46</v>
      </c>
      <c r="F81" s="41">
        <f t="shared" si="53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51</v>
      </c>
      <c r="C82" s="18">
        <v>8</v>
      </c>
      <c r="D82" s="18">
        <f t="shared" si="52"/>
        <v>4.5490196078431371</v>
      </c>
      <c r="E82" s="18">
        <v>232</v>
      </c>
      <c r="F82" s="18">
        <f t="shared" si="53"/>
        <v>0.15686274509803921</v>
      </c>
      <c r="G82" s="32">
        <v>2.1315096371664199</v>
      </c>
    </row>
    <row r="83" spans="1:7" x14ac:dyDescent="0.25">
      <c r="A83" s="18" t="s">
        <v>113</v>
      </c>
      <c r="B83" s="18">
        <v>41</v>
      </c>
      <c r="C83" s="18">
        <v>1</v>
      </c>
      <c r="D83" s="18">
        <f t="shared" si="52"/>
        <v>4.2926829268292686</v>
      </c>
      <c r="E83" s="18">
        <v>176</v>
      </c>
      <c r="F83" s="18">
        <f t="shared" si="53"/>
        <v>2.4390243902439025E-2</v>
      </c>
      <c r="G83" s="32">
        <v>2.4899799195977401</v>
      </c>
    </row>
    <row r="84" spans="1:7" x14ac:dyDescent="0.25">
      <c r="A84" s="18" t="s">
        <v>35</v>
      </c>
      <c r="B84" s="18">
        <v>199</v>
      </c>
      <c r="C84" s="18">
        <v>47</v>
      </c>
      <c r="D84" s="18">
        <f t="shared" si="52"/>
        <v>3.5376884422110555</v>
      </c>
      <c r="E84" s="18">
        <v>704</v>
      </c>
      <c r="F84" s="18">
        <f t="shared" si="53"/>
        <v>0.23618090452261306</v>
      </c>
      <c r="G84" s="32">
        <v>2.6214406763289899</v>
      </c>
    </row>
    <row r="85" spans="1:7" x14ac:dyDescent="0.25">
      <c r="A85" s="18" t="s">
        <v>26</v>
      </c>
      <c r="B85" s="18">
        <v>116</v>
      </c>
      <c r="C85" s="18">
        <v>7</v>
      </c>
      <c r="D85" s="18">
        <f t="shared" si="52"/>
        <v>5.25</v>
      </c>
      <c r="E85" s="18">
        <v>609</v>
      </c>
      <c r="F85" s="18">
        <f t="shared" si="53"/>
        <v>6.0344827586206899E-2</v>
      </c>
      <c r="G85" s="32">
        <v>2.4494897427831699</v>
      </c>
    </row>
    <row r="86" spans="1:7" x14ac:dyDescent="0.25">
      <c r="A86" s="18" t="s">
        <v>122</v>
      </c>
      <c r="B86" s="18">
        <v>186</v>
      </c>
      <c r="C86" s="18">
        <v>21</v>
      </c>
      <c r="D86" s="18">
        <f t="shared" si="52"/>
        <v>3.9731182795698925</v>
      </c>
      <c r="E86" s="18">
        <v>739</v>
      </c>
      <c r="F86" s="18">
        <f t="shared" si="53"/>
        <v>0.11290322580645161</v>
      </c>
      <c r="G86" s="32">
        <v>1.6329931618554501</v>
      </c>
    </row>
    <row r="87" spans="1:7" x14ac:dyDescent="0.25">
      <c r="A87" s="18" t="s">
        <v>49</v>
      </c>
      <c r="B87" s="18">
        <v>156</v>
      </c>
      <c r="C87" s="18">
        <v>9</v>
      </c>
      <c r="D87" s="18">
        <f t="shared" si="52"/>
        <v>5.0128205128205128</v>
      </c>
      <c r="E87" s="18">
        <v>782</v>
      </c>
      <c r="F87" s="18">
        <f t="shared" si="53"/>
        <v>5.7692307692307696E-2</v>
      </c>
      <c r="G87" s="32">
        <v>2.79455252402308</v>
      </c>
    </row>
    <row r="88" spans="1:7" x14ac:dyDescent="0.25">
      <c r="A88" s="18" t="s">
        <v>3</v>
      </c>
      <c r="B88" s="18">
        <v>54</v>
      </c>
      <c r="C88" s="18">
        <v>7</v>
      </c>
      <c r="D88" s="18">
        <f t="shared" si="52"/>
        <v>4.3148148148148149</v>
      </c>
      <c r="E88" s="18">
        <v>233</v>
      </c>
      <c r="F88" s="18">
        <f t="shared" si="53"/>
        <v>0.12962962962962962</v>
      </c>
      <c r="G88" s="32">
        <v>2.3731557327466102</v>
      </c>
    </row>
    <row r="89" spans="1:7" x14ac:dyDescent="0.25">
      <c r="A89" t="s">
        <v>230</v>
      </c>
      <c r="B89">
        <v>32</v>
      </c>
      <c r="C89">
        <v>4</v>
      </c>
      <c r="D89">
        <f t="shared" si="52"/>
        <v>5.0625</v>
      </c>
      <c r="E89">
        <v>162</v>
      </c>
      <c r="F89">
        <f t="shared" si="53"/>
        <v>0.125</v>
      </c>
      <c r="G89" s="32">
        <v>2.7748873851023199</v>
      </c>
    </row>
    <row r="90" spans="1:7" x14ac:dyDescent="0.25">
      <c r="A90" s="18" t="s">
        <v>2</v>
      </c>
      <c r="B90" s="18">
        <v>40</v>
      </c>
      <c r="C90" s="18">
        <v>10</v>
      </c>
      <c r="D90" s="18">
        <f t="shared" si="52"/>
        <v>3.8</v>
      </c>
      <c r="E90" s="18">
        <v>152</v>
      </c>
      <c r="F90" s="18">
        <f t="shared" si="53"/>
        <v>0.25</v>
      </c>
      <c r="G90" s="32">
        <v>2.5876449587894599</v>
      </c>
    </row>
    <row r="91" spans="1:7" x14ac:dyDescent="0.25">
      <c r="A91" s="18" t="s">
        <v>124</v>
      </c>
      <c r="B91" s="18">
        <v>40</v>
      </c>
      <c r="C91" s="18">
        <v>1</v>
      </c>
      <c r="D91" s="18">
        <f t="shared" si="52"/>
        <v>5.15</v>
      </c>
      <c r="E91" s="18">
        <v>206</v>
      </c>
      <c r="F91" s="18">
        <f t="shared" si="53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56"/>
  <sheetViews>
    <sheetView tabSelected="1" zoomScale="90" zoomScaleNormal="90" workbookViewId="0">
      <selection activeCell="AA35" sqref="AA35"/>
    </sheetView>
  </sheetViews>
  <sheetFormatPr defaultRowHeight="15" x14ac:dyDescent="0.25"/>
  <cols>
    <col min="8" max="8" width="17.7109375" bestFit="1" customWidth="1"/>
    <col min="9" max="9" width="7.140625" bestFit="1" customWidth="1"/>
    <col min="10" max="10" width="8.7109375" bestFit="1" customWidth="1"/>
    <col min="11" max="12" width="12" bestFit="1" customWidth="1"/>
    <col min="13" max="13" width="5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9" width="13.28515625" bestFit="1" customWidth="1"/>
  </cols>
  <sheetData>
    <row r="1" spans="1:21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>U2/P2</f>
        <v>3.2184873949579833</v>
      </c>
      <c r="S2" s="18">
        <f>Q2/P2</f>
        <v>0.31932773109243695</v>
      </c>
      <c r="U2" s="18">
        <v>383</v>
      </c>
    </row>
    <row r="3" spans="1:21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>U3/P3</f>
        <v>3.5060240963855422</v>
      </c>
      <c r="S3" s="18">
        <f>Q3/P3</f>
        <v>0.26506024096385544</v>
      </c>
      <c r="U3" s="18">
        <v>291</v>
      </c>
    </row>
    <row r="4" spans="1:21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>U4/P4</f>
        <v>3.5376884422110555</v>
      </c>
      <c r="S4" s="59">
        <f>Q4/P4</f>
        <v>0.23618090452261306</v>
      </c>
      <c r="U4" s="18">
        <v>704</v>
      </c>
    </row>
    <row r="5" spans="1:21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>U5/P5</f>
        <v>3.7380952380952381</v>
      </c>
      <c r="S5" s="59">
        <f>Q5/P5</f>
        <v>0.19047619047619047</v>
      </c>
      <c r="U5" s="18">
        <v>157</v>
      </c>
    </row>
    <row r="6" spans="1:21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>U6/P6</f>
        <v>3.7619047619047619</v>
      </c>
      <c r="S6" s="59">
        <f>Q6/P6</f>
        <v>0.19047619047619047</v>
      </c>
      <c r="U6" s="18">
        <v>158</v>
      </c>
    </row>
    <row r="7" spans="1:21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>U7/P7</f>
        <v>3.7839195979899496</v>
      </c>
      <c r="S7" s="59">
        <f>Q7/P7</f>
        <v>0.22613065326633167</v>
      </c>
      <c r="U7" s="18">
        <v>753</v>
      </c>
    </row>
    <row r="8" spans="1:21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>U8/P8</f>
        <v>3.7948717948717947</v>
      </c>
      <c r="S8" s="59">
        <f>Q8/P8</f>
        <v>0.23076923076923078</v>
      </c>
      <c r="U8" s="18">
        <v>444</v>
      </c>
    </row>
    <row r="9" spans="1:21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>U9/P9</f>
        <v>3.8</v>
      </c>
      <c r="S9" s="59">
        <f>Q9/P9</f>
        <v>0.25</v>
      </c>
      <c r="T9" s="11" t="s">
        <v>611</v>
      </c>
      <c r="U9" s="18">
        <v>152</v>
      </c>
    </row>
    <row r="10" spans="1:21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>U10/P10</f>
        <v>3.85</v>
      </c>
      <c r="S10" s="59">
        <f>Q10/P10</f>
        <v>0.125</v>
      </c>
      <c r="T10" s="58" t="s">
        <v>611</v>
      </c>
      <c r="U10" s="18">
        <v>154</v>
      </c>
    </row>
    <row r="11" spans="1:21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>U11/P11</f>
        <v>3.8620689655172415</v>
      </c>
      <c r="S11" s="59">
        <f>Q11/P11</f>
        <v>0.19310344827586207</v>
      </c>
      <c r="T11" s="3" t="s">
        <v>45</v>
      </c>
      <c r="U11" s="18">
        <v>560</v>
      </c>
    </row>
    <row r="12" spans="1:21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>U12/P12</f>
        <v>3.9452054794520546</v>
      </c>
      <c r="S12" s="59">
        <f>Q12/P12</f>
        <v>0.17808219178082191</v>
      </c>
      <c r="T12" s="3" t="s">
        <v>46</v>
      </c>
      <c r="U12" s="18">
        <v>288</v>
      </c>
    </row>
    <row r="13" spans="1:21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>U13/P13</f>
        <v>3.9731182795698925</v>
      </c>
      <c r="S13" s="59">
        <f>Q13/P13</f>
        <v>0.11290322580645161</v>
      </c>
      <c r="T13" s="3" t="s">
        <v>54</v>
      </c>
      <c r="U13" s="18">
        <v>739</v>
      </c>
    </row>
    <row r="14" spans="1:21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>U14/P14</f>
        <v>3.9790209790209792</v>
      </c>
      <c r="S14" s="59">
        <f>Q14/P14</f>
        <v>0.14685314685314685</v>
      </c>
      <c r="T14" s="3" t="s">
        <v>45</v>
      </c>
      <c r="U14" s="18">
        <v>569</v>
      </c>
    </row>
    <row r="15" spans="1:21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>U15/P15</f>
        <v>4.1243243243243244</v>
      </c>
      <c r="S15" s="32">
        <f>Q15/P15</f>
        <v>0.16216216216216217</v>
      </c>
      <c r="T15" s="3" t="s">
        <v>45</v>
      </c>
      <c r="U15" s="18">
        <v>763</v>
      </c>
    </row>
    <row r="16" spans="1:21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>U16/P16</f>
        <v>4.1647058823529415</v>
      </c>
      <c r="S16" s="32">
        <f>Q16/P16</f>
        <v>0.16470588235294117</v>
      </c>
      <c r="T16" s="3" t="s">
        <v>45</v>
      </c>
      <c r="U16" s="18">
        <v>354</v>
      </c>
    </row>
    <row r="17" spans="1:21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>U17/P17</f>
        <v>4.1749999999999998</v>
      </c>
      <c r="S17" s="32">
        <f>Q17/P17</f>
        <v>0.1</v>
      </c>
      <c r="T17" s="3" t="s">
        <v>45</v>
      </c>
      <c r="U17" s="18">
        <v>167</v>
      </c>
    </row>
    <row r="18" spans="1:21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>U18/P18</f>
        <v>4.2463768115942031</v>
      </c>
      <c r="S18" s="32">
        <f>Q18/P18</f>
        <v>7.2463768115942032E-2</v>
      </c>
      <c r="T18" s="3" t="s">
        <v>45</v>
      </c>
      <c r="U18" s="18">
        <v>586</v>
      </c>
    </row>
    <row r="19" spans="1:21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>U19/P19</f>
        <v>4.2750000000000004</v>
      </c>
      <c r="S19" s="32">
        <f>Q19/P19</f>
        <v>7.4999999999999997E-2</v>
      </c>
      <c r="T19" s="12" t="s">
        <v>611</v>
      </c>
      <c r="U19" s="18">
        <v>171</v>
      </c>
    </row>
    <row r="20" spans="1:21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>U20/P20</f>
        <v>4.2926829268292686</v>
      </c>
      <c r="S20" s="32">
        <f>Q20/P20</f>
        <v>2.4390243902439025E-2</v>
      </c>
      <c r="T20" s="3" t="s">
        <v>54</v>
      </c>
      <c r="U20" s="18">
        <v>176</v>
      </c>
    </row>
    <row r="21" spans="1:21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>U21/P21</f>
        <v>4.3135135135135139</v>
      </c>
      <c r="S21" s="32">
        <f>Q21/P21</f>
        <v>0.14054054054054055</v>
      </c>
      <c r="T21" s="3" t="s">
        <v>54</v>
      </c>
      <c r="U21" s="18">
        <v>798</v>
      </c>
    </row>
    <row r="22" spans="1:21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>U22/P22</f>
        <v>4.3139534883720927</v>
      </c>
      <c r="S22" s="32">
        <f>Q22/P22</f>
        <v>0.20930232558139536</v>
      </c>
      <c r="T22" s="74" t="s">
        <v>44</v>
      </c>
      <c r="U22" s="18">
        <v>371</v>
      </c>
    </row>
    <row r="23" spans="1:21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>U23/P23</f>
        <v>4.3148148148148149</v>
      </c>
      <c r="S23" s="32">
        <f>Q23/P23</f>
        <v>0.12962962962962962</v>
      </c>
      <c r="T23" s="3" t="s">
        <v>55</v>
      </c>
      <c r="U23" s="18">
        <v>233</v>
      </c>
    </row>
    <row r="24" spans="1:21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>U24/P24</f>
        <v>4.3250000000000002</v>
      </c>
      <c r="S24" s="32">
        <f>Q24/P24</f>
        <v>0.17499999999999999</v>
      </c>
      <c r="T24" s="14" t="s">
        <v>611</v>
      </c>
      <c r="U24" s="18">
        <v>173</v>
      </c>
    </row>
    <row r="25" spans="1:21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>U25/P25</f>
        <v>4.3265306122448983</v>
      </c>
      <c r="S25" s="32">
        <f>Q25/P25</f>
        <v>0.14285714285714285</v>
      </c>
      <c r="T25" s="3" t="s">
        <v>55</v>
      </c>
      <c r="U25" s="18">
        <v>212</v>
      </c>
    </row>
    <row r="26" spans="1:21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>U26/P26</f>
        <v>4.3695652173913047</v>
      </c>
      <c r="S26" s="32">
        <f>Q26/P26</f>
        <v>0.13043478260869565</v>
      </c>
      <c r="U26" s="18">
        <v>201</v>
      </c>
    </row>
    <row r="27" spans="1:21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>U27/P27</f>
        <v>4.375</v>
      </c>
      <c r="S27" s="32">
        <f>Q27/P27</f>
        <v>0.05</v>
      </c>
      <c r="T27" s="3" t="s">
        <v>282</v>
      </c>
      <c r="U27" s="18">
        <v>175</v>
      </c>
    </row>
    <row r="28" spans="1:21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>U28/P28</f>
        <v>4.4038461538461542</v>
      </c>
      <c r="S28" s="41">
        <f>Q28/P28</f>
        <v>0.11538461538461539</v>
      </c>
      <c r="T28" s="3" t="s">
        <v>555</v>
      </c>
      <c r="U28" s="18">
        <v>229</v>
      </c>
    </row>
    <row r="29" spans="1:21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>U29/P29</f>
        <v>4.4749999999999996</v>
      </c>
      <c r="S29" s="41">
        <f>Q29/P29</f>
        <v>7.4999999999999997E-2</v>
      </c>
      <c r="T29" s="3" t="s">
        <v>494</v>
      </c>
      <c r="U29" s="18">
        <v>179</v>
      </c>
    </row>
    <row r="30" spans="1:21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>U30/P30</f>
        <v>4.5490196078431371</v>
      </c>
      <c r="S30" s="41">
        <f>Q30/P30</f>
        <v>0.15686274509803921</v>
      </c>
      <c r="T30" s="3" t="s">
        <v>54</v>
      </c>
      <c r="U30" s="18">
        <v>232</v>
      </c>
    </row>
    <row r="31" spans="1:21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>U31/P31</f>
        <v>4.5533980582524274</v>
      </c>
      <c r="S31" s="41">
        <f>Q31/P31</f>
        <v>0.11650485436893204</v>
      </c>
      <c r="T31" s="3" t="s">
        <v>555</v>
      </c>
      <c r="U31" s="18">
        <v>469</v>
      </c>
    </row>
    <row r="32" spans="1:21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>U32/P32</f>
        <v>4.5750000000000002</v>
      </c>
      <c r="S32" s="41">
        <f>Q32/P32</f>
        <v>7.4999999999999997E-2</v>
      </c>
      <c r="T32" s="3" t="s">
        <v>55</v>
      </c>
      <c r="U32" s="18">
        <v>183</v>
      </c>
    </row>
    <row r="33" spans="1:21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>U33/P33</f>
        <v>4.6215277777777777</v>
      </c>
      <c r="S33" s="41">
        <f>Q33/P33</f>
        <v>0.1388888888888889</v>
      </c>
      <c r="T33" s="3" t="s">
        <v>55</v>
      </c>
      <c r="U33" s="18">
        <v>1331</v>
      </c>
    </row>
    <row r="34" spans="1:21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>U34/P34</f>
        <v>4.6363636363636367</v>
      </c>
      <c r="S34" s="41">
        <f>Q34/P34</f>
        <v>0.10909090909090909</v>
      </c>
      <c r="T34" s="3" t="s">
        <v>55</v>
      </c>
      <c r="U34" s="18">
        <v>255</v>
      </c>
    </row>
    <row r="35" spans="1:21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>U35/P35</f>
        <v>4.7111111111111112</v>
      </c>
      <c r="S35" s="41">
        <f>Q35/P35</f>
        <v>6.6666666666666666E-2</v>
      </c>
      <c r="T35" s="3" t="s">
        <v>54</v>
      </c>
      <c r="U35" s="18">
        <v>212</v>
      </c>
    </row>
    <row r="36" spans="1:21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>U36/P36</f>
        <v>4.7175572519083966</v>
      </c>
      <c r="S36" s="41">
        <f>Q36/P36</f>
        <v>5.3435114503816793E-2</v>
      </c>
      <c r="T36" s="3" t="s">
        <v>494</v>
      </c>
      <c r="U36" s="18">
        <v>618</v>
      </c>
    </row>
    <row r="37" spans="1:21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>U37/P37</f>
        <v>4.8085106382978724</v>
      </c>
      <c r="S37" s="38">
        <f>Q37/P37</f>
        <v>8.5106382978723402E-2</v>
      </c>
      <c r="T37" s="3" t="s">
        <v>55</v>
      </c>
      <c r="U37" s="18">
        <v>226</v>
      </c>
    </row>
    <row r="38" spans="1:21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>U38/P38</f>
        <v>4.9000000000000004</v>
      </c>
      <c r="S38" s="38">
        <f>Q38/P38</f>
        <v>0.05</v>
      </c>
      <c r="T38" s="3" t="s">
        <v>55</v>
      </c>
      <c r="U38" s="18">
        <v>196</v>
      </c>
    </row>
    <row r="39" spans="1:21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>U39/P39</f>
        <v>4.9000000000000004</v>
      </c>
      <c r="S39" s="38">
        <f>Q39/P39</f>
        <v>0.1</v>
      </c>
      <c r="T39" s="20" t="s">
        <v>611</v>
      </c>
      <c r="U39" s="18">
        <v>196</v>
      </c>
    </row>
    <row r="40" spans="1:21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>U40/P40</f>
        <v>4.975609756097561</v>
      </c>
      <c r="S40" s="38">
        <f>Q40/P40</f>
        <v>0.12195121951219512</v>
      </c>
      <c r="T40" s="10" t="s">
        <v>611</v>
      </c>
      <c r="U40" s="18">
        <v>204</v>
      </c>
    </row>
    <row r="41" spans="1:21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>U41/P41</f>
        <v>5.0128205128205128</v>
      </c>
      <c r="S41" s="38">
        <f>Q41/P41</f>
        <v>5.7692307692307696E-2</v>
      </c>
      <c r="T41" s="3" t="s">
        <v>54</v>
      </c>
      <c r="U41" s="18">
        <v>782</v>
      </c>
    </row>
    <row r="42" spans="1:21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>U42/P42</f>
        <v>5.0233463035019454</v>
      </c>
      <c r="S42" s="38">
        <f>Q42/P42</f>
        <v>8.9494163424124515E-2</v>
      </c>
      <c r="T42" s="3" t="s">
        <v>555</v>
      </c>
      <c r="U42" s="18">
        <v>1291</v>
      </c>
    </row>
    <row r="43" spans="1:21" x14ac:dyDescent="0.2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>U43/P43</f>
        <v>5.0310344827586206</v>
      </c>
      <c r="S43" s="38">
        <f>Q43/P43</f>
        <v>8.2758620689655171E-2</v>
      </c>
      <c r="T43" s="3" t="s">
        <v>555</v>
      </c>
      <c r="U43" s="18">
        <v>1459</v>
      </c>
    </row>
    <row r="44" spans="1:21" x14ac:dyDescent="0.2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>U44/P44</f>
        <v>5.033018867924528</v>
      </c>
      <c r="S44" s="38">
        <f>Q44/P44</f>
        <v>0.11792452830188679</v>
      </c>
      <c r="T44" s="3" t="s">
        <v>495</v>
      </c>
      <c r="U44" s="18">
        <v>1067</v>
      </c>
    </row>
    <row r="45" spans="1:21" x14ac:dyDescent="0.2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>U45/P45</f>
        <v>5.0750000000000002</v>
      </c>
      <c r="S45" s="38">
        <f>Q45/P45</f>
        <v>0</v>
      </c>
      <c r="T45" s="3" t="s">
        <v>555</v>
      </c>
      <c r="U45" s="18">
        <v>203</v>
      </c>
    </row>
    <row r="46" spans="1:21" x14ac:dyDescent="0.2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>U46/P46</f>
        <v>5.104838709677419</v>
      </c>
      <c r="S46" s="38">
        <f>Q46/P46</f>
        <v>7.2580645161290328E-2</v>
      </c>
      <c r="T46" s="3" t="s">
        <v>555</v>
      </c>
      <c r="U46" s="18">
        <v>633</v>
      </c>
    </row>
    <row r="47" spans="1:21" x14ac:dyDescent="0.2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>U47/P47</f>
        <v>5.1230769230769226</v>
      </c>
      <c r="S47" s="38">
        <f>Q47/P47</f>
        <v>7.6923076923076927E-2</v>
      </c>
      <c r="T47" s="3" t="s">
        <v>555</v>
      </c>
      <c r="U47" s="18">
        <v>333</v>
      </c>
    </row>
    <row r="48" spans="1:21" x14ac:dyDescent="0.2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>U48/P48</f>
        <v>5.15</v>
      </c>
      <c r="S48" s="38">
        <f>Q48/P48</f>
        <v>2.5000000000000001E-2</v>
      </c>
      <c r="T48" s="79" t="s">
        <v>611</v>
      </c>
      <c r="U48" s="18">
        <v>206</v>
      </c>
    </row>
    <row r="49" spans="8:21" x14ac:dyDescent="0.2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>U49/P49</f>
        <v>5.1797752808988768</v>
      </c>
      <c r="S49" s="38">
        <f>Q49/P49</f>
        <v>6.741573033707865E-2</v>
      </c>
      <c r="T49" s="3" t="s">
        <v>282</v>
      </c>
      <c r="U49" s="18">
        <v>461</v>
      </c>
    </row>
    <row r="50" spans="8:21" x14ac:dyDescent="0.25">
      <c r="O50" s="67" t="s">
        <v>26</v>
      </c>
      <c r="P50" s="67">
        <v>116</v>
      </c>
      <c r="Q50" s="67">
        <v>7</v>
      </c>
      <c r="R50" s="67">
        <f>U50/P50</f>
        <v>5.25</v>
      </c>
      <c r="S50" s="67">
        <f>Q50/P50</f>
        <v>6.0344827586206899E-2</v>
      </c>
      <c r="T50" s="3" t="s">
        <v>282</v>
      </c>
      <c r="U50" s="18">
        <v>609</v>
      </c>
    </row>
    <row r="51" spans="8:21" x14ac:dyDescent="0.25">
      <c r="O51" s="67" t="s">
        <v>34</v>
      </c>
      <c r="P51" s="67">
        <v>41</v>
      </c>
      <c r="Q51" s="67">
        <v>3</v>
      </c>
      <c r="R51" s="67">
        <f>U51/P51</f>
        <v>5.3170731707317076</v>
      </c>
      <c r="S51" s="67">
        <f>Q51/P51</f>
        <v>7.3170731707317069E-2</v>
      </c>
      <c r="T51" s="3" t="s">
        <v>55</v>
      </c>
      <c r="U51" s="18">
        <v>218</v>
      </c>
    </row>
    <row r="52" spans="8:21" x14ac:dyDescent="0.25">
      <c r="O52" s="67" t="s">
        <v>90</v>
      </c>
      <c r="P52" s="67">
        <v>40</v>
      </c>
      <c r="Q52" s="67">
        <v>3</v>
      </c>
      <c r="R52" s="67">
        <f>U52/P52</f>
        <v>5.35</v>
      </c>
      <c r="S52" s="67">
        <f>Q52/P52</f>
        <v>7.4999999999999997E-2</v>
      </c>
      <c r="T52" s="3" t="s">
        <v>296</v>
      </c>
      <c r="U52" s="73">
        <v>214</v>
      </c>
    </row>
    <row r="53" spans="8:21" x14ac:dyDescent="0.25">
      <c r="O53" s="67" t="s">
        <v>6</v>
      </c>
      <c r="P53" s="67">
        <v>45</v>
      </c>
      <c r="Q53" s="67">
        <v>3</v>
      </c>
      <c r="R53" s="67">
        <f>U53/P53</f>
        <v>5.3555555555555552</v>
      </c>
      <c r="S53" s="67">
        <f>Q53/P53</f>
        <v>6.6666666666666666E-2</v>
      </c>
      <c r="T53" s="3" t="s">
        <v>296</v>
      </c>
      <c r="U53" s="18">
        <v>241</v>
      </c>
    </row>
    <row r="54" spans="8:21" x14ac:dyDescent="0.25">
      <c r="O54" s="67" t="s">
        <v>401</v>
      </c>
      <c r="P54" s="67">
        <v>71</v>
      </c>
      <c r="Q54" s="67">
        <v>3</v>
      </c>
      <c r="R54" s="67">
        <f>U54/P54</f>
        <v>5.3661971830985919</v>
      </c>
      <c r="S54" s="67">
        <f>Q54/P54</f>
        <v>4.2253521126760563E-2</v>
      </c>
      <c r="T54" s="3" t="s">
        <v>296</v>
      </c>
      <c r="U54" s="18">
        <v>381</v>
      </c>
    </row>
    <row r="55" spans="8:21" x14ac:dyDescent="0.25">
      <c r="O55" s="67" t="s">
        <v>33</v>
      </c>
      <c r="P55" s="67">
        <v>73</v>
      </c>
      <c r="Q55" s="67">
        <v>4</v>
      </c>
      <c r="R55" s="67">
        <f>U55/P55</f>
        <v>5.5342465753424657</v>
      </c>
      <c r="S55" s="67">
        <f>Q55/P55</f>
        <v>5.4794520547945202E-2</v>
      </c>
      <c r="T55" s="3" t="s">
        <v>282</v>
      </c>
      <c r="U55" s="18">
        <v>404</v>
      </c>
    </row>
    <row r="56" spans="8:21" x14ac:dyDescent="0.25">
      <c r="O56" s="67" t="s">
        <v>253</v>
      </c>
      <c r="P56" s="67">
        <v>61</v>
      </c>
      <c r="Q56" s="67">
        <v>4</v>
      </c>
      <c r="R56" s="67">
        <f>U56/P56</f>
        <v>5.6065573770491799</v>
      </c>
      <c r="S56" s="67">
        <f>Q56/P56</f>
        <v>6.5573770491803282E-2</v>
      </c>
      <c r="T56" s="3" t="s">
        <v>282</v>
      </c>
      <c r="U56" s="18">
        <v>342</v>
      </c>
    </row>
  </sheetData>
  <sortState xmlns:xlrd2="http://schemas.microsoft.com/office/spreadsheetml/2017/richdata2"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2026-09-08T19:24:53Z</dcterms:modified>
</cp:coreProperties>
</file>