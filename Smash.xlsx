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6ECF9753-5D9F-4619-A1B9-D72552910393}" xr6:coauthVersionLast="47" xr6:coauthVersionMax="47" xr10:uidLastSave="{00000000-0000-0000-0000-000000000000}"/>
  <bookViews>
    <workbookView xWindow="38280" yWindow="5280" windowWidth="29040" windowHeight="15720" firstSheet="2" activeTab="9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state="hidden" r:id="rId11"/>
    <sheet name="5.0" sheetId="14" r:id="rId12"/>
    <sheet name="WE25" sheetId="12" r:id="rId13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" i="13" l="1"/>
  <c r="L22" i="13"/>
  <c r="N56" i="13"/>
  <c r="L56" i="13"/>
  <c r="N74" i="13"/>
  <c r="L74" i="13"/>
  <c r="N75" i="13"/>
  <c r="L75" i="13"/>
  <c r="N41" i="13"/>
  <c r="L41" i="13"/>
  <c r="N34" i="13"/>
  <c r="L34" i="13"/>
  <c r="N47" i="13"/>
  <c r="L47" i="13"/>
  <c r="N49" i="13"/>
  <c r="L49" i="13"/>
  <c r="N17" i="13"/>
  <c r="L17" i="13"/>
  <c r="N23" i="13"/>
  <c r="L23" i="13"/>
  <c r="N26" i="13"/>
  <c r="L26" i="13"/>
  <c r="N15" i="13"/>
  <c r="L15" i="13"/>
  <c r="N72" i="13"/>
  <c r="L72" i="13"/>
  <c r="N40" i="13"/>
  <c r="L40" i="13"/>
  <c r="N46" i="13"/>
  <c r="L46" i="13"/>
  <c r="N63" i="13"/>
  <c r="L63" i="13"/>
  <c r="N39" i="13"/>
  <c r="L39" i="13"/>
  <c r="N25" i="13"/>
  <c r="L25" i="13"/>
  <c r="N73" i="13"/>
  <c r="L73" i="13"/>
  <c r="N48" i="13"/>
  <c r="L48" i="13"/>
  <c r="N64" i="13"/>
  <c r="L64" i="13"/>
  <c r="N28" i="13"/>
  <c r="L28" i="13"/>
  <c r="N33" i="13"/>
  <c r="L33" i="13"/>
  <c r="N14" i="13"/>
  <c r="L14" i="13"/>
  <c r="N71" i="13"/>
  <c r="L71" i="13"/>
  <c r="N77" i="13"/>
  <c r="L77" i="13"/>
  <c r="N68" i="13"/>
  <c r="L68" i="13"/>
  <c r="N70" i="13"/>
  <c r="L70" i="13"/>
  <c r="N45" i="13"/>
  <c r="L45" i="13"/>
  <c r="N55" i="13"/>
  <c r="L55" i="13"/>
  <c r="N59" i="13"/>
  <c r="L59" i="13"/>
  <c r="N53" i="13" l="1"/>
  <c r="L53" i="13"/>
  <c r="N67" i="13"/>
  <c r="L67" i="13"/>
  <c r="N61" i="13"/>
  <c r="L61" i="13"/>
  <c r="N42" i="13"/>
  <c r="L42" i="13"/>
  <c r="N65" i="13"/>
  <c r="L65" i="13"/>
  <c r="N76" i="13"/>
  <c r="L76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0" i="13"/>
  <c r="L60" i="13"/>
  <c r="N69" i="13"/>
  <c r="L69" i="13"/>
  <c r="N58" i="13" l="1"/>
  <c r="L58" i="13"/>
  <c r="L66" i="13"/>
  <c r="N66" i="13"/>
  <c r="N37" i="13"/>
  <c r="L37" i="13"/>
  <c r="N54" i="13"/>
  <c r="L54" i="13"/>
  <c r="L57" i="13"/>
  <c r="N57" i="13"/>
  <c r="L62" i="13"/>
  <c r="N62" i="13"/>
  <c r="L78" i="13"/>
  <c r="N78" i="13"/>
  <c r="N52" i="13"/>
  <c r="L52" i="13"/>
  <c r="N36" i="13"/>
  <c r="L36" i="13"/>
  <c r="N32" i="13"/>
  <c r="L32" i="13"/>
  <c r="N13" i="13"/>
  <c r="L13" i="13"/>
  <c r="N18" i="13" l="1"/>
  <c r="L18" i="13"/>
  <c r="N16" i="13"/>
  <c r="L16" i="13"/>
  <c r="N43" i="13"/>
  <c r="L43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38" i="13"/>
  <c r="L38" i="13"/>
  <c r="N30" i="13"/>
  <c r="L30" i="13"/>
  <c r="N29" i="13"/>
  <c r="L29" i="13"/>
  <c r="N51" i="13" l="1"/>
  <c r="L51" i="13"/>
  <c r="N27" i="13" l="1"/>
  <c r="L27" i="13"/>
  <c r="N24" i="13" l="1"/>
  <c r="L24" i="13"/>
  <c r="F30" i="13" l="1"/>
  <c r="D30" i="13"/>
  <c r="N20" i="13" l="1"/>
  <c r="L20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0" i="13"/>
  <c r="L50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4" i="13"/>
  <c r="L44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5" i="13"/>
  <c r="L35" i="13"/>
  <c r="F39" i="13"/>
  <c r="D39" i="13"/>
  <c r="F38" i="13"/>
  <c r="D38" i="13"/>
  <c r="F37" i="13"/>
  <c r="D37" i="13"/>
  <c r="F36" i="13"/>
  <c r="D36" i="13"/>
  <c r="N31" i="13"/>
  <c r="L31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<sst xmlns="http://schemas.openxmlformats.org/spreadsheetml/2006/main" count="16915" uniqueCount="605">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</sst>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40"/>
  <sheetViews>
    <sheetView topLeftCell="A307" zoomScaleNormal="100" workbookViewId="0">
      <selection activeCell="Q332" sqref="Q332:X34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2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2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2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2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2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2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2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2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2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2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2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2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2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2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2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2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2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2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  <row r="332" spans="10:27" x14ac:dyDescent="0.25">
      <c r="J332" s="1">
        <v>46156</v>
      </c>
      <c r="K332" s="1">
        <v>46156</v>
      </c>
      <c r="L332" s="1">
        <v>46156</v>
      </c>
      <c r="M332" s="1">
        <v>46156</v>
      </c>
      <c r="N332" s="1">
        <v>46157</v>
      </c>
      <c r="O332" s="1">
        <v>46157</v>
      </c>
      <c r="Q332" s="1">
        <v>46158</v>
      </c>
      <c r="R332" s="1">
        <v>46158</v>
      </c>
      <c r="S332" s="1">
        <v>46158</v>
      </c>
      <c r="T332" s="1">
        <v>46158</v>
      </c>
      <c r="U332" s="1">
        <v>46158</v>
      </c>
      <c r="V332" s="1">
        <v>46158</v>
      </c>
      <c r="W332" s="1">
        <v>46158</v>
      </c>
      <c r="X332" s="1">
        <v>46158</v>
      </c>
    </row>
    <row r="333" spans="10:27" x14ac:dyDescent="0.25">
      <c r="J333" t="s">
        <v>122</v>
      </c>
      <c r="K333" t="s">
        <v>87</v>
      </c>
      <c r="L333" t="s">
        <v>30</v>
      </c>
      <c r="M333" t="s">
        <v>35</v>
      </c>
      <c r="N333" t="s">
        <v>552</v>
      </c>
      <c r="O333" t="s">
        <v>232</v>
      </c>
      <c r="Q333" t="s">
        <v>82</v>
      </c>
      <c r="R333" t="s">
        <v>232</v>
      </c>
      <c r="S333" t="s">
        <v>15</v>
      </c>
      <c r="T333" t="s">
        <v>2</v>
      </c>
      <c r="U333" t="s">
        <v>7</v>
      </c>
      <c r="V333" t="s">
        <v>7</v>
      </c>
      <c r="W333" t="s">
        <v>87</v>
      </c>
      <c r="X333" t="s">
        <v>232</v>
      </c>
    </row>
    <row r="334" spans="10:27" x14ac:dyDescent="0.25">
      <c r="J334" t="s">
        <v>25</v>
      </c>
      <c r="K334" t="s">
        <v>122</v>
      </c>
      <c r="L334" t="s">
        <v>232</v>
      </c>
      <c r="M334" t="s">
        <v>2</v>
      </c>
      <c r="N334" t="s">
        <v>113</v>
      </c>
      <c r="O334" t="s">
        <v>7</v>
      </c>
      <c r="Q334" t="s">
        <v>147</v>
      </c>
      <c r="R334" t="s">
        <v>147</v>
      </c>
      <c r="S334" t="s">
        <v>25</v>
      </c>
      <c r="T334" t="s">
        <v>122</v>
      </c>
      <c r="U334" t="s">
        <v>32</v>
      </c>
      <c r="V334" t="s">
        <v>104</v>
      </c>
      <c r="W334" t="s">
        <v>122</v>
      </c>
      <c r="X334" t="s">
        <v>25</v>
      </c>
    </row>
    <row r="335" spans="10:27" x14ac:dyDescent="0.25">
      <c r="J335" t="s">
        <v>31</v>
      </c>
      <c r="K335" t="s">
        <v>31</v>
      </c>
      <c r="L335" t="s">
        <v>82</v>
      </c>
      <c r="M335" t="s">
        <v>232</v>
      </c>
      <c r="N335" t="s">
        <v>25</v>
      </c>
      <c r="O335" t="s">
        <v>37</v>
      </c>
      <c r="Q335" t="s">
        <v>12</v>
      </c>
      <c r="R335" t="s">
        <v>99</v>
      </c>
      <c r="S335" t="s">
        <v>552</v>
      </c>
      <c r="T335" t="s">
        <v>129</v>
      </c>
      <c r="U335" t="s">
        <v>12</v>
      </c>
      <c r="V335" t="s">
        <v>32</v>
      </c>
      <c r="W335" t="s">
        <v>25</v>
      </c>
      <c r="X335" t="s">
        <v>26</v>
      </c>
    </row>
    <row r="336" spans="10:27" x14ac:dyDescent="0.25">
      <c r="J336" t="s">
        <v>21</v>
      </c>
      <c r="K336" t="s">
        <v>82</v>
      </c>
      <c r="L336" t="s">
        <v>574</v>
      </c>
      <c r="M336" t="s">
        <v>99</v>
      </c>
      <c r="N336" t="s">
        <v>7</v>
      </c>
      <c r="O336" t="s">
        <v>552</v>
      </c>
      <c r="Q336" t="s">
        <v>589</v>
      </c>
      <c r="R336" t="s">
        <v>586</v>
      </c>
      <c r="S336" t="s">
        <v>49</v>
      </c>
      <c r="T336" t="s">
        <v>25</v>
      </c>
      <c r="U336" t="s">
        <v>56</v>
      </c>
      <c r="V336" t="s">
        <v>35</v>
      </c>
      <c r="W336" t="s">
        <v>31</v>
      </c>
      <c r="X336" t="s">
        <v>31</v>
      </c>
    </row>
    <row r="337" spans="10:24" x14ac:dyDescent="0.25">
      <c r="J337" t="s">
        <v>99</v>
      </c>
      <c r="K337" t="s">
        <v>21</v>
      </c>
      <c r="L337" t="s">
        <v>35</v>
      </c>
      <c r="M337" t="s">
        <v>104</v>
      </c>
      <c r="N337" t="s">
        <v>232</v>
      </c>
      <c r="O337" t="s">
        <v>12</v>
      </c>
      <c r="Q337" t="s">
        <v>232</v>
      </c>
      <c r="R337" t="s">
        <v>82</v>
      </c>
      <c r="S337" t="s">
        <v>31</v>
      </c>
      <c r="T337" t="s">
        <v>552</v>
      </c>
      <c r="U337" t="s">
        <v>81</v>
      </c>
      <c r="V337" t="s">
        <v>56</v>
      </c>
      <c r="W337" t="s">
        <v>574</v>
      </c>
      <c r="X337" t="s">
        <v>122</v>
      </c>
    </row>
    <row r="338" spans="10:24" x14ac:dyDescent="0.25">
      <c r="J338" t="s">
        <v>82</v>
      </c>
      <c r="K338" t="s">
        <v>25</v>
      </c>
      <c r="L338" t="s">
        <v>553</v>
      </c>
      <c r="M338" t="s">
        <v>553</v>
      </c>
      <c r="N338" t="s">
        <v>37</v>
      </c>
      <c r="O338" t="s">
        <v>25</v>
      </c>
      <c r="Q338" t="s">
        <v>586</v>
      </c>
      <c r="R338" t="s">
        <v>12</v>
      </c>
      <c r="S338" t="s">
        <v>99</v>
      </c>
      <c r="T338" t="s">
        <v>31</v>
      </c>
      <c r="U338" t="s">
        <v>35</v>
      </c>
      <c r="V338" t="s">
        <v>26</v>
      </c>
      <c r="W338" t="s">
        <v>232</v>
      </c>
      <c r="X338" t="s">
        <v>7</v>
      </c>
    </row>
    <row r="339" spans="10:24" x14ac:dyDescent="0.25">
      <c r="J339" t="s">
        <v>87</v>
      </c>
      <c r="K339" t="s">
        <v>139</v>
      </c>
      <c r="L339" t="s">
        <v>99</v>
      </c>
      <c r="M339" t="s">
        <v>82</v>
      </c>
      <c r="N339" t="s">
        <v>586</v>
      </c>
      <c r="O339" t="s">
        <v>574</v>
      </c>
      <c r="Q339" t="s">
        <v>122</v>
      </c>
      <c r="R339" t="s">
        <v>1</v>
      </c>
      <c r="S339" t="s">
        <v>82</v>
      </c>
      <c r="T339" t="s">
        <v>574</v>
      </c>
      <c r="U339" t="s">
        <v>26</v>
      </c>
      <c r="V339" t="s">
        <v>81</v>
      </c>
      <c r="W339" t="s">
        <v>552</v>
      </c>
      <c r="X339" t="s">
        <v>87</v>
      </c>
    </row>
    <row r="340" spans="10:24" x14ac:dyDescent="0.25">
      <c r="J340" t="s">
        <v>139</v>
      </c>
      <c r="K340" t="s">
        <v>99</v>
      </c>
      <c r="L340" t="s">
        <v>587</v>
      </c>
      <c r="M340" t="s">
        <v>574</v>
      </c>
      <c r="N340" t="s">
        <v>574</v>
      </c>
      <c r="O340" t="s">
        <v>113</v>
      </c>
      <c r="Q340" t="s">
        <v>99</v>
      </c>
      <c r="R340" t="s">
        <v>49</v>
      </c>
      <c r="S340" t="s">
        <v>574</v>
      </c>
      <c r="T340" t="s">
        <v>15</v>
      </c>
      <c r="U340" t="s">
        <v>104</v>
      </c>
      <c r="V340" t="s">
        <v>12</v>
      </c>
      <c r="W340" t="s">
        <v>147</v>
      </c>
      <c r="X340" t="s">
        <v>147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915"/>
  <sheetViews>
    <sheetView topLeftCell="A733" workbookViewId="0">
      <selection activeCell="H886" sqref="H886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2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2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2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2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2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2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2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2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2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2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2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2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2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2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2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2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2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2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2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25">
      <c r="H872" s="74" t="s">
        <v>59</v>
      </c>
    </row>
    <row r="873" spans="8:8" x14ac:dyDescent="0.25">
      <c r="H873" s="74" t="s">
        <v>44</v>
      </c>
    </row>
    <row r="874" spans="8:8" x14ac:dyDescent="0.25">
      <c r="H874" s="3" t="s">
        <v>45</v>
      </c>
    </row>
    <row r="875" spans="8:8" x14ac:dyDescent="0.25">
      <c r="H875" s="3" t="s">
        <v>45</v>
      </c>
    </row>
    <row r="876" spans="8:8" x14ac:dyDescent="0.25">
      <c r="H876" s="11" t="s">
        <v>578</v>
      </c>
    </row>
    <row r="877" spans="8:8" x14ac:dyDescent="0.25">
      <c r="H877" s="3" t="s">
        <v>46</v>
      </c>
    </row>
    <row r="878" spans="8:8" x14ac:dyDescent="0.25">
      <c r="H878" s="74" t="s">
        <v>44</v>
      </c>
    </row>
    <row r="879" spans="8:8" x14ac:dyDescent="0.25">
      <c r="H879" s="3" t="s">
        <v>46</v>
      </c>
    </row>
    <row r="880" spans="8:8" x14ac:dyDescent="0.25">
      <c r="H880" s="3" t="s">
        <v>54</v>
      </c>
    </row>
    <row r="881" spans="8:8" x14ac:dyDescent="0.25">
      <c r="H881" s="57" t="s">
        <v>583</v>
      </c>
    </row>
    <row r="882" spans="8:8" x14ac:dyDescent="0.25">
      <c r="H882" s="3" t="s">
        <v>45</v>
      </c>
    </row>
    <row r="883" spans="8:8" x14ac:dyDescent="0.25">
      <c r="H883" s="3" t="s">
        <v>45</v>
      </c>
    </row>
    <row r="884" spans="8:8" x14ac:dyDescent="0.25">
      <c r="H884" s="57" t="s">
        <v>575</v>
      </c>
    </row>
    <row r="885" spans="8:8" x14ac:dyDescent="0.25">
      <c r="H885" s="3" t="s">
        <v>54</v>
      </c>
    </row>
    <row r="886" spans="8:8" x14ac:dyDescent="0.25">
      <c r="H886" s="3" t="s">
        <v>54</v>
      </c>
    </row>
    <row r="887" spans="8:8" x14ac:dyDescent="0.25">
      <c r="H887" s="74" t="s">
        <v>47</v>
      </c>
    </row>
    <row r="888" spans="8:8" x14ac:dyDescent="0.25">
      <c r="H888" s="3" t="s">
        <v>54</v>
      </c>
    </row>
    <row r="889" spans="8:8" x14ac:dyDescent="0.25">
      <c r="H889" s="3" t="s">
        <v>45</v>
      </c>
    </row>
    <row r="890" spans="8:8" x14ac:dyDescent="0.25">
      <c r="H890" s="57" t="s">
        <v>582</v>
      </c>
    </row>
    <row r="891" spans="8:8" x14ac:dyDescent="0.25">
      <c r="H891" s="3" t="s">
        <v>69</v>
      </c>
    </row>
    <row r="892" spans="8:8" x14ac:dyDescent="0.25">
      <c r="H892" s="3" t="s">
        <v>195</v>
      </c>
    </row>
    <row r="893" spans="8:8" x14ac:dyDescent="0.25">
      <c r="H893" s="3" t="s">
        <v>494</v>
      </c>
    </row>
    <row r="894" spans="8:8" x14ac:dyDescent="0.25">
      <c r="H894" s="3" t="s">
        <v>55</v>
      </c>
    </row>
    <row r="895" spans="8:8" x14ac:dyDescent="0.25">
      <c r="H895" s="57" t="s">
        <v>584</v>
      </c>
    </row>
    <row r="896" spans="8:8" x14ac:dyDescent="0.25">
      <c r="H896" s="3" t="s">
        <v>55</v>
      </c>
    </row>
    <row r="897" spans="8:8" x14ac:dyDescent="0.25">
      <c r="H897" s="3" t="s">
        <v>55</v>
      </c>
    </row>
    <row r="898" spans="8:8" x14ac:dyDescent="0.25">
      <c r="H898" s="57" t="s">
        <v>581</v>
      </c>
    </row>
    <row r="899" spans="8:8" x14ac:dyDescent="0.25">
      <c r="H899" s="3" t="s">
        <v>494</v>
      </c>
    </row>
    <row r="900" spans="8:8" x14ac:dyDescent="0.25">
      <c r="H900" s="3" t="s">
        <v>495</v>
      </c>
    </row>
    <row r="901" spans="8:8" x14ac:dyDescent="0.25">
      <c r="H901" s="3" t="s">
        <v>195</v>
      </c>
    </row>
    <row r="902" spans="8:8" x14ac:dyDescent="0.25">
      <c r="H902" s="3" t="s">
        <v>195</v>
      </c>
    </row>
    <row r="903" spans="8:8" x14ac:dyDescent="0.25">
      <c r="H903" s="3" t="s">
        <v>55</v>
      </c>
    </row>
    <row r="904" spans="8:8" x14ac:dyDescent="0.25">
      <c r="H904" s="3" t="s">
        <v>55</v>
      </c>
    </row>
    <row r="905" spans="8:8" x14ac:dyDescent="0.25">
      <c r="H905" s="57" t="s">
        <v>580</v>
      </c>
    </row>
    <row r="906" spans="8:8" x14ac:dyDescent="0.25">
      <c r="H906" s="3" t="s">
        <v>495</v>
      </c>
    </row>
    <row r="907" spans="8:8" x14ac:dyDescent="0.25">
      <c r="H907" s="3" t="s">
        <v>495</v>
      </c>
    </row>
    <row r="908" spans="8:8" x14ac:dyDescent="0.25">
      <c r="H908" s="3" t="s">
        <v>69</v>
      </c>
    </row>
    <row r="909" spans="8:8" x14ac:dyDescent="0.25">
      <c r="H909" s="3" t="s">
        <v>69</v>
      </c>
    </row>
    <row r="910" spans="8:8" x14ac:dyDescent="0.25">
      <c r="H910" s="3" t="s">
        <v>69</v>
      </c>
    </row>
    <row r="911" spans="8:8" x14ac:dyDescent="0.25">
      <c r="H911" s="3" t="s">
        <v>195</v>
      </c>
    </row>
    <row r="912" spans="8:8" x14ac:dyDescent="0.25">
      <c r="H912" s="3" t="s">
        <v>296</v>
      </c>
    </row>
    <row r="913" spans="8:8" x14ac:dyDescent="0.25">
      <c r="H913" s="57" t="s">
        <v>577</v>
      </c>
    </row>
    <row r="914" spans="8:8" x14ac:dyDescent="0.25">
      <c r="H914" s="75" t="s">
        <v>576</v>
      </c>
    </row>
    <row r="915" spans="8:8" x14ac:dyDescent="0.2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tabSelected="1" zoomScale="90" zoomScaleNormal="90" workbookViewId="0">
      <selection activeCell="E2" sqref="E2"/>
    </sheetView>
  </sheetViews>
  <sheetFormatPr defaultRowHeight="15" x14ac:dyDescent="0.25"/>
  <sheetData>
    <row r="1" spans="1:14 16384:16384" x14ac:dyDescent="0.25">
      <c r="A1" s="1">
        <v>46163</v>
      </c>
      <c r="B1" s="1">
        <v>46163</v>
      </c>
      <c r="C1" s="1">
        <v>46163</v>
      </c>
      <c r="D1" s="1">
        <v>46163</v>
      </c>
      <c r="E1" s="1">
        <v>46164</v>
      </c>
      <c r="F1" s="1">
        <v>46170</v>
      </c>
      <c r="G1" s="1">
        <v>46170</v>
      </c>
      <c r="H1" s="1">
        <v>46170</v>
      </c>
      <c r="I1" s="1">
        <v>46170</v>
      </c>
      <c r="J1" s="1"/>
      <c r="K1" s="1"/>
      <c r="L1" s="1"/>
      <c r="XFD1" s="1"/>
    </row>
    <row r="2" spans="1:14 16384:16384" x14ac:dyDescent="0.25">
      <c r="A2" t="s">
        <v>121</v>
      </c>
      <c r="B2" t="s">
        <v>28</v>
      </c>
      <c r="C2" t="s">
        <v>128</v>
      </c>
      <c r="D2" t="s">
        <v>15</v>
      </c>
    </row>
    <row r="3" spans="1:14 16384:16384" x14ac:dyDescent="0.25">
      <c r="A3" t="s">
        <v>7</v>
      </c>
      <c r="B3" t="s">
        <v>232</v>
      </c>
      <c r="C3" t="s">
        <v>56</v>
      </c>
      <c r="D3" t="s">
        <v>7</v>
      </c>
    </row>
    <row r="4" spans="1:14 16384:16384" x14ac:dyDescent="0.25">
      <c r="A4" t="s">
        <v>25</v>
      </c>
      <c r="B4" t="s">
        <v>35</v>
      </c>
      <c r="C4" t="s">
        <v>553</v>
      </c>
      <c r="D4" t="s">
        <v>21</v>
      </c>
    </row>
    <row r="5" spans="1:14 16384:16384" x14ac:dyDescent="0.25">
      <c r="A5" t="s">
        <v>35</v>
      </c>
      <c r="B5" t="s">
        <v>7</v>
      </c>
      <c r="C5" t="s">
        <v>122</v>
      </c>
      <c r="D5" t="s">
        <v>49</v>
      </c>
    </row>
    <row r="6" spans="1:14 16384:16384" x14ac:dyDescent="0.25">
      <c r="A6" t="s">
        <v>31</v>
      </c>
      <c r="B6" t="s">
        <v>31</v>
      </c>
      <c r="C6" t="s">
        <v>21</v>
      </c>
      <c r="D6" t="s">
        <v>56</v>
      </c>
    </row>
    <row r="7" spans="1:14 16384:16384" x14ac:dyDescent="0.25">
      <c r="A7" t="s">
        <v>28</v>
      </c>
      <c r="B7" t="s">
        <v>15</v>
      </c>
      <c r="C7" t="s">
        <v>49</v>
      </c>
      <c r="D7" t="s">
        <v>122</v>
      </c>
    </row>
    <row r="8" spans="1:14 16384:16384" x14ac:dyDescent="0.25">
      <c r="A8" t="s">
        <v>87</v>
      </c>
      <c r="B8" t="s">
        <v>87</v>
      </c>
      <c r="C8" t="s">
        <v>574</v>
      </c>
      <c r="D8" t="s">
        <v>29</v>
      </c>
    </row>
    <row r="9" spans="1:14 16384:16384" x14ac:dyDescent="0.25">
      <c r="A9" t="s">
        <v>123</v>
      </c>
      <c r="B9" t="s">
        <v>25</v>
      </c>
      <c r="C9" t="s">
        <v>7</v>
      </c>
      <c r="D9" t="s">
        <v>19</v>
      </c>
    </row>
    <row r="12" spans="1:14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4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14 16384:16384" x14ac:dyDescent="0.25">
      <c r="A14" s="18" t="s">
        <v>104</v>
      </c>
      <c r="B14" s="18">
        <v>126</v>
      </c>
      <c r="C14" s="18">
        <v>9</v>
      </c>
      <c r="D14" s="18">
        <f t="shared" si="0"/>
        <v>4.2777777777777777</v>
      </c>
      <c r="E14" s="18">
        <v>539</v>
      </c>
      <c r="F14" s="18">
        <f t="shared" si="1"/>
        <v>7.1428571428571425E-2</v>
      </c>
      <c r="G14" s="32">
        <v>2.3273733406281498</v>
      </c>
      <c r="I14" s="18" t="s">
        <v>104</v>
      </c>
      <c r="J14" s="18">
        <v>126</v>
      </c>
      <c r="K14" s="18">
        <v>9</v>
      </c>
      <c r="L14" s="18">
        <f t="shared" si="2"/>
        <v>4.2777777777777777</v>
      </c>
      <c r="M14" s="18">
        <v>539</v>
      </c>
      <c r="N14" s="18">
        <f t="shared" si="3"/>
        <v>7.1428571428571425E-2</v>
      </c>
    </row>
    <row r="15" spans="1:14 16384:16384" x14ac:dyDescent="0.25">
      <c r="A15" s="18" t="s">
        <v>31</v>
      </c>
      <c r="B15" s="18">
        <v>251</v>
      </c>
      <c r="C15" s="18">
        <v>18</v>
      </c>
      <c r="D15" s="18">
        <f t="shared" si="0"/>
        <v>5.0756972111553784</v>
      </c>
      <c r="E15" s="18">
        <v>1274</v>
      </c>
      <c r="F15" s="18">
        <f t="shared" si="1"/>
        <v>7.1713147410358571E-2</v>
      </c>
      <c r="G15" s="32">
        <v>1.87082869338697</v>
      </c>
      <c r="I15" s="18" t="s">
        <v>31</v>
      </c>
      <c r="J15" s="18">
        <v>251</v>
      </c>
      <c r="K15" s="18">
        <v>18</v>
      </c>
      <c r="L15" s="18">
        <f t="shared" si="2"/>
        <v>5.0756972111553784</v>
      </c>
      <c r="M15" s="18">
        <v>1274</v>
      </c>
      <c r="N15" s="18">
        <f t="shared" si="3"/>
        <v>7.1713147410358571E-2</v>
      </c>
    </row>
    <row r="16" spans="1:14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14" x14ac:dyDescent="0.25">
      <c r="A17" s="18" t="s">
        <v>128</v>
      </c>
      <c r="B17" s="18">
        <v>111</v>
      </c>
      <c r="C17" s="18">
        <v>35</v>
      </c>
      <c r="D17" s="18">
        <f t="shared" si="0"/>
        <v>3.2162162162162162</v>
      </c>
      <c r="E17" s="18">
        <v>357</v>
      </c>
      <c r="F17" s="18">
        <f t="shared" si="1"/>
        <v>0.31531531531531531</v>
      </c>
      <c r="G17" s="32">
        <v>2.03049835952651</v>
      </c>
      <c r="I17" s="18" t="s">
        <v>128</v>
      </c>
      <c r="J17" s="18">
        <v>111</v>
      </c>
      <c r="K17" s="18">
        <v>35</v>
      </c>
      <c r="L17" s="18">
        <f t="shared" si="4"/>
        <v>3.2162162162162162</v>
      </c>
      <c r="M17" s="18">
        <v>357</v>
      </c>
      <c r="N17" s="18">
        <f t="shared" si="5"/>
        <v>0.31531531531531531</v>
      </c>
    </row>
    <row r="18" spans="1:1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" si="6">M18/J18</f>
        <v>4.4285714285714288</v>
      </c>
      <c r="M18" s="18">
        <v>217</v>
      </c>
      <c r="N18" s="18">
        <f t="shared" ref="N18" si="7">K18/J18</f>
        <v>0.12244897959183673</v>
      </c>
    </row>
    <row r="19" spans="1:14" x14ac:dyDescent="0.25">
      <c r="A19" t="s">
        <v>37</v>
      </c>
      <c r="B19">
        <v>29</v>
      </c>
      <c r="C19">
        <v>2</v>
      </c>
      <c r="D19">
        <f t="shared" si="0"/>
        <v>5</v>
      </c>
      <c r="E19">
        <v>145</v>
      </c>
      <c r="F19">
        <f t="shared" si="1"/>
        <v>6.8965517241379309E-2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8">M20/J20</f>
        <v>5.6</v>
      </c>
      <c r="M20" s="73">
        <v>168</v>
      </c>
      <c r="N20" s="73">
        <f t="shared" ref="N20" si="9">K20/J20</f>
        <v>0.1</v>
      </c>
    </row>
    <row r="21" spans="1:1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19</v>
      </c>
      <c r="J22" s="18">
        <v>37</v>
      </c>
      <c r="K22" s="18">
        <v>3</v>
      </c>
      <c r="L22" s="18">
        <f t="shared" ref="L22" si="10">M22/J22</f>
        <v>5.0270270270270272</v>
      </c>
      <c r="M22" s="18">
        <v>186</v>
      </c>
      <c r="N22" s="18">
        <f t="shared" ref="N22" si="11">K22/J22</f>
        <v>8.1081081081081086E-2</v>
      </c>
    </row>
    <row r="23" spans="1:14" x14ac:dyDescent="0.25">
      <c r="A23" s="18" t="s">
        <v>19</v>
      </c>
      <c r="B23" s="18">
        <v>37</v>
      </c>
      <c r="C23" s="18">
        <v>3</v>
      </c>
      <c r="D23" s="18">
        <f t="shared" si="0"/>
        <v>5.0270270270270272</v>
      </c>
      <c r="E23" s="18">
        <v>186</v>
      </c>
      <c r="F23" s="18">
        <f t="shared" si="1"/>
        <v>8.1081081081081086E-2</v>
      </c>
      <c r="G23" s="32">
        <v>2.3299294900428702</v>
      </c>
      <c r="I23" s="18" t="s">
        <v>25</v>
      </c>
      <c r="J23" s="18">
        <v>221</v>
      </c>
      <c r="K23" s="18">
        <v>21</v>
      </c>
      <c r="L23" s="18">
        <f t="shared" ref="L22:L23" si="12">M23/J23</f>
        <v>5.0271493212669682</v>
      </c>
      <c r="M23" s="18">
        <v>1111</v>
      </c>
      <c r="N23" s="18">
        <f t="shared" ref="N22:N23" si="13">K23/J23</f>
        <v>9.5022624434389136E-2</v>
      </c>
    </row>
    <row r="24" spans="1:14" x14ac:dyDescent="0.25">
      <c r="A24" t="s">
        <v>56</v>
      </c>
      <c r="B24">
        <v>28</v>
      </c>
      <c r="C24">
        <v>0</v>
      </c>
      <c r="D24">
        <f t="shared" si="0"/>
        <v>4.9642857142857144</v>
      </c>
      <c r="E24">
        <v>139</v>
      </c>
      <c r="F24">
        <f t="shared" si="1"/>
        <v>0</v>
      </c>
      <c r="G24" s="32">
        <v>2.0655911179772799</v>
      </c>
      <c r="I24" s="18" t="s">
        <v>34</v>
      </c>
      <c r="J24" s="18">
        <v>30</v>
      </c>
      <c r="K24" s="18">
        <v>2</v>
      </c>
      <c r="L24" s="18">
        <f t="shared" ref="L24:L26" si="14">M24/J24</f>
        <v>5.5333333333333332</v>
      </c>
      <c r="M24" s="18">
        <v>166</v>
      </c>
      <c r="N24" s="18">
        <f t="shared" ref="N24:N26" si="15">K24/J24</f>
        <v>6.6666666666666666E-2</v>
      </c>
    </row>
    <row r="25" spans="1:1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147</v>
      </c>
      <c r="J25" s="18">
        <v>133</v>
      </c>
      <c r="K25" s="18">
        <v>27</v>
      </c>
      <c r="L25" s="18">
        <f t="shared" si="14"/>
        <v>3.7218045112781954</v>
      </c>
      <c r="M25" s="18">
        <v>495</v>
      </c>
      <c r="N25" s="18">
        <f t="shared" si="15"/>
        <v>0.20300751879699247</v>
      </c>
    </row>
    <row r="26" spans="1:14" x14ac:dyDescent="0.2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87</v>
      </c>
      <c r="J26" s="18">
        <v>170</v>
      </c>
      <c r="K26" s="18">
        <v>21</v>
      </c>
      <c r="L26" s="18">
        <f t="shared" si="14"/>
        <v>4.9882352941176471</v>
      </c>
      <c r="M26" s="18">
        <v>848</v>
      </c>
      <c r="N26" s="18">
        <f t="shared" si="15"/>
        <v>0.12352941176470589</v>
      </c>
    </row>
    <row r="27" spans="1:14" x14ac:dyDescent="0.25">
      <c r="A27" s="18" t="s">
        <v>25</v>
      </c>
      <c r="B27" s="18">
        <v>221</v>
      </c>
      <c r="C27" s="18">
        <v>21</v>
      </c>
      <c r="D27" s="18">
        <f t="shared" si="0"/>
        <v>5.0271493212669682</v>
      </c>
      <c r="E27" s="18">
        <v>1111</v>
      </c>
      <c r="F27" s="18">
        <f t="shared" si="1"/>
        <v>9.5022624434389136E-2</v>
      </c>
      <c r="G27" s="32">
        <v>2.1609054109613202</v>
      </c>
      <c r="I27" s="18" t="s">
        <v>50</v>
      </c>
      <c r="J27" s="18">
        <v>30</v>
      </c>
      <c r="K27" s="18">
        <v>1</v>
      </c>
      <c r="L27" s="18">
        <f t="shared" ref="L27:L28" si="16">M27/J27</f>
        <v>4.3</v>
      </c>
      <c r="M27" s="18">
        <v>129</v>
      </c>
      <c r="N27" s="18">
        <f t="shared" ref="N27:N28" si="17">K27/J27</f>
        <v>3.3333333333333333E-2</v>
      </c>
    </row>
    <row r="28" spans="1:1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81</v>
      </c>
      <c r="J28" s="18">
        <v>83</v>
      </c>
      <c r="K28" s="18">
        <v>6</v>
      </c>
      <c r="L28" s="18">
        <f t="shared" si="16"/>
        <v>5.1084337349397586</v>
      </c>
      <c r="M28" s="18">
        <v>424</v>
      </c>
      <c r="N28" s="18">
        <f t="shared" si="17"/>
        <v>7.2289156626506021E-2</v>
      </c>
    </row>
    <row r="29" spans="1:14" x14ac:dyDescent="0.25">
      <c r="A29" s="18" t="s">
        <v>147</v>
      </c>
      <c r="B29" s="18">
        <v>133</v>
      </c>
      <c r="C29" s="18">
        <v>27</v>
      </c>
      <c r="D29" s="18">
        <f t="shared" si="0"/>
        <v>3.7218045112781954</v>
      </c>
      <c r="E29" s="18">
        <v>495</v>
      </c>
      <c r="F29" s="18">
        <f t="shared" si="1"/>
        <v>0.20300751879699247</v>
      </c>
      <c r="G29" s="32">
        <v>1.94935886896179</v>
      </c>
      <c r="I29" s="18" t="s">
        <v>36</v>
      </c>
      <c r="J29" s="18">
        <v>30</v>
      </c>
      <c r="K29" s="18">
        <v>0</v>
      </c>
      <c r="L29" s="18">
        <f t="shared" ref="L29" si="18">M29/J29</f>
        <v>4.5333333333333332</v>
      </c>
      <c r="M29" s="18">
        <v>136</v>
      </c>
      <c r="N29" s="18">
        <f t="shared" ref="N29" si="19">K29/J29</f>
        <v>0</v>
      </c>
    </row>
    <row r="30" spans="1:14" x14ac:dyDescent="0.25">
      <c r="A30" s="18" t="s">
        <v>87</v>
      </c>
      <c r="B30" s="18">
        <v>170</v>
      </c>
      <c r="C30" s="18">
        <v>21</v>
      </c>
      <c r="D30" s="18">
        <f t="shared" si="0"/>
        <v>4.9882352941176471</v>
      </c>
      <c r="E30" s="18">
        <v>848</v>
      </c>
      <c r="F30" s="18">
        <f t="shared" si="1"/>
        <v>0.12352941176470589</v>
      </c>
      <c r="G30" s="32">
        <v>1.7888543819998299</v>
      </c>
      <c r="I30" s="18" t="s">
        <v>112</v>
      </c>
      <c r="J30" s="18">
        <v>30</v>
      </c>
      <c r="K30" s="18">
        <v>6</v>
      </c>
      <c r="L30" s="18">
        <f t="shared" ref="L30" si="20">M30/J30</f>
        <v>4.166666666666667</v>
      </c>
      <c r="M30" s="18">
        <v>125</v>
      </c>
      <c r="N30" s="18">
        <f t="shared" ref="N30" si="21">K30/J30</f>
        <v>0.2</v>
      </c>
    </row>
    <row r="31" spans="1:1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27</v>
      </c>
      <c r="J31" s="18">
        <v>36</v>
      </c>
      <c r="K31" s="18">
        <v>3</v>
      </c>
      <c r="L31" s="18">
        <f>M31/J31</f>
        <v>4.4444444444444446</v>
      </c>
      <c r="M31" s="18">
        <v>160</v>
      </c>
      <c r="N31" s="18">
        <f>K31/J31</f>
        <v>8.3333333333333329E-2</v>
      </c>
    </row>
    <row r="32" spans="1:14" x14ac:dyDescent="0.2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117</v>
      </c>
      <c r="J32" s="18">
        <v>32</v>
      </c>
      <c r="K32" s="18">
        <v>6</v>
      </c>
      <c r="L32" s="18">
        <f t="shared" ref="L32:L34" si="22">M32/J32</f>
        <v>4.25</v>
      </c>
      <c r="M32" s="18">
        <v>136</v>
      </c>
      <c r="N32" s="18">
        <f t="shared" ref="N32:N34" si="23">K32/J32</f>
        <v>0.1875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401</v>
      </c>
      <c r="J33" s="18">
        <v>69</v>
      </c>
      <c r="K33" s="18">
        <v>3</v>
      </c>
      <c r="L33" s="18">
        <f t="shared" si="22"/>
        <v>5.3913043478260869</v>
      </c>
      <c r="M33" s="18">
        <v>372</v>
      </c>
      <c r="N33" s="18">
        <f t="shared" si="23"/>
        <v>4.3478260869565216E-2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15</v>
      </c>
      <c r="J34" s="18">
        <v>267</v>
      </c>
      <c r="K34" s="18">
        <v>40</v>
      </c>
      <c r="L34" s="18">
        <f t="shared" si="22"/>
        <v>4.6104868913857677</v>
      </c>
      <c r="M34" s="18">
        <v>1231</v>
      </c>
      <c r="N34" s="18">
        <f t="shared" si="23"/>
        <v>0.14981273408239701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13</v>
      </c>
      <c r="J35" s="18">
        <v>36</v>
      </c>
      <c r="K35" s="18">
        <v>2</v>
      </c>
      <c r="L35" s="18">
        <f>M35/J35</f>
        <v>4.7222222222222223</v>
      </c>
      <c r="M35" s="18">
        <v>170</v>
      </c>
      <c r="N35" s="18">
        <f>K35/J35</f>
        <v>5.5555555555555552E-2</v>
      </c>
    </row>
    <row r="36" spans="1:14" x14ac:dyDescent="0.25">
      <c r="A36" s="18" t="s">
        <v>117</v>
      </c>
      <c r="B36" s="18">
        <v>32</v>
      </c>
      <c r="C36" s="18">
        <v>6</v>
      </c>
      <c r="D36" s="18">
        <f t="shared" si="0"/>
        <v>4.25</v>
      </c>
      <c r="E36" s="18">
        <v>136</v>
      </c>
      <c r="F36" s="18">
        <f t="shared" si="1"/>
        <v>0.1875</v>
      </c>
      <c r="G36" s="32">
        <v>2.7284509239574799</v>
      </c>
      <c r="I36" s="18" t="s">
        <v>10</v>
      </c>
      <c r="J36" s="18">
        <v>73</v>
      </c>
      <c r="K36" s="18">
        <v>13</v>
      </c>
      <c r="L36" s="18">
        <f t="shared" ref="L36" si="24">M36/J36</f>
        <v>3.9452054794520546</v>
      </c>
      <c r="M36" s="18">
        <v>288</v>
      </c>
      <c r="N36" s="18">
        <f t="shared" ref="N36" si="25">K36/J36</f>
        <v>0.17808219178082191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63</v>
      </c>
      <c r="J37" s="18">
        <v>30</v>
      </c>
      <c r="K37" s="18">
        <v>5</v>
      </c>
      <c r="L37" s="18">
        <f t="shared" ref="L37" si="26">M37/J37</f>
        <v>4.2333333333333334</v>
      </c>
      <c r="M37" s="18">
        <v>127</v>
      </c>
      <c r="N37" s="18">
        <f t="shared" ref="N37" si="27">K37/J37</f>
        <v>0.16666666666666666</v>
      </c>
    </row>
    <row r="38" spans="1:14" x14ac:dyDescent="0.2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4</v>
      </c>
      <c r="J38" s="18">
        <v>30</v>
      </c>
      <c r="K38" s="18">
        <v>4</v>
      </c>
      <c r="L38" s="18">
        <f t="shared" ref="L38:L42" si="28">M38/J38</f>
        <v>4.8</v>
      </c>
      <c r="M38" s="18">
        <v>144</v>
      </c>
      <c r="N38" s="18">
        <f t="shared" ref="N38:N42" si="29">K38/J38</f>
        <v>0.13333333333333333</v>
      </c>
    </row>
    <row r="39" spans="1:14" x14ac:dyDescent="0.25">
      <c r="A39" s="18" t="s">
        <v>15</v>
      </c>
      <c r="B39" s="18">
        <v>267</v>
      </c>
      <c r="C39" s="18">
        <v>40</v>
      </c>
      <c r="D39" s="18">
        <f t="shared" si="0"/>
        <v>4.6104868913857677</v>
      </c>
      <c r="E39" s="18">
        <v>1231</v>
      </c>
      <c r="F39" s="18">
        <f t="shared" si="1"/>
        <v>0.14981273408239701</v>
      </c>
      <c r="G39" s="32">
        <v>2.3694389634605302</v>
      </c>
      <c r="I39" s="18" t="s">
        <v>121</v>
      </c>
      <c r="J39" s="18">
        <v>102</v>
      </c>
      <c r="K39" s="18">
        <v>23</v>
      </c>
      <c r="L39" s="18">
        <f t="shared" si="28"/>
        <v>3.8529411764705883</v>
      </c>
      <c r="M39" s="18">
        <v>393</v>
      </c>
      <c r="N39" s="18">
        <f t="shared" si="29"/>
        <v>0.22549019607843138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232</v>
      </c>
      <c r="J40" s="18">
        <v>156</v>
      </c>
      <c r="K40" s="18">
        <v>33</v>
      </c>
      <c r="L40" s="18">
        <f t="shared" si="28"/>
        <v>3.5897435897435899</v>
      </c>
      <c r="M40" s="18">
        <v>560</v>
      </c>
      <c r="N40" s="18">
        <f t="shared" si="29"/>
        <v>0.21153846153846154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21</v>
      </c>
      <c r="J41" s="18">
        <v>175</v>
      </c>
      <c r="K41" s="18">
        <v>25</v>
      </c>
      <c r="L41" s="18">
        <f t="shared" si="28"/>
        <v>4.3142857142857141</v>
      </c>
      <c r="M41" s="18">
        <v>755</v>
      </c>
      <c r="N41" s="18">
        <f t="shared" si="29"/>
        <v>0.14285714285714285</v>
      </c>
    </row>
    <row r="42" spans="1:14" x14ac:dyDescent="0.2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51</v>
      </c>
      <c r="J42" s="18">
        <v>47</v>
      </c>
      <c r="K42" s="18">
        <v>4</v>
      </c>
      <c r="L42" s="18">
        <f t="shared" si="28"/>
        <v>4.8085106382978724</v>
      </c>
      <c r="M42" s="18">
        <v>226</v>
      </c>
      <c r="N42" s="18">
        <f t="shared" si="29"/>
        <v>8.5106382978723402E-2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414</v>
      </c>
      <c r="J43" s="18">
        <v>30</v>
      </c>
      <c r="K43" s="18">
        <v>4</v>
      </c>
      <c r="L43" s="18">
        <f t="shared" ref="L43" si="30">M43/J43</f>
        <v>4.6333333333333337</v>
      </c>
      <c r="M43" s="18">
        <v>139</v>
      </c>
      <c r="N43" s="18">
        <f t="shared" ref="N43" si="31">K43/J43</f>
        <v>0.13333333333333333</v>
      </c>
    </row>
    <row r="44" spans="1:14" x14ac:dyDescent="0.25">
      <c r="A44" s="18" t="s">
        <v>121</v>
      </c>
      <c r="B44" s="18">
        <v>102</v>
      </c>
      <c r="C44" s="18">
        <v>23</v>
      </c>
      <c r="D44" s="18">
        <f t="shared" si="0"/>
        <v>3.8529411764705883</v>
      </c>
      <c r="E44" s="18">
        <v>393</v>
      </c>
      <c r="F44" s="18">
        <f t="shared" si="1"/>
        <v>0.22549019607843138</v>
      </c>
      <c r="G44" s="32">
        <v>2.2233267457082899</v>
      </c>
      <c r="I44" s="18" t="s">
        <v>0</v>
      </c>
      <c r="J44" s="18">
        <v>84</v>
      </c>
      <c r="K44" s="18">
        <v>14</v>
      </c>
      <c r="L44" s="18">
        <f>M44/J44</f>
        <v>4.1547619047619051</v>
      </c>
      <c r="M44" s="18">
        <v>349</v>
      </c>
      <c r="N44" s="18">
        <f>K44/J44</f>
        <v>0.16666666666666666</v>
      </c>
    </row>
    <row r="45" spans="1:14" x14ac:dyDescent="0.25">
      <c r="A45" s="18" t="s">
        <v>232</v>
      </c>
      <c r="B45" s="18">
        <v>156</v>
      </c>
      <c r="C45" s="18">
        <v>33</v>
      </c>
      <c r="D45" s="18">
        <f t="shared" si="0"/>
        <v>3.5897435897435899</v>
      </c>
      <c r="E45" s="18">
        <v>560</v>
      </c>
      <c r="F45" s="18">
        <f t="shared" si="1"/>
        <v>0.21153846153846154</v>
      </c>
      <c r="G45" s="32">
        <v>2.2509257354845502</v>
      </c>
      <c r="I45" s="18" t="s">
        <v>1</v>
      </c>
      <c r="J45" s="18">
        <v>115</v>
      </c>
      <c r="K45" s="18">
        <v>6</v>
      </c>
      <c r="L45" s="18">
        <f t="shared" ref="L45:L47" si="32">M45/J45</f>
        <v>4.6260869565217391</v>
      </c>
      <c r="M45" s="18">
        <v>532</v>
      </c>
      <c r="N45" s="18">
        <f t="shared" ref="N45:N47" si="33">K45/J45</f>
        <v>5.2173913043478258E-2</v>
      </c>
    </row>
    <row r="46" spans="1:14" x14ac:dyDescent="0.25">
      <c r="A46" s="18" t="s">
        <v>21</v>
      </c>
      <c r="B46" s="18">
        <v>175</v>
      </c>
      <c r="C46" s="18">
        <v>25</v>
      </c>
      <c r="D46" s="18">
        <f t="shared" si="0"/>
        <v>4.3142857142857141</v>
      </c>
      <c r="E46" s="18">
        <v>755</v>
      </c>
      <c r="F46" s="18">
        <f t="shared" si="1"/>
        <v>0.14285714285714285</v>
      </c>
      <c r="G46" s="32">
        <v>2.0655911179772799</v>
      </c>
      <c r="I46" s="18" t="s">
        <v>28</v>
      </c>
      <c r="J46" s="18">
        <v>71</v>
      </c>
      <c r="K46" s="18">
        <v>3</v>
      </c>
      <c r="L46" s="18">
        <f t="shared" si="32"/>
        <v>5.408450704225352</v>
      </c>
      <c r="M46" s="18">
        <v>384</v>
      </c>
      <c r="N46" s="18">
        <f t="shared" si="33"/>
        <v>4.2253521126760563E-2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253</v>
      </c>
      <c r="J47" s="18">
        <v>53</v>
      </c>
      <c r="K47" s="18">
        <v>3</v>
      </c>
      <c r="L47" s="18">
        <f t="shared" si="32"/>
        <v>5.5283018867924527</v>
      </c>
      <c r="M47" s="18">
        <v>293</v>
      </c>
      <c r="N47" s="18">
        <f t="shared" si="33"/>
        <v>5.6603773584905662E-2</v>
      </c>
    </row>
    <row r="48" spans="1:14" x14ac:dyDescent="0.25">
      <c r="A48" s="18" t="s">
        <v>414</v>
      </c>
      <c r="B48" s="18">
        <v>30</v>
      </c>
      <c r="C48" s="18">
        <v>4</v>
      </c>
      <c r="D48" s="18">
        <f t="shared" si="0"/>
        <v>4.6333333333333337</v>
      </c>
      <c r="E48" s="18">
        <v>139</v>
      </c>
      <c r="F48" s="18">
        <f t="shared" si="1"/>
        <v>0.13333333333333333</v>
      </c>
      <c r="G48" s="32">
        <v>2.8702082220799299</v>
      </c>
      <c r="I48" s="18" t="s">
        <v>175</v>
      </c>
      <c r="J48" s="18">
        <v>57</v>
      </c>
      <c r="K48" s="18">
        <v>15</v>
      </c>
      <c r="L48" s="18">
        <f t="shared" ref="L46:L49" si="34">M48/J48</f>
        <v>3.3157894736842106</v>
      </c>
      <c r="M48" s="18">
        <v>189</v>
      </c>
      <c r="N48" s="18">
        <f t="shared" ref="N46:N48" si="35">K48/J48</f>
        <v>0.26315789473684209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61</v>
      </c>
      <c r="J49" s="18">
        <v>58</v>
      </c>
      <c r="K49" s="18">
        <v>10</v>
      </c>
      <c r="L49" s="18">
        <f t="shared" si="34"/>
        <v>4.5862068965517242</v>
      </c>
      <c r="M49" s="18">
        <v>266</v>
      </c>
      <c r="N49" s="18">
        <f>K49/J49</f>
        <v>0.17241379310344829</v>
      </c>
    </row>
    <row r="50" spans="1:14" x14ac:dyDescent="0.2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115</v>
      </c>
      <c r="J50" s="18">
        <v>39</v>
      </c>
      <c r="K50" s="18">
        <v>3</v>
      </c>
      <c r="L50" s="18">
        <f t="shared" ref="L50:L51" si="36">M50/J50</f>
        <v>4.384615384615385</v>
      </c>
      <c r="M50" s="18">
        <v>171</v>
      </c>
      <c r="N50" s="18">
        <f t="shared" ref="N50:N51" si="37">K50/J50</f>
        <v>7.6923076923076927E-2</v>
      </c>
    </row>
    <row r="51" spans="1:14" x14ac:dyDescent="0.25">
      <c r="A51" s="18" t="s">
        <v>28</v>
      </c>
      <c r="B51" s="18">
        <v>71</v>
      </c>
      <c r="C51" s="18">
        <v>3</v>
      </c>
      <c r="D51" s="18">
        <f t="shared" si="0"/>
        <v>5.408450704225352</v>
      </c>
      <c r="E51" s="18">
        <v>384</v>
      </c>
      <c r="F51" s="18">
        <f t="shared" si="1"/>
        <v>4.2253521126760563E-2</v>
      </c>
      <c r="G51" s="32">
        <v>1.30384048104052</v>
      </c>
      <c r="I51" s="18" t="s">
        <v>24</v>
      </c>
      <c r="J51" s="18">
        <v>101</v>
      </c>
      <c r="K51" s="18">
        <v>12</v>
      </c>
      <c r="L51" s="18">
        <f t="shared" si="36"/>
        <v>4.5247524752475243</v>
      </c>
      <c r="M51" s="18">
        <v>457</v>
      </c>
      <c r="N51" s="18">
        <f t="shared" si="37"/>
        <v>0.11881188118811881</v>
      </c>
    </row>
    <row r="52" spans="1:14" x14ac:dyDescent="0.25">
      <c r="A52" s="18" t="s">
        <v>253</v>
      </c>
      <c r="B52" s="18">
        <v>53</v>
      </c>
      <c r="C52" s="18">
        <v>3</v>
      </c>
      <c r="D52" s="18">
        <f t="shared" si="0"/>
        <v>5.5283018867924527</v>
      </c>
      <c r="E52" s="18">
        <v>293</v>
      </c>
      <c r="F52" s="18">
        <f t="shared" si="1"/>
        <v>5.6603773584905662E-2</v>
      </c>
      <c r="G52" s="32"/>
      <c r="I52" s="18" t="s">
        <v>116</v>
      </c>
      <c r="J52" s="18">
        <v>30</v>
      </c>
      <c r="K52" s="18">
        <v>5</v>
      </c>
      <c r="L52" s="18">
        <f t="shared" ref="L52" si="38">M52/J52</f>
        <v>4.0666666666666664</v>
      </c>
      <c r="M52" s="18">
        <v>122</v>
      </c>
      <c r="N52" s="18">
        <f t="shared" ref="N52" si="39">K52/J52</f>
        <v>0.16666666666666666</v>
      </c>
    </row>
    <row r="53" spans="1:14" x14ac:dyDescent="0.25">
      <c r="A53" s="18" t="s">
        <v>175</v>
      </c>
      <c r="B53" s="18">
        <v>57</v>
      </c>
      <c r="C53" s="18">
        <v>15</v>
      </c>
      <c r="D53" s="18">
        <f t="shared" si="0"/>
        <v>3.3157894736842106</v>
      </c>
      <c r="E53" s="18">
        <v>189</v>
      </c>
      <c r="F53" s="18">
        <f t="shared" si="1"/>
        <v>0.26315789473684209</v>
      </c>
      <c r="G53" s="32">
        <v>2</v>
      </c>
      <c r="I53" s="18" t="s">
        <v>5</v>
      </c>
      <c r="J53" s="18">
        <v>31</v>
      </c>
      <c r="K53" s="18">
        <v>1</v>
      </c>
      <c r="L53" s="18">
        <f t="shared" ref="L53" si="40">M53/J53</f>
        <v>4.612903225806452</v>
      </c>
      <c r="M53" s="18">
        <v>143</v>
      </c>
      <c r="N53" s="18">
        <f t="shared" ref="N53" si="41">K53/J53</f>
        <v>3.2258064516129031E-2</v>
      </c>
    </row>
    <row r="54" spans="1:14" x14ac:dyDescent="0.25">
      <c r="A54" s="18" t="s">
        <v>61</v>
      </c>
      <c r="B54" s="18">
        <v>58</v>
      </c>
      <c r="C54" s="18">
        <v>10</v>
      </c>
      <c r="D54" s="18">
        <f t="shared" si="0"/>
        <v>4.5862068965517242</v>
      </c>
      <c r="E54" s="18">
        <v>266</v>
      </c>
      <c r="F54" s="18">
        <f>C54/B54</f>
        <v>0.17241379310344829</v>
      </c>
      <c r="G54" s="32">
        <v>3.2403703492039302</v>
      </c>
      <c r="I54" s="18" t="s">
        <v>58</v>
      </c>
      <c r="J54" s="18">
        <v>30</v>
      </c>
      <c r="K54" s="18">
        <v>6</v>
      </c>
      <c r="L54" s="18">
        <f t="shared" ref="L54:L56" si="42">M54/J54</f>
        <v>3.7</v>
      </c>
      <c r="M54" s="18">
        <v>111</v>
      </c>
      <c r="N54" s="18">
        <f t="shared" ref="N54:N56" si="43">K54/J54</f>
        <v>0.2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30</v>
      </c>
      <c r="J55" s="18">
        <v>63</v>
      </c>
      <c r="K55" s="18">
        <v>5</v>
      </c>
      <c r="L55" s="18">
        <f t="shared" si="42"/>
        <v>5.1428571428571432</v>
      </c>
      <c r="M55" s="18">
        <v>324</v>
      </c>
      <c r="N55" s="18">
        <f t="shared" si="43"/>
        <v>7.9365079365079361E-2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29</v>
      </c>
      <c r="J56" s="18">
        <v>130</v>
      </c>
      <c r="K56" s="18">
        <v>18</v>
      </c>
      <c r="L56" s="18">
        <f t="shared" si="42"/>
        <v>4.0153846153846153</v>
      </c>
      <c r="M56" s="18">
        <v>522</v>
      </c>
      <c r="N56" s="18">
        <f t="shared" si="43"/>
        <v>0.13846153846153847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148</v>
      </c>
      <c r="J57" s="18">
        <v>42</v>
      </c>
      <c r="K57" s="18">
        <v>8</v>
      </c>
      <c r="L57" s="18">
        <f t="shared" ref="L57" si="44">M57/J57</f>
        <v>3.7380952380952381</v>
      </c>
      <c r="M57" s="18">
        <v>157</v>
      </c>
      <c r="N57" s="18">
        <f t="shared" ref="N57" si="45">K57/J57</f>
        <v>0.19047619047619047</v>
      </c>
    </row>
    <row r="58" spans="1:14" x14ac:dyDescent="0.2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9</v>
      </c>
      <c r="J58" s="18">
        <v>30</v>
      </c>
      <c r="K58" s="18">
        <v>3</v>
      </c>
      <c r="L58" s="18">
        <f t="shared" ref="L58" si="46">M58/J58</f>
        <v>3.8</v>
      </c>
      <c r="M58" s="18">
        <v>114</v>
      </c>
      <c r="N58" s="18">
        <f t="shared" ref="N58" si="47">K58/J58</f>
        <v>0.1</v>
      </c>
    </row>
    <row r="59" spans="1:14" x14ac:dyDescent="0.2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139</v>
      </c>
      <c r="J59" s="18">
        <v>30</v>
      </c>
      <c r="K59" s="18">
        <v>4</v>
      </c>
      <c r="L59" s="18">
        <f t="shared" ref="L59" si="48">M59/J59</f>
        <v>4.2666666666666666</v>
      </c>
      <c r="M59" s="18">
        <v>128</v>
      </c>
      <c r="N59" s="18">
        <f t="shared" ref="N59" si="49">K59/J59</f>
        <v>0.13333333333333333</v>
      </c>
    </row>
    <row r="60" spans="1:14" x14ac:dyDescent="0.2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428</v>
      </c>
      <c r="J60" s="18">
        <v>31</v>
      </c>
      <c r="K60" s="18">
        <v>5</v>
      </c>
      <c r="L60" s="18">
        <f>M60/J60</f>
        <v>4.096774193548387</v>
      </c>
      <c r="M60" s="18">
        <v>127</v>
      </c>
      <c r="N60" s="18">
        <f>K60/J60</f>
        <v>0.16129032258064516</v>
      </c>
    </row>
    <row r="61" spans="1:14" x14ac:dyDescent="0.2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17</v>
      </c>
      <c r="J61" s="18">
        <v>30</v>
      </c>
      <c r="K61" s="18">
        <v>2</v>
      </c>
      <c r="L61" s="18">
        <f t="shared" ref="L61" si="50">M61/J61</f>
        <v>5.0999999999999996</v>
      </c>
      <c r="M61" s="18">
        <v>153</v>
      </c>
      <c r="N61" s="18">
        <f t="shared" ref="N61" si="51">K61/J61</f>
        <v>6.6666666666666666E-2</v>
      </c>
    </row>
    <row r="62" spans="1:14" x14ac:dyDescent="0.25">
      <c r="A62" s="18" t="s">
        <v>29</v>
      </c>
      <c r="B62" s="18">
        <v>130</v>
      </c>
      <c r="C62" s="18">
        <v>18</v>
      </c>
      <c r="D62" s="18">
        <f t="shared" si="0"/>
        <v>4.0153846153846153</v>
      </c>
      <c r="E62" s="18">
        <v>522</v>
      </c>
      <c r="F62" s="18">
        <f t="shared" si="1"/>
        <v>0.13846153846153847</v>
      </c>
      <c r="G62" s="32">
        <v>2.0875571218153701</v>
      </c>
      <c r="I62" s="18" t="s">
        <v>79</v>
      </c>
      <c r="J62" s="18">
        <v>54</v>
      </c>
      <c r="K62" s="18">
        <v>6</v>
      </c>
      <c r="L62" s="18">
        <f t="shared" ref="L62:L63" si="52">M62/J62</f>
        <v>4.6296296296296298</v>
      </c>
      <c r="M62" s="18">
        <v>250</v>
      </c>
      <c r="N62" s="18">
        <f t="shared" ref="N62:N63" si="53">K62/J62</f>
        <v>0.1111111111111111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123</v>
      </c>
      <c r="J63" s="18">
        <v>40</v>
      </c>
      <c r="K63" s="18">
        <v>6</v>
      </c>
      <c r="L63" s="18">
        <f t="shared" si="52"/>
        <v>4.4000000000000004</v>
      </c>
      <c r="M63" s="18">
        <v>176</v>
      </c>
      <c r="N63" s="18">
        <f t="shared" si="53"/>
        <v>0.15</v>
      </c>
    </row>
    <row r="64" spans="1:14" x14ac:dyDescent="0.2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12</v>
      </c>
      <c r="J64" s="18">
        <v>30</v>
      </c>
      <c r="K64" s="18">
        <v>1</v>
      </c>
      <c r="L64" s="18">
        <f t="shared" ref="L64" si="54">M64/J64</f>
        <v>4.8666666666666663</v>
      </c>
      <c r="M64" s="18">
        <v>146</v>
      </c>
      <c r="N64" s="18">
        <f t="shared" ref="N64" si="55">K64/J64</f>
        <v>3.3333333333333333E-2</v>
      </c>
    </row>
    <row r="65" spans="1:14" x14ac:dyDescent="0.2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404</v>
      </c>
      <c r="J65" s="18">
        <v>30</v>
      </c>
      <c r="K65" s="18">
        <v>3</v>
      </c>
      <c r="L65" s="18">
        <f t="shared" ref="L65" si="56">M65/J65</f>
        <v>4.9333333333333336</v>
      </c>
      <c r="M65" s="18">
        <v>148</v>
      </c>
      <c r="N65" s="18">
        <f t="shared" ref="N65" si="57">K65/J65</f>
        <v>0.1</v>
      </c>
    </row>
    <row r="66" spans="1:14" x14ac:dyDescent="0.2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22</v>
      </c>
      <c r="J66" s="18">
        <v>184</v>
      </c>
      <c r="K66" s="18">
        <v>30</v>
      </c>
      <c r="L66" s="18">
        <f>M66/J66</f>
        <v>4.1141304347826084</v>
      </c>
      <c r="M66" s="18">
        <v>757</v>
      </c>
      <c r="N66" s="18">
        <f>K66/J66</f>
        <v>0.16304347826086957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110</v>
      </c>
      <c r="J67" s="18">
        <v>30</v>
      </c>
      <c r="K67" s="18">
        <v>1</v>
      </c>
      <c r="L67" s="18">
        <f>M67/J67</f>
        <v>5.166666666666667</v>
      </c>
      <c r="M67" s="18">
        <v>155</v>
      </c>
      <c r="N67" s="18">
        <f>K67/J67</f>
        <v>3.3333333333333333E-2</v>
      </c>
    </row>
    <row r="68" spans="1:14" x14ac:dyDescent="0.2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82</v>
      </c>
      <c r="J68" s="18">
        <v>30</v>
      </c>
      <c r="K68" s="18">
        <v>1</v>
      </c>
      <c r="L68" s="18">
        <f t="shared" ref="L68" si="58">M68/J68</f>
        <v>5.2</v>
      </c>
      <c r="M68" s="18">
        <v>156</v>
      </c>
      <c r="N68" s="18">
        <f>K68/J68</f>
        <v>3.3333333333333333E-2</v>
      </c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33</v>
      </c>
      <c r="J69" s="18">
        <v>66</v>
      </c>
      <c r="K69" s="18">
        <v>4</v>
      </c>
      <c r="L69" s="18">
        <f>M69/J69</f>
        <v>5.5303030303030303</v>
      </c>
      <c r="M69" s="18">
        <v>365</v>
      </c>
      <c r="N69" s="18">
        <f>K69/J69</f>
        <v>6.0606060606060608E-2</v>
      </c>
    </row>
    <row r="70" spans="1:14" x14ac:dyDescent="0.25">
      <c r="A70" s="18" t="s">
        <v>123</v>
      </c>
      <c r="B70" s="18">
        <v>40</v>
      </c>
      <c r="C70" s="18">
        <v>6</v>
      </c>
      <c r="D70" s="18">
        <f t="shared" si="0"/>
        <v>4.4000000000000004</v>
      </c>
      <c r="E70" s="18">
        <v>176</v>
      </c>
      <c r="F70" s="18">
        <f t="shared" si="1"/>
        <v>0.15</v>
      </c>
      <c r="G70" s="32">
        <v>2</v>
      </c>
      <c r="I70" s="18" t="s">
        <v>99</v>
      </c>
      <c r="J70" s="18">
        <v>30</v>
      </c>
      <c r="K70" s="18">
        <v>2</v>
      </c>
      <c r="L70" s="18">
        <f t="shared" ref="L70:L75" si="59">M70/J70</f>
        <v>5.2</v>
      </c>
      <c r="M70" s="18">
        <v>156</v>
      </c>
      <c r="N70" s="18">
        <f t="shared" ref="N70:N75" si="60">K70/J70</f>
        <v>6.6666666666666666E-2</v>
      </c>
    </row>
    <row r="71" spans="1:14" x14ac:dyDescent="0.25">
      <c r="A71" s="18" t="s">
        <v>12</v>
      </c>
      <c r="B71" s="18">
        <v>30</v>
      </c>
      <c r="C71" s="18">
        <v>1</v>
      </c>
      <c r="D71" s="18">
        <f t="shared" si="0"/>
        <v>4.8666666666666663</v>
      </c>
      <c r="E71" s="18">
        <v>146</v>
      </c>
      <c r="F71" s="18">
        <f t="shared" si="1"/>
        <v>3.3333333333333333E-2</v>
      </c>
      <c r="G71" s="32">
        <v>2.44584195260913</v>
      </c>
      <c r="I71" s="18" t="s">
        <v>129</v>
      </c>
      <c r="J71" s="18">
        <v>46</v>
      </c>
      <c r="K71" s="18">
        <v>8</v>
      </c>
      <c r="L71" s="18">
        <f t="shared" si="59"/>
        <v>4.5217391304347823</v>
      </c>
      <c r="M71" s="18">
        <v>208</v>
      </c>
      <c r="N71" s="18">
        <f t="shared" si="60"/>
        <v>0.17391304347826086</v>
      </c>
    </row>
    <row r="72" spans="1:14" x14ac:dyDescent="0.25">
      <c r="A72" s="18" t="s">
        <v>404</v>
      </c>
      <c r="B72" s="18">
        <v>30</v>
      </c>
      <c r="C72" s="18">
        <v>3</v>
      </c>
      <c r="D72" s="18">
        <f t="shared" si="0"/>
        <v>4.9333333333333336</v>
      </c>
      <c r="E72" s="18">
        <v>148</v>
      </c>
      <c r="F72" s="18">
        <f t="shared" si="1"/>
        <v>0.1</v>
      </c>
      <c r="G72" s="32">
        <v>2.3094010767584998</v>
      </c>
      <c r="I72" s="18" t="s">
        <v>35</v>
      </c>
      <c r="J72" s="18">
        <v>183</v>
      </c>
      <c r="K72" s="18">
        <v>44</v>
      </c>
      <c r="L72" s="18">
        <f t="shared" si="59"/>
        <v>3.5737704918032787</v>
      </c>
      <c r="M72" s="18">
        <v>654</v>
      </c>
      <c r="N72" s="18">
        <f t="shared" si="60"/>
        <v>0.24043715846994534</v>
      </c>
    </row>
    <row r="73" spans="1:14" x14ac:dyDescent="0.2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26</v>
      </c>
      <c r="J73" s="18">
        <v>102</v>
      </c>
      <c r="K73" s="18">
        <v>6</v>
      </c>
      <c r="L73" s="18">
        <f t="shared" si="59"/>
        <v>5.215686274509804</v>
      </c>
      <c r="M73" s="18">
        <v>532</v>
      </c>
      <c r="N73" s="18">
        <f t="shared" si="60"/>
        <v>5.8823529411764705E-2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122</v>
      </c>
      <c r="J74" s="18">
        <v>147</v>
      </c>
      <c r="K74" s="18">
        <v>19</v>
      </c>
      <c r="L74" s="18">
        <f t="shared" si="59"/>
        <v>4</v>
      </c>
      <c r="M74" s="18">
        <v>588</v>
      </c>
      <c r="N74" s="18">
        <f t="shared" si="60"/>
        <v>0.12925170068027211</v>
      </c>
    </row>
    <row r="75" spans="1:14" x14ac:dyDescent="0.2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  <c r="I75" s="18" t="s">
        <v>49</v>
      </c>
      <c r="J75" s="18">
        <v>140</v>
      </c>
      <c r="K75" s="18">
        <v>9</v>
      </c>
      <c r="L75" s="18">
        <f t="shared" si="59"/>
        <v>5.1142857142857139</v>
      </c>
      <c r="M75" s="18">
        <v>716</v>
      </c>
      <c r="N75" s="18">
        <f t="shared" si="60"/>
        <v>6.4285714285714279E-2</v>
      </c>
    </row>
    <row r="76" spans="1:14" x14ac:dyDescent="0.25">
      <c r="A76" s="18" t="s">
        <v>82</v>
      </c>
      <c r="B76" s="18">
        <v>30</v>
      </c>
      <c r="C76" s="18">
        <v>1</v>
      </c>
      <c r="D76" s="18">
        <f t="shared" ref="D76:D91" si="61">E76/B76</f>
        <v>5.2</v>
      </c>
      <c r="E76" s="18">
        <v>156</v>
      </c>
      <c r="F76" s="18">
        <f>C76/B76</f>
        <v>3.3333333333333333E-2</v>
      </c>
      <c r="G76" s="32">
        <v>2</v>
      </c>
      <c r="I76" s="18" t="s">
        <v>3</v>
      </c>
      <c r="J76" s="18">
        <v>48</v>
      </c>
      <c r="K76" s="18">
        <v>7</v>
      </c>
      <c r="L76" s="18">
        <f>M76/J76</f>
        <v>4.229166666666667</v>
      </c>
      <c r="M76" s="18">
        <v>203</v>
      </c>
      <c r="N76" s="18">
        <f>K76/J76</f>
        <v>0.14583333333333334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61"/>
        <v>5.5303030303030303</v>
      </c>
      <c r="E77" s="18">
        <v>365</v>
      </c>
      <c r="F77" s="18">
        <f t="shared" ref="F77:F91" si="62">C77/B77</f>
        <v>6.0606060606060608E-2</v>
      </c>
      <c r="G77" s="32">
        <v>2.14993539954627</v>
      </c>
      <c r="I77" s="18" t="s">
        <v>2</v>
      </c>
      <c r="J77" s="18">
        <v>30</v>
      </c>
      <c r="K77" s="18">
        <v>6</v>
      </c>
      <c r="L77" s="18">
        <f t="shared" ref="L77" si="63">M77/J77</f>
        <v>3.9666666666666668</v>
      </c>
      <c r="M77" s="18">
        <v>119</v>
      </c>
      <c r="N77" s="18">
        <f t="shared" ref="N77" si="64">K77/J77</f>
        <v>0.2</v>
      </c>
    </row>
    <row r="78" spans="1:14" x14ac:dyDescent="0.25">
      <c r="A78" s="18" t="s">
        <v>99</v>
      </c>
      <c r="B78" s="18">
        <v>30</v>
      </c>
      <c r="C78" s="18">
        <v>2</v>
      </c>
      <c r="D78" s="18">
        <f t="shared" si="61"/>
        <v>5.2</v>
      </c>
      <c r="E78" s="18">
        <v>156</v>
      </c>
      <c r="F78" s="18">
        <f t="shared" si="62"/>
        <v>6.6666666666666666E-2</v>
      </c>
      <c r="G78" s="32">
        <v>2.6687491868330699</v>
      </c>
      <c r="I78" s="18" t="s">
        <v>124</v>
      </c>
      <c r="J78" s="18">
        <v>31</v>
      </c>
      <c r="K78" s="18">
        <v>1</v>
      </c>
      <c r="L78" s="18">
        <f>M78/J78</f>
        <v>4.935483870967742</v>
      </c>
      <c r="M78" s="18">
        <v>153</v>
      </c>
      <c r="N78" s="18">
        <f>K78/J78</f>
        <v>3.2258064516129031E-2</v>
      </c>
    </row>
    <row r="79" spans="1:14" x14ac:dyDescent="0.25">
      <c r="A79" t="s">
        <v>7</v>
      </c>
      <c r="B79">
        <v>29</v>
      </c>
      <c r="C79">
        <v>6</v>
      </c>
      <c r="D79">
        <f t="shared" si="61"/>
        <v>3.8620689655172415</v>
      </c>
      <c r="E79">
        <v>112</v>
      </c>
      <c r="F79">
        <f t="shared" si="62"/>
        <v>0.20689655172413793</v>
      </c>
      <c r="G79" s="32">
        <v>2.7888667551135802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61"/>
        <v>4</v>
      </c>
      <c r="E80" s="41">
        <v>20</v>
      </c>
      <c r="F80" s="41">
        <f t="shared" si="62"/>
        <v>0.2</v>
      </c>
      <c r="G80" s="32">
        <v>2.2173557826083399</v>
      </c>
    </row>
    <row r="81" spans="1:7" x14ac:dyDescent="0.25">
      <c r="A81" s="41" t="s">
        <v>137</v>
      </c>
      <c r="B81" s="41">
        <v>11</v>
      </c>
      <c r="C81" s="41">
        <v>1</v>
      </c>
      <c r="D81" s="41">
        <f t="shared" si="61"/>
        <v>4.1818181818181817</v>
      </c>
      <c r="E81" s="41">
        <v>46</v>
      </c>
      <c r="F81" s="41">
        <f t="shared" si="62"/>
        <v>9.0909090909090912E-2</v>
      </c>
      <c r="G81" s="32">
        <v>1.8618986725025199</v>
      </c>
    </row>
    <row r="82" spans="1:7" x14ac:dyDescent="0.25">
      <c r="A82" s="18" t="s">
        <v>129</v>
      </c>
      <c r="B82" s="18">
        <v>46</v>
      </c>
      <c r="C82" s="18">
        <v>8</v>
      </c>
      <c r="D82" s="18">
        <f t="shared" si="61"/>
        <v>4.5217391304347823</v>
      </c>
      <c r="E82" s="18">
        <v>208</v>
      </c>
      <c r="F82" s="18">
        <f t="shared" si="62"/>
        <v>0.17391304347826086</v>
      </c>
      <c r="G82" s="32">
        <v>2.1315096371664199</v>
      </c>
    </row>
    <row r="83" spans="1:7" x14ac:dyDescent="0.25">
      <c r="A83" t="s">
        <v>113</v>
      </c>
      <c r="B83">
        <v>29</v>
      </c>
      <c r="C83">
        <v>0</v>
      </c>
      <c r="D83">
        <f t="shared" si="61"/>
        <v>4.3103448275862073</v>
      </c>
      <c r="E83">
        <v>125</v>
      </c>
      <c r="F83">
        <f t="shared" si="62"/>
        <v>0</v>
      </c>
      <c r="G83" s="32">
        <v>2.4899799195977401</v>
      </c>
    </row>
    <row r="84" spans="1:7" x14ac:dyDescent="0.25">
      <c r="A84" s="18" t="s">
        <v>35</v>
      </c>
      <c r="B84" s="18">
        <v>183</v>
      </c>
      <c r="C84" s="18">
        <v>44</v>
      </c>
      <c r="D84" s="18">
        <f t="shared" si="61"/>
        <v>3.5737704918032787</v>
      </c>
      <c r="E84" s="18">
        <v>654</v>
      </c>
      <c r="F84" s="18">
        <f t="shared" si="62"/>
        <v>0.24043715846994534</v>
      </c>
      <c r="G84" s="32">
        <v>2.6214406763289899</v>
      </c>
    </row>
    <row r="85" spans="1:7" x14ac:dyDescent="0.25">
      <c r="A85" s="18" t="s">
        <v>26</v>
      </c>
      <c r="B85" s="18">
        <v>102</v>
      </c>
      <c r="C85" s="18">
        <v>6</v>
      </c>
      <c r="D85" s="18">
        <f t="shared" si="61"/>
        <v>5.215686274509804</v>
      </c>
      <c r="E85" s="18">
        <v>532</v>
      </c>
      <c r="F85" s="18">
        <f t="shared" si="62"/>
        <v>5.8823529411764705E-2</v>
      </c>
      <c r="G85" s="32">
        <v>2.4494897427831699</v>
      </c>
    </row>
    <row r="86" spans="1:7" x14ac:dyDescent="0.25">
      <c r="A86" s="18" t="s">
        <v>122</v>
      </c>
      <c r="B86" s="18">
        <v>147</v>
      </c>
      <c r="C86" s="18">
        <v>19</v>
      </c>
      <c r="D86" s="18">
        <f t="shared" si="61"/>
        <v>4</v>
      </c>
      <c r="E86" s="18">
        <v>588</v>
      </c>
      <c r="F86" s="18">
        <f t="shared" si="62"/>
        <v>0.12925170068027211</v>
      </c>
      <c r="G86" s="32">
        <v>1.6329931618554501</v>
      </c>
    </row>
    <row r="87" spans="1:7" x14ac:dyDescent="0.25">
      <c r="A87" s="18" t="s">
        <v>49</v>
      </c>
      <c r="B87" s="18">
        <v>140</v>
      </c>
      <c r="C87" s="18">
        <v>9</v>
      </c>
      <c r="D87" s="18">
        <f t="shared" si="61"/>
        <v>5.1142857142857139</v>
      </c>
      <c r="E87" s="18">
        <v>716</v>
      </c>
      <c r="F87" s="18">
        <f t="shared" si="62"/>
        <v>6.4285714285714279E-2</v>
      </c>
      <c r="G87" s="32">
        <v>2.79455252402308</v>
      </c>
    </row>
    <row r="88" spans="1:7" x14ac:dyDescent="0.25">
      <c r="A88" s="18" t="s">
        <v>3</v>
      </c>
      <c r="B88" s="18">
        <v>48</v>
      </c>
      <c r="C88" s="18">
        <v>7</v>
      </c>
      <c r="D88" s="18">
        <f t="shared" si="61"/>
        <v>4.229166666666667</v>
      </c>
      <c r="E88" s="18">
        <v>203</v>
      </c>
      <c r="F88" s="18">
        <f t="shared" si="62"/>
        <v>0.14583333333333334</v>
      </c>
      <c r="G88" s="32">
        <v>2.3731557327466102</v>
      </c>
    </row>
    <row r="89" spans="1:7" x14ac:dyDescent="0.25">
      <c r="A89" t="s">
        <v>230</v>
      </c>
      <c r="B89">
        <v>26</v>
      </c>
      <c r="C89">
        <v>4</v>
      </c>
      <c r="D89">
        <f t="shared" si="61"/>
        <v>4.8076923076923075</v>
      </c>
      <c r="E89">
        <v>125</v>
      </c>
      <c r="F89">
        <f t="shared" si="62"/>
        <v>0.15384615384615385</v>
      </c>
      <c r="G89" s="32">
        <v>2.7748873851023199</v>
      </c>
    </row>
    <row r="90" spans="1:7" x14ac:dyDescent="0.25">
      <c r="A90" s="18" t="s">
        <v>2</v>
      </c>
      <c r="B90" s="18">
        <v>30</v>
      </c>
      <c r="C90" s="18">
        <v>6</v>
      </c>
      <c r="D90" s="18">
        <f t="shared" si="61"/>
        <v>3.9666666666666668</v>
      </c>
      <c r="E90" s="18">
        <v>119</v>
      </c>
      <c r="F90" s="18">
        <f t="shared" si="62"/>
        <v>0.2</v>
      </c>
      <c r="G90" s="32">
        <v>2.5876449587894599</v>
      </c>
    </row>
    <row r="91" spans="1:7" x14ac:dyDescent="0.25">
      <c r="A91" s="18" t="s">
        <v>124</v>
      </c>
      <c r="B91" s="18">
        <v>31</v>
      </c>
      <c r="C91" s="18">
        <v>1</v>
      </c>
      <c r="D91" s="18">
        <f t="shared" si="61"/>
        <v>4.935483870967742</v>
      </c>
      <c r="E91" s="18">
        <v>153</v>
      </c>
      <c r="F91" s="18">
        <f t="shared" si="62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8"/>
  <sheetViews>
    <sheetView zoomScale="90" zoomScaleNormal="90" workbookViewId="0">
      <selection activeCell="N10" sqref="N10"/>
    </sheetView>
  </sheetViews>
  <sheetFormatPr defaultRowHeight="15" x14ac:dyDescent="0.25"/>
  <cols>
    <col min="1" max="1" width="17.7109375" bestFit="1" customWidth="1"/>
    <col min="2" max="2" width="7.140625" bestFit="1" customWidth="1"/>
    <col min="3" max="3" width="8.7109375" bestFit="1" customWidth="1"/>
    <col min="4" max="4" width="12" bestFit="1" customWidth="1"/>
    <col min="5" max="5" width="11.85546875" customWidth="1"/>
    <col min="8" max="8" width="20.28515625" bestFit="1" customWidth="1"/>
    <col min="9" max="9" width="7.140625" bestFit="1" customWidth="1"/>
    <col min="10" max="10" width="8.7109375" bestFit="1" customWidth="1"/>
    <col min="11" max="12" width="13.28515625" bestFit="1" customWidth="1"/>
    <col min="13" max="13" width="73.7109375" bestFit="1" customWidth="1"/>
  </cols>
  <sheetData>
    <row r="1" spans="1:1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2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2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2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2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2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2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2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2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2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2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2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2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2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2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2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2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2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2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2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2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2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2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2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2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2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2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2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2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2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2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2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2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2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2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2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2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2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2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2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2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2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2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2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2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2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2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2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2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2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2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2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2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2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2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2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2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2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xmlns:xlrd2="http://schemas.microsoft.com/office/spreadsheetml/2017/richdata2"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AB26" sqref="AB26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2026-05-22T20:22:28Z</dcterms:modified>
</cp:coreProperties>
</file>