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2F4B3127-B40C-44BE-BBFA-8DCDD5CF6A1A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5" l="1"/>
  <c r="L26" i="15"/>
  <c r="N31" i="15"/>
  <c r="L31" i="15"/>
  <c r="N28" i="15"/>
  <c r="L28" i="15"/>
  <c r="N53" i="15"/>
  <c r="L53" i="15"/>
  <c r="N45" i="15"/>
  <c r="L45" i="15"/>
  <c r="N15" i="15"/>
  <c r="L15" i="15"/>
  <c r="N34" i="15"/>
  <c r="L34" i="15"/>
  <c r="N38" i="15"/>
  <c r="L38" i="15"/>
  <c r="N39" i="15"/>
  <c r="L39" i="15"/>
  <c r="N56" i="15"/>
  <c r="L56" i="15"/>
  <c r="N55" i="15"/>
  <c r="L55" i="15"/>
  <c r="N33" i="15"/>
  <c r="L33" i="15"/>
  <c r="N24" i="15"/>
  <c r="L24" i="15"/>
  <c r="N29" i="15"/>
  <c r="L29" i="15"/>
  <c r="N27" i="15"/>
  <c r="L27" i="15"/>
  <c r="N14" i="15"/>
  <c r="L14" i="15"/>
  <c r="N54" i="15"/>
  <c r="L54" i="15"/>
  <c r="N42" i="15"/>
  <c r="L42" i="15"/>
  <c r="N41" i="15"/>
  <c r="L41" i="15"/>
  <c r="N16" i="15"/>
  <c r="L16" i="15"/>
  <c r="N25" i="15"/>
  <c r="L25" i="15"/>
  <c r="N52" i="15"/>
  <c r="L52" i="15"/>
  <c r="N50" i="15"/>
  <c r="L50" i="15"/>
  <c r="N22" i="15"/>
  <c r="L22" i="15"/>
  <c r="N51" i="15"/>
  <c r="L51" i="15"/>
  <c r="N17" i="15"/>
  <c r="L17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0" i="15" l="1"/>
  <c r="L40" i="15"/>
  <c r="N21" i="15"/>
  <c r="L21" i="15"/>
  <c r="L23" i="15"/>
  <c r="N23" i="15"/>
  <c r="L30" i="15"/>
  <c r="N30" i="15"/>
  <c r="L32" i="15"/>
  <c r="N32" i="15"/>
  <c r="L35" i="15"/>
  <c r="N35" i="15"/>
  <c r="L36" i="15"/>
  <c r="N36" i="15"/>
  <c r="L37" i="15"/>
  <c r="N37" i="15"/>
  <c r="L43" i="15"/>
  <c r="N43" i="15"/>
  <c r="L44" i="15"/>
  <c r="N44" i="15"/>
  <c r="L46" i="15"/>
  <c r="N46" i="15"/>
  <c r="L47" i="15"/>
  <c r="N47" i="15"/>
  <c r="L48" i="15"/>
  <c r="N48" i="15"/>
  <c r="L49" i="15"/>
  <c r="N49" i="15"/>
  <c r="L57" i="15"/>
  <c r="N57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0" i="15"/>
  <c r="L20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<sst xmlns="http://schemas.openxmlformats.org/spreadsheetml/2006/main" count="17535" uniqueCount="608">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</sst>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70"/>
  <sheetViews>
    <sheetView topLeftCell="A328" zoomScaleNormal="100" workbookViewId="0">
      <selection activeCell="J362" sqref="J362:P3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0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0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0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0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0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0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0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0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0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</row>
    <row r="363" spans="10:30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</row>
    <row r="364" spans="10:30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</row>
    <row r="365" spans="10:30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</row>
    <row r="366" spans="10:30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</row>
    <row r="367" spans="10:30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</row>
    <row r="368" spans="10:30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</row>
    <row r="369" spans="10:16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</row>
    <row r="370" spans="10:16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D7" sqref="D7"/>
    </sheetView>
  </sheetViews>
  <sheetFormatPr defaultRowHeight="15" x14ac:dyDescent="0.25"/>
  <cols>
    <col min="6" max="6" width="12.5703125" bestFit="1" customWidth="1"/>
  </cols>
  <sheetData>
    <row r="1" spans="1:27 16384:16384" x14ac:dyDescent="0.25">
      <c r="A1" s="1">
        <v>46212</v>
      </c>
      <c r="B1" s="1">
        <v>46212</v>
      </c>
      <c r="C1" s="1">
        <v>46212</v>
      </c>
      <c r="D1" s="1">
        <v>46219</v>
      </c>
      <c r="E1" s="1">
        <v>46219</v>
      </c>
      <c r="F1" s="1">
        <v>46219</v>
      </c>
      <c r="G1" s="1">
        <v>46219</v>
      </c>
      <c r="H1" s="1">
        <v>46226</v>
      </c>
      <c r="I1" s="1">
        <v>46226</v>
      </c>
      <c r="J1" s="1">
        <v>46226</v>
      </c>
      <c r="K1" s="1">
        <v>46226</v>
      </c>
      <c r="S1" s="1"/>
      <c r="T1" s="1"/>
      <c r="Z1" s="1"/>
      <c r="AA1" s="1"/>
      <c r="XFD1" s="1"/>
    </row>
    <row r="2" spans="1:27 16384:16384" x14ac:dyDescent="0.25">
      <c r="A2" t="s">
        <v>50</v>
      </c>
      <c r="B2" t="s">
        <v>593</v>
      </c>
      <c r="C2" t="s">
        <v>52</v>
      </c>
    </row>
    <row r="3" spans="1:27 16384:16384" x14ac:dyDescent="0.25">
      <c r="A3" t="s">
        <v>112</v>
      </c>
      <c r="B3" t="s">
        <v>49</v>
      </c>
      <c r="C3" t="s">
        <v>29</v>
      </c>
    </row>
    <row r="4" spans="1:27 16384:16384" x14ac:dyDescent="0.25">
      <c r="A4" t="s">
        <v>28</v>
      </c>
      <c r="B4" t="s">
        <v>112</v>
      </c>
      <c r="C4" t="s">
        <v>35</v>
      </c>
    </row>
    <row r="5" spans="1:27 16384:16384" x14ac:dyDescent="0.25">
      <c r="A5" t="s">
        <v>49</v>
      </c>
      <c r="B5" t="s">
        <v>50</v>
      </c>
      <c r="C5" t="s">
        <v>112</v>
      </c>
    </row>
    <row r="6" spans="1:27 16384:16384" x14ac:dyDescent="0.25">
      <c r="A6" t="s">
        <v>122</v>
      </c>
      <c r="B6" t="s">
        <v>28</v>
      </c>
      <c r="C6" t="s">
        <v>15</v>
      </c>
    </row>
    <row r="7" spans="1:27 16384:16384" x14ac:dyDescent="0.25">
      <c r="A7" t="s">
        <v>573</v>
      </c>
      <c r="B7" t="s">
        <v>573</v>
      </c>
      <c r="C7" t="s">
        <v>50</v>
      </c>
    </row>
    <row r="8" spans="1:27 16384:16384" x14ac:dyDescent="0.25">
      <c r="A8" t="s">
        <v>121</v>
      </c>
      <c r="B8" t="s">
        <v>232</v>
      </c>
      <c r="C8" t="s">
        <v>7</v>
      </c>
    </row>
    <row r="9" spans="1:27 16384:16384" x14ac:dyDescent="0.25">
      <c r="A9" t="s">
        <v>31</v>
      </c>
      <c r="B9" t="s">
        <v>31</v>
      </c>
      <c r="C9" t="s">
        <v>20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5" si="2">M13/J13</f>
        <v>4.375</v>
      </c>
      <c r="M13" s="18">
        <v>175</v>
      </c>
      <c r="N13" s="18">
        <f t="shared" ref="N13:N15" si="3">K13/J13</f>
        <v>0.05</v>
      </c>
    </row>
    <row r="14" spans="1:27 16384:16384" x14ac:dyDescent="0.25">
      <c r="A14" s="18" t="s">
        <v>104</v>
      </c>
      <c r="B14" s="18">
        <v>134</v>
      </c>
      <c r="C14" s="18">
        <v>9</v>
      </c>
      <c r="D14" s="18">
        <f t="shared" si="0"/>
        <v>4.2686567164179108</v>
      </c>
      <c r="E14" s="18">
        <v>572</v>
      </c>
      <c r="F14" s="18">
        <f t="shared" si="1"/>
        <v>6.7164179104477612E-2</v>
      </c>
      <c r="G14" s="32">
        <v>2.3273733406281498</v>
      </c>
      <c r="I14" s="18" t="s">
        <v>104</v>
      </c>
      <c r="J14" s="18">
        <v>134</v>
      </c>
      <c r="K14" s="18">
        <v>9</v>
      </c>
      <c r="L14" s="18">
        <f t="shared" si="2"/>
        <v>4.2686567164179108</v>
      </c>
      <c r="M14" s="18">
        <v>572</v>
      </c>
      <c r="N14" s="18">
        <f t="shared" si="3"/>
        <v>6.7164179104477612E-2</v>
      </c>
    </row>
    <row r="15" spans="1:27 16384:16384" x14ac:dyDescent="0.25">
      <c r="A15" s="18" t="s">
        <v>31</v>
      </c>
      <c r="B15" s="18">
        <v>276</v>
      </c>
      <c r="C15" s="18">
        <v>23</v>
      </c>
      <c r="D15" s="18">
        <f t="shared" si="0"/>
        <v>5.0217391304347823</v>
      </c>
      <c r="E15" s="18">
        <v>1386</v>
      </c>
      <c r="F15" s="18">
        <f t="shared" si="1"/>
        <v>8.3333333333333329E-2</v>
      </c>
      <c r="G15" s="32">
        <v>1.87082869338697</v>
      </c>
      <c r="I15" s="18" t="s">
        <v>31</v>
      </c>
      <c r="J15" s="18">
        <v>276</v>
      </c>
      <c r="K15" s="18">
        <v>23</v>
      </c>
      <c r="L15" s="18">
        <f t="shared" si="2"/>
        <v>5.0217391304347823</v>
      </c>
      <c r="M15" s="18">
        <v>1386</v>
      </c>
      <c r="N15" s="18">
        <f t="shared" si="3"/>
        <v>8.3333333333333329E-2</v>
      </c>
    </row>
    <row r="16" spans="1:27 16384:16384" x14ac:dyDescent="0.25">
      <c r="A16" s="18" t="s">
        <v>105</v>
      </c>
      <c r="B16" s="18">
        <v>43</v>
      </c>
      <c r="C16" s="18">
        <v>6</v>
      </c>
      <c r="D16" s="18">
        <f t="shared" si="0"/>
        <v>4.5348837209302326</v>
      </c>
      <c r="E16" s="18">
        <v>195</v>
      </c>
      <c r="F16" s="18">
        <f t="shared" si="1"/>
        <v>0.13953488372093023</v>
      </c>
      <c r="G16" s="32">
        <v>1.8165902124584901</v>
      </c>
      <c r="I16" s="18" t="s">
        <v>105</v>
      </c>
      <c r="J16" s="18">
        <v>43</v>
      </c>
      <c r="K16" s="18">
        <v>6</v>
      </c>
      <c r="L16" s="18">
        <f t="shared" ref="L16:L17" si="4">M16/J16</f>
        <v>4.5348837209302326</v>
      </c>
      <c r="M16" s="18">
        <v>195</v>
      </c>
      <c r="N16" s="18">
        <f t="shared" ref="N16:N17" si="5">K16/J16</f>
        <v>0.13953488372093023</v>
      </c>
    </row>
    <row r="17" spans="1:14" x14ac:dyDescent="0.25">
      <c r="A17" s="18" t="s">
        <v>128</v>
      </c>
      <c r="B17" s="18">
        <v>117</v>
      </c>
      <c r="C17" s="18">
        <v>37</v>
      </c>
      <c r="D17" s="18">
        <f t="shared" si="0"/>
        <v>3.2307692307692308</v>
      </c>
      <c r="E17" s="18">
        <v>378</v>
      </c>
      <c r="F17" s="18">
        <f t="shared" si="1"/>
        <v>0.31623931623931623</v>
      </c>
      <c r="G17" s="32">
        <v>2.03049835952651</v>
      </c>
      <c r="I17" s="18" t="s">
        <v>128</v>
      </c>
      <c r="J17" s="18">
        <v>117</v>
      </c>
      <c r="K17" s="18">
        <v>37</v>
      </c>
      <c r="L17" s="18">
        <f t="shared" si="4"/>
        <v>3.2307692307692308</v>
      </c>
      <c r="M17" s="18">
        <v>378</v>
      </c>
      <c r="N17" s="18">
        <f t="shared" si="5"/>
        <v>0.31623931623931623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20" si="6">M18/J18</f>
        <v>4.4285714285714288</v>
      </c>
      <c r="M18" s="18">
        <v>217</v>
      </c>
      <c r="N18" s="18">
        <f t="shared" ref="N18:N20" si="7">K18/J18</f>
        <v>0.12244897959183673</v>
      </c>
    </row>
    <row r="19" spans="1:1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6</v>
      </c>
      <c r="J20" s="18">
        <v>45</v>
      </c>
      <c r="K20" s="18">
        <v>3</v>
      </c>
      <c r="L20" s="18">
        <f t="shared" si="6"/>
        <v>5.3555555555555552</v>
      </c>
      <c r="M20" s="18">
        <v>241</v>
      </c>
      <c r="N20" s="18">
        <f t="shared" si="7"/>
        <v>6.6666666666666666E-2</v>
      </c>
    </row>
    <row r="21" spans="1:14" x14ac:dyDescent="0.25">
      <c r="A21" s="79" t="s">
        <v>90</v>
      </c>
      <c r="B21" s="79">
        <v>39</v>
      </c>
      <c r="C21" s="79">
        <v>3</v>
      </c>
      <c r="D21" s="79">
        <f t="shared" si="0"/>
        <v>5.2820512820512819</v>
      </c>
      <c r="E21" s="79">
        <v>206</v>
      </c>
      <c r="F21" s="79">
        <f t="shared" si="1"/>
        <v>7.6923076923076927E-2</v>
      </c>
      <c r="G21" s="32">
        <v>2.2962419891481902</v>
      </c>
      <c r="I21" s="18" t="s">
        <v>56</v>
      </c>
      <c r="J21" s="18">
        <v>40</v>
      </c>
      <c r="K21" s="18">
        <v>0</v>
      </c>
      <c r="L21" s="18">
        <f>M21/J21</f>
        <v>5.0750000000000002</v>
      </c>
      <c r="M21" s="18">
        <v>203</v>
      </c>
      <c r="N21" s="18">
        <f>K21/J21</f>
        <v>0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247</v>
      </c>
      <c r="K22" s="18">
        <v>23</v>
      </c>
      <c r="L22" s="18">
        <f t="shared" ref="L22" si="8">M22/J22</f>
        <v>4.9919028340080969</v>
      </c>
      <c r="M22" s="18">
        <v>1233</v>
      </c>
      <c r="N22" s="18">
        <f t="shared" ref="N22" si="9">K22/J22</f>
        <v>9.3117408906882596E-2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34</v>
      </c>
      <c r="J23" s="18">
        <v>40</v>
      </c>
      <c r="K23" s="18">
        <v>3</v>
      </c>
      <c r="L23" s="18">
        <f t="shared" ref="L23:L27" si="10">M23/J23</f>
        <v>5.4</v>
      </c>
      <c r="M23" s="18">
        <v>216</v>
      </c>
      <c r="N23" s="18">
        <f t="shared" ref="N23:N27" si="11">K23/J23</f>
        <v>7.4999999999999997E-2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147</v>
      </c>
      <c r="J24" s="18">
        <v>144</v>
      </c>
      <c r="K24" s="18">
        <v>28</v>
      </c>
      <c r="L24" s="18">
        <f t="shared" si="10"/>
        <v>3.8611111111111112</v>
      </c>
      <c r="M24" s="18">
        <v>556</v>
      </c>
      <c r="N24" s="18">
        <f t="shared" si="11"/>
        <v>0.19444444444444445</v>
      </c>
    </row>
    <row r="25" spans="1:14" x14ac:dyDescent="0.25">
      <c r="A25" t="s">
        <v>52</v>
      </c>
      <c r="B25">
        <v>35</v>
      </c>
      <c r="C25">
        <v>6</v>
      </c>
      <c r="D25">
        <f t="shared" si="0"/>
        <v>3.8857142857142857</v>
      </c>
      <c r="E25">
        <v>136</v>
      </c>
      <c r="F25">
        <f t="shared" si="1"/>
        <v>0.17142857142857143</v>
      </c>
      <c r="G25" s="32">
        <v>2.1794494717703299</v>
      </c>
      <c r="I25" s="18" t="s">
        <v>87</v>
      </c>
      <c r="J25" s="18">
        <v>197</v>
      </c>
      <c r="K25" s="18">
        <v>24</v>
      </c>
      <c r="L25" s="18">
        <f t="shared" si="10"/>
        <v>5.0050761421319798</v>
      </c>
      <c r="M25" s="18">
        <v>986</v>
      </c>
      <c r="N25" s="18">
        <f t="shared" si="11"/>
        <v>0.12182741116751269</v>
      </c>
    </row>
    <row r="26" spans="1:14" x14ac:dyDescent="0.25">
      <c r="A26" t="s">
        <v>20</v>
      </c>
      <c r="B26">
        <v>35</v>
      </c>
      <c r="C26">
        <v>2</v>
      </c>
      <c r="D26">
        <f t="shared" si="0"/>
        <v>5.3142857142857141</v>
      </c>
      <c r="E26">
        <v>186</v>
      </c>
      <c r="F26">
        <f t="shared" si="1"/>
        <v>5.7142857142857141E-2</v>
      </c>
      <c r="G26" s="32">
        <v>2.3159525823376299</v>
      </c>
      <c r="I26" s="18" t="s">
        <v>50</v>
      </c>
      <c r="J26" s="18">
        <v>40</v>
      </c>
      <c r="K26" s="18">
        <v>4</v>
      </c>
      <c r="L26" s="18">
        <f t="shared" ref="L26" si="12">M26/J26</f>
        <v>4.1749999999999998</v>
      </c>
      <c r="M26" s="18">
        <v>167</v>
      </c>
      <c r="N26" s="18">
        <f t="shared" ref="N26" si="13">K26/J26</f>
        <v>0.1</v>
      </c>
    </row>
    <row r="27" spans="1:14" x14ac:dyDescent="0.25">
      <c r="A27" s="18" t="s">
        <v>25</v>
      </c>
      <c r="B27" s="18">
        <v>247</v>
      </c>
      <c r="C27" s="18">
        <v>23</v>
      </c>
      <c r="D27" s="18">
        <f t="shared" si="0"/>
        <v>4.9919028340080969</v>
      </c>
      <c r="E27" s="18">
        <v>1233</v>
      </c>
      <c r="F27" s="18">
        <f t="shared" si="1"/>
        <v>9.3117408906882596E-2</v>
      </c>
      <c r="G27" s="32">
        <v>2.1609054109613202</v>
      </c>
      <c r="I27" s="18" t="s">
        <v>81</v>
      </c>
      <c r="J27" s="18">
        <v>89</v>
      </c>
      <c r="K27" s="18">
        <v>6</v>
      </c>
      <c r="L27" s="18">
        <f>M27/J27</f>
        <v>5.1797752808988768</v>
      </c>
      <c r="M27" s="18">
        <v>461</v>
      </c>
      <c r="N27" s="18">
        <f>K27/J27</f>
        <v>6.741573033707865E-2</v>
      </c>
    </row>
    <row r="28" spans="1:14" x14ac:dyDescent="0.2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112</v>
      </c>
      <c r="J28" s="18">
        <v>41</v>
      </c>
      <c r="K28" s="18">
        <v>8</v>
      </c>
      <c r="L28" s="18">
        <f>M28/J28</f>
        <v>3.7804878048780486</v>
      </c>
      <c r="M28" s="18">
        <v>155</v>
      </c>
      <c r="N28" s="18">
        <f>K28/J28</f>
        <v>0.1951219512195122</v>
      </c>
    </row>
    <row r="29" spans="1:14" x14ac:dyDescent="0.25">
      <c r="A29" s="18" t="s">
        <v>147</v>
      </c>
      <c r="B29" s="18">
        <v>144</v>
      </c>
      <c r="C29" s="18">
        <v>28</v>
      </c>
      <c r="D29" s="18">
        <f t="shared" si="0"/>
        <v>3.8611111111111112</v>
      </c>
      <c r="E29" s="18">
        <v>556</v>
      </c>
      <c r="F29" s="18">
        <f t="shared" si="1"/>
        <v>0.19444444444444445</v>
      </c>
      <c r="G29" s="32">
        <v>1.94935886896179</v>
      </c>
      <c r="I29" s="18" t="s">
        <v>27</v>
      </c>
      <c r="J29" s="18">
        <v>40</v>
      </c>
      <c r="K29" s="18">
        <v>3</v>
      </c>
      <c r="L29" s="18">
        <f t="shared" ref="L29" si="14">M29/J29</f>
        <v>4.5750000000000002</v>
      </c>
      <c r="M29" s="18">
        <v>183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197</v>
      </c>
      <c r="C30" s="18">
        <v>24</v>
      </c>
      <c r="D30" s="18">
        <f t="shared" si="0"/>
        <v>5.0050761421319798</v>
      </c>
      <c r="E30" s="18">
        <v>986</v>
      </c>
      <c r="F30" s="18">
        <f t="shared" si="1"/>
        <v>0.12182741116751269</v>
      </c>
      <c r="G30" s="32">
        <v>1.7888543819998299</v>
      </c>
      <c r="I30" s="18" t="s">
        <v>401</v>
      </c>
      <c r="J30" s="18">
        <v>71</v>
      </c>
      <c r="K30" s="18">
        <v>3</v>
      </c>
      <c r="L30" s="18">
        <f t="shared" ref="L30:L31" si="16">M30/J30</f>
        <v>5.3661971830985919</v>
      </c>
      <c r="M30" s="18">
        <v>381</v>
      </c>
      <c r="N30" s="18">
        <f t="shared" ref="N30:N31" si="17">K30/J30</f>
        <v>4.2253521126760563E-2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15</v>
      </c>
      <c r="J31" s="18">
        <v>274</v>
      </c>
      <c r="K31" s="18">
        <v>40</v>
      </c>
      <c r="L31" s="18">
        <f t="shared" si="16"/>
        <v>4.6167883211678831</v>
      </c>
      <c r="M31" s="18">
        <v>1265</v>
      </c>
      <c r="N31" s="18">
        <f t="shared" si="17"/>
        <v>0.145985401459854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10</v>
      </c>
      <c r="J32" s="18">
        <v>73</v>
      </c>
      <c r="K32" s="18">
        <v>13</v>
      </c>
      <c r="L32" s="18">
        <f>M32/J32</f>
        <v>3.9452054794520546</v>
      </c>
      <c r="M32" s="18">
        <v>288</v>
      </c>
      <c r="N32" s="18">
        <f>K32/J32</f>
        <v>0.17808219178082191</v>
      </c>
    </row>
    <row r="33" spans="1:14" x14ac:dyDescent="0.25">
      <c r="A33" t="s">
        <v>36</v>
      </c>
      <c r="B33">
        <v>33</v>
      </c>
      <c r="C33">
        <v>1</v>
      </c>
      <c r="D33">
        <f t="shared" si="0"/>
        <v>4.5454545454545459</v>
      </c>
      <c r="E33">
        <v>150</v>
      </c>
      <c r="F33">
        <f t="shared" si="1"/>
        <v>3.0303030303030304E-2</v>
      </c>
      <c r="G33" s="32">
        <v>2.6076809620810502</v>
      </c>
      <c r="I33" s="18" t="s">
        <v>121</v>
      </c>
      <c r="J33" s="18">
        <v>113</v>
      </c>
      <c r="K33" s="18">
        <v>24</v>
      </c>
      <c r="L33" s="18">
        <f t="shared" ref="L33:L34" si="18">M33/J33</f>
        <v>3.8761061946902653</v>
      </c>
      <c r="M33" s="18">
        <v>438</v>
      </c>
      <c r="N33" s="18">
        <f t="shared" ref="N33:N34" si="19">K33/J33</f>
        <v>0.21238938053097345</v>
      </c>
    </row>
    <row r="34" spans="1:14" x14ac:dyDescent="0.25">
      <c r="A34" s="18" t="s">
        <v>112</v>
      </c>
      <c r="B34" s="18">
        <v>41</v>
      </c>
      <c r="C34" s="18">
        <v>8</v>
      </c>
      <c r="D34" s="18">
        <f t="shared" si="0"/>
        <v>3.7804878048780486</v>
      </c>
      <c r="E34" s="18">
        <v>155</v>
      </c>
      <c r="F34" s="18">
        <f t="shared" si="1"/>
        <v>0.1951219512195122</v>
      </c>
      <c r="G34" s="32">
        <v>2.71006354989037</v>
      </c>
      <c r="I34" s="18" t="s">
        <v>232</v>
      </c>
      <c r="J34" s="18">
        <v>183</v>
      </c>
      <c r="K34" s="18">
        <v>40</v>
      </c>
      <c r="L34" s="18">
        <f t="shared" si="18"/>
        <v>3.8633879781420766</v>
      </c>
      <c r="M34" s="18">
        <v>707</v>
      </c>
      <c r="N34" s="18">
        <f t="shared" si="19"/>
        <v>0.21857923497267759</v>
      </c>
    </row>
    <row r="35" spans="1:14" x14ac:dyDescent="0.2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21</v>
      </c>
      <c r="J35" s="18">
        <v>180</v>
      </c>
      <c r="K35" s="18">
        <v>25</v>
      </c>
      <c r="L35" s="18">
        <f>M35/J35</f>
        <v>4.3055555555555554</v>
      </c>
      <c r="M35" s="18">
        <v>775</v>
      </c>
      <c r="N35" s="18">
        <f>K35/J35</f>
        <v>0.1388888888888889</v>
      </c>
    </row>
    <row r="36" spans="1:14" x14ac:dyDescent="0.25">
      <c r="A36" t="s">
        <v>117</v>
      </c>
      <c r="B36">
        <v>34</v>
      </c>
      <c r="C36">
        <v>6</v>
      </c>
      <c r="D36">
        <f t="shared" si="0"/>
        <v>4.2058823529411766</v>
      </c>
      <c r="E36">
        <v>143</v>
      </c>
      <c r="F36">
        <f t="shared" si="1"/>
        <v>0.17647058823529413</v>
      </c>
      <c r="G36" s="32">
        <v>2.7284509239574799</v>
      </c>
      <c r="I36" s="18" t="s">
        <v>51</v>
      </c>
      <c r="J36" s="18">
        <v>47</v>
      </c>
      <c r="K36" s="18">
        <v>4</v>
      </c>
      <c r="L36" s="18">
        <f>M36/J36</f>
        <v>4.8085106382978724</v>
      </c>
      <c r="M36" s="18">
        <v>226</v>
      </c>
      <c r="N36" s="18">
        <f>K36/J36</f>
        <v>8.5106382978723402E-2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0</v>
      </c>
      <c r="J37" s="18">
        <v>84</v>
      </c>
      <c r="K37" s="18">
        <v>14</v>
      </c>
      <c r="L37" s="18">
        <f>M37/J37</f>
        <v>4.1547619047619051</v>
      </c>
      <c r="M37" s="18">
        <v>349</v>
      </c>
      <c r="N37" s="18">
        <f>K37/J37</f>
        <v>0.16666666666666666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</v>
      </c>
      <c r="J38" s="18">
        <v>121</v>
      </c>
      <c r="K38" s="18">
        <v>6</v>
      </c>
      <c r="L38" s="18">
        <f t="shared" ref="L38" si="20">M38/J38</f>
        <v>4.7024793388429753</v>
      </c>
      <c r="M38" s="18">
        <v>569</v>
      </c>
      <c r="N38" s="18">
        <f t="shared" ref="N38" si="21">K38/J38</f>
        <v>4.9586776859504134E-2</v>
      </c>
    </row>
    <row r="39" spans="1:14" x14ac:dyDescent="0.25">
      <c r="A39" s="18" t="s">
        <v>15</v>
      </c>
      <c r="B39" s="18">
        <v>274</v>
      </c>
      <c r="C39" s="18">
        <v>40</v>
      </c>
      <c r="D39" s="18">
        <f t="shared" si="0"/>
        <v>4.6167883211678831</v>
      </c>
      <c r="E39" s="18">
        <v>1265</v>
      </c>
      <c r="F39" s="18">
        <f t="shared" si="1"/>
        <v>0.145985401459854</v>
      </c>
      <c r="G39" s="32">
        <v>2.3694389634605302</v>
      </c>
      <c r="I39" s="18" t="s">
        <v>28</v>
      </c>
      <c r="J39" s="18">
        <v>107</v>
      </c>
      <c r="K39" s="18">
        <v>7</v>
      </c>
      <c r="L39" s="18">
        <f t="shared" ref="L38:L39" si="22">M39/J39</f>
        <v>5.1121495327102799</v>
      </c>
      <c r="M39" s="18">
        <v>547</v>
      </c>
      <c r="N39" s="18">
        <f t="shared" ref="N38:N39" si="23">K39/J39</f>
        <v>6.5420560747663545E-2</v>
      </c>
    </row>
    <row r="40" spans="1:14" x14ac:dyDescent="0.25">
      <c r="A40" t="s">
        <v>13</v>
      </c>
      <c r="B40">
        <v>38</v>
      </c>
      <c r="C40">
        <v>2</v>
      </c>
      <c r="D40">
        <f t="shared" si="0"/>
        <v>4.8947368421052628</v>
      </c>
      <c r="E40">
        <v>186</v>
      </c>
      <c r="F40">
        <f t="shared" si="1"/>
        <v>5.2631578947368418E-2</v>
      </c>
      <c r="G40" s="32">
        <v>2.1392325234704299</v>
      </c>
      <c r="I40" s="18" t="s">
        <v>253</v>
      </c>
      <c r="J40" s="18">
        <v>61</v>
      </c>
      <c r="K40" s="18">
        <v>4</v>
      </c>
      <c r="L40" s="18">
        <f t="shared" ref="L40:L42" si="24">M40/J40</f>
        <v>5.6065573770491799</v>
      </c>
      <c r="M40" s="18">
        <v>342</v>
      </c>
      <c r="N40" s="18">
        <f t="shared" ref="N40:N41" si="25">K40/J40</f>
        <v>6.5573770491803282E-2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175</v>
      </c>
      <c r="J41" s="18">
        <v>70</v>
      </c>
      <c r="K41" s="18">
        <v>19</v>
      </c>
      <c r="L41" s="18">
        <f t="shared" si="24"/>
        <v>3.4</v>
      </c>
      <c r="M41" s="18">
        <v>238</v>
      </c>
      <c r="N41" s="18">
        <f t="shared" si="25"/>
        <v>0.27142857142857141</v>
      </c>
    </row>
    <row r="42" spans="1:14" x14ac:dyDescent="0.2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61</v>
      </c>
      <c r="J42" s="18">
        <v>73</v>
      </c>
      <c r="K42" s="18">
        <v>15</v>
      </c>
      <c r="L42" s="18">
        <f t="shared" si="24"/>
        <v>4.397260273972603</v>
      </c>
      <c r="M42" s="18">
        <v>321</v>
      </c>
      <c r="N42" s="18">
        <f>K42/J42</f>
        <v>0.20547945205479451</v>
      </c>
    </row>
    <row r="43" spans="1:14" x14ac:dyDescent="0.2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24</v>
      </c>
      <c r="J43" s="18">
        <v>102</v>
      </c>
      <c r="K43" s="18">
        <v>12</v>
      </c>
      <c r="L43" s="18">
        <f t="shared" ref="L43:L48" si="26">M43/J43</f>
        <v>4.5196078431372548</v>
      </c>
      <c r="M43" s="18">
        <v>461</v>
      </c>
      <c r="N43" s="18">
        <f t="shared" ref="N43:N48" si="27">K43/J43</f>
        <v>0.11764705882352941</v>
      </c>
    </row>
    <row r="44" spans="1:14" x14ac:dyDescent="0.25">
      <c r="A44" s="18" t="s">
        <v>121</v>
      </c>
      <c r="B44" s="18">
        <v>113</v>
      </c>
      <c r="C44" s="18">
        <v>24</v>
      </c>
      <c r="D44" s="18">
        <f t="shared" si="0"/>
        <v>3.8761061946902653</v>
      </c>
      <c r="E44" s="18">
        <v>438</v>
      </c>
      <c r="F44" s="18">
        <f t="shared" si="1"/>
        <v>0.21238938053097345</v>
      </c>
      <c r="G44" s="32">
        <v>2.2233267457082899</v>
      </c>
      <c r="I44" s="18" t="s">
        <v>30</v>
      </c>
      <c r="J44" s="18">
        <v>63</v>
      </c>
      <c r="K44" s="18">
        <v>5</v>
      </c>
      <c r="L44" s="18">
        <f t="shared" si="26"/>
        <v>5.1428571428571432</v>
      </c>
      <c r="M44" s="18">
        <v>324</v>
      </c>
      <c r="N44" s="18">
        <f t="shared" si="27"/>
        <v>7.9365079365079361E-2</v>
      </c>
    </row>
    <row r="45" spans="1:14" x14ac:dyDescent="0.25">
      <c r="A45" s="18" t="s">
        <v>232</v>
      </c>
      <c r="B45" s="18">
        <v>183</v>
      </c>
      <c r="C45" s="18">
        <v>40</v>
      </c>
      <c r="D45" s="18">
        <f t="shared" si="0"/>
        <v>3.8633879781420766</v>
      </c>
      <c r="E45" s="18">
        <v>707</v>
      </c>
      <c r="F45" s="18">
        <f t="shared" si="1"/>
        <v>0.21857923497267759</v>
      </c>
      <c r="G45" s="32">
        <v>2.2509257354845502</v>
      </c>
      <c r="I45" s="18" t="s">
        <v>29</v>
      </c>
      <c r="J45" s="18">
        <v>138</v>
      </c>
      <c r="K45" s="18">
        <v>20</v>
      </c>
      <c r="L45" s="18">
        <f t="shared" si="26"/>
        <v>3.9855072463768115</v>
      </c>
      <c r="M45" s="18">
        <v>550</v>
      </c>
      <c r="N45" s="18">
        <f t="shared" si="27"/>
        <v>0.14492753623188406</v>
      </c>
    </row>
    <row r="46" spans="1:14" x14ac:dyDescent="0.2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148</v>
      </c>
      <c r="J46" s="18">
        <v>42</v>
      </c>
      <c r="K46" s="18">
        <v>8</v>
      </c>
      <c r="L46" s="18">
        <f t="shared" si="26"/>
        <v>3.7380952380952381</v>
      </c>
      <c r="M46" s="18">
        <v>157</v>
      </c>
      <c r="N46" s="18">
        <f t="shared" si="27"/>
        <v>0.19047619047619047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79</v>
      </c>
      <c r="J47" s="18">
        <v>54</v>
      </c>
      <c r="K47" s="18">
        <v>6</v>
      </c>
      <c r="L47" s="18">
        <f t="shared" si="26"/>
        <v>4.6296296296296298</v>
      </c>
      <c r="M47" s="18">
        <v>250</v>
      </c>
      <c r="N47" s="18">
        <f t="shared" si="27"/>
        <v>0.1111111111111111</v>
      </c>
    </row>
    <row r="48" spans="1:14" x14ac:dyDescent="0.2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123</v>
      </c>
      <c r="J48" s="18">
        <v>44</v>
      </c>
      <c r="K48" s="18">
        <v>6</v>
      </c>
      <c r="L48" s="18">
        <f t="shared" si="26"/>
        <v>4.4772727272727275</v>
      </c>
      <c r="M48" s="18">
        <v>197</v>
      </c>
      <c r="N48" s="18">
        <f t="shared" si="27"/>
        <v>0.13636363636363635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22</v>
      </c>
      <c r="J49" s="18">
        <v>185</v>
      </c>
      <c r="K49" s="18">
        <v>30</v>
      </c>
      <c r="L49" s="18">
        <f>M49/J49</f>
        <v>4.1243243243243244</v>
      </c>
      <c r="M49" s="18">
        <v>763</v>
      </c>
      <c r="N49" s="18">
        <f>K49/J49</f>
        <v>0.16216216216216217</v>
      </c>
    </row>
    <row r="50" spans="1:14" x14ac:dyDescent="0.25">
      <c r="A50" s="18" t="s">
        <v>1</v>
      </c>
      <c r="B50" s="18">
        <v>121</v>
      </c>
      <c r="C50" s="18">
        <v>6</v>
      </c>
      <c r="D50" s="18">
        <f t="shared" si="0"/>
        <v>4.7024793388429753</v>
      </c>
      <c r="E50" s="18">
        <v>569</v>
      </c>
      <c r="F50" s="18">
        <f t="shared" si="1"/>
        <v>4.9586776859504134E-2</v>
      </c>
      <c r="G50" s="32">
        <v>2.0412414523193099</v>
      </c>
      <c r="I50" s="18" t="s">
        <v>33</v>
      </c>
      <c r="J50" s="18">
        <v>67</v>
      </c>
      <c r="K50" s="18">
        <v>4</v>
      </c>
      <c r="L50" s="18">
        <f t="shared" ref="L50" si="28">M50/J50</f>
        <v>5.5373134328358207</v>
      </c>
      <c r="M50" s="18">
        <v>371</v>
      </c>
      <c r="N50" s="18">
        <f t="shared" ref="N50" si="29">K50/J50</f>
        <v>5.9701492537313432E-2</v>
      </c>
    </row>
    <row r="51" spans="1:14" x14ac:dyDescent="0.25">
      <c r="A51" s="18" t="s">
        <v>28</v>
      </c>
      <c r="B51" s="18">
        <v>107</v>
      </c>
      <c r="C51" s="18">
        <v>7</v>
      </c>
      <c r="D51" s="18">
        <f t="shared" si="0"/>
        <v>5.1121495327102799</v>
      </c>
      <c r="E51" s="18">
        <v>547</v>
      </c>
      <c r="F51" s="18">
        <f t="shared" si="1"/>
        <v>6.5420560747663545E-2</v>
      </c>
      <c r="G51" s="32">
        <v>1.30384048104052</v>
      </c>
      <c r="I51" s="18" t="s">
        <v>129</v>
      </c>
      <c r="J51" s="18">
        <v>47</v>
      </c>
      <c r="K51" s="18">
        <v>8</v>
      </c>
      <c r="L51" s="18">
        <f t="shared" ref="L51" si="30">M51/J51</f>
        <v>4.5744680851063828</v>
      </c>
      <c r="M51" s="18">
        <v>215</v>
      </c>
      <c r="N51" s="18">
        <f t="shared" ref="N51" si="31">K51/J51</f>
        <v>0.1702127659574468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113</v>
      </c>
      <c r="J52" s="18">
        <v>40</v>
      </c>
      <c r="K52" s="18">
        <v>1</v>
      </c>
      <c r="L52" s="18">
        <f t="shared" ref="L52:L53" si="32">M52/J52</f>
        <v>4.2750000000000004</v>
      </c>
      <c r="M52" s="18">
        <v>171</v>
      </c>
      <c r="N52" s="18">
        <f t="shared" ref="N52:N53" si="33">K52/J52</f>
        <v>2.5000000000000001E-2</v>
      </c>
    </row>
    <row r="53" spans="1:14" x14ac:dyDescent="0.25">
      <c r="A53" s="18" t="s">
        <v>175</v>
      </c>
      <c r="B53" s="18">
        <v>70</v>
      </c>
      <c r="C53" s="18">
        <v>19</v>
      </c>
      <c r="D53" s="18">
        <f t="shared" si="0"/>
        <v>3.4</v>
      </c>
      <c r="E53" s="18">
        <v>238</v>
      </c>
      <c r="F53" s="18">
        <f t="shared" si="1"/>
        <v>0.27142857142857141</v>
      </c>
      <c r="G53" s="32">
        <v>2</v>
      </c>
      <c r="I53" s="18" t="s">
        <v>35</v>
      </c>
      <c r="J53" s="18">
        <v>194</v>
      </c>
      <c r="K53" s="18">
        <v>47</v>
      </c>
      <c r="L53" s="18">
        <f t="shared" si="32"/>
        <v>3.5515463917525771</v>
      </c>
      <c r="M53" s="18">
        <v>689</v>
      </c>
      <c r="N53" s="18">
        <f t="shared" si="33"/>
        <v>0.2422680412371134</v>
      </c>
    </row>
    <row r="54" spans="1:14" x14ac:dyDescent="0.25">
      <c r="A54" s="18" t="s">
        <v>61</v>
      </c>
      <c r="B54" s="18">
        <v>73</v>
      </c>
      <c r="C54" s="18">
        <v>15</v>
      </c>
      <c r="D54" s="18">
        <f t="shared" si="0"/>
        <v>4.397260273972603</v>
      </c>
      <c r="E54" s="18">
        <v>321</v>
      </c>
      <c r="F54" s="18">
        <f>C54/B54</f>
        <v>0.20547945205479451</v>
      </c>
      <c r="G54" s="32">
        <v>3.2403703492039302</v>
      </c>
      <c r="I54" s="18" t="s">
        <v>26</v>
      </c>
      <c r="J54" s="18">
        <v>111</v>
      </c>
      <c r="K54" s="18">
        <v>6</v>
      </c>
      <c r="L54" s="18">
        <f t="shared" ref="L54:L56" si="34">M54/J54</f>
        <v>5.2252252252252251</v>
      </c>
      <c r="M54" s="18">
        <v>580</v>
      </c>
      <c r="N54" s="18">
        <f t="shared" ref="N54:N56" si="35">K54/J54</f>
        <v>5.4054054054054057E-2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122</v>
      </c>
      <c r="J55" s="18">
        <v>170</v>
      </c>
      <c r="K55" s="18">
        <v>20</v>
      </c>
      <c r="L55" s="18">
        <f t="shared" si="34"/>
        <v>3.9647058823529413</v>
      </c>
      <c r="M55" s="18">
        <v>674</v>
      </c>
      <c r="N55" s="18">
        <f t="shared" si="35"/>
        <v>0.11764705882352941</v>
      </c>
    </row>
    <row r="56" spans="1:14" x14ac:dyDescent="0.2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 t="s">
        <v>49</v>
      </c>
      <c r="J56" s="18">
        <v>149</v>
      </c>
      <c r="K56" s="18">
        <v>9</v>
      </c>
      <c r="L56" s="18">
        <f t="shared" si="34"/>
        <v>5.0402684563758386</v>
      </c>
      <c r="M56" s="18">
        <v>751</v>
      </c>
      <c r="N56" s="18">
        <f t="shared" si="35"/>
        <v>6.0402684563758392E-2</v>
      </c>
    </row>
    <row r="57" spans="1:14" x14ac:dyDescent="0.2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 t="s">
        <v>3</v>
      </c>
      <c r="J57" s="18">
        <v>50</v>
      </c>
      <c r="K57" s="18">
        <v>7</v>
      </c>
      <c r="L57" s="18">
        <f t="shared" ref="L57" si="36">M57/J57</f>
        <v>4.3</v>
      </c>
      <c r="M57" s="18">
        <v>215</v>
      </c>
      <c r="N57" s="18">
        <f>K57/J57</f>
        <v>0.14000000000000001</v>
      </c>
    </row>
    <row r="58" spans="1:14" x14ac:dyDescent="0.25">
      <c r="A58" t="s">
        <v>116</v>
      </c>
      <c r="B58">
        <v>31</v>
      </c>
      <c r="C58">
        <v>5</v>
      </c>
      <c r="D58">
        <f t="shared" si="0"/>
        <v>4</v>
      </c>
      <c r="E58">
        <v>124</v>
      </c>
      <c r="F58">
        <f t="shared" si="1"/>
        <v>0.16129032258064516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25">
      <c r="A62" s="18" t="s">
        <v>29</v>
      </c>
      <c r="B62" s="18">
        <v>138</v>
      </c>
      <c r="C62" s="18">
        <v>20</v>
      </c>
      <c r="D62" s="18">
        <f t="shared" si="0"/>
        <v>3.9855072463768115</v>
      </c>
      <c r="E62" s="18">
        <v>550</v>
      </c>
      <c r="F62" s="18">
        <f t="shared" si="1"/>
        <v>0.14492753623188406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44</v>
      </c>
      <c r="C70" s="18">
        <v>6</v>
      </c>
      <c r="D70" s="18">
        <f t="shared" si="0"/>
        <v>4.4772727272727275</v>
      </c>
      <c r="E70" s="18">
        <v>197</v>
      </c>
      <c r="F70" s="18">
        <f t="shared" si="1"/>
        <v>0.13636363636363635</v>
      </c>
      <c r="G70" s="32">
        <v>2</v>
      </c>
    </row>
    <row r="71" spans="1:14" x14ac:dyDescent="0.2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t="s">
        <v>82</v>
      </c>
      <c r="B76">
        <v>30</v>
      </c>
      <c r="C76">
        <v>1</v>
      </c>
      <c r="D76">
        <f t="shared" ref="D76:D91" si="37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25">
      <c r="A77" s="18" t="s">
        <v>33</v>
      </c>
      <c r="B77" s="18">
        <v>67</v>
      </c>
      <c r="C77" s="18">
        <v>4</v>
      </c>
      <c r="D77" s="18">
        <f t="shared" si="37"/>
        <v>5.5373134328358207</v>
      </c>
      <c r="E77" s="18">
        <v>371</v>
      </c>
      <c r="F77" s="18">
        <f t="shared" ref="F77:F91" si="38">C77/B77</f>
        <v>5.9701492537313432E-2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t="s">
        <v>99</v>
      </c>
      <c r="B78">
        <v>30</v>
      </c>
      <c r="C78">
        <v>2</v>
      </c>
      <c r="D78">
        <f t="shared" si="37"/>
        <v>5.2</v>
      </c>
      <c r="E78">
        <v>156</v>
      </c>
      <c r="F78">
        <f t="shared" si="38"/>
        <v>6.6666666666666666E-2</v>
      </c>
      <c r="G78" s="32">
        <v>2.6687491868330699</v>
      </c>
    </row>
    <row r="79" spans="1:14" x14ac:dyDescent="0.25">
      <c r="A79" t="s">
        <v>7</v>
      </c>
      <c r="B79">
        <v>31</v>
      </c>
      <c r="C79">
        <v>7</v>
      </c>
      <c r="D79">
        <f t="shared" si="37"/>
        <v>3.870967741935484</v>
      </c>
      <c r="E79">
        <v>120</v>
      </c>
      <c r="F79">
        <f t="shared" si="38"/>
        <v>0.22580645161290322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37"/>
        <v>4</v>
      </c>
      <c r="E80" s="41">
        <v>20</v>
      </c>
      <c r="F80" s="41">
        <f t="shared" si="38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37"/>
        <v>4.1818181818181817</v>
      </c>
      <c r="E81" s="41">
        <v>46</v>
      </c>
      <c r="F81" s="41">
        <f t="shared" si="38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47</v>
      </c>
      <c r="C82" s="18">
        <v>8</v>
      </c>
      <c r="D82" s="18">
        <f t="shared" si="37"/>
        <v>4.5744680851063828</v>
      </c>
      <c r="E82" s="18">
        <v>215</v>
      </c>
      <c r="F82" s="18">
        <f t="shared" si="38"/>
        <v>0.1702127659574468</v>
      </c>
      <c r="G82" s="32">
        <v>2.1315096371664199</v>
      </c>
    </row>
    <row r="83" spans="1:14" x14ac:dyDescent="0.25">
      <c r="A83" s="18" t="s">
        <v>113</v>
      </c>
      <c r="B83" s="18">
        <v>40</v>
      </c>
      <c r="C83" s="18">
        <v>1</v>
      </c>
      <c r="D83" s="18">
        <f t="shared" si="37"/>
        <v>4.2750000000000004</v>
      </c>
      <c r="E83" s="18">
        <v>171</v>
      </c>
      <c r="F83" s="18">
        <f t="shared" si="38"/>
        <v>2.5000000000000001E-2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25">
      <c r="A84" s="18" t="s">
        <v>35</v>
      </c>
      <c r="B84" s="18">
        <v>194</v>
      </c>
      <c r="C84" s="18">
        <v>47</v>
      </c>
      <c r="D84" s="18">
        <f t="shared" si="37"/>
        <v>3.5515463917525771</v>
      </c>
      <c r="E84" s="18">
        <v>689</v>
      </c>
      <c r="F84" s="18">
        <f t="shared" si="38"/>
        <v>0.2422680412371134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25">
      <c r="A85" s="18" t="s">
        <v>26</v>
      </c>
      <c r="B85" s="18">
        <v>111</v>
      </c>
      <c r="C85" s="18">
        <v>6</v>
      </c>
      <c r="D85" s="18">
        <f t="shared" si="37"/>
        <v>5.2252252252252251</v>
      </c>
      <c r="E85" s="18">
        <v>580</v>
      </c>
      <c r="F85" s="18">
        <f t="shared" si="38"/>
        <v>5.4054054054054057E-2</v>
      </c>
      <c r="G85" s="32">
        <v>2.4494897427831699</v>
      </c>
    </row>
    <row r="86" spans="1:14" x14ac:dyDescent="0.25">
      <c r="A86" s="18" t="s">
        <v>122</v>
      </c>
      <c r="B86" s="18">
        <v>170</v>
      </c>
      <c r="C86" s="18">
        <v>20</v>
      </c>
      <c r="D86" s="18">
        <f t="shared" si="37"/>
        <v>3.9647058823529413</v>
      </c>
      <c r="E86" s="18">
        <v>674</v>
      </c>
      <c r="F86" s="18">
        <f t="shared" si="38"/>
        <v>0.11764705882352941</v>
      </c>
      <c r="G86" s="32">
        <v>1.6329931618554501</v>
      </c>
    </row>
    <row r="87" spans="1:14" x14ac:dyDescent="0.25">
      <c r="A87" s="18" t="s">
        <v>49</v>
      </c>
      <c r="B87" s="18">
        <v>149</v>
      </c>
      <c r="C87" s="18">
        <v>9</v>
      </c>
      <c r="D87" s="18">
        <f t="shared" si="37"/>
        <v>5.0402684563758386</v>
      </c>
      <c r="E87" s="18">
        <v>751</v>
      </c>
      <c r="F87" s="18">
        <f t="shared" si="38"/>
        <v>6.0402684563758392E-2</v>
      </c>
      <c r="G87" s="32">
        <v>2.79455252402308</v>
      </c>
    </row>
    <row r="88" spans="1:14" x14ac:dyDescent="0.25">
      <c r="A88" s="18" t="s">
        <v>3</v>
      </c>
      <c r="B88" s="18">
        <v>50</v>
      </c>
      <c r="C88" s="18">
        <v>7</v>
      </c>
      <c r="D88" s="18">
        <f t="shared" si="37"/>
        <v>4.3</v>
      </c>
      <c r="E88" s="18">
        <v>215</v>
      </c>
      <c r="F88" s="18">
        <f t="shared" si="38"/>
        <v>0.14000000000000001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37"/>
        <v>4.9666666666666668</v>
      </c>
      <c r="E89">
        <v>149</v>
      </c>
      <c r="F89">
        <f t="shared" si="38"/>
        <v>0.13333333333333333</v>
      </c>
      <c r="G89" s="32">
        <v>2.7748873851023199</v>
      </c>
    </row>
    <row r="90" spans="1:14" x14ac:dyDescent="0.25">
      <c r="A90" t="s">
        <v>2</v>
      </c>
      <c r="B90">
        <v>30</v>
      </c>
      <c r="C90">
        <v>6</v>
      </c>
      <c r="D90">
        <f t="shared" si="37"/>
        <v>3.9666666666666668</v>
      </c>
      <c r="E90">
        <v>119</v>
      </c>
      <c r="F90">
        <f t="shared" si="38"/>
        <v>0.2</v>
      </c>
      <c r="G90" s="32">
        <v>2.5876449587894599</v>
      </c>
    </row>
    <row r="91" spans="1:14" x14ac:dyDescent="0.25">
      <c r="A91" t="s">
        <v>124</v>
      </c>
      <c r="B91">
        <v>31</v>
      </c>
      <c r="C91">
        <v>1</v>
      </c>
      <c r="D91">
        <f t="shared" si="37"/>
        <v>4.935483870967742</v>
      </c>
      <c r="E91">
        <v>153</v>
      </c>
      <c r="F91">
        <f t="shared" si="38"/>
        <v>3.2258064516129031E-2</v>
      </c>
      <c r="G91" s="32">
        <v>2.16794833886788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42"/>
  <sheetViews>
    <sheetView workbookViewId="0">
      <selection activeCell="H7" sqref="H7"/>
    </sheetView>
  </sheetViews>
  <sheetFormatPr defaultRowHeight="15" x14ac:dyDescent="0.25"/>
  <sheetData>
    <row r="1" spans="1:6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</row>
    <row r="2" spans="1:6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</row>
    <row r="3" spans="1:6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</row>
    <row r="4" spans="1:6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</row>
    <row r="5" spans="1:6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</row>
    <row r="6" spans="1:6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</row>
    <row r="7" spans="1:6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</row>
    <row r="8" spans="1:6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</row>
    <row r="9" spans="1:6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</row>
    <row r="10" spans="1:6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</row>
    <row r="11" spans="1:6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</row>
    <row r="12" spans="1:6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</row>
    <row r="13" spans="1:6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</row>
    <row r="14" spans="1:6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</row>
    <row r="15" spans="1:6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</row>
    <row r="16" spans="1:6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</row>
    <row r="17" spans="1:6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</row>
    <row r="18" spans="1:6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</row>
    <row r="19" spans="1:6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</row>
    <row r="20" spans="1:6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</row>
    <row r="21" spans="1:6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</row>
    <row r="22" spans="1:6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</row>
    <row r="23" spans="1:6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</row>
    <row r="24" spans="1:6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</row>
    <row r="25" spans="1:6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</row>
    <row r="26" spans="1:6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</row>
    <row r="27" spans="1:6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</row>
    <row r="28" spans="1:6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</row>
    <row r="29" spans="1:6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</row>
    <row r="30" spans="1:6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</row>
    <row r="31" spans="1:6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</row>
    <row r="32" spans="1:6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</row>
    <row r="33" spans="1:6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</row>
    <row r="34" spans="1:6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</row>
    <row r="35" spans="1:6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</row>
    <row r="36" spans="1:6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</row>
    <row r="37" spans="1:6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</row>
    <row r="38" spans="1:6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</row>
    <row r="39" spans="1:6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</row>
    <row r="40" spans="1:6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</row>
    <row r="41" spans="1:6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</row>
    <row r="42" spans="1:6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</row>
  </sheetData>
  <sortState xmlns:xlrd2="http://schemas.microsoft.com/office/spreadsheetml/2017/richdata2" ref="A2:F42">
    <sortCondition ref="D2:D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2026-07-14T15:33:50Z</dcterms:modified>
</cp:coreProperties>
</file>