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3400AADD-A140-42D5-9EB7-2FDFFC89588D}" xr6:coauthVersionLast="47" xr6:coauthVersionMax="47" xr10:uidLastSave="{00000000-0000-0000-0000-000000000000}"/>
  <bookViews>
    <workbookView xWindow="-120" yWindow="-120" windowWidth="38640" windowHeight="21120" firstSheet="2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0" l="1"/>
  <c r="L15" i="10"/>
  <c r="N53" i="10"/>
  <c r="L53" i="10"/>
  <c r="N56" i="10"/>
  <c r="L56" i="10"/>
  <c r="N42" i="10"/>
  <c r="L42" i="10"/>
  <c r="N41" i="10"/>
  <c r="L41" i="10"/>
  <c r="N28" i="10"/>
  <c r="L28" i="10"/>
  <c r="N35" i="10"/>
  <c r="L35" i="10"/>
  <c r="N29" i="10"/>
  <c r="L29" i="10"/>
  <c r="N73" i="10"/>
  <c r="L73" i="10"/>
  <c r="N75" i="10"/>
  <c r="L75" i="10"/>
  <c r="N24" i="10"/>
  <c r="L24" i="10"/>
  <c r="N27" i="10"/>
  <c r="L27" i="10"/>
  <c r="N44" i="10"/>
  <c r="L44" i="10"/>
  <c r="N62" i="10"/>
  <c r="L62" i="10"/>
  <c r="N34" i="10"/>
  <c r="L34" i="10"/>
  <c r="N43" i="10"/>
  <c r="L43" i="10"/>
  <c r="N72" i="10"/>
  <c r="L72" i="10"/>
  <c r="N55" i="10"/>
  <c r="L55" i="10"/>
  <c r="N17" i="10"/>
  <c r="L17" i="10"/>
  <c r="N76" i="10"/>
  <c r="L7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5" i="10"/>
  <c r="L65" i="10"/>
  <c r="N51" i="10"/>
  <c r="L51" i="10"/>
  <c r="N50" i="10"/>
  <c r="L50" i="10"/>
  <c r="N14" i="10"/>
  <c r="L14" i="10"/>
  <c r="N57" i="10"/>
  <c r="L57" i="10"/>
  <c r="N40" i="10"/>
  <c r="L40" i="10"/>
  <c r="N45" i="10"/>
  <c r="L45" i="10"/>
  <c r="N58" i="10"/>
  <c r="L58" i="10"/>
  <c r="N61" i="10"/>
  <c r="L61" i="10"/>
  <c r="N68" i="10"/>
  <c r="L68" i="10"/>
  <c r="N31" i="10"/>
  <c r="L31" i="10"/>
  <c r="N63" i="10"/>
  <c r="L63" i="10"/>
  <c r="N48" i="10"/>
  <c r="L48" i="10"/>
  <c r="N47" i="10"/>
  <c r="L47" i="10"/>
  <c r="N66" i="10"/>
  <c r="L66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7" i="10"/>
  <c r="L37" i="10"/>
  <c r="N70" i="10"/>
  <c r="L70" i="10"/>
  <c r="N64" i="10"/>
  <c r="L64" i="10"/>
  <c r="N39" i="10"/>
  <c r="L39" i="10"/>
  <c r="N25" i="10"/>
  <c r="L25" i="10"/>
  <c r="N49" i="10"/>
  <c r="L49" i="10"/>
  <c r="N46" i="10"/>
  <c r="L46" i="10"/>
  <c r="N32" i="10"/>
  <c r="L32" i="10"/>
  <c r="N69" i="10"/>
  <c r="L69" i="10"/>
  <c r="N33" i="10"/>
  <c r="L33" i="10"/>
  <c r="N38" i="10"/>
  <c r="L38" i="10"/>
  <c r="N74" i="10"/>
  <c r="L74" i="10"/>
  <c r="N67" i="10"/>
  <c r="L67" i="10"/>
  <c r="N54" i="10"/>
  <c r="L54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2" i="10"/>
  <c r="L52" i="10"/>
  <c r="N23" i="10"/>
  <c r="L23" i="10"/>
  <c r="N59" i="10"/>
  <c r="L59" i="10"/>
  <c r="N30" i="10"/>
  <c r="L30" i="10"/>
  <c r="N18" i="10"/>
  <c r="L18" i="10"/>
  <c r="N36" i="10"/>
  <c r="L36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6" i="10"/>
  <c r="L26" i="10"/>
  <c r="N13" i="10"/>
  <c r="L13" i="10"/>
  <c r="N21" i="10"/>
  <c r="L21" i="10"/>
  <c r="N16" i="10"/>
  <c r="L16" i="10"/>
  <c r="N20" i="10"/>
  <c r="L20" i="10"/>
  <c r="N60" i="10"/>
  <c r="L60" i="10"/>
  <c r="N71" i="10"/>
  <c r="L71" i="10"/>
  <c r="N77" i="10"/>
  <c r="L77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<sst xmlns="http://schemas.openxmlformats.org/spreadsheetml/2006/main" count="14221" uniqueCount="496">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</sst>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30"/>
  <sheetViews>
    <sheetView topLeftCell="A191" workbookViewId="0">
      <selection activeCell="Q222" sqref="Q222:U23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</row>
    <row r="225" spans="10:21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</row>
    <row r="226" spans="10:21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</row>
    <row r="227" spans="10:21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</row>
    <row r="228" spans="10:21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</row>
    <row r="229" spans="10:21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</row>
    <row r="230" spans="10:21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97"/>
  <sheetViews>
    <sheetView tabSelected="1" workbookViewId="0">
      <selection activeCell="J1" sqref="J1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" x14ac:dyDescent="0.25">
      <c r="A1" s="1">
        <v>45969</v>
      </c>
      <c r="B1" s="1">
        <v>45969</v>
      </c>
      <c r="C1" s="1">
        <v>45969</v>
      </c>
      <c r="D1" s="1">
        <v>45969</v>
      </c>
      <c r="E1" s="1">
        <v>45969</v>
      </c>
      <c r="F1" s="1">
        <v>45969</v>
      </c>
      <c r="G1" s="1">
        <v>45974</v>
      </c>
      <c r="H1" s="1">
        <v>45974</v>
      </c>
      <c r="I1" s="1">
        <v>45974</v>
      </c>
      <c r="J1" s="1">
        <v>45974</v>
      </c>
    </row>
    <row r="2" spans="1:19" x14ac:dyDescent="0.25">
      <c r="A2" t="s">
        <v>32</v>
      </c>
      <c r="B2" t="s">
        <v>232</v>
      </c>
      <c r="C2" t="s">
        <v>21</v>
      </c>
      <c r="D2" t="s">
        <v>25</v>
      </c>
      <c r="E2" t="s">
        <v>19</v>
      </c>
      <c r="F2" t="s">
        <v>300</v>
      </c>
    </row>
    <row r="3" spans="1:19" x14ac:dyDescent="0.25">
      <c r="A3" t="s">
        <v>232</v>
      </c>
      <c r="B3" t="s">
        <v>79</v>
      </c>
      <c r="C3" t="s">
        <v>25</v>
      </c>
      <c r="D3" t="s">
        <v>78</v>
      </c>
      <c r="E3" t="s">
        <v>49</v>
      </c>
      <c r="F3" t="s">
        <v>15</v>
      </c>
    </row>
    <row r="4" spans="1:19" x14ac:dyDescent="0.25">
      <c r="A4" t="s">
        <v>26</v>
      </c>
      <c r="B4" t="s">
        <v>26</v>
      </c>
      <c r="C4" t="s">
        <v>113</v>
      </c>
      <c r="D4" t="s">
        <v>5</v>
      </c>
      <c r="E4" t="s">
        <v>26</v>
      </c>
      <c r="F4" t="s">
        <v>147</v>
      </c>
    </row>
    <row r="5" spans="1:19" x14ac:dyDescent="0.25">
      <c r="A5" t="s">
        <v>0</v>
      </c>
      <c r="B5" t="s">
        <v>0</v>
      </c>
      <c r="C5" t="s">
        <v>300</v>
      </c>
      <c r="D5" t="s">
        <v>36</v>
      </c>
      <c r="E5" t="s">
        <v>15</v>
      </c>
      <c r="F5" t="s">
        <v>232</v>
      </c>
    </row>
    <row r="6" spans="1:19" x14ac:dyDescent="0.25">
      <c r="A6" t="s">
        <v>79</v>
      </c>
      <c r="B6" t="s">
        <v>5</v>
      </c>
      <c r="C6" t="s">
        <v>5</v>
      </c>
      <c r="D6" t="s">
        <v>300</v>
      </c>
      <c r="E6" t="s">
        <v>31</v>
      </c>
      <c r="F6" t="s">
        <v>21</v>
      </c>
    </row>
    <row r="7" spans="1:19" x14ac:dyDescent="0.25">
      <c r="A7" t="s">
        <v>15</v>
      </c>
      <c r="B7" t="s">
        <v>31</v>
      </c>
      <c r="C7" t="s">
        <v>36</v>
      </c>
      <c r="D7" t="s">
        <v>113</v>
      </c>
      <c r="E7" t="s">
        <v>5</v>
      </c>
      <c r="F7" t="s">
        <v>29</v>
      </c>
    </row>
    <row r="8" spans="1:19" x14ac:dyDescent="0.25">
      <c r="A8" t="s">
        <v>49</v>
      </c>
      <c r="B8" t="s">
        <v>49</v>
      </c>
      <c r="C8" t="s">
        <v>34</v>
      </c>
      <c r="D8" t="s">
        <v>21</v>
      </c>
      <c r="E8" t="s">
        <v>29</v>
      </c>
      <c r="F8" t="s">
        <v>5</v>
      </c>
    </row>
    <row r="9" spans="1:19" x14ac:dyDescent="0.25">
      <c r="A9" t="s">
        <v>31</v>
      </c>
      <c r="B9" t="s">
        <v>15</v>
      </c>
      <c r="C9" t="s">
        <v>78</v>
      </c>
      <c r="D9" t="s">
        <v>147</v>
      </c>
      <c r="E9" t="s">
        <v>232</v>
      </c>
      <c r="F9" t="s">
        <v>31</v>
      </c>
    </row>
    <row r="12" spans="1:19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" x14ac:dyDescent="0.25">
      <c r="A13" s="18" t="s">
        <v>125</v>
      </c>
      <c r="B13" s="18">
        <v>21</v>
      </c>
      <c r="C13" s="18">
        <v>1</v>
      </c>
      <c r="D13" s="18">
        <f t="shared" ref="D13:D72" si="0">E13/B13</f>
        <v>4</v>
      </c>
      <c r="E13" s="18">
        <v>84</v>
      </c>
      <c r="F13" s="18">
        <f t="shared" ref="F13:F72" si="1">C13/B13</f>
        <v>4.7619047619047616E-2</v>
      </c>
      <c r="G13" s="32">
        <v>2.3664319132398401</v>
      </c>
      <c r="I13" s="18" t="s">
        <v>125</v>
      </c>
      <c r="J13" s="18">
        <v>21</v>
      </c>
      <c r="K13" s="18">
        <v>1</v>
      </c>
      <c r="L13" s="18">
        <f t="shared" ref="L13:L15" si="2">M13/J13</f>
        <v>4</v>
      </c>
      <c r="M13" s="18">
        <v>84</v>
      </c>
      <c r="N13" s="18">
        <f t="shared" ref="N13:N15" si="3">K13/J13</f>
        <v>4.7619047619047616E-2</v>
      </c>
    </row>
    <row r="14" spans="1:19" x14ac:dyDescent="0.25">
      <c r="A14" s="18" t="s">
        <v>104</v>
      </c>
      <c r="B14" s="18">
        <v>84</v>
      </c>
      <c r="C14" s="18">
        <v>5</v>
      </c>
      <c r="D14" s="18">
        <f t="shared" si="0"/>
        <v>4.25</v>
      </c>
      <c r="E14" s="18">
        <v>357</v>
      </c>
      <c r="F14" s="18">
        <f t="shared" si="1"/>
        <v>5.9523809523809521E-2</v>
      </c>
      <c r="G14" s="32">
        <v>2.3273733406281498</v>
      </c>
      <c r="I14" s="18" t="s">
        <v>104</v>
      </c>
      <c r="J14" s="18">
        <v>84</v>
      </c>
      <c r="K14" s="18">
        <v>5</v>
      </c>
      <c r="L14" s="18">
        <f t="shared" si="2"/>
        <v>4.25</v>
      </c>
      <c r="M14" s="18">
        <v>357</v>
      </c>
      <c r="N14" s="18">
        <f t="shared" si="3"/>
        <v>5.9523809523809521E-2</v>
      </c>
      <c r="S14" s="18" t="s">
        <v>392</v>
      </c>
    </row>
    <row r="15" spans="1:19" x14ac:dyDescent="0.25">
      <c r="A15" s="18" t="s">
        <v>31</v>
      </c>
      <c r="B15" s="18">
        <v>153</v>
      </c>
      <c r="C15" s="18">
        <v>10</v>
      </c>
      <c r="D15" s="18">
        <f t="shared" si="0"/>
        <v>5.2810457516339868</v>
      </c>
      <c r="E15" s="18">
        <v>808</v>
      </c>
      <c r="F15" s="18">
        <f t="shared" si="1"/>
        <v>6.535947712418301E-2</v>
      </c>
      <c r="G15" s="32">
        <v>1.87082869338697</v>
      </c>
      <c r="I15" s="18" t="s">
        <v>31</v>
      </c>
      <c r="J15" s="18">
        <v>153</v>
      </c>
      <c r="K15" s="18">
        <v>10</v>
      </c>
      <c r="L15" s="18">
        <f t="shared" si="2"/>
        <v>5.2810457516339868</v>
      </c>
      <c r="M15" s="18">
        <v>808</v>
      </c>
      <c r="N15" s="18">
        <f t="shared" si="3"/>
        <v>6.535947712418301E-2</v>
      </c>
      <c r="S15" s="18" t="s">
        <v>392</v>
      </c>
    </row>
    <row r="16" spans="1:19" x14ac:dyDescent="0.25">
      <c r="A16" s="18" t="s">
        <v>105</v>
      </c>
      <c r="B16" s="18">
        <v>20</v>
      </c>
      <c r="C16" s="18">
        <v>0</v>
      </c>
      <c r="D16" s="18">
        <f t="shared" si="0"/>
        <v>5.05</v>
      </c>
      <c r="E16" s="18">
        <v>101</v>
      </c>
      <c r="F16" s="18">
        <f t="shared" si="1"/>
        <v>0</v>
      </c>
      <c r="G16" s="32">
        <v>1.8165902124584901</v>
      </c>
      <c r="I16" t="s">
        <v>105</v>
      </c>
      <c r="J16">
        <v>20</v>
      </c>
      <c r="K16">
        <v>0</v>
      </c>
      <c r="L16">
        <f t="shared" ref="L16:L25" si="4">M16/J16</f>
        <v>5.05</v>
      </c>
      <c r="M16">
        <v>101</v>
      </c>
      <c r="N16">
        <f t="shared" ref="N16:N25" si="5">K16/J16</f>
        <v>0</v>
      </c>
    </row>
    <row r="17" spans="1:27" x14ac:dyDescent="0.25">
      <c r="A17" s="18" t="s">
        <v>128</v>
      </c>
      <c r="B17" s="18">
        <v>89</v>
      </c>
      <c r="C17" s="18">
        <v>27</v>
      </c>
      <c r="D17" s="18">
        <f t="shared" si="0"/>
        <v>3.0786516853932584</v>
      </c>
      <c r="E17" s="18">
        <v>274</v>
      </c>
      <c r="F17" s="18">
        <f t="shared" si="1"/>
        <v>0.30337078651685395</v>
      </c>
      <c r="G17" s="32">
        <v>2.03049835952651</v>
      </c>
      <c r="I17" s="18" t="s">
        <v>128</v>
      </c>
      <c r="J17" s="18">
        <v>89</v>
      </c>
      <c r="K17" s="18">
        <v>27</v>
      </c>
      <c r="L17" s="18">
        <f t="shared" si="4"/>
        <v>3.0786516853932584</v>
      </c>
      <c r="M17" s="18">
        <v>274</v>
      </c>
      <c r="N17" s="18">
        <f t="shared" si="5"/>
        <v>0.30337078651685395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si="4"/>
        <v>4.4782608695652177</v>
      </c>
      <c r="M18" s="18">
        <v>206</v>
      </c>
      <c r="N18" s="18">
        <f t="shared" si="5"/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4"/>
        <v>4.9090909090909092</v>
      </c>
      <c r="M19" s="18">
        <v>108</v>
      </c>
      <c r="N19" s="18">
        <f t="shared" si="5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4"/>
        <v>4.7111111111111112</v>
      </c>
      <c r="M20">
        <v>212</v>
      </c>
      <c r="N20">
        <f t="shared" si="5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4"/>
        <v>5.4074074074074074</v>
      </c>
      <c r="M21">
        <v>146</v>
      </c>
      <c r="N21">
        <f t="shared" si="5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4"/>
        <v>5.3555555555555552</v>
      </c>
      <c r="M22" s="18">
        <v>241</v>
      </c>
      <c r="N22" s="18">
        <f t="shared" si="5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21</v>
      </c>
      <c r="K23" s="18">
        <v>0</v>
      </c>
      <c r="L23" s="18">
        <f t="shared" si="4"/>
        <v>5.3809523809523814</v>
      </c>
      <c r="M23" s="18">
        <v>113</v>
      </c>
      <c r="N23" s="18">
        <f t="shared" si="5"/>
        <v>0</v>
      </c>
    </row>
    <row r="24" spans="1:27" x14ac:dyDescent="0.25">
      <c r="A24" s="18" t="s">
        <v>56</v>
      </c>
      <c r="B24" s="18">
        <v>21</v>
      </c>
      <c r="C24" s="18">
        <v>0</v>
      </c>
      <c r="D24" s="18">
        <f t="shared" si="0"/>
        <v>5.3809523809523814</v>
      </c>
      <c r="E24" s="18">
        <v>113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4"/>
        <v>5.1923076923076925</v>
      </c>
      <c r="M24" s="18">
        <v>135</v>
      </c>
      <c r="N24" s="18">
        <f t="shared" si="5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4"/>
        <v>3.6363636363636362</v>
      </c>
      <c r="M25" s="18">
        <v>80</v>
      </c>
      <c r="N25" s="18">
        <f t="shared" si="5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110</v>
      </c>
      <c r="C27" s="18">
        <v>10</v>
      </c>
      <c r="D27" s="18">
        <f t="shared" si="0"/>
        <v>4.9636363636363638</v>
      </c>
      <c r="E27" s="18">
        <v>546</v>
      </c>
      <c r="F27" s="18">
        <f t="shared" si="1"/>
        <v>9.0909090909090912E-2</v>
      </c>
      <c r="G27" s="32">
        <v>2.1609054109613202</v>
      </c>
      <c r="I27" s="18" t="s">
        <v>25</v>
      </c>
      <c r="J27" s="18">
        <v>110</v>
      </c>
      <c r="K27" s="18">
        <v>10</v>
      </c>
      <c r="L27" s="18">
        <f t="shared" ref="L27:L29" si="6">M27/J27</f>
        <v>4.9636363636363638</v>
      </c>
      <c r="M27" s="18">
        <v>546</v>
      </c>
      <c r="N27" s="18">
        <f t="shared" ref="N27:N29" si="7">K27/J27</f>
        <v>9.0909090909090912E-2</v>
      </c>
      <c r="S27" s="18" t="s">
        <v>392</v>
      </c>
    </row>
    <row r="28" spans="1:27" x14ac:dyDescent="0.25">
      <c r="A28" t="s">
        <v>34</v>
      </c>
      <c r="B28">
        <v>13</v>
      </c>
      <c r="C28">
        <v>1</v>
      </c>
      <c r="D28">
        <f t="shared" si="0"/>
        <v>5.4615384615384617</v>
      </c>
      <c r="E28">
        <v>71</v>
      </c>
      <c r="F28">
        <f t="shared" si="1"/>
        <v>7.6923076923076927E-2</v>
      </c>
      <c r="G28" s="32">
        <v>2.2360679774997898</v>
      </c>
      <c r="I28" s="18" t="s">
        <v>147</v>
      </c>
      <c r="J28" s="18">
        <v>93</v>
      </c>
      <c r="K28" s="18">
        <v>18</v>
      </c>
      <c r="L28" s="18">
        <f t="shared" si="6"/>
        <v>3.7096774193548385</v>
      </c>
      <c r="M28" s="18">
        <v>345</v>
      </c>
      <c r="N28" s="18">
        <f t="shared" si="7"/>
        <v>0.19354838709677419</v>
      </c>
      <c r="S28" s="18" t="s">
        <v>392</v>
      </c>
    </row>
    <row r="29" spans="1:27" x14ac:dyDescent="0.25">
      <c r="A29" s="18" t="s">
        <v>147</v>
      </c>
      <c r="B29" s="18">
        <v>93</v>
      </c>
      <c r="C29" s="18">
        <v>18</v>
      </c>
      <c r="D29" s="18">
        <f t="shared" si="0"/>
        <v>3.7096774193548385</v>
      </c>
      <c r="E29" s="18">
        <v>345</v>
      </c>
      <c r="F29" s="18">
        <f t="shared" si="1"/>
        <v>0.19354838709677419</v>
      </c>
      <c r="G29" s="32">
        <v>1.94935886896179</v>
      </c>
      <c r="I29" s="18" t="s">
        <v>87</v>
      </c>
      <c r="J29" s="18">
        <v>74</v>
      </c>
      <c r="K29" s="18">
        <v>11</v>
      </c>
      <c r="L29" s="18">
        <f t="shared" si="6"/>
        <v>4.8108108108108105</v>
      </c>
      <c r="M29" s="18">
        <v>356</v>
      </c>
      <c r="N29" s="18">
        <f t="shared" si="7"/>
        <v>0.14864864864864866</v>
      </c>
    </row>
    <row r="30" spans="1:27" x14ac:dyDescent="0.25">
      <c r="A30" s="18" t="s">
        <v>87</v>
      </c>
      <c r="B30" s="18">
        <v>74</v>
      </c>
      <c r="C30" s="18">
        <v>11</v>
      </c>
      <c r="D30" s="18">
        <f t="shared" si="0"/>
        <v>4.8108108108108105</v>
      </c>
      <c r="E30" s="18">
        <v>356</v>
      </c>
      <c r="F30" s="18">
        <f t="shared" si="1"/>
        <v>0.14864864864864866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5" si="8">M30/J30</f>
        <v>4.25</v>
      </c>
      <c r="M30" s="18">
        <v>85</v>
      </c>
      <c r="N30" s="18">
        <f t="shared" ref="N30:N35" si="9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53</v>
      </c>
      <c r="K31" s="18">
        <v>2</v>
      </c>
      <c r="L31" s="18">
        <f t="shared" si="8"/>
        <v>5</v>
      </c>
      <c r="M31" s="18">
        <v>265</v>
      </c>
      <c r="N31" s="18">
        <f t="shared" si="9"/>
        <v>3.7735849056603772E-2</v>
      </c>
      <c r="S31" s="18" t="s">
        <v>392</v>
      </c>
    </row>
    <row r="32" spans="1:27" x14ac:dyDescent="0.25">
      <c r="A32" s="18" t="s">
        <v>81</v>
      </c>
      <c r="B32" s="18">
        <v>53</v>
      </c>
      <c r="C32" s="18">
        <v>2</v>
      </c>
      <c r="D32" s="18">
        <f t="shared" si="0"/>
        <v>5</v>
      </c>
      <c r="E32" s="18">
        <v>265</v>
      </c>
      <c r="F32" s="18">
        <f t="shared" si="1"/>
        <v>3.7735849056603772E-2</v>
      </c>
      <c r="G32" s="32">
        <v>1.76776695296636</v>
      </c>
      <c r="I32" s="18" t="s">
        <v>112</v>
      </c>
      <c r="J32" s="18">
        <v>26</v>
      </c>
      <c r="K32" s="18">
        <v>5</v>
      </c>
      <c r="L32" s="18">
        <f t="shared" si="8"/>
        <v>4.2307692307692308</v>
      </c>
      <c r="M32" s="18">
        <v>110</v>
      </c>
      <c r="N32" s="18">
        <f t="shared" si="9"/>
        <v>0.19230769230769232</v>
      </c>
      <c r="S32" s="18" t="s">
        <v>392</v>
      </c>
    </row>
    <row r="33" spans="1:19" x14ac:dyDescent="0.25">
      <c r="A33" t="s">
        <v>36</v>
      </c>
      <c r="B33">
        <v>13</v>
      </c>
      <c r="C33">
        <v>0</v>
      </c>
      <c r="D33">
        <f t="shared" si="0"/>
        <v>4.4615384615384617</v>
      </c>
      <c r="E33">
        <v>58</v>
      </c>
      <c r="F33">
        <f t="shared" si="1"/>
        <v>0</v>
      </c>
      <c r="G33" s="32">
        <v>2.6076809620810502</v>
      </c>
      <c r="I33" s="18" t="s">
        <v>27</v>
      </c>
      <c r="J33" s="18">
        <v>36</v>
      </c>
      <c r="K33" s="18">
        <v>3</v>
      </c>
      <c r="L33" s="18">
        <f t="shared" si="8"/>
        <v>4.4444444444444446</v>
      </c>
      <c r="M33" s="18">
        <v>160</v>
      </c>
      <c r="N33" s="18">
        <f t="shared" si="9"/>
        <v>8.3333333333333329E-2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401</v>
      </c>
      <c r="J34" s="18">
        <v>55</v>
      </c>
      <c r="K34" s="18">
        <v>3</v>
      </c>
      <c r="L34" s="18">
        <f t="shared" si="8"/>
        <v>5.6909090909090905</v>
      </c>
      <c r="M34" s="18">
        <v>313</v>
      </c>
      <c r="N34" s="18">
        <f t="shared" si="9"/>
        <v>5.4545454545454543E-2</v>
      </c>
      <c r="S34">
        <v>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15</v>
      </c>
      <c r="J35" s="18">
        <v>210</v>
      </c>
      <c r="K35" s="18">
        <v>33</v>
      </c>
      <c r="L35" s="18">
        <f t="shared" si="8"/>
        <v>4.5428571428571427</v>
      </c>
      <c r="M35" s="18">
        <v>954</v>
      </c>
      <c r="N35" s="18">
        <f t="shared" si="9"/>
        <v>0.15714285714285714</v>
      </c>
      <c r="S35" s="18" t="s">
        <v>392</v>
      </c>
    </row>
    <row r="36" spans="1:19" x14ac:dyDescent="0.25">
      <c r="A36" t="s">
        <v>117</v>
      </c>
      <c r="B36">
        <v>18</v>
      </c>
      <c r="C36">
        <v>3</v>
      </c>
      <c r="D36">
        <f t="shared" si="0"/>
        <v>4.5</v>
      </c>
      <c r="E36">
        <v>81</v>
      </c>
      <c r="F36">
        <f t="shared" si="1"/>
        <v>0.16666666666666666</v>
      </c>
      <c r="G36" s="32">
        <v>2.7284509239574799</v>
      </c>
      <c r="I36" s="18" t="s">
        <v>13</v>
      </c>
      <c r="J36" s="18">
        <v>36</v>
      </c>
      <c r="K36" s="18">
        <v>2</v>
      </c>
      <c r="L36" s="18">
        <f t="shared" ref="L36:L38" si="10">M36/J36</f>
        <v>4.7222222222222223</v>
      </c>
      <c r="M36" s="18">
        <v>170</v>
      </c>
      <c r="N36" s="18">
        <f t="shared" ref="N36:N38" si="11">K36/J36</f>
        <v>5.5555555555555552E-2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10</v>
      </c>
      <c r="J37" s="18">
        <v>66</v>
      </c>
      <c r="K37" s="18">
        <v>13</v>
      </c>
      <c r="L37" s="18">
        <f t="shared" si="10"/>
        <v>3.8787878787878789</v>
      </c>
      <c r="M37" s="18">
        <v>256</v>
      </c>
      <c r="N37" s="18">
        <f t="shared" si="11"/>
        <v>0.19696969696969696</v>
      </c>
    </row>
    <row r="38" spans="1:19" x14ac:dyDescent="0.25">
      <c r="A38" s="18" t="s">
        <v>401</v>
      </c>
      <c r="B38" s="18">
        <v>55</v>
      </c>
      <c r="C38" s="18">
        <v>3</v>
      </c>
      <c r="D38" s="18">
        <f t="shared" si="0"/>
        <v>5.6909090909090905</v>
      </c>
      <c r="E38" s="18">
        <v>313</v>
      </c>
      <c r="F38" s="18">
        <f t="shared" si="1"/>
        <v>5.4545454545454543E-2</v>
      </c>
      <c r="G38" s="32">
        <v>2.1248885888797799</v>
      </c>
      <c r="I38" s="18" t="s">
        <v>63</v>
      </c>
      <c r="J38" s="18">
        <v>21</v>
      </c>
      <c r="K38" s="18">
        <v>3</v>
      </c>
      <c r="L38" s="18">
        <f t="shared" si="10"/>
        <v>4.2380952380952381</v>
      </c>
      <c r="M38" s="18">
        <v>89</v>
      </c>
      <c r="N38" s="18">
        <f t="shared" si="11"/>
        <v>0.14285714285714285</v>
      </c>
    </row>
    <row r="39" spans="1:19" x14ac:dyDescent="0.25">
      <c r="A39" s="18" t="s">
        <v>15</v>
      </c>
      <c r="B39" s="18">
        <v>210</v>
      </c>
      <c r="C39" s="18">
        <v>33</v>
      </c>
      <c r="D39" s="18">
        <f t="shared" si="0"/>
        <v>4.5428571428571427</v>
      </c>
      <c r="E39" s="18">
        <v>954</v>
      </c>
      <c r="F39" s="18">
        <f t="shared" si="1"/>
        <v>0.15714285714285714</v>
      </c>
      <c r="G39" s="32">
        <v>2.3694389634605302</v>
      </c>
      <c r="I39" s="18" t="s">
        <v>4</v>
      </c>
      <c r="J39" s="18">
        <v>20</v>
      </c>
      <c r="K39" s="18">
        <v>3</v>
      </c>
      <c r="L39" s="18">
        <f t="shared" ref="L39:L45" si="12">M39/J39</f>
        <v>4.95</v>
      </c>
      <c r="M39" s="18">
        <v>99</v>
      </c>
      <c r="N39" s="18">
        <f t="shared" ref="N39:N45" si="13">K39/J39</f>
        <v>0.15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121</v>
      </c>
      <c r="J40" s="18">
        <v>78</v>
      </c>
      <c r="K40" s="18">
        <v>18</v>
      </c>
      <c r="L40" s="18">
        <f t="shared" si="12"/>
        <v>3.9230769230769229</v>
      </c>
      <c r="M40" s="18">
        <v>306</v>
      </c>
      <c r="N40" s="18">
        <f t="shared" si="13"/>
        <v>0.23076923076923078</v>
      </c>
      <c r="S40" s="18" t="s">
        <v>392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232</v>
      </c>
      <c r="J41" s="18">
        <v>67</v>
      </c>
      <c r="K41" s="18">
        <v>14</v>
      </c>
      <c r="L41" s="18">
        <f t="shared" si="12"/>
        <v>3.9253731343283582</v>
      </c>
      <c r="M41" s="18">
        <v>263</v>
      </c>
      <c r="N41" s="18">
        <f t="shared" si="13"/>
        <v>0.20895522388059701</v>
      </c>
      <c r="S41">
        <v>1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21</v>
      </c>
      <c r="J42" s="18">
        <v>131</v>
      </c>
      <c r="K42" s="18">
        <v>18</v>
      </c>
      <c r="L42" s="18">
        <f t="shared" si="12"/>
        <v>4.4274809160305342</v>
      </c>
      <c r="M42" s="18">
        <v>580</v>
      </c>
      <c r="N42" s="18">
        <f t="shared" si="13"/>
        <v>0.13740458015267176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51</v>
      </c>
      <c r="J43" s="18">
        <v>37</v>
      </c>
      <c r="K43" s="18">
        <v>3</v>
      </c>
      <c r="L43" s="18">
        <f t="shared" si="12"/>
        <v>4.9189189189189193</v>
      </c>
      <c r="M43" s="18">
        <v>182</v>
      </c>
      <c r="N43" s="18">
        <f t="shared" si="13"/>
        <v>8.1081081081081086E-2</v>
      </c>
      <c r="S43" s="18" t="s">
        <v>392</v>
      </c>
    </row>
    <row r="44" spans="1:19" x14ac:dyDescent="0.25">
      <c r="A44" s="18" t="s">
        <v>121</v>
      </c>
      <c r="B44" s="18">
        <v>78</v>
      </c>
      <c r="C44" s="18">
        <v>18</v>
      </c>
      <c r="D44" s="18">
        <f t="shared" si="0"/>
        <v>3.9230769230769229</v>
      </c>
      <c r="E44" s="18">
        <v>306</v>
      </c>
      <c r="F44" s="18">
        <f t="shared" si="1"/>
        <v>0.23076923076923078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 t="shared" si="12"/>
        <v>4.1547619047619051</v>
      </c>
      <c r="M44" s="18">
        <v>349</v>
      </c>
      <c r="N44" s="18">
        <f t="shared" si="13"/>
        <v>0.16666666666666666</v>
      </c>
      <c r="S44" s="18" t="s">
        <v>392</v>
      </c>
    </row>
    <row r="45" spans="1:19" x14ac:dyDescent="0.25">
      <c r="A45" s="18" t="s">
        <v>232</v>
      </c>
      <c r="B45" s="18">
        <v>67</v>
      </c>
      <c r="C45" s="18">
        <v>14</v>
      </c>
      <c r="D45" s="18">
        <f t="shared" si="0"/>
        <v>3.9253731343283582</v>
      </c>
      <c r="E45" s="18">
        <v>263</v>
      </c>
      <c r="F45" s="18">
        <f t="shared" si="1"/>
        <v>0.20895522388059701</v>
      </c>
      <c r="G45" s="32">
        <v>2.2509257354845502</v>
      </c>
      <c r="I45" s="18" t="s">
        <v>1</v>
      </c>
      <c r="J45" s="18">
        <v>88</v>
      </c>
      <c r="K45" s="18">
        <v>4</v>
      </c>
      <c r="L45" s="18">
        <f t="shared" si="12"/>
        <v>4.5681818181818183</v>
      </c>
      <c r="M45" s="18">
        <v>402</v>
      </c>
      <c r="N45" s="18">
        <f t="shared" si="13"/>
        <v>4.5454545454545456E-2</v>
      </c>
      <c r="S45" s="18" t="s">
        <v>392</v>
      </c>
    </row>
    <row r="46" spans="1:19" x14ac:dyDescent="0.25">
      <c r="A46" s="18" t="s">
        <v>21</v>
      </c>
      <c r="B46" s="18">
        <v>131</v>
      </c>
      <c r="C46" s="18">
        <v>18</v>
      </c>
      <c r="D46" s="18">
        <f t="shared" si="0"/>
        <v>4.4274809160305342</v>
      </c>
      <c r="E46" s="18">
        <v>580</v>
      </c>
      <c r="F46" s="18">
        <f t="shared" si="1"/>
        <v>0.13740458015267176</v>
      </c>
      <c r="G46" s="32">
        <v>2.0655911179772799</v>
      </c>
      <c r="I46" s="18" t="s">
        <v>28</v>
      </c>
      <c r="J46" s="18">
        <v>20</v>
      </c>
      <c r="K46" s="18">
        <v>0</v>
      </c>
      <c r="L46" s="18">
        <f t="shared" ref="L46:L48" si="14">M46/J46</f>
        <v>5.65</v>
      </c>
      <c r="M46" s="18">
        <v>113</v>
      </c>
      <c r="N46" s="18">
        <f t="shared" ref="N46:N48" si="15">K46/J46</f>
        <v>0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253</v>
      </c>
      <c r="J47" s="18">
        <v>29</v>
      </c>
      <c r="K47" s="18">
        <v>1</v>
      </c>
      <c r="L47" s="18">
        <f t="shared" si="14"/>
        <v>5.3103448275862073</v>
      </c>
      <c r="M47" s="18">
        <v>154</v>
      </c>
      <c r="N47" s="18">
        <f t="shared" si="15"/>
        <v>3.4482758620689655E-2</v>
      </c>
    </row>
    <row r="48" spans="1:19" x14ac:dyDescent="0.25">
      <c r="A48" t="s">
        <v>414</v>
      </c>
      <c r="B48">
        <v>16</v>
      </c>
      <c r="C48">
        <v>2</v>
      </c>
      <c r="D48">
        <f t="shared" si="0"/>
        <v>4.5625</v>
      </c>
      <c r="E48">
        <v>73</v>
      </c>
      <c r="F48">
        <f t="shared" si="1"/>
        <v>0.125</v>
      </c>
      <c r="G48" s="32">
        <v>2.8702082220799299</v>
      </c>
      <c r="I48" s="18" t="s">
        <v>175</v>
      </c>
      <c r="J48" s="18">
        <v>31</v>
      </c>
      <c r="K48" s="18">
        <v>8</v>
      </c>
      <c r="L48" s="18">
        <f t="shared" si="14"/>
        <v>3.3225806451612905</v>
      </c>
      <c r="M48" s="18">
        <v>103</v>
      </c>
      <c r="N48" s="18">
        <f t="shared" si="15"/>
        <v>0.25806451612903225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25</v>
      </c>
      <c r="K49" s="18">
        <v>6</v>
      </c>
      <c r="L49" s="18">
        <f t="shared" ref="L49:L51" si="16">M49/J49</f>
        <v>4.72</v>
      </c>
      <c r="M49" s="18">
        <v>118</v>
      </c>
      <c r="N49" s="18">
        <f t="shared" ref="N49:N51" si="17">K49/J49</f>
        <v>0.24</v>
      </c>
    </row>
    <row r="50" spans="1:26" x14ac:dyDescent="0.25">
      <c r="A50" s="18" t="s">
        <v>1</v>
      </c>
      <c r="B50" s="18">
        <v>88</v>
      </c>
      <c r="C50" s="18">
        <v>4</v>
      </c>
      <c r="D50" s="18">
        <f t="shared" si="0"/>
        <v>4.5681818181818183</v>
      </c>
      <c r="E50" s="18">
        <v>402</v>
      </c>
      <c r="F50" s="18">
        <f t="shared" si="1"/>
        <v>4.5454545454545456E-2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si="16"/>
        <v>4.384615384615385</v>
      </c>
      <c r="M50" s="18">
        <v>171</v>
      </c>
      <c r="N50" s="18">
        <f t="shared" si="17"/>
        <v>7.6923076923076927E-2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24</v>
      </c>
      <c r="J51" s="18">
        <v>87</v>
      </c>
      <c r="K51" s="18">
        <v>10</v>
      </c>
      <c r="L51" s="18">
        <f t="shared" si="16"/>
        <v>4.5287356321839081</v>
      </c>
      <c r="M51" s="18">
        <v>394</v>
      </c>
      <c r="N51" s="18">
        <f t="shared" si="17"/>
        <v>0.11494252873563218</v>
      </c>
    </row>
    <row r="52" spans="1:26" x14ac:dyDescent="0.25">
      <c r="A52" s="18" t="s">
        <v>253</v>
      </c>
      <c r="B52" s="18">
        <v>29</v>
      </c>
      <c r="C52" s="18">
        <v>1</v>
      </c>
      <c r="D52" s="18">
        <f t="shared" si="0"/>
        <v>5.3103448275862073</v>
      </c>
      <c r="E52" s="18">
        <v>154</v>
      </c>
      <c r="F52" s="18">
        <f t="shared" si="1"/>
        <v>3.4482758620689655E-2</v>
      </c>
      <c r="G52" s="32"/>
      <c r="I52" s="18" t="s">
        <v>116</v>
      </c>
      <c r="J52" s="18">
        <v>20</v>
      </c>
      <c r="K52" s="18">
        <v>4</v>
      </c>
      <c r="L52" s="18">
        <f t="shared" ref="L52:L53" si="18">M52/J52</f>
        <v>4.05</v>
      </c>
      <c r="M52" s="18">
        <v>81</v>
      </c>
      <c r="N52" s="18">
        <f t="shared" ref="N52:N53" si="19">K52/J52</f>
        <v>0.2</v>
      </c>
    </row>
    <row r="53" spans="1:26" x14ac:dyDescent="0.25">
      <c r="A53" s="18" t="s">
        <v>175</v>
      </c>
      <c r="B53" s="18">
        <v>31</v>
      </c>
      <c r="C53" s="18">
        <v>8</v>
      </c>
      <c r="D53" s="18">
        <f t="shared" si="0"/>
        <v>3.3225806451612905</v>
      </c>
      <c r="E53" s="18">
        <v>103</v>
      </c>
      <c r="F53" s="18">
        <f t="shared" si="1"/>
        <v>0.25806451612903225</v>
      </c>
      <c r="G53" s="32">
        <v>2</v>
      </c>
      <c r="I53" s="18" t="s">
        <v>5</v>
      </c>
      <c r="J53" s="18">
        <v>23</v>
      </c>
      <c r="K53" s="18">
        <v>1</v>
      </c>
      <c r="L53" s="18">
        <f t="shared" si="18"/>
        <v>4.6086956521739131</v>
      </c>
      <c r="M53" s="18">
        <v>106</v>
      </c>
      <c r="N53" s="18">
        <f t="shared" si="19"/>
        <v>4.3478260869565216E-2</v>
      </c>
    </row>
    <row r="54" spans="1:26" x14ac:dyDescent="0.25">
      <c r="A54" s="18" t="s">
        <v>61</v>
      </c>
      <c r="B54" s="18">
        <v>25</v>
      </c>
      <c r="C54" s="18">
        <v>6</v>
      </c>
      <c r="D54" s="18">
        <f t="shared" si="0"/>
        <v>4.72</v>
      </c>
      <c r="E54" s="18">
        <v>118</v>
      </c>
      <c r="F54" s="18">
        <f t="shared" si="1"/>
        <v>0.24</v>
      </c>
      <c r="G54" s="32">
        <v>3.2403703492039302</v>
      </c>
      <c r="I54" s="18" t="s">
        <v>58</v>
      </c>
      <c r="J54" s="18">
        <v>20</v>
      </c>
      <c r="K54" s="18">
        <v>3</v>
      </c>
      <c r="L54" s="18">
        <f t="shared" ref="L54:L57" si="20">M54/J54</f>
        <v>4.1500000000000004</v>
      </c>
      <c r="M54" s="18">
        <v>83</v>
      </c>
      <c r="N54" s="18">
        <f t="shared" ref="N54:N57" si="21">K54/J54</f>
        <v>0.15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30</v>
      </c>
      <c r="J55" s="18">
        <v>38</v>
      </c>
      <c r="K55" s="18">
        <v>3</v>
      </c>
      <c r="L55" s="18">
        <f t="shared" si="20"/>
        <v>5.2105263157894735</v>
      </c>
      <c r="M55" s="18">
        <v>198</v>
      </c>
      <c r="N55" s="18">
        <f t="shared" si="21"/>
        <v>7.8947368421052627E-2</v>
      </c>
      <c r="S55" s="18" t="s">
        <v>392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101</v>
      </c>
      <c r="K56" s="18">
        <v>15</v>
      </c>
      <c r="L56" s="18">
        <f t="shared" si="20"/>
        <v>3.8613861386138613</v>
      </c>
      <c r="M56" s="18">
        <v>390</v>
      </c>
      <c r="N56" s="18">
        <f t="shared" si="21"/>
        <v>0.14851485148514851</v>
      </c>
      <c r="S56" s="18">
        <v>1</v>
      </c>
    </row>
    <row r="57" spans="1:26" x14ac:dyDescent="0.25">
      <c r="A57" s="18" t="s">
        <v>24</v>
      </c>
      <c r="B57" s="18">
        <v>87</v>
      </c>
      <c r="C57" s="18">
        <v>10</v>
      </c>
      <c r="D57" s="18">
        <f t="shared" si="0"/>
        <v>4.5287356321839081</v>
      </c>
      <c r="E57" s="18">
        <v>394</v>
      </c>
      <c r="F57" s="18">
        <f t="shared" si="1"/>
        <v>0.11494252873563218</v>
      </c>
      <c r="G57" s="32">
        <v>2.26909243703399</v>
      </c>
      <c r="I57" s="18" t="s">
        <v>148</v>
      </c>
      <c r="J57" s="18">
        <v>37</v>
      </c>
      <c r="K57" s="18">
        <v>8</v>
      </c>
      <c r="L57" s="18">
        <f t="shared" si="20"/>
        <v>3.7297297297297298</v>
      </c>
      <c r="M57" s="18">
        <v>138</v>
      </c>
      <c r="N57" s="18">
        <f t="shared" si="21"/>
        <v>0.21621621621621623</v>
      </c>
      <c r="S57" s="18" t="s">
        <v>392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9</v>
      </c>
      <c r="J58" s="18">
        <v>20</v>
      </c>
      <c r="K58" s="18">
        <v>2</v>
      </c>
      <c r="L58" s="18">
        <f t="shared" ref="L58" si="22">M58/J58</f>
        <v>4.1500000000000004</v>
      </c>
      <c r="M58" s="18">
        <v>83</v>
      </c>
      <c r="N58" s="18">
        <f t="shared" ref="N58" si="23">K58/J58</f>
        <v>0.1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139</v>
      </c>
      <c r="J59" s="18">
        <v>20</v>
      </c>
      <c r="K59" s="18">
        <v>2</v>
      </c>
      <c r="L59" s="18">
        <f t="shared" ref="L59" si="24">M59/J59</f>
        <v>4.3</v>
      </c>
      <c r="M59" s="18">
        <v>86</v>
      </c>
      <c r="N59" s="18">
        <f t="shared" ref="N59" si="25">K59/J59</f>
        <v>0.1</v>
      </c>
    </row>
    <row r="60" spans="1:26" x14ac:dyDescent="0.25">
      <c r="A60" s="18" t="s">
        <v>58</v>
      </c>
      <c r="B60" s="18">
        <v>20</v>
      </c>
      <c r="C60" s="18">
        <v>3</v>
      </c>
      <c r="D60" s="18">
        <f t="shared" si="0"/>
        <v>4.1500000000000004</v>
      </c>
      <c r="E60" s="18">
        <v>83</v>
      </c>
      <c r="F60" s="18">
        <f t="shared" si="1"/>
        <v>0.15</v>
      </c>
      <c r="G60" s="32">
        <v>2.33809038890002</v>
      </c>
      <c r="I60" t="s">
        <v>428</v>
      </c>
      <c r="J60">
        <v>21</v>
      </c>
      <c r="K60">
        <v>0</v>
      </c>
      <c r="L60">
        <f>M60/J60</f>
        <v>4.6190476190476186</v>
      </c>
      <c r="M60">
        <v>97</v>
      </c>
      <c r="N60">
        <f>K60/J60</f>
        <v>0</v>
      </c>
      <c r="S60" s="18" t="s">
        <v>392</v>
      </c>
    </row>
    <row r="61" spans="1:26" x14ac:dyDescent="0.25">
      <c r="A61" s="18" t="s">
        <v>30</v>
      </c>
      <c r="B61" s="18">
        <v>38</v>
      </c>
      <c r="C61" s="18">
        <v>3</v>
      </c>
      <c r="D61" s="18">
        <f t="shared" si="0"/>
        <v>5.2105263157894735</v>
      </c>
      <c r="E61" s="18">
        <v>198</v>
      </c>
      <c r="F61" s="18">
        <f t="shared" si="1"/>
        <v>7.8947368421052627E-2</v>
      </c>
      <c r="G61" s="32">
        <v>2.5226248955475601</v>
      </c>
      <c r="I61" s="18" t="s">
        <v>17</v>
      </c>
      <c r="J61" s="18">
        <v>20</v>
      </c>
      <c r="K61" s="18">
        <v>2</v>
      </c>
      <c r="L61" s="18">
        <f t="shared" ref="L61:L62" si="26">M61/J61</f>
        <v>5.25</v>
      </c>
      <c r="M61" s="18">
        <v>105</v>
      </c>
      <c r="N61" s="18">
        <f t="shared" ref="N61:N62" si="27">K61/J61</f>
        <v>0.1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101</v>
      </c>
      <c r="C62" s="18">
        <v>15</v>
      </c>
      <c r="D62" s="18">
        <f t="shared" si="0"/>
        <v>3.8613861386138613</v>
      </c>
      <c r="E62" s="18">
        <v>390</v>
      </c>
      <c r="F62" s="18">
        <f t="shared" si="1"/>
        <v>0.14851485148514851</v>
      </c>
      <c r="G62" s="32">
        <v>2.0875571218153701</v>
      </c>
      <c r="I62" s="18" t="s">
        <v>79</v>
      </c>
      <c r="J62" s="18">
        <v>50</v>
      </c>
      <c r="K62" s="18">
        <v>6</v>
      </c>
      <c r="L62" s="18">
        <f t="shared" si="26"/>
        <v>4.5199999999999996</v>
      </c>
      <c r="M62" s="18">
        <v>226</v>
      </c>
      <c r="N62" s="18">
        <f t="shared" si="27"/>
        <v>0.12</v>
      </c>
      <c r="S62" s="18" t="s">
        <v>392</v>
      </c>
    </row>
    <row r="63" spans="1:26" x14ac:dyDescent="0.25">
      <c r="A63" s="18" t="s">
        <v>148</v>
      </c>
      <c r="B63" s="18">
        <v>37</v>
      </c>
      <c r="C63" s="18">
        <v>8</v>
      </c>
      <c r="D63" s="18">
        <f t="shared" si="0"/>
        <v>3.7297297297297298</v>
      </c>
      <c r="E63" s="18">
        <v>138</v>
      </c>
      <c r="F63" s="18">
        <f t="shared" si="1"/>
        <v>0.21621621621621623</v>
      </c>
      <c r="G63" s="32">
        <v>2.0528725518857001</v>
      </c>
      <c r="I63" s="18" t="s">
        <v>123</v>
      </c>
      <c r="J63" s="18">
        <v>27</v>
      </c>
      <c r="K63" s="18">
        <v>4</v>
      </c>
      <c r="L63" s="18">
        <f t="shared" ref="L63" si="28">M63/J63</f>
        <v>4.5925925925925926</v>
      </c>
      <c r="M63" s="18">
        <v>124</v>
      </c>
      <c r="N63" s="18">
        <f t="shared" ref="N63" si="29">K63/J63</f>
        <v>0.14814814814814814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</v>
      </c>
      <c r="J64" s="18">
        <v>20</v>
      </c>
      <c r="K64" s="18">
        <v>0</v>
      </c>
      <c r="L64" s="18">
        <f t="shared" ref="L64" si="30">M64/J64</f>
        <v>4.75</v>
      </c>
      <c r="M64" s="18">
        <v>95</v>
      </c>
      <c r="N64" s="18">
        <f t="shared" ref="N64" si="31">K64/J64</f>
        <v>0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404</v>
      </c>
      <c r="J65" s="18">
        <v>20</v>
      </c>
      <c r="K65" s="18">
        <v>2</v>
      </c>
      <c r="L65" s="18">
        <f>M65/J65</f>
        <v>5.25</v>
      </c>
      <c r="M65" s="18">
        <v>105</v>
      </c>
      <c r="N65" s="18">
        <f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22</v>
      </c>
      <c r="J66" s="18">
        <v>174</v>
      </c>
      <c r="K66" s="18">
        <v>26</v>
      </c>
      <c r="L66" s="18">
        <f>M66/J66</f>
        <v>4.1781609195402298</v>
      </c>
      <c r="M66" s="18">
        <v>727</v>
      </c>
      <c r="N66" s="18">
        <f>K66/J66</f>
        <v>0.14942528735632185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33</v>
      </c>
      <c r="J67" s="18">
        <v>64</v>
      </c>
      <c r="K67" s="18">
        <v>4</v>
      </c>
      <c r="L67" s="18">
        <f t="shared" ref="L67" si="32">M67/J67</f>
        <v>5.515625</v>
      </c>
      <c r="M67" s="18">
        <v>353</v>
      </c>
      <c r="N67" s="18">
        <f t="shared" ref="N67" si="33">K67/J67</f>
        <v>6.25E-2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82</v>
      </c>
      <c r="J68" s="18">
        <v>20</v>
      </c>
      <c r="K68" s="18">
        <v>0</v>
      </c>
      <c r="L68" s="18">
        <f t="shared" ref="L68" si="34">M68/J68</f>
        <v>5.15</v>
      </c>
      <c r="M68" s="18">
        <v>103</v>
      </c>
      <c r="N68" s="18">
        <f>K68/J68</f>
        <v>0</v>
      </c>
    </row>
    <row r="69" spans="1:19" x14ac:dyDescent="0.25">
      <c r="A69" s="18" t="s">
        <v>79</v>
      </c>
      <c r="B69" s="18">
        <v>50</v>
      </c>
      <c r="C69" s="18">
        <v>6</v>
      </c>
      <c r="D69" s="18">
        <f t="shared" si="0"/>
        <v>4.5199999999999996</v>
      </c>
      <c r="E69" s="18">
        <v>226</v>
      </c>
      <c r="F69" s="18">
        <f t="shared" si="1"/>
        <v>0.12</v>
      </c>
      <c r="G69" s="32">
        <v>2.05866345916355</v>
      </c>
      <c r="I69" s="18" t="s">
        <v>99</v>
      </c>
      <c r="J69" s="18">
        <v>20</v>
      </c>
      <c r="K69" s="18">
        <v>2</v>
      </c>
      <c r="L69" s="18">
        <f t="shared" ref="L69" si="35">M69/J69</f>
        <v>5.05</v>
      </c>
      <c r="M69" s="18">
        <v>101</v>
      </c>
      <c r="N69" s="18">
        <f t="shared" ref="N69" si="36">K69/J69</f>
        <v>0.1</v>
      </c>
    </row>
    <row r="70" spans="1:19" x14ac:dyDescent="0.25">
      <c r="A70" s="18" t="s">
        <v>123</v>
      </c>
      <c r="B70" s="18">
        <v>27</v>
      </c>
      <c r="C70" s="18">
        <v>4</v>
      </c>
      <c r="D70" s="18">
        <f t="shared" si="0"/>
        <v>4.5925925925925926</v>
      </c>
      <c r="E70" s="18">
        <v>124</v>
      </c>
      <c r="F70" s="18">
        <f t="shared" si="1"/>
        <v>0.14814814814814814</v>
      </c>
      <c r="G70" s="32">
        <v>2</v>
      </c>
      <c r="I70" s="18" t="s">
        <v>7</v>
      </c>
      <c r="J70" s="18">
        <v>20</v>
      </c>
      <c r="K70" s="18">
        <v>4</v>
      </c>
      <c r="L70" s="18">
        <f t="shared" ref="L70" si="37">M70/J70</f>
        <v>4.0999999999999996</v>
      </c>
      <c r="M70" s="18">
        <v>82</v>
      </c>
      <c r="N70" s="18">
        <f t="shared" ref="N70" si="38">K70/J70</f>
        <v>0.2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t="s">
        <v>129</v>
      </c>
      <c r="J71">
        <v>40</v>
      </c>
      <c r="K71">
        <v>7</v>
      </c>
      <c r="L71">
        <f>M71/J71</f>
        <v>4.45</v>
      </c>
      <c r="M71">
        <v>178</v>
      </c>
      <c r="N71">
        <f>K71/J71</f>
        <v>0.17499999999999999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35</v>
      </c>
      <c r="J72" s="18">
        <v>133</v>
      </c>
      <c r="K72" s="18">
        <v>37</v>
      </c>
      <c r="L72" s="18">
        <f t="shared" ref="L72:L73" si="39">M72/J72</f>
        <v>3.511278195488722</v>
      </c>
      <c r="M72" s="18">
        <v>467</v>
      </c>
      <c r="N72" s="18">
        <f t="shared" ref="N72:N73" si="40">K72/J72</f>
        <v>0.2781954887218045</v>
      </c>
      <c r="S72" s="18" t="s">
        <v>392</v>
      </c>
    </row>
    <row r="73" spans="1:19" x14ac:dyDescent="0.25">
      <c r="A73" s="18" t="s">
        <v>22</v>
      </c>
      <c r="B73" s="18">
        <v>174</v>
      </c>
      <c r="C73" s="18">
        <v>26</v>
      </c>
      <c r="D73" s="18">
        <f>E73/B73</f>
        <v>4.1781609195402298</v>
      </c>
      <c r="E73" s="18">
        <v>727</v>
      </c>
      <c r="F73" s="18">
        <f>C73/B73</f>
        <v>0.14942528735632185</v>
      </c>
      <c r="G73" s="32">
        <v>2.2045689482796602</v>
      </c>
      <c r="I73" s="18" t="s">
        <v>26</v>
      </c>
      <c r="J73" s="18">
        <v>47</v>
      </c>
      <c r="K73" s="18">
        <v>3</v>
      </c>
      <c r="L73" s="18">
        <f t="shared" si="39"/>
        <v>5.2765957446808507</v>
      </c>
      <c r="M73" s="18">
        <v>248</v>
      </c>
      <c r="N73" s="18">
        <f t="shared" si="40"/>
        <v>6.3829787234042548E-2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122</v>
      </c>
      <c r="J74" s="18">
        <v>72</v>
      </c>
      <c r="K74" s="18">
        <v>7</v>
      </c>
      <c r="L74" s="18">
        <f t="shared" ref="L74:L76" si="41">M74/J74</f>
        <v>4.2361111111111107</v>
      </c>
      <c r="M74" s="18">
        <v>305</v>
      </c>
      <c r="N74" s="18">
        <f t="shared" ref="N74:N76" si="42">K74/J74</f>
        <v>9.7222222222222224E-2</v>
      </c>
      <c r="S74" s="18" t="s">
        <v>392</v>
      </c>
    </row>
    <row r="75" spans="1:19" x14ac:dyDescent="0.25">
      <c r="A75" t="s">
        <v>110</v>
      </c>
      <c r="B75">
        <v>13</v>
      </c>
      <c r="C75">
        <v>1</v>
      </c>
      <c r="D75">
        <f>E75/B75</f>
        <v>5.2307692307692308</v>
      </c>
      <c r="E75">
        <v>68</v>
      </c>
      <c r="F75">
        <f>C75/B75</f>
        <v>7.6923076923076927E-2</v>
      </c>
      <c r="G75" s="32">
        <v>1.9407902170679501</v>
      </c>
      <c r="I75" s="18" t="s">
        <v>49</v>
      </c>
      <c r="J75" s="18">
        <v>89</v>
      </c>
      <c r="K75" s="18">
        <v>6</v>
      </c>
      <c r="L75" s="18">
        <f t="shared" si="41"/>
        <v>5.3258426966292136</v>
      </c>
      <c r="M75" s="18">
        <v>474</v>
      </c>
      <c r="N75" s="18">
        <f t="shared" si="42"/>
        <v>6.741573033707865E-2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s="18" t="s">
        <v>3</v>
      </c>
      <c r="J76" s="18">
        <v>41</v>
      </c>
      <c r="K76" s="18">
        <v>6</v>
      </c>
      <c r="L76" s="18">
        <f t="shared" si="41"/>
        <v>4.0487804878048781</v>
      </c>
      <c r="M76" s="18">
        <v>166</v>
      </c>
      <c r="N76" s="18">
        <f t="shared" si="42"/>
        <v>0.14634146341463414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t="s">
        <v>2</v>
      </c>
      <c r="J77">
        <v>28</v>
      </c>
      <c r="K77">
        <v>5</v>
      </c>
      <c r="L77">
        <f>M77/J77</f>
        <v>4.1428571428571432</v>
      </c>
      <c r="M77">
        <v>116</v>
      </c>
      <c r="N77">
        <f>K77/J77</f>
        <v>0.17857142857142858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J78" s="18"/>
      <c r="K78" s="18"/>
      <c r="L78" s="18"/>
      <c r="M78" s="18"/>
      <c r="N78" s="18"/>
      <c r="O78" s="18"/>
      <c r="P78" s="18"/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</row>
    <row r="81" spans="1:16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t="s">
        <v>113</v>
      </c>
      <c r="B83">
        <v>19</v>
      </c>
      <c r="C83">
        <v>0</v>
      </c>
      <c r="D83">
        <f t="shared" si="43"/>
        <v>4.1052631578947372</v>
      </c>
      <c r="E83">
        <v>78</v>
      </c>
      <c r="F83">
        <f t="shared" si="44"/>
        <v>0</v>
      </c>
      <c r="G83" s="32">
        <v>2.4899799195977401</v>
      </c>
    </row>
    <row r="84" spans="1:16" x14ac:dyDescent="0.25">
      <c r="A84" s="18" t="s">
        <v>35</v>
      </c>
      <c r="B84" s="18">
        <v>133</v>
      </c>
      <c r="C84" s="18">
        <v>37</v>
      </c>
      <c r="D84" s="18">
        <f t="shared" si="43"/>
        <v>3.511278195488722</v>
      </c>
      <c r="E84" s="18">
        <v>467</v>
      </c>
      <c r="F84" s="18">
        <f t="shared" si="44"/>
        <v>0.2781954887218045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47</v>
      </c>
      <c r="C85" s="18">
        <v>3</v>
      </c>
      <c r="D85" s="18">
        <f t="shared" si="43"/>
        <v>5.2765957446808507</v>
      </c>
      <c r="E85" s="18">
        <v>248</v>
      </c>
      <c r="F85" s="18">
        <f t="shared" si="44"/>
        <v>6.3829787234042548E-2</v>
      </c>
      <c r="G85" s="32">
        <v>2.4494897427831699</v>
      </c>
    </row>
    <row r="86" spans="1:16" x14ac:dyDescent="0.25">
      <c r="A86" s="18" t="s">
        <v>122</v>
      </c>
      <c r="B86" s="18">
        <v>72</v>
      </c>
      <c r="C86" s="18">
        <v>7</v>
      </c>
      <c r="D86" s="18">
        <f t="shared" si="43"/>
        <v>4.2361111111111107</v>
      </c>
      <c r="E86" s="18">
        <v>305</v>
      </c>
      <c r="F86" s="18">
        <f t="shared" si="44"/>
        <v>9.7222222222222224E-2</v>
      </c>
      <c r="G86" s="32">
        <v>1.6329931618554501</v>
      </c>
    </row>
    <row r="87" spans="1:16" x14ac:dyDescent="0.25">
      <c r="A87" s="18" t="s">
        <v>49</v>
      </c>
      <c r="B87" s="18">
        <v>89</v>
      </c>
      <c r="C87" s="18">
        <v>6</v>
      </c>
      <c r="D87" s="18">
        <f t="shared" si="43"/>
        <v>5.3258426966292136</v>
      </c>
      <c r="E87" s="18">
        <v>474</v>
      </c>
      <c r="F87" s="18">
        <f t="shared" si="44"/>
        <v>6.741573033707865E-2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3"/>
        <v>4.0487804878048781</v>
      </c>
      <c r="E88" s="18">
        <v>166</v>
      </c>
      <c r="F88" s="18">
        <f t="shared" si="44"/>
        <v>0.14634146341463414</v>
      </c>
      <c r="G88" s="32">
        <v>2.3731557327466102</v>
      </c>
    </row>
    <row r="89" spans="1:16" x14ac:dyDescent="0.25">
      <c r="A89" t="s">
        <v>230</v>
      </c>
      <c r="B89">
        <v>15</v>
      </c>
      <c r="C89">
        <v>1</v>
      </c>
      <c r="D89">
        <f t="shared" si="43"/>
        <v>5.2666666666666666</v>
      </c>
      <c r="E89">
        <v>79</v>
      </c>
      <c r="F89">
        <f t="shared" si="44"/>
        <v>6.6666666666666666E-2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6" x14ac:dyDescent="0.25">
      <c r="A91" t="s">
        <v>124</v>
      </c>
      <c r="B91">
        <v>11</v>
      </c>
      <c r="C91">
        <v>0</v>
      </c>
      <c r="D91">
        <f t="shared" si="43"/>
        <v>5.4545454545454541</v>
      </c>
      <c r="E91">
        <v>60</v>
      </c>
      <c r="F91">
        <f t="shared" si="44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45">E96/B96</f>
        <v>6</v>
      </c>
      <c r="E96">
        <v>42</v>
      </c>
      <c r="F96">
        <f t="shared" ref="F96:F97" si="46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5"/>
        <v>5.8461538461538458</v>
      </c>
      <c r="E97" s="18">
        <v>76</v>
      </c>
      <c r="F97" s="18">
        <f t="shared" si="46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048576"/>
  <sheetViews>
    <sheetView zoomScale="80" zoomScaleNormal="80" workbookViewId="0">
      <selection activeCell="N62" sqref="N62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</row>
    <row r="3" spans="1:15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</row>
    <row r="4" spans="1:15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</row>
    <row r="5" spans="1:15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</row>
    <row r="6" spans="1:15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</row>
    <row r="7" spans="1:15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</row>
    <row r="8" spans="1:15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</row>
    <row r="9" spans="1:15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</row>
    <row r="10" spans="1:15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</row>
    <row r="11" spans="1:15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</row>
    <row r="12" spans="1:15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</row>
    <row r="15" spans="1:15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</row>
    <row r="16" spans="1:15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</row>
    <row r="17" spans="1:15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</row>
    <row r="18" spans="1:15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</row>
    <row r="19" spans="1:15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</row>
    <row r="20" spans="1:15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</row>
    <row r="21" spans="1:15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</row>
    <row r="22" spans="1:15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</row>
    <row r="23" spans="1:15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15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</row>
    <row r="25" spans="1:15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</row>
    <row r="26" spans="1:15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</row>
    <row r="27" spans="1:15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</row>
    <row r="28" spans="1:15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</row>
    <row r="29" spans="1:15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</row>
    <row r="30" spans="1:15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</row>
    <row r="31" spans="1:15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</row>
    <row r="32" spans="1:15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</row>
    <row r="33" spans="1:15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</row>
    <row r="34" spans="1:15" x14ac:dyDescent="0.25">
      <c r="A34" s="32" t="s">
        <v>1</v>
      </c>
      <c r="B34" s="32">
        <v>83</v>
      </c>
      <c r="C34" s="32">
        <v>4</v>
      </c>
      <c r="D34" s="32">
        <f t="shared" ref="D34:D61" si="4">G34/B34</f>
        <v>4.5421686746987948</v>
      </c>
      <c r="E34" s="32">
        <f t="shared" ref="E34:E61" si="5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6">O34/J34</f>
        <v>4.5681818181818183</v>
      </c>
      <c r="M34" s="32">
        <f t="shared" ref="M34:M65" si="7">K34/J34</f>
        <v>4.5454545454545456E-2</v>
      </c>
      <c r="O34" s="18">
        <v>402</v>
      </c>
    </row>
    <row r="35" spans="1:15" x14ac:dyDescent="0.25">
      <c r="A35" s="32" t="s">
        <v>428</v>
      </c>
      <c r="B35" s="32">
        <v>21</v>
      </c>
      <c r="C35" s="32">
        <v>0</v>
      </c>
      <c r="D35" s="32">
        <f t="shared" si="4"/>
        <v>4.6190476190476186</v>
      </c>
      <c r="E35" s="32">
        <f t="shared" si="5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6"/>
        <v>4.5869565217391308</v>
      </c>
      <c r="M35" s="32">
        <f t="shared" si="7"/>
        <v>0.13043478260869565</v>
      </c>
      <c r="N35" s="2" t="s">
        <v>359</v>
      </c>
      <c r="O35" s="18">
        <v>211</v>
      </c>
    </row>
    <row r="36" spans="1:15" x14ac:dyDescent="0.25">
      <c r="A36" s="32" t="s">
        <v>14</v>
      </c>
      <c r="B36" s="32">
        <v>45</v>
      </c>
      <c r="C36" s="32">
        <v>3</v>
      </c>
      <c r="D36" s="32">
        <f t="shared" si="4"/>
        <v>4.7111111111111112</v>
      </c>
      <c r="E36" s="32">
        <f t="shared" si="5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6"/>
        <v>4.5925925925925926</v>
      </c>
      <c r="M36" s="32">
        <f t="shared" si="7"/>
        <v>0.14814814814814814</v>
      </c>
      <c r="N36" s="3" t="s">
        <v>54</v>
      </c>
      <c r="O36" s="18">
        <v>124</v>
      </c>
    </row>
    <row r="37" spans="1:15" x14ac:dyDescent="0.25">
      <c r="A37" s="32" t="s">
        <v>61</v>
      </c>
      <c r="B37" s="32">
        <v>25</v>
      </c>
      <c r="C37" s="32">
        <v>6</v>
      </c>
      <c r="D37" s="32">
        <f t="shared" si="4"/>
        <v>4.72</v>
      </c>
      <c r="E37" s="32">
        <f t="shared" si="5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6"/>
        <v>4.6190476190476186</v>
      </c>
      <c r="M37" s="32">
        <f t="shared" si="7"/>
        <v>0</v>
      </c>
      <c r="N37" s="3" t="s">
        <v>45</v>
      </c>
      <c r="O37">
        <v>97</v>
      </c>
    </row>
    <row r="38" spans="1:15" x14ac:dyDescent="0.25">
      <c r="A38" s="32" t="s">
        <v>13</v>
      </c>
      <c r="B38" s="32">
        <v>36</v>
      </c>
      <c r="C38" s="32">
        <v>2</v>
      </c>
      <c r="D38" s="32">
        <f t="shared" si="4"/>
        <v>4.7222222222222223</v>
      </c>
      <c r="E38" s="32">
        <f t="shared" si="5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6"/>
        <v>4.7111111111111112</v>
      </c>
      <c r="M38" s="32">
        <f t="shared" si="7"/>
        <v>6.6666666666666666E-2</v>
      </c>
      <c r="N38" s="3" t="s">
        <v>45</v>
      </c>
      <c r="O38">
        <v>212</v>
      </c>
    </row>
    <row r="39" spans="1:15" x14ac:dyDescent="0.25">
      <c r="A39" s="32" t="s">
        <v>12</v>
      </c>
      <c r="B39" s="32">
        <v>20</v>
      </c>
      <c r="C39" s="32">
        <v>0</v>
      </c>
      <c r="D39" s="32">
        <f t="shared" si="4"/>
        <v>4.75</v>
      </c>
      <c r="E39" s="32">
        <f t="shared" si="5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6"/>
        <v>4.72</v>
      </c>
      <c r="M39" s="32">
        <f t="shared" si="7"/>
        <v>0.24</v>
      </c>
      <c r="N39" s="3" t="s">
        <v>45</v>
      </c>
      <c r="O39" s="18">
        <v>118</v>
      </c>
    </row>
    <row r="40" spans="1:15" x14ac:dyDescent="0.25">
      <c r="A40" s="38" t="s">
        <v>87</v>
      </c>
      <c r="B40" s="38">
        <v>54</v>
      </c>
      <c r="C40" s="38">
        <v>8</v>
      </c>
      <c r="D40" s="38">
        <f t="shared" si="4"/>
        <v>4.8518518518518521</v>
      </c>
      <c r="E40" s="38">
        <f t="shared" si="5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6"/>
        <v>4.7222222222222223</v>
      </c>
      <c r="M40" s="32">
        <f t="shared" si="7"/>
        <v>5.5555555555555552E-2</v>
      </c>
      <c r="N40" s="3" t="s">
        <v>45</v>
      </c>
      <c r="O40" s="18">
        <v>170</v>
      </c>
    </row>
    <row r="41" spans="1:15" x14ac:dyDescent="0.25">
      <c r="A41" s="38" t="s">
        <v>37</v>
      </c>
      <c r="B41" s="38">
        <v>22</v>
      </c>
      <c r="C41" s="38">
        <v>2</v>
      </c>
      <c r="D41" s="38">
        <f t="shared" si="4"/>
        <v>4.9090909090909092</v>
      </c>
      <c r="E41" s="38">
        <f t="shared" si="5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6"/>
        <v>4.75</v>
      </c>
      <c r="M41" s="32">
        <f t="shared" si="7"/>
        <v>0</v>
      </c>
      <c r="N41" s="3" t="s">
        <v>45</v>
      </c>
      <c r="O41" s="18">
        <v>95</v>
      </c>
    </row>
    <row r="42" spans="1:15" x14ac:dyDescent="0.25">
      <c r="A42" s="38" t="s">
        <v>4</v>
      </c>
      <c r="B42" s="38">
        <v>20</v>
      </c>
      <c r="C42" s="38">
        <v>3</v>
      </c>
      <c r="D42" s="38">
        <f t="shared" si="4"/>
        <v>4.95</v>
      </c>
      <c r="E42" s="38">
        <f t="shared" si="5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6"/>
        <v>4.8840579710144931</v>
      </c>
      <c r="M42" s="38">
        <f t="shared" si="7"/>
        <v>0.13043478260869565</v>
      </c>
      <c r="N42" s="3" t="s">
        <v>45</v>
      </c>
      <c r="O42" s="18">
        <v>337</v>
      </c>
    </row>
    <row r="43" spans="1:15" x14ac:dyDescent="0.25">
      <c r="A43" s="38" t="s">
        <v>25</v>
      </c>
      <c r="B43" s="38">
        <v>88</v>
      </c>
      <c r="C43" s="38">
        <v>8</v>
      </c>
      <c r="D43" s="38">
        <f t="shared" si="4"/>
        <v>5.0227272727272725</v>
      </c>
      <c r="E43" s="38">
        <f t="shared" si="5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6"/>
        <v>4.9090909090909092</v>
      </c>
      <c r="M43" s="38">
        <f t="shared" si="7"/>
        <v>9.0909090909090912E-2</v>
      </c>
      <c r="N43" s="3" t="s">
        <v>45</v>
      </c>
      <c r="O43" s="18">
        <v>108</v>
      </c>
    </row>
    <row r="44" spans="1:15" x14ac:dyDescent="0.25">
      <c r="A44" s="38" t="s">
        <v>30</v>
      </c>
      <c r="B44" s="38">
        <v>33</v>
      </c>
      <c r="C44" s="38">
        <v>3</v>
      </c>
      <c r="D44" s="38">
        <f t="shared" si="4"/>
        <v>5.0303030303030303</v>
      </c>
      <c r="E44" s="38">
        <f t="shared" si="5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6"/>
        <v>4.95</v>
      </c>
      <c r="M44" s="38">
        <f t="shared" si="7"/>
        <v>0.15</v>
      </c>
      <c r="N44" s="3" t="s">
        <v>45</v>
      </c>
      <c r="O44" s="18">
        <v>99</v>
      </c>
    </row>
    <row r="45" spans="1:15" x14ac:dyDescent="0.25">
      <c r="A45" s="38" t="s">
        <v>81</v>
      </c>
      <c r="B45" s="38">
        <v>48</v>
      </c>
      <c r="C45" s="38">
        <v>2</v>
      </c>
      <c r="D45" s="38">
        <f t="shared" si="4"/>
        <v>5.041666666666667</v>
      </c>
      <c r="E45" s="38">
        <f t="shared" si="5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6"/>
        <v>5</v>
      </c>
      <c r="M45" s="38">
        <f t="shared" si="7"/>
        <v>3.7735849056603772E-2</v>
      </c>
      <c r="O45" s="18">
        <v>265</v>
      </c>
    </row>
    <row r="46" spans="1:15" x14ac:dyDescent="0.25">
      <c r="A46" s="38" t="s">
        <v>105</v>
      </c>
      <c r="B46" s="38">
        <v>20</v>
      </c>
      <c r="C46" s="38">
        <v>0</v>
      </c>
      <c r="D46" s="38">
        <f t="shared" si="4"/>
        <v>5.05</v>
      </c>
      <c r="E46" s="38">
        <f t="shared" si="5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6"/>
        <v>5.038095238095238</v>
      </c>
      <c r="M46" s="38">
        <f t="shared" si="7"/>
        <v>8.5714285714285715E-2</v>
      </c>
      <c r="N46" s="3" t="s">
        <v>54</v>
      </c>
      <c r="O46" s="18">
        <v>529</v>
      </c>
    </row>
    <row r="47" spans="1:15" x14ac:dyDescent="0.25">
      <c r="A47" s="38" t="s">
        <v>99</v>
      </c>
      <c r="B47" s="38">
        <v>20</v>
      </c>
      <c r="C47" s="38">
        <v>2</v>
      </c>
      <c r="D47" s="38">
        <f t="shared" si="4"/>
        <v>5.05</v>
      </c>
      <c r="E47" s="38">
        <f t="shared" si="5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6"/>
        <v>5.05</v>
      </c>
      <c r="M47" s="38">
        <f t="shared" si="7"/>
        <v>0</v>
      </c>
      <c r="N47" s="3" t="s">
        <v>46</v>
      </c>
      <c r="O47">
        <v>101</v>
      </c>
    </row>
    <row r="48" spans="1:15" x14ac:dyDescent="0.25">
      <c r="A48" s="38" t="s">
        <v>51</v>
      </c>
      <c r="B48" s="38">
        <v>33</v>
      </c>
      <c r="C48" s="38">
        <v>2</v>
      </c>
      <c r="D48" s="38">
        <f t="shared" si="4"/>
        <v>5.0606060606060606</v>
      </c>
      <c r="E48" s="38">
        <f t="shared" si="5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6"/>
        <v>5.05</v>
      </c>
      <c r="M48" s="38">
        <f t="shared" si="7"/>
        <v>0.1</v>
      </c>
      <c r="N48" s="3" t="s">
        <v>46</v>
      </c>
      <c r="O48" s="18">
        <v>101</v>
      </c>
    </row>
    <row r="49" spans="1:15" x14ac:dyDescent="0.25">
      <c r="A49" s="38" t="s">
        <v>79</v>
      </c>
      <c r="B49" s="38">
        <v>30</v>
      </c>
      <c r="C49" s="38">
        <v>1</v>
      </c>
      <c r="D49" s="38">
        <f t="shared" si="4"/>
        <v>5.0666666666666664</v>
      </c>
      <c r="E49" s="38">
        <f t="shared" si="5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6"/>
        <v>5.0857142857142854</v>
      </c>
      <c r="M49" s="38">
        <f t="shared" si="7"/>
        <v>5.7142857142857141E-2</v>
      </c>
      <c r="N49" s="3" t="s">
        <v>46</v>
      </c>
      <c r="O49" s="18">
        <v>178</v>
      </c>
    </row>
    <row r="50" spans="1:15" x14ac:dyDescent="0.25">
      <c r="A50" s="38" t="s">
        <v>20</v>
      </c>
      <c r="B50" s="38">
        <v>22</v>
      </c>
      <c r="C50" s="38">
        <v>2</v>
      </c>
      <c r="D50" s="38">
        <f t="shared" si="4"/>
        <v>5.1818181818181817</v>
      </c>
      <c r="E50" s="38">
        <f t="shared" si="5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6"/>
        <v>5.15</v>
      </c>
      <c r="M50" s="38">
        <f t="shared" si="7"/>
        <v>0</v>
      </c>
      <c r="N50" s="3" t="s">
        <v>491</v>
      </c>
      <c r="O50" s="18">
        <v>103</v>
      </c>
    </row>
    <row r="51" spans="1:15" x14ac:dyDescent="0.25">
      <c r="A51" s="66" t="s">
        <v>31</v>
      </c>
      <c r="B51" s="66">
        <v>126</v>
      </c>
      <c r="C51" s="66">
        <v>8</v>
      </c>
      <c r="D51" s="66">
        <f t="shared" si="4"/>
        <v>5.3253968253968251</v>
      </c>
      <c r="E51" s="66">
        <f t="shared" si="5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6"/>
        <v>5.1818181818181817</v>
      </c>
      <c r="M51" s="38">
        <f t="shared" si="7"/>
        <v>9.0909090909090912E-2</v>
      </c>
      <c r="N51" s="3" t="s">
        <v>46</v>
      </c>
      <c r="O51" s="18">
        <v>114</v>
      </c>
    </row>
    <row r="52" spans="1:15" x14ac:dyDescent="0.25">
      <c r="A52" s="66" t="s">
        <v>19</v>
      </c>
      <c r="B52" s="66">
        <v>23</v>
      </c>
      <c r="C52" s="66">
        <v>1</v>
      </c>
      <c r="D52" s="66">
        <f t="shared" si="4"/>
        <v>5.3478260869565215</v>
      </c>
      <c r="E52" s="66">
        <f t="shared" si="5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6"/>
        <v>5.2068965517241379</v>
      </c>
      <c r="M52" s="38">
        <f t="shared" si="7"/>
        <v>6.8965517241379309E-2</v>
      </c>
      <c r="N52" s="3" t="s">
        <v>46</v>
      </c>
      <c r="O52" s="18">
        <v>755</v>
      </c>
    </row>
    <row r="53" spans="1:15" x14ac:dyDescent="0.25">
      <c r="A53" s="66" t="s">
        <v>6</v>
      </c>
      <c r="B53" s="66">
        <v>45</v>
      </c>
      <c r="C53" s="66">
        <v>3</v>
      </c>
      <c r="D53" s="66">
        <f t="shared" si="4"/>
        <v>5.3555555555555552</v>
      </c>
      <c r="E53" s="66">
        <f t="shared" si="5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6"/>
        <v>5.243243243243243</v>
      </c>
      <c r="M53" s="38">
        <f t="shared" si="7"/>
        <v>8.1081081081081086E-2</v>
      </c>
      <c r="N53" s="3" t="s">
        <v>495</v>
      </c>
      <c r="O53" s="18">
        <v>194</v>
      </c>
    </row>
    <row r="54" spans="1:15" x14ac:dyDescent="0.25">
      <c r="A54" s="66" t="s">
        <v>253</v>
      </c>
      <c r="B54" s="66">
        <v>28</v>
      </c>
      <c r="C54" s="66">
        <v>1</v>
      </c>
      <c r="D54" s="66">
        <f t="shared" si="4"/>
        <v>5.3571428571428568</v>
      </c>
      <c r="E54" s="66">
        <f t="shared" si="5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6"/>
        <v>5.25</v>
      </c>
      <c r="M54" s="38">
        <f t="shared" si="7"/>
        <v>0.1</v>
      </c>
      <c r="N54" s="3" t="s">
        <v>492</v>
      </c>
      <c r="O54" s="18">
        <v>105</v>
      </c>
    </row>
    <row r="55" spans="1:15" x14ac:dyDescent="0.25">
      <c r="A55" s="66" t="s">
        <v>26</v>
      </c>
      <c r="B55" s="66">
        <v>32</v>
      </c>
      <c r="C55" s="66">
        <v>2</v>
      </c>
      <c r="D55" s="66">
        <f t="shared" si="4"/>
        <v>5.375</v>
      </c>
      <c r="E55" s="66">
        <f t="shared" si="5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6"/>
        <v>5.25</v>
      </c>
      <c r="M55" s="38">
        <f t="shared" si="7"/>
        <v>0.1</v>
      </c>
      <c r="N55" s="3" t="s">
        <v>493</v>
      </c>
      <c r="O55" s="18">
        <v>105</v>
      </c>
    </row>
    <row r="56" spans="1:15" x14ac:dyDescent="0.25">
      <c r="A56" s="66" t="s">
        <v>56</v>
      </c>
      <c r="B56" s="66">
        <v>21</v>
      </c>
      <c r="C56" s="66">
        <v>0</v>
      </c>
      <c r="D56" s="66">
        <f t="shared" si="4"/>
        <v>5.3809523809523814</v>
      </c>
      <c r="E56" s="66">
        <f t="shared" si="5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6"/>
        <v>5.3103448275862073</v>
      </c>
      <c r="M56" s="67">
        <f t="shared" si="7"/>
        <v>3.4482758620689655E-2</v>
      </c>
      <c r="N56" s="3" t="s">
        <v>45</v>
      </c>
      <c r="O56" s="18">
        <v>154</v>
      </c>
    </row>
    <row r="57" spans="1:15" x14ac:dyDescent="0.25">
      <c r="A57" s="66" t="s">
        <v>90</v>
      </c>
      <c r="B57" s="66">
        <v>27</v>
      </c>
      <c r="C57" s="66">
        <v>3</v>
      </c>
      <c r="D57" s="66">
        <f t="shared" si="4"/>
        <v>5.4074074074074074</v>
      </c>
      <c r="E57" s="66">
        <f t="shared" si="5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6"/>
        <v>5.3478260869565215</v>
      </c>
      <c r="M57" s="67">
        <f t="shared" si="7"/>
        <v>4.3478260869565216E-2</v>
      </c>
      <c r="N57" s="3" t="s">
        <v>494</v>
      </c>
      <c r="O57" s="18">
        <v>123</v>
      </c>
    </row>
    <row r="58" spans="1:15" x14ac:dyDescent="0.25">
      <c r="A58" s="66" t="s">
        <v>49</v>
      </c>
      <c r="B58" s="66">
        <v>68</v>
      </c>
      <c r="C58" s="66">
        <v>3</v>
      </c>
      <c r="D58" s="66">
        <f t="shared" si="4"/>
        <v>5.5147058823529411</v>
      </c>
      <c r="E58" s="66">
        <f t="shared" si="5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6"/>
        <v>5.3555555555555552</v>
      </c>
      <c r="M58" s="67">
        <f t="shared" si="7"/>
        <v>6.6666666666666666E-2</v>
      </c>
      <c r="N58" s="3" t="s">
        <v>494</v>
      </c>
      <c r="O58" s="18">
        <v>241</v>
      </c>
    </row>
    <row r="59" spans="1:15" x14ac:dyDescent="0.25">
      <c r="A59" s="66" t="s">
        <v>33</v>
      </c>
      <c r="B59" s="66">
        <v>64</v>
      </c>
      <c r="C59" s="66">
        <v>4</v>
      </c>
      <c r="D59" s="66">
        <f t="shared" si="4"/>
        <v>5.515625</v>
      </c>
      <c r="E59" s="66">
        <f t="shared" si="5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6"/>
        <v>5.3571428571428568</v>
      </c>
      <c r="M59" s="67">
        <f t="shared" si="7"/>
        <v>7.1428571428571425E-2</v>
      </c>
      <c r="N59" s="3" t="s">
        <v>46</v>
      </c>
      <c r="O59" s="18">
        <v>450</v>
      </c>
    </row>
    <row r="60" spans="1:15" x14ac:dyDescent="0.25">
      <c r="A60" s="66" t="s">
        <v>28</v>
      </c>
      <c r="B60" s="66">
        <v>20</v>
      </c>
      <c r="C60" s="66">
        <v>0</v>
      </c>
      <c r="D60" s="66">
        <f t="shared" si="4"/>
        <v>5.65</v>
      </c>
      <c r="E60" s="66">
        <f t="shared" si="5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6"/>
        <v>5.3809523809523814</v>
      </c>
      <c r="M60" s="67">
        <f t="shared" si="7"/>
        <v>0</v>
      </c>
      <c r="N60" s="3" t="s">
        <v>55</v>
      </c>
      <c r="O60" s="18">
        <v>113</v>
      </c>
    </row>
    <row r="61" spans="1:15" x14ac:dyDescent="0.25">
      <c r="A61" s="66" t="s">
        <v>401</v>
      </c>
      <c r="B61" s="66">
        <v>45</v>
      </c>
      <c r="C61" s="66">
        <v>1</v>
      </c>
      <c r="D61" s="66">
        <f t="shared" si="4"/>
        <v>5.9777777777777779</v>
      </c>
      <c r="E61" s="66">
        <f t="shared" si="5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6"/>
        <v>5.4074074074074074</v>
      </c>
      <c r="M61" s="67">
        <f t="shared" si="7"/>
        <v>0.1111111111111111</v>
      </c>
      <c r="N61" s="3" t="s">
        <v>55</v>
      </c>
      <c r="O61">
        <v>146</v>
      </c>
    </row>
    <row r="62" spans="1:15" x14ac:dyDescent="0.25">
      <c r="I62" s="67" t="s">
        <v>26</v>
      </c>
      <c r="J62" s="67">
        <v>42</v>
      </c>
      <c r="K62" s="67">
        <v>3</v>
      </c>
      <c r="L62" s="67">
        <f t="shared" si="6"/>
        <v>5.4761904761904763</v>
      </c>
      <c r="M62" s="67">
        <f t="shared" si="7"/>
        <v>7.1428571428571425E-2</v>
      </c>
      <c r="N62" s="3" t="s">
        <v>282</v>
      </c>
      <c r="O62" s="18">
        <v>230</v>
      </c>
    </row>
    <row r="63" spans="1:15" x14ac:dyDescent="0.25">
      <c r="I63" s="67" t="s">
        <v>33</v>
      </c>
      <c r="J63" s="67">
        <v>64</v>
      </c>
      <c r="K63" s="67">
        <v>4</v>
      </c>
      <c r="L63" s="67">
        <f t="shared" si="6"/>
        <v>5.515625</v>
      </c>
      <c r="M63" s="67">
        <f t="shared" si="7"/>
        <v>6.25E-2</v>
      </c>
      <c r="N63" s="3" t="s">
        <v>55</v>
      </c>
      <c r="O63" s="18">
        <v>353</v>
      </c>
    </row>
    <row r="64" spans="1:15" x14ac:dyDescent="0.25">
      <c r="I64" s="67" t="s">
        <v>28</v>
      </c>
      <c r="J64" s="67">
        <v>20</v>
      </c>
      <c r="K64" s="67">
        <v>0</v>
      </c>
      <c r="L64" s="67">
        <f t="shared" si="6"/>
        <v>5.65</v>
      </c>
      <c r="M64" s="67">
        <f t="shared" si="7"/>
        <v>0</v>
      </c>
      <c r="N64" s="3" t="s">
        <v>55</v>
      </c>
      <c r="O64" s="18">
        <v>113</v>
      </c>
    </row>
    <row r="65" spans="9:15" x14ac:dyDescent="0.25">
      <c r="I65" s="67" t="s">
        <v>401</v>
      </c>
      <c r="J65" s="67">
        <v>53</v>
      </c>
      <c r="K65" s="67">
        <v>2</v>
      </c>
      <c r="L65" s="67">
        <f t="shared" si="6"/>
        <v>5.7358490566037732</v>
      </c>
      <c r="M65" s="67">
        <f t="shared" si="7"/>
        <v>3.7735849056603772E-2</v>
      </c>
      <c r="N65" s="3" t="s">
        <v>55</v>
      </c>
      <c r="O65" s="18">
        <v>304</v>
      </c>
    </row>
    <row r="1048576" spans="14:14" x14ac:dyDescent="0.25">
      <c r="N1048576" s="3"/>
    </row>
  </sheetData>
  <sortState xmlns:xlrd2="http://schemas.microsoft.com/office/spreadsheetml/2017/richdata2" ref="I2:O65">
    <sortCondition ref="L2:L6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2025-11-12T17:32:06Z</dcterms:modified>
</cp:coreProperties>
</file>