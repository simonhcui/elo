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7E14F442-C2E5-4DF9-B336-E2328A429A1F}" xr6:coauthVersionLast="47" xr6:coauthVersionMax="47" xr10:uidLastSave="{00000000-0000-0000-0000-000000000000}"/>
  <bookViews>
    <workbookView xWindow="38280" yWindow="5280" windowWidth="29040" windowHeight="15720" firstSheet="2" activeTab="13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state="hidden" r:id="rId10"/>
    <sheet name="4.0" sheetId="11" state="hidden" r:id="rId11"/>
    <sheet name="5.0" sheetId="14" r:id="rId12"/>
    <sheet name="WE25" sheetId="12" r:id="rId13"/>
    <sheet name="Prep 6.0" sheetId="15" r:id="rId14"/>
    <sheet name="6.0" sheetId="16" r:id="rId15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" i="15" l="1"/>
  <c r="L43" i="15"/>
  <c r="N57" i="15"/>
  <c r="L57" i="15"/>
  <c r="N25" i="15"/>
  <c r="L25" i="15"/>
  <c r="N38" i="15"/>
  <c r="L38" i="15"/>
  <c r="N16" i="15"/>
  <c r="L16" i="15"/>
  <c r="N37" i="15"/>
  <c r="L37" i="15"/>
  <c r="N48" i="15"/>
  <c r="L48" i="15"/>
  <c r="N34" i="15"/>
  <c r="L34" i="15"/>
  <c r="N55" i="15"/>
  <c r="L55" i="15"/>
  <c r="N61" i="15"/>
  <c r="L61" i="15"/>
  <c r="N50" i="15"/>
  <c r="L50" i="15"/>
  <c r="N17" i="15"/>
  <c r="L17" i="15"/>
  <c r="N29" i="15"/>
  <c r="L29" i="15"/>
  <c r="N26" i="15"/>
  <c r="L26" i="15"/>
  <c r="N60" i="15"/>
  <c r="L60" i="15"/>
  <c r="N62" i="15"/>
  <c r="L62" i="15"/>
  <c r="N15" i="15"/>
  <c r="L15" i="15"/>
  <c r="N42" i="15"/>
  <c r="L42" i="15"/>
  <c r="N23" i="15"/>
  <c r="L23" i="15"/>
  <c r="N32" i="15"/>
  <c r="L32" i="15"/>
  <c r="N56" i="15"/>
  <c r="L56" i="15"/>
  <c r="N45" i="15" l="1"/>
  <c r="L45" i="15"/>
  <c r="N58" i="15"/>
  <c r="L58" i="15"/>
  <c r="N46" i="15"/>
  <c r="L46" i="15"/>
  <c r="N49" i="15"/>
  <c r="L49" i="15"/>
  <c r="L19" i="16" l="1"/>
  <c r="K19" i="16"/>
  <c r="L38" i="16"/>
  <c r="K38" i="16"/>
  <c r="L10" i="16"/>
  <c r="K10" i="16"/>
  <c r="L43" i="16"/>
  <c r="K43" i="16"/>
  <c r="L4" i="16"/>
  <c r="K4" i="16"/>
  <c r="L17" i="16"/>
  <c r="K17" i="16"/>
  <c r="L27" i="16"/>
  <c r="K27" i="16"/>
  <c r="L48" i="16"/>
  <c r="K48" i="16"/>
  <c r="L13" i="16"/>
  <c r="K13" i="16"/>
  <c r="L21" i="16"/>
  <c r="K21" i="16"/>
  <c r="L30" i="16"/>
  <c r="K30" i="16"/>
  <c r="L5" i="16"/>
  <c r="K5" i="16"/>
  <c r="L12" i="16"/>
  <c r="K12" i="16"/>
  <c r="L41" i="16"/>
  <c r="K41" i="16"/>
  <c r="L25" i="16"/>
  <c r="K25" i="16"/>
  <c r="L24" i="16"/>
  <c r="K24" i="16"/>
  <c r="L23" i="16"/>
  <c r="K23" i="16"/>
  <c r="L3" i="16"/>
  <c r="K3" i="16"/>
  <c r="L49" i="16"/>
  <c r="K49" i="16"/>
  <c r="L40" i="16"/>
  <c r="K40" i="16"/>
  <c r="L31" i="16"/>
  <c r="K31" i="16"/>
  <c r="L14" i="16"/>
  <c r="K14" i="16"/>
  <c r="L33" i="16"/>
  <c r="K33" i="16"/>
  <c r="L18" i="16"/>
  <c r="K18" i="16"/>
  <c r="L7" i="16"/>
  <c r="K7" i="16"/>
  <c r="L8" i="16"/>
  <c r="K8" i="16"/>
  <c r="L11" i="16"/>
  <c r="K11" i="16"/>
  <c r="L34" i="16"/>
  <c r="K34" i="16"/>
  <c r="L29" i="16"/>
  <c r="K29" i="16"/>
  <c r="L46" i="16"/>
  <c r="K46" i="16"/>
  <c r="L28" i="16"/>
  <c r="K28" i="16"/>
  <c r="L6" i="16"/>
  <c r="K6" i="16"/>
  <c r="L42" i="16"/>
  <c r="K42" i="16"/>
  <c r="L15" i="16"/>
  <c r="K15" i="16"/>
  <c r="L35" i="16"/>
  <c r="K35" i="16"/>
  <c r="L9" i="16"/>
  <c r="K9" i="16"/>
  <c r="L47" i="16"/>
  <c r="K47" i="16"/>
  <c r="L36" i="16"/>
  <c r="K36" i="16"/>
  <c r="L39" i="16"/>
  <c r="K39" i="16"/>
  <c r="L45" i="16"/>
  <c r="K45" i="16"/>
  <c r="L44" i="16"/>
  <c r="K44" i="16"/>
  <c r="L32" i="16"/>
  <c r="K32" i="16"/>
  <c r="L22" i="16"/>
  <c r="K22" i="16"/>
  <c r="L2" i="16"/>
  <c r="K2" i="16"/>
  <c r="L26" i="16"/>
  <c r="K26" i="16"/>
  <c r="L37" i="16"/>
  <c r="K37" i="16"/>
  <c r="L16" i="16"/>
  <c r="K16" i="16"/>
  <c r="L20" i="16"/>
  <c r="K20" i="16"/>
  <c r="N35" i="15"/>
  <c r="L35" i="15"/>
  <c r="N47" i="15"/>
  <c r="L47" i="15"/>
  <c r="N53" i="15"/>
  <c r="L53" i="15"/>
  <c r="N52" i="15"/>
  <c r="L52" i="15"/>
  <c r="N30" i="15"/>
  <c r="L30" i="15"/>
  <c r="N20" i="15"/>
  <c r="L20" i="15"/>
  <c r="N27" i="15" l="1"/>
  <c r="L27" i="15"/>
  <c r="N31" i="15"/>
  <c r="L31" i="15"/>
  <c r="N28" i="15"/>
  <c r="L28" i="15"/>
  <c r="N14" i="15"/>
  <c r="L14" i="15"/>
  <c r="N59" i="15"/>
  <c r="L59" i="15"/>
  <c r="F15" i="16"/>
  <c r="D15" i="16"/>
  <c r="F33" i="16"/>
  <c r="D33" i="16"/>
  <c r="F11" i="16"/>
  <c r="D11" i="16"/>
  <c r="F37" i="16"/>
  <c r="D37" i="16"/>
  <c r="F4" i="16"/>
  <c r="D4" i="16"/>
  <c r="F22" i="16"/>
  <c r="D22" i="16"/>
  <c r="F41" i="16"/>
  <c r="D41" i="16"/>
  <c r="F12" i="16"/>
  <c r="D12" i="16"/>
  <c r="F20" i="16"/>
  <c r="D20" i="16"/>
  <c r="F25" i="16"/>
  <c r="D25" i="16"/>
  <c r="F5" i="16"/>
  <c r="D5" i="16"/>
  <c r="F10" i="16"/>
  <c r="D10" i="16"/>
  <c r="F36" i="16"/>
  <c r="D36" i="16"/>
  <c r="F21" i="16"/>
  <c r="D21" i="16"/>
  <c r="F17" i="16"/>
  <c r="D17" i="16"/>
  <c r="F3" i="16"/>
  <c r="D3" i="16"/>
  <c r="F42" i="16"/>
  <c r="D42" i="16"/>
  <c r="F35" i="16"/>
  <c r="D35" i="16"/>
  <c r="F26" i="16"/>
  <c r="D26" i="16"/>
  <c r="F13" i="16"/>
  <c r="D13" i="16"/>
  <c r="F28" i="16"/>
  <c r="D28" i="16"/>
  <c r="F16" i="16"/>
  <c r="D16" i="16"/>
  <c r="F8" i="16"/>
  <c r="D8" i="16"/>
  <c r="F7" i="16"/>
  <c r="D7" i="16"/>
  <c r="F9" i="16"/>
  <c r="D9" i="16"/>
  <c r="F24" i="16"/>
  <c r="D24" i="16"/>
  <c r="F39" i="16"/>
  <c r="D39" i="16"/>
  <c r="F34" i="16"/>
  <c r="D34" i="16"/>
  <c r="F31" i="16"/>
  <c r="D31" i="16"/>
  <c r="F6" i="16"/>
  <c r="D6" i="16"/>
  <c r="F40" i="16"/>
  <c r="D40" i="16"/>
  <c r="F29" i="16"/>
  <c r="D29" i="16"/>
  <c r="F32" i="16"/>
  <c r="D32" i="16"/>
  <c r="F38" i="16"/>
  <c r="D38" i="16"/>
  <c r="F27" i="16"/>
  <c r="D27" i="16"/>
  <c r="F19" i="16"/>
  <c r="D19" i="16"/>
  <c r="F2" i="16"/>
  <c r="D2" i="16"/>
  <c r="F23" i="16"/>
  <c r="D23" i="16"/>
  <c r="F30" i="16"/>
  <c r="D30" i="16"/>
  <c r="F14" i="16"/>
  <c r="D14" i="16"/>
  <c r="F18" i="16"/>
  <c r="D18" i="16"/>
  <c r="N44" i="15" l="1"/>
  <c r="L44" i="15"/>
  <c r="N22" i="15"/>
  <c r="L22" i="15"/>
  <c r="L24" i="15"/>
  <c r="N24" i="15"/>
  <c r="L33" i="15"/>
  <c r="N33" i="15"/>
  <c r="L36" i="15"/>
  <c r="N36" i="15"/>
  <c r="L39" i="15"/>
  <c r="N39" i="15"/>
  <c r="L40" i="15"/>
  <c r="N40" i="15"/>
  <c r="L41" i="15"/>
  <c r="N41" i="15"/>
  <c r="L51" i="15"/>
  <c r="N51" i="15"/>
  <c r="L54" i="15"/>
  <c r="N54" i="15"/>
  <c r="N13" i="15" l="1"/>
  <c r="L13" i="15"/>
  <c r="F91" i="15" l="1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F82" i="15"/>
  <c r="D82" i="15"/>
  <c r="F81" i="15"/>
  <c r="D81" i="15"/>
  <c r="F80" i="15"/>
  <c r="D80" i="15"/>
  <c r="F79" i="15"/>
  <c r="D79" i="15"/>
  <c r="F78" i="15"/>
  <c r="D78" i="15"/>
  <c r="F77" i="15"/>
  <c r="D77" i="15"/>
  <c r="F76" i="15"/>
  <c r="D76" i="15"/>
  <c r="F75" i="15"/>
  <c r="D75" i="15"/>
  <c r="F74" i="15"/>
  <c r="D74" i="15"/>
  <c r="F73" i="15"/>
  <c r="D73" i="15"/>
  <c r="F72" i="15"/>
  <c r="D72" i="15"/>
  <c r="F71" i="15"/>
  <c r="D71" i="15"/>
  <c r="F70" i="15"/>
  <c r="D70" i="15"/>
  <c r="F69" i="15"/>
  <c r="D69" i="15"/>
  <c r="F68" i="15"/>
  <c r="D68" i="15"/>
  <c r="F67" i="15"/>
  <c r="D67" i="15"/>
  <c r="F66" i="15"/>
  <c r="D66" i="15"/>
  <c r="F65" i="15"/>
  <c r="D65" i="15"/>
  <c r="F64" i="15"/>
  <c r="D64" i="15"/>
  <c r="F63" i="15"/>
  <c r="D63" i="15"/>
  <c r="F62" i="15"/>
  <c r="D62" i="15"/>
  <c r="F61" i="15"/>
  <c r="D61" i="15"/>
  <c r="F60" i="15"/>
  <c r="D60" i="15"/>
  <c r="F59" i="15"/>
  <c r="D59" i="15"/>
  <c r="F58" i="15"/>
  <c r="D58" i="15"/>
  <c r="F57" i="15"/>
  <c r="D57" i="15"/>
  <c r="F56" i="15"/>
  <c r="D56" i="15"/>
  <c r="F55" i="15"/>
  <c r="D55" i="15"/>
  <c r="F54" i="15"/>
  <c r="D54" i="15"/>
  <c r="F53" i="15"/>
  <c r="D53" i="15"/>
  <c r="F52" i="15"/>
  <c r="D52" i="15"/>
  <c r="F51" i="15"/>
  <c r="D51" i="15"/>
  <c r="F50" i="15"/>
  <c r="D50" i="15"/>
  <c r="F49" i="15"/>
  <c r="D49" i="15"/>
  <c r="F48" i="15"/>
  <c r="D48" i="15"/>
  <c r="F47" i="15"/>
  <c r="D47" i="15"/>
  <c r="F46" i="15"/>
  <c r="D46" i="15"/>
  <c r="F45" i="15"/>
  <c r="D45" i="15"/>
  <c r="F44" i="15"/>
  <c r="D44" i="15"/>
  <c r="F43" i="15"/>
  <c r="D43" i="15"/>
  <c r="F42" i="15"/>
  <c r="D42" i="15"/>
  <c r="F41" i="15"/>
  <c r="D41" i="15"/>
  <c r="F40" i="15"/>
  <c r="D40" i="15"/>
  <c r="F39" i="15"/>
  <c r="D39" i="15"/>
  <c r="F38" i="15"/>
  <c r="D38" i="15"/>
  <c r="F37" i="15"/>
  <c r="D37" i="15"/>
  <c r="F36" i="15"/>
  <c r="D36" i="15"/>
  <c r="F35" i="15"/>
  <c r="D35" i="15"/>
  <c r="F34" i="15"/>
  <c r="D34" i="15"/>
  <c r="F33" i="15"/>
  <c r="D33" i="15"/>
  <c r="F32" i="15"/>
  <c r="D32" i="15"/>
  <c r="F31" i="15"/>
  <c r="D31" i="15"/>
  <c r="F30" i="15"/>
  <c r="D30" i="15"/>
  <c r="F29" i="15"/>
  <c r="D29" i="15"/>
  <c r="F28" i="15"/>
  <c r="D28" i="15"/>
  <c r="F27" i="15"/>
  <c r="D27" i="15"/>
  <c r="F26" i="15"/>
  <c r="D26" i="15"/>
  <c r="F25" i="15"/>
  <c r="D25" i="15"/>
  <c r="F24" i="15"/>
  <c r="D24" i="15"/>
  <c r="F23" i="15"/>
  <c r="D23" i="15"/>
  <c r="N21" i="15"/>
  <c r="L21" i="15"/>
  <c r="F22" i="15"/>
  <c r="D22" i="15"/>
  <c r="F21" i="15"/>
  <c r="D21" i="15"/>
  <c r="N19" i="15"/>
  <c r="L19" i="15"/>
  <c r="F20" i="15"/>
  <c r="D20" i="15"/>
  <c r="F19" i="15"/>
  <c r="D19" i="15"/>
  <c r="N18" i="15"/>
  <c r="L18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<sst xmlns="http://schemas.openxmlformats.org/spreadsheetml/2006/main" count="17753" uniqueCount="609">
  <si>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</si>
  <si>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</si>
  <si>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</si>
  <si>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</si>
  <si>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</si>
  <si>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</si>
  <si>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</si>
  <si>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</si>
  <si>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</si>
  <si>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</si>
  <si>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</si>
  <si>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</si>
  <si>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</si>
  <si>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</si>
  <si>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</si>
  <si>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</si>
  <si>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</si>
  <si>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</si>
  <si>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</si>
  <si>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</si>
  <si>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</si>
  <si>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</si>
  <si>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</si>
  <si>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</si>
  <si>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</si>
  <si>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</si>
  <si>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</si>
  <si>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</si>
  <si>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</si>
  <si>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</si>
  <si>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</si>
  <si>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</si>
  <si>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</si>
  <si>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</si>
  <si>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</si>
  <si>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</si>
  <si>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</si>
  <si>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</si>
  <si>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</si>
  <si>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</si>
  <si>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</si>
  <si>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</si>
  <si>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</si>
  <si>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</si>
  <si>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</si>
  <si>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</si>
  <si>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</si>
  <si>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</si>
  <si>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</si>
  <si>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</si>
  <si>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</si>
  <si>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</si>
  <si>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</si>
  <si>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</si>
  <si>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</si>
  <si>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</si>
  <si>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</si>
  <si>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</si>
  <si>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</si>
  <si>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</si>
  <si>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</si>
  <si>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</si>
  <si>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</si>
  <si>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</si>
  <si>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</si>
  <si>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</si>
  <si>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</si>
  <si>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</si>
  <si>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</si>
  <si>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</si>
  <si>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</si>
  <si>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</si>
  <si>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</si>
  <si>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</si>
  <si>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</si>
  <si>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</si>
  <si>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</si>
  <si>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</si>
  <si>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</si>
  <si>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</si>
  <si>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</si>
  <si>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</si>
  <si>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</si>
  <si>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</si>
  <si>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</si>
  <si>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</si>
  <si>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</si>
  <si>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</si>
  <si>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</si>
  <si>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</si>
  <si>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</si>
  <si>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</si>
  <si>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</si>
  <si>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</si>
  <si>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</si>
  <si>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</si>
  <si>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</si>
  <si>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</si>
  <si>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</si>
  <si>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</si>
  <si>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</si>
  <si>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</si>
  <si>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</si>
  <si>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</si>
  <si>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</si>
  <si>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</si>
  <si>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</si>
  <si>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</si>
  <si>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</si>
  <si>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</si>
  <si>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</si>
  <si>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</si>
  <si>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</si>
  <si>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</si>
  <si>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</si>
  <si>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</si>
  <si>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</si>
  <si>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</si>
  <si>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</si>
  <si>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</si>
  <si>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</si>
  <si>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</si>
  <si>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</si>
  <si>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</si>
  <si>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</si>
  <si>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</si>
  <si>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</si>
  <si>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</si>
  <si>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</si>
  <si>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</si>
  <si>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</si>
  <si>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</si>
  <si>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</si>
  <si>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</si>
  <si>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</si>
  <si>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</si>
  <si>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</si>
  <si>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</si>
  <si>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</si>
  <si>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</si>
  <si>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</si>
  <si>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</si>
  <si>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</si>
  <si>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</si>
  <si>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</si>
  <si>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</si>
  <si>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</si>
  <si>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</si>
  <si>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</si>
  <si>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</si>
  <si>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</si>
  <si>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</si>
  <si>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</si>
  <si>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</si>
  <si>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</si>
  <si>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</si>
  <si>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</si>
  <si>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</si>
  <si>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</si>
  <si>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</si>
  <si>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</si>
  <si>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</si>
  <si>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</si>
  <si>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</si>
  <si>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</si>
  <si>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</si>
  <si>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</si>
  <si>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</si>
  <si>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</si>
  <si>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</si>
  <si>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</si>
  <si>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</si>
  <si>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</si>
  <si>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</si>
  <si>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</si>
  <si>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</si>
  <si>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</si>
  <si>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</si>
  <si>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</si>
  <si>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</si>
  <si>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</si>
  <si>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</si>
  <si>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</si>
  <si>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</si>
  <si>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</si>
  <si>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</si>
  <si>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</si>
  <si>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</si>
  <si>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</si>
  <si>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</si>
  <si>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</si>
  <si>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</si>
  <si>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</si>
  <si>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</si>
  <si>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</si>
  <si>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</si>
  <si>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</si>
  <si>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</si>
  <si>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</si>
  <si>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</si>
  <si>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</si>
  <si>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</si>
  <si>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</si>
  <si>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</si>
  <si>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</si>
  <si>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</si>
  <si>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</si>
  <si>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</si>
  <si>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</si>
  <si>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</si>
  <si>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</si>
  <si>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</si>
  <si>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</si>
  <si>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</si>
  <si>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</si>
  <si>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</si>
  <si>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</si>
  <si>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</si>
  <si>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</si>
  <si>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</si>
  <si>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</si>
  <si>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</si>
  <si>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</si>
  <si>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</si>
  <si>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</si>
  <si>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</si>
  <si>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</si>
  <si>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</si>
  <si>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</si>
  <si>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</si>
  <si>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</si>
  <si>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</si>
  <si>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</si>
  <si>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</si>
  <si>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</si>
  <si>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</si>
  <si>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</si>
  <si>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</si>
  <si>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</si>
  <si>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</si>
  <si>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</si>
  <si>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</si>
  <si>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</si>
  <si>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</si>
  <si>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</si>
  <si>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</si>
  <si>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</si>
  <si>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</si>
  <si>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</si>
  <si>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</si>
  <si>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</si>
  <si>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</si>
  <si>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</si>
  <si>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</si>
  <si>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</si>
  <si>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</si>
  <si>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</si>
  <si>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</si>
  <si>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</si>
  <si>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</si>
  <si>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</si>
  <si>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</si>
  <si>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</si>
  <si>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</si>
  <si>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</si>
  <si>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</si>
  <si>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</si>
  <si>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</si>
  <si>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</si>
  <si>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</si>
  <si>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</si>
  <si>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</si>
  <si>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</si>
  <si>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</si>
  <si>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</si>
  <si>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</si>
  <si>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</si>
  <si>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</si>
  <si>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</si>
  <si>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</si>
  <si>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</si>
  <si>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</si>
  <si>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</si>
  <si>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</si>
  <si>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</si>
  <si>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</si>
  <si>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</si>
  <si>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</si>
  <si>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</si>
  <si>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</si>
  <si>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</si>
  <si>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</si>
  <si>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</si>
  <si>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</si>
  <si>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</si>
  <si>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</si>
  <si>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</si>
  <si>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</si>
  <si>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</si>
  <si>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</si>
  <si>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</si>
  <si>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</si>
  <si>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</si>
  <si>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</si>
  <si>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</si>
  <si>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</si>
  <si>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</si>
  <si>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</si>
  <si>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</si>
  <si>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</si>
  <si>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</si>
  <si>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</si>
  <si>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</si>
  <si>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</si>
  <si>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</si>
  <si>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</si>
  <si>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</si>
  <si>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</si>
  <si>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</si>
  <si>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</si>
  <si>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</si>
  <si>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</si>
  <si>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</si>
  <si>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</si>
  <si>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</si>
  <si>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</si>
  <si>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</si>
  <si>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</si>
  <si>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</si>
  <si>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</si>
  <si>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</si>
  <si>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</si>
  <si>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</si>
  <si>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</si>
  <si>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</si>
  <si>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</si>
  <si>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</si>
  <si>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</si>
  <si>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</si>
  <si>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</si>
  <si>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</si>
  <si>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</si>
  <si>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</si>
  <si>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</si>
  <si>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</si>
  <si>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</si>
  <si>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</si>
  <si>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</si>
  <si>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</si>
  <si>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</si>
  <si>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</si>
  <si>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</si>
  <si>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</si>
  <si>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</si>
  <si>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</si>
  <si>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</si>
  <si>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</si>
  <si>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</si>
  <si>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</si>
  <si>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</si>
  <si>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</si>
  <si>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</si>
  <si>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</si>
  <si>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</si>
  <si>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</si>
  <si>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</si>
  <si>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</si>
  <si>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</si>
  <si>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</si>
  <si>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</si>
  <si>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</si>
  <si>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</si>
  <si>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</si>
  <si>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</si>
  <si>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</si>
  <si>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</si>
  <si>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</si>
  <si>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</si>
  <si>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</si>
  <si>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</si>
  <si>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</si>
  <si>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</si>
  <si>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</si>
  <si>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</si>
  <si>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</si>
  <si>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</si>
  <si>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</si>
  <si>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</si>
  <si>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</si>
  <si>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</si>
  <si>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</si>
  <si>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</si>
  <si>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</si>
  <si>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</si>
  <si>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</si>
  <si>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</si>
  <si>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</si>
  <si>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</si>
  <si>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</si>
  <si>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</si>
  <si>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</si>
  <si>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</si>
  <si>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</si>
  <si>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</si>
  <si>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</si>
  <si>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</si>
  <si>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</si>
  <si>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</si>
  <si>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</si>
  <si>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</si>
  <si>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</si>
  <si>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</si>
  <si>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</si>
  <si>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</si>
  <si>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</si>
  <si>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</si>
  <si>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</si>
  <si>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</si>
  <si>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</si>
  <si>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</si>
  <si>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</si>
  <si>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</si>
  <si>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</si>
  <si>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</si>
  <si>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</si>
  <si>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</si>
  <si>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</si>
  <si>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</si>
  <si>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</si>
  <si>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</si>
  <si>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</si>
  <si>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</si>
  <si>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</si>
  <si>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</si>
  <si>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</si>
  <si>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</si>
  <si>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</si>
  <si>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</si>
  <si>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</si>
  <si>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</si>
  <si>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</si>
  <si>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</si>
  <si>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</si>
  <si>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</si>
  <si>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</si>
  <si>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</si>
  <si>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</si>
  <si>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</si>
  <si>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</si>
  <si>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</si>
  <si>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</si>
  <si>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</si>
  <si>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</si>
  <si>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</si>
  <si>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</si>
  <si>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</si>
  <si>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</si>
  <si>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</si>
  <si>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</si>
  <si>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</si>
  <si>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</si>
  <si>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</si>
  <si>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</si>
  <si>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</si>
  <si>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</si>
  <si>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</si>
  <si>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</si>
  <si>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</si>
  <si>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</si>
  <si>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</si>
  <si>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</si>
  <si>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</si>
  <si>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</si>
  <si>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</si>
  <si>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</si>
  <si>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</si>
  <si>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</si>
  <si>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</si>
  <si>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</si>
  <si>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</si>
  <si>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</si>
  <si>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</si>
  <si>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</si>
  <si>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</si>
  <si>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</si>
  <si>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</si>
  <si>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</si>
  <si>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</si>
  <si>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</si>
  <si>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</si>
  <si>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</si>
  <si>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</si>
  <si>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</si>
  <si>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</si>
  <si>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</si>
  <si>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</si>
  <si>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</si>
  <si>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</si>
  <si>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</si>
  <si>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</si>
  <si>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</si>
  <si>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</si>
  <si>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</si>
  <si>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</si>
  <si>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</si>
  <si>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</si>
  <si>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</si>
  <si>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</si>
  <si>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</si>
  <si>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</si>
  <si>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</si>
  <si>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</si>
  <si>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</si>
  <si>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</si>
  <si>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</si>
  <si>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</si>
  <si>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</si>
  <si>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</si>
  <si>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</si>
  <si>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</si>
  <si>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</si>
  <si>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</si>
  <si>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</si>
  <si>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</si>
  <si>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</si>
  <si>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</si>
  <si>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</si>
  <si>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</si>
  <si>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</si>
  <si>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</si>
  <si>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</si>
  <si>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</si>
  <si>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</si>
  <si>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</si>
  <si>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</si>
  <si>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</si>
  <si>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</si>
  <si>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</si>
  <si>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</si>
  <si>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</si>
  <si>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</si>
  <si>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</si>
  <si>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</si>
  <si>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</si>
  <si>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</si>
  <si>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</si>
  <si>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</si>
  <si>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</si>
  <si>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</si>
  <si>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</si>
  <si>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</si>
  <si>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</si>
  <si>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</si>
  <si>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</si>
  <si>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</si>
  <si>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</si>
  <si>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</si>
  <si>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</si>
  <si>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</si>
  <si>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</si>
  <si>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</si>
  <si>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</si>
  <si>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</si>
  <si>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</si>
  <si>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</si>
  <si>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</si>
  <si>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</si>
  <si>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</si>
  <si>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</si>
  <si>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</si>
  <si>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</si>
  <si>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</si>
  <si>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</si>
  <si>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</si>
  <si>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</si>
  <si>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</si>
  <si>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</si>
  <si>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</si>
  <si>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</si>
  <si>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</si>
  <si>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</si>
  <si>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</si>
  <si>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</si>
  <si>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</si>
  <si>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</si>
  <si>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</si>
  <si>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</si>
  <si>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</si>
  <si>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</si>
  <si>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</si>
  <si>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</si>
  <si>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</si>
  <si>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</si>
  <si>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</si>
  <si>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</si>
  <si>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</si>
  <si>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</si>
  <si>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</si>
  <si>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</si>
  <si>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</si>
  <si>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</si>
  <si>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</si>
  <si>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</si>
  <si>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</si>
  <si>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</si>
  <si>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</si>
  <si>
    <t>Diddy</t>
  </si>
  <si>
    <t>King K.Rool</t>
  </si>
  <si>
    <t>Zero Suit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</si>
</sst>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70"/>
  <sheetViews>
    <sheetView topLeftCell="P343" zoomScaleNormal="100" workbookViewId="0">
      <selection activeCell="AC362" sqref="AC362:AK37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2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2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2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2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2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2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2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2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2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2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2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2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2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2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32" x14ac:dyDescent="0.2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32" x14ac:dyDescent="0.2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32" x14ac:dyDescent="0.2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32" x14ac:dyDescent="0.2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32" x14ac:dyDescent="0.2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  <c r="U342" s="1">
        <v>46178</v>
      </c>
      <c r="V342" s="1">
        <v>46178</v>
      </c>
      <c r="W342" s="1">
        <v>46179</v>
      </c>
      <c r="X342" s="1">
        <v>46179</v>
      </c>
      <c r="Y342" s="1">
        <v>46179</v>
      </c>
      <c r="Z342" s="1">
        <v>46179</v>
      </c>
      <c r="AA342" s="1">
        <v>46179</v>
      </c>
      <c r="AB342" s="1">
        <v>46179</v>
      </c>
      <c r="AC342" s="1">
        <v>46179</v>
      </c>
      <c r="AD342" s="1">
        <v>46179</v>
      </c>
      <c r="AE342" s="1">
        <v>46179</v>
      </c>
      <c r="AF342" s="1">
        <v>46179</v>
      </c>
    </row>
    <row r="343" spans="10:32" x14ac:dyDescent="0.2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  <c r="U343" t="s">
        <v>586</v>
      </c>
      <c r="V343" t="s">
        <v>28</v>
      </c>
      <c r="W343" t="s">
        <v>403</v>
      </c>
      <c r="X343" t="s">
        <v>552</v>
      </c>
      <c r="Y343" t="s">
        <v>113</v>
      </c>
      <c r="Z343" t="s">
        <v>31</v>
      </c>
      <c r="AA343" t="s">
        <v>105</v>
      </c>
      <c r="AB343" t="s">
        <v>34</v>
      </c>
      <c r="AC343" t="s">
        <v>36</v>
      </c>
      <c r="AD343" t="s">
        <v>31</v>
      </c>
      <c r="AE343" t="s">
        <v>572</v>
      </c>
      <c r="AF343" t="s">
        <v>28</v>
      </c>
    </row>
    <row r="344" spans="10:32" x14ac:dyDescent="0.2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  <c r="U344" t="s">
        <v>56</v>
      </c>
      <c r="V344" t="s">
        <v>31</v>
      </c>
      <c r="W344" t="s">
        <v>90</v>
      </c>
      <c r="X344" t="s">
        <v>90</v>
      </c>
      <c r="Y344" t="s">
        <v>593</v>
      </c>
      <c r="Z344" t="s">
        <v>593</v>
      </c>
      <c r="AA344" t="s">
        <v>232</v>
      </c>
      <c r="AB344" t="s">
        <v>49</v>
      </c>
      <c r="AC344" t="s">
        <v>104</v>
      </c>
      <c r="AD344" t="s">
        <v>25</v>
      </c>
      <c r="AE344" t="s">
        <v>112</v>
      </c>
      <c r="AF344" t="s">
        <v>112</v>
      </c>
    </row>
    <row r="345" spans="10:32" x14ac:dyDescent="0.2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  <c r="U345" t="s">
        <v>31</v>
      </c>
      <c r="V345" t="s">
        <v>232</v>
      </c>
      <c r="W345" t="s">
        <v>588</v>
      </c>
      <c r="X345" t="s">
        <v>553</v>
      </c>
      <c r="Y345" t="s">
        <v>28</v>
      </c>
      <c r="Z345" t="s">
        <v>113</v>
      </c>
      <c r="AA345" t="s">
        <v>121</v>
      </c>
      <c r="AB345" t="s">
        <v>25</v>
      </c>
      <c r="AC345" t="s">
        <v>81</v>
      </c>
      <c r="AD345" t="s">
        <v>56</v>
      </c>
      <c r="AE345" t="s">
        <v>29</v>
      </c>
      <c r="AF345" t="s">
        <v>26</v>
      </c>
    </row>
    <row r="346" spans="10:32" x14ac:dyDescent="0.2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  <c r="U346" t="s">
        <v>25</v>
      </c>
      <c r="V346" t="s">
        <v>34</v>
      </c>
      <c r="W346" t="s">
        <v>81</v>
      </c>
      <c r="X346" t="s">
        <v>104</v>
      </c>
      <c r="Y346" t="s">
        <v>128</v>
      </c>
      <c r="Z346" t="s">
        <v>28</v>
      </c>
      <c r="AA346" t="s">
        <v>34</v>
      </c>
      <c r="AB346" t="s">
        <v>121</v>
      </c>
      <c r="AC346" t="s">
        <v>27</v>
      </c>
      <c r="AD346" t="s">
        <v>112</v>
      </c>
      <c r="AE346" t="s">
        <v>552</v>
      </c>
      <c r="AF346" t="s">
        <v>113</v>
      </c>
    </row>
    <row r="347" spans="10:32" x14ac:dyDescent="0.2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  <c r="U347" t="s">
        <v>121</v>
      </c>
      <c r="V347" t="s">
        <v>25</v>
      </c>
      <c r="W347" t="s">
        <v>104</v>
      </c>
      <c r="X347" t="s">
        <v>105</v>
      </c>
      <c r="Y347" t="s">
        <v>31</v>
      </c>
      <c r="Z347" t="s">
        <v>147</v>
      </c>
      <c r="AA347" t="s">
        <v>90</v>
      </c>
      <c r="AB347" t="s">
        <v>232</v>
      </c>
      <c r="AC347" t="s">
        <v>113</v>
      </c>
      <c r="AD347" t="s">
        <v>28</v>
      </c>
      <c r="AE347" t="s">
        <v>104</v>
      </c>
      <c r="AF347" t="s">
        <v>34</v>
      </c>
    </row>
    <row r="348" spans="10:32" x14ac:dyDescent="0.2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  <c r="U348" t="s">
        <v>232</v>
      </c>
      <c r="V348" t="s">
        <v>56</v>
      </c>
      <c r="W348" t="s">
        <v>26</v>
      </c>
      <c r="X348" t="s">
        <v>588</v>
      </c>
      <c r="Y348" t="s">
        <v>588</v>
      </c>
      <c r="Z348" t="s">
        <v>588</v>
      </c>
      <c r="AA348" t="s">
        <v>25</v>
      </c>
      <c r="AB348" t="s">
        <v>105</v>
      </c>
      <c r="AC348" t="s">
        <v>34</v>
      </c>
      <c r="AD348" t="s">
        <v>123</v>
      </c>
      <c r="AE348" t="s">
        <v>81</v>
      </c>
      <c r="AF348" t="s">
        <v>25</v>
      </c>
    </row>
    <row r="349" spans="10:32" x14ac:dyDescent="0.2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  <c r="U349" t="s">
        <v>28</v>
      </c>
      <c r="V349" t="s">
        <v>147</v>
      </c>
      <c r="W349" t="s">
        <v>34</v>
      </c>
      <c r="X349" t="s">
        <v>26</v>
      </c>
      <c r="Y349" t="s">
        <v>147</v>
      </c>
      <c r="Z349" t="s">
        <v>128</v>
      </c>
      <c r="AA349" t="s">
        <v>56</v>
      </c>
      <c r="AB349" t="s">
        <v>56</v>
      </c>
      <c r="AC349" t="s">
        <v>29</v>
      </c>
      <c r="AD349" t="s">
        <v>232</v>
      </c>
      <c r="AE349" t="s">
        <v>113</v>
      </c>
      <c r="AF349" t="s">
        <v>232</v>
      </c>
    </row>
    <row r="350" spans="10:32" x14ac:dyDescent="0.2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  <c r="U350" t="s">
        <v>147</v>
      </c>
      <c r="V350" t="s">
        <v>586</v>
      </c>
      <c r="W350" t="s">
        <v>15</v>
      </c>
      <c r="X350" t="s">
        <v>81</v>
      </c>
      <c r="Y350" t="s">
        <v>586</v>
      </c>
      <c r="Z350" t="s">
        <v>34</v>
      </c>
      <c r="AA350" t="s">
        <v>49</v>
      </c>
      <c r="AB350" t="s">
        <v>90</v>
      </c>
      <c r="AC350" t="s">
        <v>26</v>
      </c>
      <c r="AD350" t="s">
        <v>593</v>
      </c>
      <c r="AE350" t="s">
        <v>26</v>
      </c>
      <c r="AF350" t="s">
        <v>593</v>
      </c>
    </row>
    <row r="352" spans="10:32" x14ac:dyDescent="0.25">
      <c r="J352" s="1">
        <v>46184</v>
      </c>
      <c r="K352" s="1">
        <v>46184</v>
      </c>
      <c r="L352" s="1">
        <v>46185</v>
      </c>
      <c r="M352" s="1">
        <v>46185</v>
      </c>
      <c r="N352" s="1">
        <v>46186</v>
      </c>
      <c r="O352" s="1">
        <v>46186</v>
      </c>
      <c r="P352" s="1">
        <v>46191</v>
      </c>
      <c r="Q352" s="1">
        <v>46191</v>
      </c>
      <c r="R352" s="1">
        <v>46191</v>
      </c>
      <c r="T352" s="1">
        <v>46192</v>
      </c>
      <c r="U352" s="1">
        <v>46192</v>
      </c>
      <c r="V352" s="1">
        <v>46198</v>
      </c>
      <c r="W352" s="1">
        <v>46198</v>
      </c>
      <c r="X352" s="1">
        <v>46198</v>
      </c>
      <c r="Y352" s="1">
        <v>46198</v>
      </c>
      <c r="Z352" s="1">
        <v>46199</v>
      </c>
      <c r="AA352" s="1">
        <v>46199</v>
      </c>
      <c r="AB352" s="1">
        <v>46205</v>
      </c>
      <c r="AC352" s="1">
        <v>46205</v>
      </c>
      <c r="AD352" s="1">
        <v>46205</v>
      </c>
    </row>
    <row r="353" spans="10:37" x14ac:dyDescent="0.25">
      <c r="J353" t="s">
        <v>586</v>
      </c>
      <c r="K353" t="s">
        <v>31</v>
      </c>
      <c r="L353" t="s">
        <v>552</v>
      </c>
      <c r="M353" t="s">
        <v>591</v>
      </c>
      <c r="N353" t="s">
        <v>232</v>
      </c>
      <c r="O353" t="s">
        <v>35</v>
      </c>
      <c r="P353" t="s">
        <v>35</v>
      </c>
      <c r="Q353" t="s">
        <v>128</v>
      </c>
      <c r="R353" t="s">
        <v>232</v>
      </c>
      <c r="T353" t="s">
        <v>87</v>
      </c>
      <c r="U353" t="s">
        <v>25</v>
      </c>
      <c r="V353" t="s">
        <v>28</v>
      </c>
      <c r="W353" t="s">
        <v>31</v>
      </c>
      <c r="X353" t="s">
        <v>552</v>
      </c>
      <c r="Y353" t="s">
        <v>29</v>
      </c>
      <c r="Z353" t="s">
        <v>572</v>
      </c>
      <c r="AA353" t="s">
        <v>112</v>
      </c>
      <c r="AB353" t="s">
        <v>35</v>
      </c>
      <c r="AC353" t="s">
        <v>232</v>
      </c>
      <c r="AD353" t="s">
        <v>52</v>
      </c>
    </row>
    <row r="354" spans="10:37" x14ac:dyDescent="0.25">
      <c r="J354" t="s">
        <v>28</v>
      </c>
      <c r="K354" t="s">
        <v>593</v>
      </c>
      <c r="L354" t="s">
        <v>586</v>
      </c>
      <c r="M354" t="s">
        <v>553</v>
      </c>
      <c r="N354" t="s">
        <v>28</v>
      </c>
      <c r="O354" t="s">
        <v>232</v>
      </c>
      <c r="P354" t="s">
        <v>28</v>
      </c>
      <c r="Q354" t="s">
        <v>90</v>
      </c>
      <c r="R354" t="s">
        <v>35</v>
      </c>
      <c r="T354" t="s">
        <v>122</v>
      </c>
      <c r="U354" t="s">
        <v>89</v>
      </c>
      <c r="V354" t="s">
        <v>90</v>
      </c>
      <c r="W354" t="s">
        <v>25</v>
      </c>
      <c r="X354" t="s">
        <v>116</v>
      </c>
      <c r="Y354" t="s">
        <v>105</v>
      </c>
      <c r="Z354" t="s">
        <v>232</v>
      </c>
      <c r="AA354" t="s">
        <v>403</v>
      </c>
      <c r="AB354" t="s">
        <v>122</v>
      </c>
      <c r="AC354" t="s">
        <v>35</v>
      </c>
      <c r="AD354" t="s">
        <v>20</v>
      </c>
    </row>
    <row r="355" spans="10:37" x14ac:dyDescent="0.25">
      <c r="J355" t="s">
        <v>593</v>
      </c>
      <c r="K355" t="s">
        <v>21</v>
      </c>
      <c r="L355" t="s">
        <v>31</v>
      </c>
      <c r="M355" t="s">
        <v>586</v>
      </c>
      <c r="N355" t="s">
        <v>35</v>
      </c>
      <c r="O355" t="s">
        <v>552</v>
      </c>
      <c r="P355" t="s">
        <v>403</v>
      </c>
      <c r="Q355" t="s">
        <v>56</v>
      </c>
      <c r="R355" t="s">
        <v>25</v>
      </c>
      <c r="T355" t="s">
        <v>232</v>
      </c>
      <c r="U355" t="s">
        <v>122</v>
      </c>
      <c r="V355" t="s">
        <v>128</v>
      </c>
      <c r="W355" t="s">
        <v>90</v>
      </c>
      <c r="X355" t="s">
        <v>35</v>
      </c>
      <c r="Y355" t="s">
        <v>50</v>
      </c>
      <c r="Z355" t="s">
        <v>552</v>
      </c>
      <c r="AA355" t="s">
        <v>121</v>
      </c>
      <c r="AB355" t="s">
        <v>28</v>
      </c>
      <c r="AC355" t="s">
        <v>87</v>
      </c>
      <c r="AD355" t="s">
        <v>49</v>
      </c>
    </row>
    <row r="356" spans="10:37" x14ac:dyDescent="0.25">
      <c r="J356" t="s">
        <v>31</v>
      </c>
      <c r="K356" t="s">
        <v>586</v>
      </c>
      <c r="L356" t="s">
        <v>34</v>
      </c>
      <c r="M356" t="s">
        <v>28</v>
      </c>
      <c r="N356" t="s">
        <v>24</v>
      </c>
      <c r="O356" t="s">
        <v>593</v>
      </c>
      <c r="P356" t="s">
        <v>121</v>
      </c>
      <c r="Q356" t="s">
        <v>3</v>
      </c>
      <c r="R356" t="s">
        <v>31</v>
      </c>
      <c r="T356" t="s">
        <v>25</v>
      </c>
      <c r="U356" t="s">
        <v>87</v>
      </c>
      <c r="V356" t="s">
        <v>31</v>
      </c>
      <c r="W356" t="s">
        <v>56</v>
      </c>
      <c r="X356" t="s">
        <v>122</v>
      </c>
      <c r="Y356" t="s">
        <v>122</v>
      </c>
      <c r="Z356" t="s">
        <v>28</v>
      </c>
      <c r="AA356" t="s">
        <v>232</v>
      </c>
      <c r="AB356" t="s">
        <v>1</v>
      </c>
      <c r="AC356" t="s">
        <v>591</v>
      </c>
      <c r="AD356" t="s">
        <v>553</v>
      </c>
    </row>
    <row r="357" spans="10:37" x14ac:dyDescent="0.25">
      <c r="J357" t="s">
        <v>139</v>
      </c>
      <c r="K357" t="s">
        <v>139</v>
      </c>
      <c r="L357" t="s">
        <v>232</v>
      </c>
      <c r="M357" t="s">
        <v>232</v>
      </c>
      <c r="N357" t="s">
        <v>34</v>
      </c>
      <c r="O357" t="s">
        <v>553</v>
      </c>
      <c r="P357" t="s">
        <v>122</v>
      </c>
      <c r="Q357" t="s">
        <v>20</v>
      </c>
      <c r="R357" t="s">
        <v>87</v>
      </c>
      <c r="T357" t="s">
        <v>121</v>
      </c>
      <c r="U357" t="s">
        <v>63</v>
      </c>
      <c r="V357" t="s">
        <v>87</v>
      </c>
      <c r="W357" t="s">
        <v>105</v>
      </c>
      <c r="X357" t="s">
        <v>52</v>
      </c>
      <c r="Y357" t="s">
        <v>117</v>
      </c>
      <c r="Z357" t="s">
        <v>586</v>
      </c>
      <c r="AA357" t="s">
        <v>17</v>
      </c>
      <c r="AB357" t="s">
        <v>128</v>
      </c>
      <c r="AC357" t="s">
        <v>593</v>
      </c>
      <c r="AD357" t="s">
        <v>26</v>
      </c>
    </row>
    <row r="358" spans="10:37" x14ac:dyDescent="0.25">
      <c r="J358" t="s">
        <v>25</v>
      </c>
      <c r="K358" t="s">
        <v>123</v>
      </c>
      <c r="L358" t="s">
        <v>553</v>
      </c>
      <c r="M358" t="s">
        <v>34</v>
      </c>
      <c r="N358" t="s">
        <v>553</v>
      </c>
      <c r="O358" t="s">
        <v>90</v>
      </c>
      <c r="P358" t="s">
        <v>87</v>
      </c>
      <c r="Q358" t="s">
        <v>22</v>
      </c>
      <c r="R358" t="s">
        <v>36</v>
      </c>
      <c r="T358" t="s">
        <v>28</v>
      </c>
      <c r="U358" t="s">
        <v>28</v>
      </c>
      <c r="V358" t="s">
        <v>1</v>
      </c>
      <c r="W358" t="s">
        <v>28</v>
      </c>
      <c r="X358" t="s">
        <v>20</v>
      </c>
      <c r="Y358" t="s">
        <v>49</v>
      </c>
      <c r="Z358" t="s">
        <v>25</v>
      </c>
      <c r="AA358" t="s">
        <v>113</v>
      </c>
      <c r="AB358" t="s">
        <v>87</v>
      </c>
      <c r="AC358" t="s">
        <v>26</v>
      </c>
      <c r="AD358" t="s">
        <v>33</v>
      </c>
    </row>
    <row r="359" spans="10:37" x14ac:dyDescent="0.25">
      <c r="J359" t="s">
        <v>123</v>
      </c>
      <c r="K359" t="s">
        <v>25</v>
      </c>
      <c r="L359" t="s">
        <v>25</v>
      </c>
      <c r="M359" t="s">
        <v>552</v>
      </c>
      <c r="N359" t="s">
        <v>87</v>
      </c>
      <c r="O359" t="s">
        <v>28</v>
      </c>
      <c r="P359" t="s">
        <v>25</v>
      </c>
      <c r="Q359" t="s">
        <v>122</v>
      </c>
      <c r="R359" t="s">
        <v>56</v>
      </c>
      <c r="T359" t="s">
        <v>89</v>
      </c>
      <c r="U359" t="s">
        <v>232</v>
      </c>
      <c r="V359" t="s">
        <v>25</v>
      </c>
      <c r="W359" t="s">
        <v>87</v>
      </c>
      <c r="X359" t="s">
        <v>105</v>
      </c>
      <c r="Y359" t="s">
        <v>15</v>
      </c>
      <c r="Z359" t="s">
        <v>17</v>
      </c>
      <c r="AA359" t="s">
        <v>87</v>
      </c>
      <c r="AB359" t="s">
        <v>129</v>
      </c>
      <c r="AC359" t="s">
        <v>573</v>
      </c>
      <c r="AD359" t="s">
        <v>552</v>
      </c>
    </row>
    <row r="360" spans="10:37" x14ac:dyDescent="0.25">
      <c r="J360" t="s">
        <v>588</v>
      </c>
      <c r="K360" t="s">
        <v>28</v>
      </c>
      <c r="L360" t="s">
        <v>28</v>
      </c>
      <c r="M360" t="s">
        <v>31</v>
      </c>
      <c r="N360" t="s">
        <v>552</v>
      </c>
      <c r="O360" t="s">
        <v>87</v>
      </c>
      <c r="P360" t="s">
        <v>31</v>
      </c>
      <c r="Q360" t="s">
        <v>52</v>
      </c>
      <c r="R360" t="s">
        <v>28</v>
      </c>
      <c r="T360" t="s">
        <v>63</v>
      </c>
      <c r="U360" t="s">
        <v>3</v>
      </c>
      <c r="V360" t="s">
        <v>403</v>
      </c>
      <c r="W360" t="s">
        <v>573</v>
      </c>
      <c r="X360" t="s">
        <v>574</v>
      </c>
      <c r="Y360" t="s">
        <v>35</v>
      </c>
      <c r="Z360" t="s">
        <v>113</v>
      </c>
      <c r="AA360" t="s">
        <v>591</v>
      </c>
      <c r="AB360" t="s">
        <v>591</v>
      </c>
      <c r="AC360" t="s">
        <v>28</v>
      </c>
      <c r="AD360" t="s">
        <v>606</v>
      </c>
    </row>
    <row r="362" spans="10:37" x14ac:dyDescent="0.25">
      <c r="J362" s="1">
        <v>46206</v>
      </c>
      <c r="K362" s="1">
        <v>46206</v>
      </c>
      <c r="L362" s="1">
        <v>46206</v>
      </c>
      <c r="M362" s="1">
        <v>46207</v>
      </c>
      <c r="N362" s="1">
        <v>46207</v>
      </c>
      <c r="O362" s="1">
        <v>46207</v>
      </c>
      <c r="P362" s="1">
        <v>46207</v>
      </c>
      <c r="R362" s="1">
        <v>46212</v>
      </c>
      <c r="S362" s="1">
        <v>46212</v>
      </c>
      <c r="T362" s="1">
        <v>46212</v>
      </c>
      <c r="V362" s="1">
        <v>46219</v>
      </c>
      <c r="W362" s="1">
        <v>46219</v>
      </c>
      <c r="X362" s="1">
        <v>46219</v>
      </c>
      <c r="Y362" s="1">
        <v>46219</v>
      </c>
      <c r="Z362" s="1">
        <v>46226</v>
      </c>
      <c r="AA362" s="1">
        <v>46226</v>
      </c>
      <c r="AC362" s="1">
        <v>46233</v>
      </c>
      <c r="AD362" s="1">
        <v>46233</v>
      </c>
      <c r="AE362" s="1">
        <v>46233</v>
      </c>
      <c r="AF362" s="1">
        <v>46234</v>
      </c>
      <c r="AG362" s="1">
        <v>46234</v>
      </c>
      <c r="AH362" s="1">
        <v>46235</v>
      </c>
      <c r="AI362" s="1">
        <v>46235</v>
      </c>
      <c r="AJ362" s="1">
        <v>46235</v>
      </c>
      <c r="AK362" s="1">
        <v>46235</v>
      </c>
    </row>
    <row r="363" spans="10:37" x14ac:dyDescent="0.25">
      <c r="J363" t="s">
        <v>121</v>
      </c>
      <c r="K363" t="s">
        <v>147</v>
      </c>
      <c r="L363" t="s">
        <v>232</v>
      </c>
      <c r="M363" t="s">
        <v>112</v>
      </c>
      <c r="N363" t="s">
        <v>50</v>
      </c>
      <c r="O363" t="s">
        <v>232</v>
      </c>
      <c r="P363" t="s">
        <v>50</v>
      </c>
      <c r="R363" t="s">
        <v>50</v>
      </c>
      <c r="S363" t="s">
        <v>593</v>
      </c>
      <c r="T363" t="s">
        <v>52</v>
      </c>
      <c r="V363" t="s">
        <v>121</v>
      </c>
      <c r="W363" t="s">
        <v>232</v>
      </c>
      <c r="X363" t="s">
        <v>52</v>
      </c>
      <c r="Y363" t="s">
        <v>2</v>
      </c>
      <c r="Z363" t="s">
        <v>128</v>
      </c>
      <c r="AA363" t="s">
        <v>232</v>
      </c>
      <c r="AC363" t="s">
        <v>28</v>
      </c>
      <c r="AD363" t="s">
        <v>586</v>
      </c>
      <c r="AE363" t="s">
        <v>553</v>
      </c>
      <c r="AF363" t="s">
        <v>36</v>
      </c>
      <c r="AG363" t="s">
        <v>232</v>
      </c>
      <c r="AH363" t="s">
        <v>117</v>
      </c>
      <c r="AI363" t="s">
        <v>232</v>
      </c>
      <c r="AJ363" t="s">
        <v>2</v>
      </c>
      <c r="AK363" t="s">
        <v>2</v>
      </c>
    </row>
    <row r="364" spans="10:37" x14ac:dyDescent="0.25">
      <c r="J364" t="s">
        <v>552</v>
      </c>
      <c r="K364" t="s">
        <v>113</v>
      </c>
      <c r="L364" t="s">
        <v>403</v>
      </c>
      <c r="M364" t="s">
        <v>26</v>
      </c>
      <c r="N364" t="s">
        <v>112</v>
      </c>
      <c r="O364" t="s">
        <v>122</v>
      </c>
      <c r="P364" t="s">
        <v>122</v>
      </c>
      <c r="R364" t="s">
        <v>112</v>
      </c>
      <c r="S364" t="s">
        <v>49</v>
      </c>
      <c r="T364" t="s">
        <v>29</v>
      </c>
      <c r="V364" t="s">
        <v>35</v>
      </c>
      <c r="W364" t="s">
        <v>123</v>
      </c>
      <c r="X364" t="s">
        <v>15</v>
      </c>
      <c r="Y364" t="s">
        <v>29</v>
      </c>
      <c r="Z364" t="s">
        <v>593</v>
      </c>
      <c r="AA364" t="s">
        <v>116</v>
      </c>
      <c r="AC364" t="s">
        <v>52</v>
      </c>
      <c r="AD364" t="s">
        <v>36</v>
      </c>
      <c r="AE364" t="s">
        <v>36</v>
      </c>
      <c r="AF364" t="s">
        <v>28</v>
      </c>
      <c r="AG364" t="s">
        <v>105</v>
      </c>
      <c r="AH364" t="s">
        <v>78</v>
      </c>
      <c r="AI364" t="s">
        <v>116</v>
      </c>
      <c r="AJ364" t="s">
        <v>593</v>
      </c>
      <c r="AK364" t="s">
        <v>116</v>
      </c>
    </row>
    <row r="365" spans="10:37" x14ac:dyDescent="0.25">
      <c r="J365" t="s">
        <v>87</v>
      </c>
      <c r="K365" t="s">
        <v>31</v>
      </c>
      <c r="L365" t="s">
        <v>552</v>
      </c>
      <c r="M365" t="s">
        <v>15</v>
      </c>
      <c r="N365" t="s">
        <v>26</v>
      </c>
      <c r="O365" t="s">
        <v>28</v>
      </c>
      <c r="P365" t="s">
        <v>112</v>
      </c>
      <c r="R365" t="s">
        <v>28</v>
      </c>
      <c r="S365" t="s">
        <v>112</v>
      </c>
      <c r="T365" t="s">
        <v>35</v>
      </c>
      <c r="V365" t="s">
        <v>87</v>
      </c>
      <c r="W365" t="s">
        <v>112</v>
      </c>
      <c r="X365" t="s">
        <v>29</v>
      </c>
      <c r="Y365" t="s">
        <v>122</v>
      </c>
      <c r="Z365" t="s">
        <v>123</v>
      </c>
      <c r="AA365" t="s">
        <v>593</v>
      </c>
      <c r="AC365" t="s">
        <v>30</v>
      </c>
      <c r="AD365" t="s">
        <v>25</v>
      </c>
      <c r="AE365" t="s">
        <v>35</v>
      </c>
      <c r="AF365" t="s">
        <v>121</v>
      </c>
      <c r="AG365" t="s">
        <v>1</v>
      </c>
      <c r="AH365" t="s">
        <v>129</v>
      </c>
      <c r="AI365" t="s">
        <v>2</v>
      </c>
      <c r="AJ365" t="s">
        <v>25</v>
      </c>
      <c r="AK365" t="s">
        <v>25</v>
      </c>
    </row>
    <row r="366" spans="10:37" x14ac:dyDescent="0.25">
      <c r="J366" t="s">
        <v>113</v>
      </c>
      <c r="K366" t="s">
        <v>87</v>
      </c>
      <c r="L366" t="s">
        <v>147</v>
      </c>
      <c r="M366" t="s">
        <v>50</v>
      </c>
      <c r="N366" t="s">
        <v>15</v>
      </c>
      <c r="O366" t="s">
        <v>31</v>
      </c>
      <c r="P366" t="s">
        <v>28</v>
      </c>
      <c r="R366" t="s">
        <v>49</v>
      </c>
      <c r="S366" t="s">
        <v>50</v>
      </c>
      <c r="T366" t="s">
        <v>112</v>
      </c>
      <c r="V366" t="s">
        <v>122</v>
      </c>
      <c r="W366" t="s">
        <v>28</v>
      </c>
      <c r="X366" t="s">
        <v>3</v>
      </c>
      <c r="Y366" t="s">
        <v>15</v>
      </c>
      <c r="Z366" t="s">
        <v>13</v>
      </c>
      <c r="AA366" t="s">
        <v>573</v>
      </c>
      <c r="AC366" t="s">
        <v>20</v>
      </c>
      <c r="AD366" t="s">
        <v>232</v>
      </c>
      <c r="AE366" t="s">
        <v>117</v>
      </c>
      <c r="AF366" t="s">
        <v>232</v>
      </c>
      <c r="AG366" t="s">
        <v>117</v>
      </c>
      <c r="AH366" t="s">
        <v>116</v>
      </c>
      <c r="AI366" t="s">
        <v>129</v>
      </c>
      <c r="AJ366" t="s">
        <v>28</v>
      </c>
      <c r="AK366" t="s">
        <v>31</v>
      </c>
    </row>
    <row r="367" spans="10:37" x14ac:dyDescent="0.25">
      <c r="J367" t="s">
        <v>232</v>
      </c>
      <c r="K367" t="s">
        <v>28</v>
      </c>
      <c r="L367" t="s">
        <v>50</v>
      </c>
      <c r="M367" t="s">
        <v>104</v>
      </c>
      <c r="N367" t="s">
        <v>29</v>
      </c>
      <c r="O367" t="s">
        <v>50</v>
      </c>
      <c r="P367" t="s">
        <v>27</v>
      </c>
      <c r="R367" t="s">
        <v>122</v>
      </c>
      <c r="S367" t="s">
        <v>28</v>
      </c>
      <c r="T367" t="s">
        <v>15</v>
      </c>
      <c r="V367" t="s">
        <v>4</v>
      </c>
      <c r="W367" t="s">
        <v>78</v>
      </c>
      <c r="X367" t="s">
        <v>79</v>
      </c>
      <c r="Y367" t="s">
        <v>175</v>
      </c>
      <c r="Z367" t="s">
        <v>1</v>
      </c>
      <c r="AA367" t="s">
        <v>87</v>
      </c>
      <c r="AC367" t="s">
        <v>15</v>
      </c>
      <c r="AD367" t="s">
        <v>31</v>
      </c>
      <c r="AE367" t="s">
        <v>29</v>
      </c>
      <c r="AF367" t="s">
        <v>25</v>
      </c>
      <c r="AG367" t="s">
        <v>36</v>
      </c>
      <c r="AH367" t="s">
        <v>2</v>
      </c>
      <c r="AI367" t="s">
        <v>78</v>
      </c>
      <c r="AJ367" t="s">
        <v>116</v>
      </c>
      <c r="AK367" t="s">
        <v>1</v>
      </c>
    </row>
    <row r="368" spans="10:37" x14ac:dyDescent="0.25">
      <c r="J368" t="s">
        <v>147</v>
      </c>
      <c r="K368" t="s">
        <v>232</v>
      </c>
      <c r="L368" t="s">
        <v>553</v>
      </c>
      <c r="M368" t="s">
        <v>29</v>
      </c>
      <c r="N368" t="s">
        <v>104</v>
      </c>
      <c r="O368" t="s">
        <v>112</v>
      </c>
      <c r="P368" t="s">
        <v>147</v>
      </c>
      <c r="R368" t="s">
        <v>573</v>
      </c>
      <c r="S368" t="s">
        <v>573</v>
      </c>
      <c r="T368" t="s">
        <v>50</v>
      </c>
      <c r="V368" t="s">
        <v>28</v>
      </c>
      <c r="W368" t="s">
        <v>87</v>
      </c>
      <c r="X368" t="s">
        <v>30</v>
      </c>
      <c r="Y368" t="s">
        <v>49</v>
      </c>
      <c r="Z368" t="s">
        <v>31</v>
      </c>
      <c r="AA368" t="s">
        <v>13</v>
      </c>
      <c r="AC368" t="s">
        <v>122</v>
      </c>
      <c r="AD368" t="s">
        <v>4</v>
      </c>
      <c r="AE368" t="s">
        <v>175</v>
      </c>
      <c r="AF368" t="s">
        <v>63</v>
      </c>
      <c r="AG368" t="s">
        <v>28</v>
      </c>
      <c r="AH368" t="s">
        <v>124</v>
      </c>
      <c r="AI368" t="s">
        <v>4</v>
      </c>
      <c r="AJ368" t="s">
        <v>1</v>
      </c>
      <c r="AK368" t="s">
        <v>593</v>
      </c>
    </row>
    <row r="369" spans="10:37" x14ac:dyDescent="0.25">
      <c r="J369" t="s">
        <v>28</v>
      </c>
      <c r="K369" t="s">
        <v>36</v>
      </c>
      <c r="L369" t="s">
        <v>28</v>
      </c>
      <c r="M369" t="s">
        <v>27</v>
      </c>
      <c r="N369" t="s">
        <v>27</v>
      </c>
      <c r="O369" t="s">
        <v>147</v>
      </c>
      <c r="P369" t="s">
        <v>31</v>
      </c>
      <c r="R369" t="s">
        <v>121</v>
      </c>
      <c r="S369" t="s">
        <v>232</v>
      </c>
      <c r="T369" t="s">
        <v>7</v>
      </c>
      <c r="V369" t="s">
        <v>25</v>
      </c>
      <c r="W369" t="s">
        <v>25</v>
      </c>
      <c r="X369" t="s">
        <v>49</v>
      </c>
      <c r="Y369" t="s">
        <v>3</v>
      </c>
      <c r="Z369" t="s">
        <v>25</v>
      </c>
      <c r="AA369" t="s">
        <v>31</v>
      </c>
      <c r="AC369" t="s">
        <v>25</v>
      </c>
      <c r="AD369" t="s">
        <v>117</v>
      </c>
      <c r="AE369" t="s">
        <v>122</v>
      </c>
      <c r="AF369" t="s">
        <v>117</v>
      </c>
      <c r="AG369" t="s">
        <v>586</v>
      </c>
      <c r="AH369" t="s">
        <v>232</v>
      </c>
      <c r="AI369" t="s">
        <v>117</v>
      </c>
      <c r="AJ369" t="s">
        <v>87</v>
      </c>
      <c r="AK369" t="s">
        <v>87</v>
      </c>
    </row>
    <row r="370" spans="10:37" x14ac:dyDescent="0.25">
      <c r="J370" t="s">
        <v>553</v>
      </c>
      <c r="K370" t="s">
        <v>50</v>
      </c>
      <c r="L370" t="s">
        <v>31</v>
      </c>
      <c r="M370" t="s">
        <v>81</v>
      </c>
      <c r="N370" t="s">
        <v>81</v>
      </c>
      <c r="O370" t="s">
        <v>607</v>
      </c>
      <c r="P370" t="s">
        <v>119</v>
      </c>
      <c r="R370" t="s">
        <v>31</v>
      </c>
      <c r="S370" t="s">
        <v>31</v>
      </c>
      <c r="T370" t="s">
        <v>20</v>
      </c>
      <c r="V370" t="s">
        <v>90</v>
      </c>
      <c r="W370" t="s">
        <v>4</v>
      </c>
      <c r="X370" t="s">
        <v>20</v>
      </c>
      <c r="Y370" t="s">
        <v>553</v>
      </c>
      <c r="Z370" t="s">
        <v>115</v>
      </c>
      <c r="AA370" t="s">
        <v>25</v>
      </c>
      <c r="AC370" t="s">
        <v>31</v>
      </c>
      <c r="AD370" t="s">
        <v>28</v>
      </c>
      <c r="AE370" t="s">
        <v>15</v>
      </c>
      <c r="AF370" t="s">
        <v>1</v>
      </c>
      <c r="AG370" t="s">
        <v>25</v>
      </c>
      <c r="AH370" t="s">
        <v>4</v>
      </c>
      <c r="AI370" t="s">
        <v>124</v>
      </c>
      <c r="AJ370" t="s">
        <v>31</v>
      </c>
      <c r="AK370" t="s">
        <v>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915"/>
  <sheetViews>
    <sheetView topLeftCell="A733" workbookViewId="0">
      <selection activeCell="H886" sqref="H886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2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2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2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2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2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2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2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2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2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2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2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2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2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2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2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2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2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2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2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25">
      <c r="H872" s="74" t="s">
        <v>59</v>
      </c>
    </row>
    <row r="873" spans="8:8" x14ac:dyDescent="0.25">
      <c r="H873" s="74" t="s">
        <v>44</v>
      </c>
    </row>
    <row r="874" spans="8:8" x14ac:dyDescent="0.25">
      <c r="H874" s="3" t="s">
        <v>45</v>
      </c>
    </row>
    <row r="875" spans="8:8" x14ac:dyDescent="0.25">
      <c r="H875" s="3" t="s">
        <v>45</v>
      </c>
    </row>
    <row r="876" spans="8:8" x14ac:dyDescent="0.25">
      <c r="H876" s="11" t="s">
        <v>578</v>
      </c>
    </row>
    <row r="877" spans="8:8" x14ac:dyDescent="0.25">
      <c r="H877" s="3" t="s">
        <v>46</v>
      </c>
    </row>
    <row r="878" spans="8:8" x14ac:dyDescent="0.25">
      <c r="H878" s="74" t="s">
        <v>44</v>
      </c>
    </row>
    <row r="879" spans="8:8" x14ac:dyDescent="0.25">
      <c r="H879" s="3" t="s">
        <v>46</v>
      </c>
    </row>
    <row r="880" spans="8:8" x14ac:dyDescent="0.25">
      <c r="H880" s="3" t="s">
        <v>54</v>
      </c>
    </row>
    <row r="881" spans="8:8" x14ac:dyDescent="0.25">
      <c r="H881" s="57" t="s">
        <v>583</v>
      </c>
    </row>
    <row r="882" spans="8:8" x14ac:dyDescent="0.25">
      <c r="H882" s="3" t="s">
        <v>45</v>
      </c>
    </row>
    <row r="883" spans="8:8" x14ac:dyDescent="0.25">
      <c r="H883" s="3" t="s">
        <v>45</v>
      </c>
    </row>
    <row r="884" spans="8:8" x14ac:dyDescent="0.25">
      <c r="H884" s="57" t="s">
        <v>575</v>
      </c>
    </row>
    <row r="885" spans="8:8" x14ac:dyDescent="0.25">
      <c r="H885" s="3" t="s">
        <v>54</v>
      </c>
    </row>
    <row r="886" spans="8:8" x14ac:dyDescent="0.25">
      <c r="H886" s="3" t="s">
        <v>54</v>
      </c>
    </row>
    <row r="887" spans="8:8" x14ac:dyDescent="0.25">
      <c r="H887" s="74" t="s">
        <v>47</v>
      </c>
    </row>
    <row r="888" spans="8:8" x14ac:dyDescent="0.25">
      <c r="H888" s="3" t="s">
        <v>54</v>
      </c>
    </row>
    <row r="889" spans="8:8" x14ac:dyDescent="0.25">
      <c r="H889" s="3" t="s">
        <v>45</v>
      </c>
    </row>
    <row r="890" spans="8:8" x14ac:dyDescent="0.25">
      <c r="H890" s="57" t="s">
        <v>582</v>
      </c>
    </row>
    <row r="891" spans="8:8" x14ac:dyDescent="0.25">
      <c r="H891" s="3" t="s">
        <v>69</v>
      </c>
    </row>
    <row r="892" spans="8:8" x14ac:dyDescent="0.25">
      <c r="H892" s="3" t="s">
        <v>195</v>
      </c>
    </row>
    <row r="893" spans="8:8" x14ac:dyDescent="0.25">
      <c r="H893" s="3" t="s">
        <v>494</v>
      </c>
    </row>
    <row r="894" spans="8:8" x14ac:dyDescent="0.25">
      <c r="H894" s="3" t="s">
        <v>55</v>
      </c>
    </row>
    <row r="895" spans="8:8" x14ac:dyDescent="0.25">
      <c r="H895" s="57" t="s">
        <v>584</v>
      </c>
    </row>
    <row r="896" spans="8:8" x14ac:dyDescent="0.25">
      <c r="H896" s="3" t="s">
        <v>55</v>
      </c>
    </row>
    <row r="897" spans="8:8" x14ac:dyDescent="0.25">
      <c r="H897" s="3" t="s">
        <v>55</v>
      </c>
    </row>
    <row r="898" spans="8:8" x14ac:dyDescent="0.25">
      <c r="H898" s="57" t="s">
        <v>581</v>
      </c>
    </row>
    <row r="899" spans="8:8" x14ac:dyDescent="0.25">
      <c r="H899" s="3" t="s">
        <v>494</v>
      </c>
    </row>
    <row r="900" spans="8:8" x14ac:dyDescent="0.25">
      <c r="H900" s="3" t="s">
        <v>495</v>
      </c>
    </row>
    <row r="901" spans="8:8" x14ac:dyDescent="0.25">
      <c r="H901" s="3" t="s">
        <v>195</v>
      </c>
    </row>
    <row r="902" spans="8:8" x14ac:dyDescent="0.25">
      <c r="H902" s="3" t="s">
        <v>195</v>
      </c>
    </row>
    <row r="903" spans="8:8" x14ac:dyDescent="0.25">
      <c r="H903" s="3" t="s">
        <v>55</v>
      </c>
    </row>
    <row r="904" spans="8:8" x14ac:dyDescent="0.25">
      <c r="H904" s="3" t="s">
        <v>55</v>
      </c>
    </row>
    <row r="905" spans="8:8" x14ac:dyDescent="0.25">
      <c r="H905" s="57" t="s">
        <v>580</v>
      </c>
    </row>
    <row r="906" spans="8:8" x14ac:dyDescent="0.25">
      <c r="H906" s="3" t="s">
        <v>495</v>
      </c>
    </row>
    <row r="907" spans="8:8" x14ac:dyDescent="0.25">
      <c r="H907" s="3" t="s">
        <v>495</v>
      </c>
    </row>
    <row r="908" spans="8:8" x14ac:dyDescent="0.25">
      <c r="H908" s="3" t="s">
        <v>69</v>
      </c>
    </row>
    <row r="909" spans="8:8" x14ac:dyDescent="0.25">
      <c r="H909" s="3" t="s">
        <v>69</v>
      </c>
    </row>
    <row r="910" spans="8:8" x14ac:dyDescent="0.25">
      <c r="H910" s="3" t="s">
        <v>69</v>
      </c>
    </row>
    <row r="911" spans="8:8" x14ac:dyDescent="0.25">
      <c r="H911" s="3" t="s">
        <v>195</v>
      </c>
    </row>
    <row r="912" spans="8:8" x14ac:dyDescent="0.25">
      <c r="H912" s="3" t="s">
        <v>296</v>
      </c>
    </row>
    <row r="913" spans="8:8" x14ac:dyDescent="0.25">
      <c r="H913" s="57" t="s">
        <v>577</v>
      </c>
    </row>
    <row r="914" spans="8:8" x14ac:dyDescent="0.25">
      <c r="H914" s="75" t="s">
        <v>576</v>
      </c>
    </row>
    <row r="915" spans="8:8" x14ac:dyDescent="0.2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zoomScale="90" zoomScaleNormal="90" workbookViewId="0">
      <selection activeCell="I2" sqref="I2"/>
    </sheetView>
  </sheetViews>
  <sheetFormatPr defaultRowHeight="15" x14ac:dyDescent="0.25"/>
  <sheetData>
    <row r="1" spans="1:27 16384:16384" x14ac:dyDescent="0.2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2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2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2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2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2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2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2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2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2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2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2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2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2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2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2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2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6" si="12">M26/J26</f>
        <v>5.32258064516129</v>
      </c>
      <c r="M26" s="18">
        <v>165</v>
      </c>
      <c r="N26" s="18">
        <f t="shared" ref="N26" si="13">K26/J26</f>
        <v>6.4516129032258063E-2</v>
      </c>
    </row>
    <row r="27" spans="1:24" x14ac:dyDescent="0.2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7" si="14">M27/J27</f>
        <v>5.0044052863436121</v>
      </c>
      <c r="M27" s="18">
        <v>1136</v>
      </c>
      <c r="N27" s="18">
        <f t="shared" ref="N27" si="15">K27/J27</f>
        <v>9.2511013215859028E-2</v>
      </c>
    </row>
    <row r="28" spans="1:2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2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2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2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2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2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2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2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2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2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2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2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2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2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2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3" si="36">M53/J53</f>
        <v>4.4285714285714288</v>
      </c>
      <c r="M53" s="18">
        <v>279</v>
      </c>
      <c r="N53" s="18">
        <f>K53/J53</f>
        <v>0.20634920634920634</v>
      </c>
    </row>
    <row r="54" spans="1:14" x14ac:dyDescent="0.2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2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2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2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2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2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2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2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2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2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2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2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2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1" si="70">M81/J81</f>
        <v>5.0769230769230766</v>
      </c>
      <c r="M81" s="18">
        <v>726</v>
      </c>
      <c r="N81" s="18">
        <f t="shared" ref="N81" si="71">K81/J81</f>
        <v>6.2937062937062943E-2</v>
      </c>
    </row>
    <row r="82" spans="1:14" x14ac:dyDescent="0.2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2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2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2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2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2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2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2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2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2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8"/>
  <sheetViews>
    <sheetView topLeftCell="A4" zoomScale="90" zoomScaleNormal="90" workbookViewId="0">
      <selection activeCell="N10" sqref="N10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4" width="12" bestFit="1" customWidth="1"/>
    <col min="5" max="5" width="11.85546875" customWidth="1"/>
    <col min="8" max="8" width="20.28515625" bestFit="1" customWidth="1"/>
    <col min="9" max="9" width="7.140625" bestFit="1" customWidth="1"/>
    <col min="10" max="10" width="8.7109375" bestFit="1" customWidth="1"/>
    <col min="11" max="12" width="13.28515625" bestFit="1" customWidth="1"/>
    <col min="13" max="13" width="73.7109375" bestFit="1" customWidth="1"/>
  </cols>
  <sheetData>
    <row r="1" spans="1:1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2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2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2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2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2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2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2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2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2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2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2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2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2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2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2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2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2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2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2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2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2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2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2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2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2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2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2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2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2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2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2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2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2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2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2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2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2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2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2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2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2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2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2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2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2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2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2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2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2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2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2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2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2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2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2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2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2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xmlns:xlrd2="http://schemas.microsoft.com/office/spreadsheetml/2017/richdata2"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FD91"/>
  <sheetViews>
    <sheetView tabSelected="1" topLeftCell="A31" workbookViewId="0">
      <selection activeCell="I43" sqref="I43:N43"/>
    </sheetView>
  </sheetViews>
  <sheetFormatPr defaultRowHeight="15" x14ac:dyDescent="0.25"/>
  <cols>
    <col min="4" max="4" width="13.5703125" bestFit="1" customWidth="1"/>
    <col min="6" max="6" width="12.5703125" bestFit="1" customWidth="1"/>
  </cols>
  <sheetData>
    <row r="1" spans="1:27 16384:16384" x14ac:dyDescent="0.25">
      <c r="A1" s="1">
        <v>46240</v>
      </c>
      <c r="B1" s="1">
        <v>46240</v>
      </c>
      <c r="C1" s="1">
        <v>46240</v>
      </c>
      <c r="D1" s="1">
        <v>46240</v>
      </c>
      <c r="E1" s="1">
        <v>46241</v>
      </c>
      <c r="F1" s="1">
        <v>46247</v>
      </c>
      <c r="G1" s="1">
        <v>46247</v>
      </c>
      <c r="H1" s="1">
        <v>46247</v>
      </c>
      <c r="I1" s="1">
        <v>46247</v>
      </c>
      <c r="T1" s="1"/>
      <c r="Z1" s="1"/>
      <c r="AA1" s="1"/>
      <c r="XFD1" s="1"/>
    </row>
    <row r="2" spans="1:27 16384:16384" x14ac:dyDescent="0.25">
      <c r="A2" t="s">
        <v>121</v>
      </c>
      <c r="B2" t="s">
        <v>4</v>
      </c>
      <c r="C2" t="s">
        <v>36</v>
      </c>
      <c r="D2" t="s">
        <v>29</v>
      </c>
      <c r="E2" t="s">
        <v>121</v>
      </c>
    </row>
    <row r="3" spans="1:27 16384:16384" x14ac:dyDescent="0.25">
      <c r="A3" t="s">
        <v>593</v>
      </c>
      <c r="B3" t="s">
        <v>31</v>
      </c>
      <c r="C3" t="s">
        <v>49</v>
      </c>
      <c r="D3" t="s">
        <v>608</v>
      </c>
      <c r="E3" t="s">
        <v>403</v>
      </c>
    </row>
    <row r="4" spans="1:27 16384:16384" x14ac:dyDescent="0.25">
      <c r="A4" t="s">
        <v>3</v>
      </c>
      <c r="B4" t="s">
        <v>36</v>
      </c>
      <c r="C4" t="s">
        <v>33</v>
      </c>
      <c r="D4" t="s">
        <v>49</v>
      </c>
      <c r="E4" t="s">
        <v>232</v>
      </c>
    </row>
    <row r="5" spans="1:27 16384:16384" x14ac:dyDescent="0.25">
      <c r="A5" t="s">
        <v>78</v>
      </c>
      <c r="B5" t="s">
        <v>3</v>
      </c>
      <c r="C5" t="s">
        <v>128</v>
      </c>
      <c r="D5" t="s">
        <v>232</v>
      </c>
      <c r="E5" t="s">
        <v>147</v>
      </c>
    </row>
    <row r="6" spans="1:27 16384:16384" x14ac:dyDescent="0.25">
      <c r="A6" t="s">
        <v>4</v>
      </c>
      <c r="B6" t="s">
        <v>230</v>
      </c>
      <c r="C6" t="s">
        <v>15</v>
      </c>
      <c r="D6" t="s">
        <v>33</v>
      </c>
      <c r="E6" t="s">
        <v>113</v>
      </c>
    </row>
    <row r="7" spans="1:27 16384:16384" x14ac:dyDescent="0.25">
      <c r="A7" t="s">
        <v>31</v>
      </c>
      <c r="B7" t="s">
        <v>593</v>
      </c>
      <c r="C7" t="s">
        <v>12</v>
      </c>
      <c r="D7" t="s">
        <v>15</v>
      </c>
      <c r="E7" t="s">
        <v>608</v>
      </c>
    </row>
    <row r="8" spans="1:27 16384:16384" x14ac:dyDescent="0.25">
      <c r="A8" t="s">
        <v>36</v>
      </c>
      <c r="B8" t="s">
        <v>78</v>
      </c>
      <c r="C8" t="s">
        <v>78</v>
      </c>
      <c r="D8" t="s">
        <v>78</v>
      </c>
      <c r="E8" t="s">
        <v>63</v>
      </c>
    </row>
    <row r="9" spans="1:27 16384:16384" x14ac:dyDescent="0.25">
      <c r="A9" t="s">
        <v>230</v>
      </c>
      <c r="B9" t="s">
        <v>586</v>
      </c>
      <c r="C9" t="s">
        <v>29</v>
      </c>
      <c r="D9" t="s">
        <v>24</v>
      </c>
      <c r="E9" t="s">
        <v>28</v>
      </c>
    </row>
    <row r="12" spans="1:2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25">
      <c r="A13" s="18" t="s">
        <v>125</v>
      </c>
      <c r="B13" s="18">
        <v>40</v>
      </c>
      <c r="C13" s="18">
        <v>2</v>
      </c>
      <c r="D13" s="18">
        <f t="shared" ref="D13:D72" si="0">E13/B13</f>
        <v>4.375</v>
      </c>
      <c r="E13" s="18">
        <v>175</v>
      </c>
      <c r="F13" s="18">
        <f t="shared" ref="F13:F72" si="1">C13/B13</f>
        <v>0.05</v>
      </c>
      <c r="G13" s="32">
        <v>2.3664319132398401</v>
      </c>
      <c r="I13" s="18" t="s">
        <v>125</v>
      </c>
      <c r="J13" s="18">
        <v>40</v>
      </c>
      <c r="K13" s="18">
        <v>2</v>
      </c>
      <c r="L13" s="18">
        <f t="shared" ref="L13:L17" si="2">M13/J13</f>
        <v>4.375</v>
      </c>
      <c r="M13" s="18">
        <v>175</v>
      </c>
      <c r="N13" s="18">
        <f t="shared" ref="N13:N17" si="3">K13/J13</f>
        <v>0.05</v>
      </c>
    </row>
    <row r="14" spans="1:27 16384:16384" x14ac:dyDescent="0.25">
      <c r="A14" s="18" t="s">
        <v>104</v>
      </c>
      <c r="B14" s="18">
        <v>134</v>
      </c>
      <c r="C14" s="18">
        <v>9</v>
      </c>
      <c r="D14" s="18">
        <f t="shared" si="0"/>
        <v>4.2686567164179108</v>
      </c>
      <c r="E14" s="18">
        <v>572</v>
      </c>
      <c r="F14" s="18">
        <f t="shared" si="1"/>
        <v>6.7164179104477612E-2</v>
      </c>
      <c r="G14" s="32">
        <v>2.3273733406281498</v>
      </c>
      <c r="I14" s="18" t="s">
        <v>104</v>
      </c>
      <c r="J14" s="18">
        <v>134</v>
      </c>
      <c r="K14" s="18">
        <v>9</v>
      </c>
      <c r="L14" s="18">
        <f t="shared" si="2"/>
        <v>4.2686567164179108</v>
      </c>
      <c r="M14" s="18">
        <v>572</v>
      </c>
      <c r="N14" s="18">
        <f t="shared" si="3"/>
        <v>6.7164179104477612E-2</v>
      </c>
    </row>
    <row r="15" spans="1:27 16384:16384" x14ac:dyDescent="0.25">
      <c r="A15" s="18" t="s">
        <v>31</v>
      </c>
      <c r="B15" s="18">
        <v>284</v>
      </c>
      <c r="C15" s="18">
        <v>23</v>
      </c>
      <c r="D15" s="18">
        <f t="shared" si="0"/>
        <v>5.042253521126761</v>
      </c>
      <c r="E15" s="18">
        <v>1432</v>
      </c>
      <c r="F15" s="18">
        <f t="shared" si="1"/>
        <v>8.098591549295775E-2</v>
      </c>
      <c r="G15" s="32">
        <v>1.87082869338697</v>
      </c>
      <c r="I15" s="18" t="s">
        <v>31</v>
      </c>
      <c r="J15" s="18">
        <v>284</v>
      </c>
      <c r="K15" s="18">
        <v>23</v>
      </c>
      <c r="L15" s="18">
        <f t="shared" si="2"/>
        <v>5.042253521126761</v>
      </c>
      <c r="M15" s="18">
        <v>1432</v>
      </c>
      <c r="N15" s="18">
        <f t="shared" si="3"/>
        <v>8.098591549295775E-2</v>
      </c>
    </row>
    <row r="16" spans="1:27 16384:16384" x14ac:dyDescent="0.25">
      <c r="A16" s="18" t="s">
        <v>105</v>
      </c>
      <c r="B16" s="18">
        <v>45</v>
      </c>
      <c r="C16" s="18">
        <v>6</v>
      </c>
      <c r="D16" s="18">
        <f t="shared" si="0"/>
        <v>4.4222222222222225</v>
      </c>
      <c r="E16" s="18">
        <v>199</v>
      </c>
      <c r="F16" s="18">
        <f t="shared" si="1"/>
        <v>0.13333333333333333</v>
      </c>
      <c r="G16" s="32">
        <v>1.8165902124584901</v>
      </c>
      <c r="I16" s="18" t="s">
        <v>105</v>
      </c>
      <c r="J16" s="18">
        <v>45</v>
      </c>
      <c r="K16" s="18">
        <v>6</v>
      </c>
      <c r="L16" s="18">
        <f t="shared" si="2"/>
        <v>4.4222222222222225</v>
      </c>
      <c r="M16" s="18">
        <v>199</v>
      </c>
      <c r="N16" s="18">
        <f t="shared" si="3"/>
        <v>0.13333333333333333</v>
      </c>
    </row>
    <row r="17" spans="1:14" x14ac:dyDescent="0.25">
      <c r="A17" s="18" t="s">
        <v>128</v>
      </c>
      <c r="B17" s="18">
        <v>119</v>
      </c>
      <c r="C17" s="18">
        <v>38</v>
      </c>
      <c r="D17" s="18">
        <f t="shared" si="0"/>
        <v>3.2184873949579833</v>
      </c>
      <c r="E17" s="18">
        <v>383</v>
      </c>
      <c r="F17" s="18">
        <f t="shared" si="1"/>
        <v>0.31932773109243695</v>
      </c>
      <c r="G17" s="32">
        <v>2.03049835952651</v>
      </c>
      <c r="I17" s="18" t="s">
        <v>128</v>
      </c>
      <c r="J17" s="18">
        <v>119</v>
      </c>
      <c r="K17" s="18">
        <v>38</v>
      </c>
      <c r="L17" s="18">
        <f t="shared" si="2"/>
        <v>3.2184873949579833</v>
      </c>
      <c r="M17" s="18">
        <v>383</v>
      </c>
      <c r="N17" s="18">
        <f t="shared" si="3"/>
        <v>0.31932773109243695</v>
      </c>
    </row>
    <row r="18" spans="1:1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4">M18/J18</f>
        <v>4.4285714285714288</v>
      </c>
      <c r="M18" s="18">
        <v>217</v>
      </c>
      <c r="N18" s="18">
        <f t="shared" ref="N18:N19" si="5">K18/J18</f>
        <v>0.12244897959183673</v>
      </c>
    </row>
    <row r="19" spans="1:14" x14ac:dyDescent="0.25">
      <c r="A19" t="s">
        <v>37</v>
      </c>
      <c r="B19">
        <v>30</v>
      </c>
      <c r="C19">
        <v>2</v>
      </c>
      <c r="D19">
        <f t="shared" si="0"/>
        <v>5.0666666666666664</v>
      </c>
      <c r="E19">
        <v>152</v>
      </c>
      <c r="F19">
        <f t="shared" si="1"/>
        <v>6.6666666666666666E-2</v>
      </c>
      <c r="G19" s="32">
        <v>2.4235565546581199</v>
      </c>
      <c r="I19" s="18" t="s">
        <v>14</v>
      </c>
      <c r="J19" s="18">
        <v>45</v>
      </c>
      <c r="K19" s="18">
        <v>3</v>
      </c>
      <c r="L19" s="18">
        <f t="shared" si="4"/>
        <v>4.7111111111111112</v>
      </c>
      <c r="M19" s="18">
        <v>212</v>
      </c>
      <c r="N19" s="18">
        <f t="shared" si="5"/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40</v>
      </c>
      <c r="K20" s="73">
        <v>3</v>
      </c>
      <c r="L20" s="73">
        <f t="shared" ref="L20" si="6">M20/J20</f>
        <v>5.35</v>
      </c>
      <c r="M20" s="73">
        <v>214</v>
      </c>
      <c r="N20" s="73">
        <f t="shared" ref="N20" si="7">K20/J20</f>
        <v>7.4999999999999997E-2</v>
      </c>
    </row>
    <row r="21" spans="1:14" x14ac:dyDescent="0.25">
      <c r="A21" s="73" t="s">
        <v>90</v>
      </c>
      <c r="B21" s="73">
        <v>40</v>
      </c>
      <c r="C21" s="73">
        <v>3</v>
      </c>
      <c r="D21" s="73">
        <f t="shared" si="0"/>
        <v>5.35</v>
      </c>
      <c r="E21" s="73">
        <v>214</v>
      </c>
      <c r="F21" s="73">
        <f t="shared" si="1"/>
        <v>7.4999999999999997E-2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56</v>
      </c>
      <c r="J22" s="18">
        <v>40</v>
      </c>
      <c r="K22" s="18">
        <v>0</v>
      </c>
      <c r="L22" s="18">
        <f>M22/J22</f>
        <v>5.0750000000000002</v>
      </c>
      <c r="M22" s="18">
        <v>203</v>
      </c>
      <c r="N22" s="18">
        <f>K22/J22</f>
        <v>0</v>
      </c>
    </row>
    <row r="23" spans="1:14" x14ac:dyDescent="0.25">
      <c r="A23" t="s">
        <v>19</v>
      </c>
      <c r="B23">
        <v>37</v>
      </c>
      <c r="C23">
        <v>3</v>
      </c>
      <c r="D23">
        <f t="shared" si="0"/>
        <v>5.0270270270270272</v>
      </c>
      <c r="E23">
        <v>186</v>
      </c>
      <c r="F23">
        <f t="shared" si="1"/>
        <v>8.1081081081081086E-2</v>
      </c>
      <c r="G23" s="32">
        <v>2.3299294900428702</v>
      </c>
      <c r="I23" s="18" t="s">
        <v>25</v>
      </c>
      <c r="J23" s="18">
        <v>257</v>
      </c>
      <c r="K23" s="18">
        <v>23</v>
      </c>
      <c r="L23" s="18">
        <f t="shared" ref="L23" si="8">M23/J23</f>
        <v>5.0233463035019454</v>
      </c>
      <c r="M23" s="18">
        <v>1291</v>
      </c>
      <c r="N23" s="18">
        <f t="shared" ref="N23" si="9">K23/J23</f>
        <v>8.9494163424124515E-2</v>
      </c>
    </row>
    <row r="24" spans="1:14" x14ac:dyDescent="0.25">
      <c r="A24" s="18" t="s">
        <v>56</v>
      </c>
      <c r="B24" s="18">
        <v>40</v>
      </c>
      <c r="C24" s="18">
        <v>0</v>
      </c>
      <c r="D24" s="18">
        <f t="shared" si="0"/>
        <v>5.0750000000000002</v>
      </c>
      <c r="E24" s="18">
        <v>203</v>
      </c>
      <c r="F24" s="18">
        <f t="shared" si="1"/>
        <v>0</v>
      </c>
      <c r="G24" s="32">
        <v>2.0655911179772799</v>
      </c>
      <c r="I24" s="18" t="s">
        <v>34</v>
      </c>
      <c r="J24" s="18">
        <v>40</v>
      </c>
      <c r="K24" s="18">
        <v>3</v>
      </c>
      <c r="L24" s="18">
        <f t="shared" ref="L24:L26" si="10">M24/J24</f>
        <v>5.4</v>
      </c>
      <c r="M24" s="18">
        <v>216</v>
      </c>
      <c r="N24" s="18">
        <f t="shared" ref="N24:N26" si="11">K24/J24</f>
        <v>7.4999999999999997E-2</v>
      </c>
    </row>
    <row r="25" spans="1:14" x14ac:dyDescent="0.25">
      <c r="A25" t="s">
        <v>52</v>
      </c>
      <c r="B25">
        <v>37</v>
      </c>
      <c r="C25">
        <v>7</v>
      </c>
      <c r="D25">
        <f t="shared" si="0"/>
        <v>3.7567567567567566</v>
      </c>
      <c r="E25">
        <v>139</v>
      </c>
      <c r="F25">
        <f t="shared" si="1"/>
        <v>0.1891891891891892</v>
      </c>
      <c r="G25" s="32">
        <v>2.1794494717703299</v>
      </c>
      <c r="I25" s="18" t="s">
        <v>147</v>
      </c>
      <c r="J25" s="18">
        <v>145</v>
      </c>
      <c r="K25" s="18">
        <v>28</v>
      </c>
      <c r="L25" s="18">
        <f t="shared" si="10"/>
        <v>3.8620689655172415</v>
      </c>
      <c r="M25" s="18">
        <v>560</v>
      </c>
      <c r="N25" s="18">
        <f t="shared" si="11"/>
        <v>0.19310344827586207</v>
      </c>
    </row>
    <row r="26" spans="1:14" x14ac:dyDescent="0.25">
      <c r="A26" t="s">
        <v>20</v>
      </c>
      <c r="B26">
        <v>37</v>
      </c>
      <c r="C26">
        <v>2</v>
      </c>
      <c r="D26">
        <f t="shared" si="0"/>
        <v>5.3513513513513518</v>
      </c>
      <c r="E26">
        <v>198</v>
      </c>
      <c r="F26">
        <f t="shared" si="1"/>
        <v>5.4054054054054057E-2</v>
      </c>
      <c r="G26" s="32">
        <v>2.3159525823376299</v>
      </c>
      <c r="I26" s="18" t="s">
        <v>87</v>
      </c>
      <c r="J26" s="18">
        <v>205</v>
      </c>
      <c r="K26" s="18">
        <v>25</v>
      </c>
      <c r="L26" s="18">
        <f t="shared" si="10"/>
        <v>5.024390243902439</v>
      </c>
      <c r="M26" s="18">
        <v>1030</v>
      </c>
      <c r="N26" s="18">
        <f t="shared" si="11"/>
        <v>0.12195121951219512</v>
      </c>
    </row>
    <row r="27" spans="1:14" x14ac:dyDescent="0.25">
      <c r="A27" s="18" t="s">
        <v>25</v>
      </c>
      <c r="B27" s="18">
        <v>257</v>
      </c>
      <c r="C27" s="18">
        <v>23</v>
      </c>
      <c r="D27" s="18">
        <f t="shared" si="0"/>
        <v>5.0233463035019454</v>
      </c>
      <c r="E27" s="18">
        <v>1291</v>
      </c>
      <c r="F27" s="18">
        <f t="shared" si="1"/>
        <v>8.9494163424124515E-2</v>
      </c>
      <c r="G27" s="32">
        <v>2.1609054109613202</v>
      </c>
      <c r="I27" s="18" t="s">
        <v>50</v>
      </c>
      <c r="J27" s="18">
        <v>40</v>
      </c>
      <c r="K27" s="18">
        <v>4</v>
      </c>
      <c r="L27" s="18">
        <f t="shared" ref="L27" si="12">M27/J27</f>
        <v>4.1749999999999998</v>
      </c>
      <c r="M27" s="18">
        <v>167</v>
      </c>
      <c r="N27" s="18">
        <f t="shared" ref="N27" si="13">K27/J27</f>
        <v>0.1</v>
      </c>
    </row>
    <row r="28" spans="1:14" x14ac:dyDescent="0.25">
      <c r="A28" s="18" t="s">
        <v>34</v>
      </c>
      <c r="B28" s="18">
        <v>40</v>
      </c>
      <c r="C28" s="18">
        <v>3</v>
      </c>
      <c r="D28" s="18">
        <f t="shared" si="0"/>
        <v>5.4</v>
      </c>
      <c r="E28" s="18">
        <v>216</v>
      </c>
      <c r="F28" s="18">
        <f t="shared" si="1"/>
        <v>7.4999999999999997E-2</v>
      </c>
      <c r="G28" s="32">
        <v>2.2360679774997898</v>
      </c>
      <c r="I28" s="18" t="s">
        <v>81</v>
      </c>
      <c r="J28" s="18">
        <v>89</v>
      </c>
      <c r="K28" s="18">
        <v>6</v>
      </c>
      <c r="L28" s="18">
        <f>M28/J28</f>
        <v>5.1797752808988768</v>
      </c>
      <c r="M28" s="18">
        <v>461</v>
      </c>
      <c r="N28" s="18">
        <f>K28/J28</f>
        <v>6.741573033707865E-2</v>
      </c>
    </row>
    <row r="29" spans="1:14" x14ac:dyDescent="0.25">
      <c r="A29" s="18" t="s">
        <v>147</v>
      </c>
      <c r="B29" s="18">
        <v>145</v>
      </c>
      <c r="C29" s="18">
        <v>28</v>
      </c>
      <c r="D29" s="18">
        <f t="shared" si="0"/>
        <v>3.8620689655172415</v>
      </c>
      <c r="E29" s="18">
        <v>560</v>
      </c>
      <c r="F29" s="18">
        <f t="shared" si="1"/>
        <v>0.19310344827586207</v>
      </c>
      <c r="G29" s="32">
        <v>1.94935886896179</v>
      </c>
      <c r="I29" s="18" t="s">
        <v>36</v>
      </c>
      <c r="J29" s="18">
        <v>40</v>
      </c>
      <c r="K29" s="18">
        <v>3</v>
      </c>
      <c r="L29" s="18">
        <f t="shared" ref="L29" si="14">M29/J29</f>
        <v>4.2750000000000004</v>
      </c>
      <c r="M29" s="18">
        <v>171</v>
      </c>
      <c r="N29" s="18">
        <f t="shared" ref="N29" si="15">K29/J29</f>
        <v>7.4999999999999997E-2</v>
      </c>
    </row>
    <row r="30" spans="1:14" x14ac:dyDescent="0.25">
      <c r="A30" s="18" t="s">
        <v>87</v>
      </c>
      <c r="B30" s="18">
        <v>205</v>
      </c>
      <c r="C30" s="18">
        <v>25</v>
      </c>
      <c r="D30" s="18">
        <f t="shared" si="0"/>
        <v>5.024390243902439</v>
      </c>
      <c r="E30" s="18">
        <v>1030</v>
      </c>
      <c r="F30" s="18">
        <f t="shared" si="1"/>
        <v>0.12195121951219512</v>
      </c>
      <c r="G30" s="32">
        <v>1.7888543819998299</v>
      </c>
      <c r="I30" s="18" t="s">
        <v>112</v>
      </c>
      <c r="J30" s="18">
        <v>42</v>
      </c>
      <c r="K30" s="18">
        <v>8</v>
      </c>
      <c r="L30" s="18">
        <f t="shared" ref="L30" si="16">M30/J30</f>
        <v>3.7619047619047619</v>
      </c>
      <c r="M30" s="18">
        <v>158</v>
      </c>
      <c r="N30" s="18">
        <f t="shared" ref="N30" si="17">K30/J30</f>
        <v>0.19047619047619047</v>
      </c>
    </row>
    <row r="31" spans="1:14" x14ac:dyDescent="0.25">
      <c r="A31" s="18" t="s">
        <v>50</v>
      </c>
      <c r="B31" s="18">
        <v>40</v>
      </c>
      <c r="C31" s="18">
        <v>4</v>
      </c>
      <c r="D31" s="18">
        <f t="shared" si="0"/>
        <v>4.1749999999999998</v>
      </c>
      <c r="E31" s="18">
        <v>167</v>
      </c>
      <c r="F31" s="18">
        <f t="shared" si="1"/>
        <v>0.1</v>
      </c>
      <c r="G31" s="32">
        <v>2.2360679774997898</v>
      </c>
      <c r="I31" s="18" t="s">
        <v>27</v>
      </c>
      <c r="J31" s="18">
        <v>40</v>
      </c>
      <c r="K31" s="18">
        <v>3</v>
      </c>
      <c r="L31" s="18">
        <f t="shared" ref="L31" si="18">M31/J31</f>
        <v>4.5750000000000002</v>
      </c>
      <c r="M31" s="18">
        <v>183</v>
      </c>
      <c r="N31" s="18">
        <f t="shared" ref="N31" si="19">K31/J31</f>
        <v>7.4999999999999997E-2</v>
      </c>
    </row>
    <row r="32" spans="1:14" x14ac:dyDescent="0.25">
      <c r="A32" s="18" t="s">
        <v>81</v>
      </c>
      <c r="B32" s="18">
        <v>89</v>
      </c>
      <c r="C32" s="18">
        <v>6</v>
      </c>
      <c r="D32" s="18">
        <f t="shared" si="0"/>
        <v>5.1797752808988768</v>
      </c>
      <c r="E32" s="18">
        <v>461</v>
      </c>
      <c r="F32" s="18">
        <f t="shared" si="1"/>
        <v>6.741573033707865E-2</v>
      </c>
      <c r="G32" s="32">
        <v>1.76776695296636</v>
      </c>
      <c r="I32" s="18" t="s">
        <v>117</v>
      </c>
      <c r="J32" s="18">
        <v>40</v>
      </c>
      <c r="K32" s="18">
        <v>7</v>
      </c>
      <c r="L32" s="18">
        <f t="shared" ref="L32" si="20">M32/J32</f>
        <v>4.3250000000000002</v>
      </c>
      <c r="M32" s="18">
        <v>173</v>
      </c>
      <c r="N32" s="18">
        <f t="shared" ref="N32" si="21">K32/J32</f>
        <v>0.17499999999999999</v>
      </c>
    </row>
    <row r="33" spans="1:14" x14ac:dyDescent="0.25">
      <c r="A33" s="18" t="s">
        <v>36</v>
      </c>
      <c r="B33" s="18">
        <v>40</v>
      </c>
      <c r="C33" s="18">
        <v>3</v>
      </c>
      <c r="D33" s="18">
        <f t="shared" si="0"/>
        <v>4.2750000000000004</v>
      </c>
      <c r="E33" s="18">
        <v>171</v>
      </c>
      <c r="F33" s="18">
        <f t="shared" si="1"/>
        <v>7.4999999999999997E-2</v>
      </c>
      <c r="G33" s="32">
        <v>2.6076809620810502</v>
      </c>
      <c r="I33" s="18" t="s">
        <v>401</v>
      </c>
      <c r="J33" s="18">
        <v>71</v>
      </c>
      <c r="K33" s="18">
        <v>3</v>
      </c>
      <c r="L33" s="18">
        <f t="shared" ref="L33:L34" si="22">M33/J33</f>
        <v>5.3661971830985919</v>
      </c>
      <c r="M33" s="18">
        <v>381</v>
      </c>
      <c r="N33" s="18">
        <f t="shared" ref="N33:N34" si="23">K33/J33</f>
        <v>4.2253521126760563E-2</v>
      </c>
    </row>
    <row r="34" spans="1:14" x14ac:dyDescent="0.25">
      <c r="A34" s="18" t="s">
        <v>112</v>
      </c>
      <c r="B34" s="18">
        <v>42</v>
      </c>
      <c r="C34" s="18">
        <v>8</v>
      </c>
      <c r="D34" s="18">
        <f t="shared" si="0"/>
        <v>3.7619047619047619</v>
      </c>
      <c r="E34" s="18">
        <v>158</v>
      </c>
      <c r="F34" s="18">
        <f t="shared" si="1"/>
        <v>0.19047619047619047</v>
      </c>
      <c r="G34" s="32">
        <v>2.71006354989037</v>
      </c>
      <c r="I34" s="18" t="s">
        <v>15</v>
      </c>
      <c r="J34" s="18">
        <v>280</v>
      </c>
      <c r="K34" s="18">
        <v>40</v>
      </c>
      <c r="L34" s="18">
        <f t="shared" si="22"/>
        <v>4.625</v>
      </c>
      <c r="M34" s="18">
        <v>1295</v>
      </c>
      <c r="N34" s="18">
        <f t="shared" si="23"/>
        <v>0.14285714285714285</v>
      </c>
    </row>
    <row r="35" spans="1:14" x14ac:dyDescent="0.25">
      <c r="A35" s="18" t="s">
        <v>27</v>
      </c>
      <c r="B35" s="18">
        <v>40</v>
      </c>
      <c r="C35" s="18">
        <v>3</v>
      </c>
      <c r="D35" s="18">
        <f t="shared" si="0"/>
        <v>4.5750000000000002</v>
      </c>
      <c r="E35" s="18">
        <v>183</v>
      </c>
      <c r="F35" s="18">
        <f t="shared" si="1"/>
        <v>7.4999999999999997E-2</v>
      </c>
      <c r="G35" s="32">
        <v>2.54950975679639</v>
      </c>
      <c r="I35" s="18" t="s">
        <v>13</v>
      </c>
      <c r="J35" s="18">
        <v>40</v>
      </c>
      <c r="K35" s="18">
        <v>2</v>
      </c>
      <c r="L35" s="18">
        <f t="shared" ref="L35" si="24">M35/J35</f>
        <v>4.9000000000000004</v>
      </c>
      <c r="M35" s="18">
        <v>196</v>
      </c>
      <c r="N35" s="18">
        <f t="shared" ref="N35" si="25">K35/J35</f>
        <v>0.05</v>
      </c>
    </row>
    <row r="36" spans="1:14" x14ac:dyDescent="0.25">
      <c r="A36" s="18" t="s">
        <v>117</v>
      </c>
      <c r="B36" s="18">
        <v>40</v>
      </c>
      <c r="C36" s="18">
        <v>7</v>
      </c>
      <c r="D36" s="18">
        <f t="shared" si="0"/>
        <v>4.3250000000000002</v>
      </c>
      <c r="E36" s="18">
        <v>173</v>
      </c>
      <c r="F36" s="18">
        <f t="shared" si="1"/>
        <v>0.17499999999999999</v>
      </c>
      <c r="G36" s="32">
        <v>2.7284509239574799</v>
      </c>
      <c r="I36" s="18" t="s">
        <v>10</v>
      </c>
      <c r="J36" s="18">
        <v>73</v>
      </c>
      <c r="K36" s="18">
        <v>13</v>
      </c>
      <c r="L36" s="18">
        <f>M36/J36</f>
        <v>3.9452054794520546</v>
      </c>
      <c r="M36" s="18">
        <v>288</v>
      </c>
      <c r="N36" s="18">
        <f>K36/J36</f>
        <v>0.17808219178082191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121</v>
      </c>
      <c r="J37" s="18">
        <v>117</v>
      </c>
      <c r="K37" s="18">
        <v>27</v>
      </c>
      <c r="L37" s="18">
        <f t="shared" ref="L37:L38" si="26">M37/J37</f>
        <v>3.7948717948717947</v>
      </c>
      <c r="M37" s="18">
        <v>444</v>
      </c>
      <c r="N37" s="18">
        <f t="shared" ref="N37:N38" si="27">K37/J37</f>
        <v>0.23076923076923078</v>
      </c>
    </row>
    <row r="38" spans="1:14" x14ac:dyDescent="0.25">
      <c r="A38" s="18" t="s">
        <v>401</v>
      </c>
      <c r="B38" s="18">
        <v>71</v>
      </c>
      <c r="C38" s="18">
        <v>3</v>
      </c>
      <c r="D38" s="18">
        <f t="shared" si="0"/>
        <v>5.3661971830985919</v>
      </c>
      <c r="E38" s="18">
        <v>381</v>
      </c>
      <c r="F38" s="18">
        <f t="shared" si="1"/>
        <v>4.2253521126760563E-2</v>
      </c>
      <c r="G38" s="32">
        <v>2.1248885888797799</v>
      </c>
      <c r="I38" s="18" t="s">
        <v>232</v>
      </c>
      <c r="J38" s="18">
        <v>192</v>
      </c>
      <c r="K38" s="18">
        <v>44</v>
      </c>
      <c r="L38" s="18">
        <f t="shared" si="26"/>
        <v>3.8177083333333335</v>
      </c>
      <c r="M38" s="18">
        <v>733</v>
      </c>
      <c r="N38" s="18">
        <f t="shared" si="27"/>
        <v>0.22916666666666666</v>
      </c>
    </row>
    <row r="39" spans="1:14" x14ac:dyDescent="0.25">
      <c r="A39" s="18" t="s">
        <v>15</v>
      </c>
      <c r="B39" s="18">
        <v>280</v>
      </c>
      <c r="C39" s="18">
        <v>40</v>
      </c>
      <c r="D39" s="18">
        <f t="shared" si="0"/>
        <v>4.625</v>
      </c>
      <c r="E39" s="18">
        <v>1295</v>
      </c>
      <c r="F39" s="18">
        <f t="shared" si="1"/>
        <v>0.14285714285714285</v>
      </c>
      <c r="G39" s="32">
        <v>2.3694389634605302</v>
      </c>
      <c r="I39" s="18" t="s">
        <v>21</v>
      </c>
      <c r="J39" s="18">
        <v>180</v>
      </c>
      <c r="K39" s="18">
        <v>25</v>
      </c>
      <c r="L39" s="18">
        <f>M39/J39</f>
        <v>4.3055555555555554</v>
      </c>
      <c r="M39" s="18">
        <v>775</v>
      </c>
      <c r="N39" s="18">
        <f>K39/J39</f>
        <v>0.1388888888888889</v>
      </c>
    </row>
    <row r="40" spans="1:14" x14ac:dyDescent="0.25">
      <c r="A40" s="18" t="s">
        <v>13</v>
      </c>
      <c r="B40" s="18">
        <v>40</v>
      </c>
      <c r="C40" s="18">
        <v>2</v>
      </c>
      <c r="D40" s="18">
        <f t="shared" si="0"/>
        <v>4.9000000000000004</v>
      </c>
      <c r="E40" s="18">
        <v>196</v>
      </c>
      <c r="F40" s="18">
        <f t="shared" si="1"/>
        <v>0.05</v>
      </c>
      <c r="G40" s="32">
        <v>2.1392325234704299</v>
      </c>
      <c r="I40" s="18" t="s">
        <v>51</v>
      </c>
      <c r="J40" s="18">
        <v>47</v>
      </c>
      <c r="K40" s="18">
        <v>4</v>
      </c>
      <c r="L40" s="18">
        <f>M40/J40</f>
        <v>4.8085106382978724</v>
      </c>
      <c r="M40" s="18">
        <v>226</v>
      </c>
      <c r="N40" s="18">
        <f>K40/J40</f>
        <v>8.5106382978723402E-2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0</v>
      </c>
      <c r="J41" s="18">
        <v>84</v>
      </c>
      <c r="K41" s="18">
        <v>14</v>
      </c>
      <c r="L41" s="18">
        <f>M41/J41</f>
        <v>4.1547619047619051</v>
      </c>
      <c r="M41" s="18">
        <v>349</v>
      </c>
      <c r="N41" s="18">
        <f>K41/J41</f>
        <v>0.16666666666666666</v>
      </c>
    </row>
    <row r="42" spans="1:14" x14ac:dyDescent="0.25">
      <c r="A42" t="s">
        <v>63</v>
      </c>
      <c r="B42">
        <v>34</v>
      </c>
      <c r="C42">
        <v>5</v>
      </c>
      <c r="D42">
        <f t="shared" si="0"/>
        <v>4.5</v>
      </c>
      <c r="E42">
        <v>153</v>
      </c>
      <c r="F42">
        <f t="shared" si="1"/>
        <v>0.14705882352941177</v>
      </c>
      <c r="G42" s="32">
        <v>2.6394443859772201</v>
      </c>
      <c r="I42" s="18" t="s">
        <v>1</v>
      </c>
      <c r="J42" s="18">
        <v>127</v>
      </c>
      <c r="K42" s="18">
        <v>6</v>
      </c>
      <c r="L42" s="18">
        <f t="shared" ref="L42:L43" si="28">M42/J42</f>
        <v>4.7244094488188972</v>
      </c>
      <c r="M42" s="18">
        <v>600</v>
      </c>
      <c r="N42" s="18">
        <f t="shared" ref="N42:N43" si="29">K42/J42</f>
        <v>4.7244094488188976E-2</v>
      </c>
    </row>
    <row r="43" spans="1:14" x14ac:dyDescent="0.25">
      <c r="A43" t="s">
        <v>4</v>
      </c>
      <c r="B43">
        <v>37</v>
      </c>
      <c r="C43">
        <v>5</v>
      </c>
      <c r="D43">
        <f t="shared" si="0"/>
        <v>4.9459459459459456</v>
      </c>
      <c r="E43">
        <v>183</v>
      </c>
      <c r="F43">
        <f t="shared" si="1"/>
        <v>0.13513513513513514</v>
      </c>
      <c r="G43" s="32">
        <v>2.08832734769027</v>
      </c>
      <c r="I43" s="18" t="s">
        <v>28</v>
      </c>
      <c r="J43" s="18">
        <v>116</v>
      </c>
      <c r="K43" s="18">
        <v>8</v>
      </c>
      <c r="L43" s="18">
        <f t="shared" si="28"/>
        <v>5.1206896551724137</v>
      </c>
      <c r="M43" s="18">
        <v>594</v>
      </c>
      <c r="N43" s="18">
        <f t="shared" si="29"/>
        <v>6.8965517241379309E-2</v>
      </c>
    </row>
    <row r="44" spans="1:14" x14ac:dyDescent="0.25">
      <c r="A44" s="18" t="s">
        <v>121</v>
      </c>
      <c r="B44" s="18">
        <v>117</v>
      </c>
      <c r="C44" s="18">
        <v>27</v>
      </c>
      <c r="D44" s="18">
        <f t="shared" si="0"/>
        <v>3.7948717948717947</v>
      </c>
      <c r="E44" s="18">
        <v>444</v>
      </c>
      <c r="F44" s="18">
        <f t="shared" si="1"/>
        <v>0.23076923076923078</v>
      </c>
      <c r="G44" s="32">
        <v>2.2233267457082899</v>
      </c>
      <c r="I44" s="18" t="s">
        <v>253</v>
      </c>
      <c r="J44" s="18">
        <v>61</v>
      </c>
      <c r="K44" s="18">
        <v>4</v>
      </c>
      <c r="L44" s="18">
        <f t="shared" ref="L44:L46" si="30">M44/J44</f>
        <v>5.6065573770491799</v>
      </c>
      <c r="M44" s="18">
        <v>342</v>
      </c>
      <c r="N44" s="18">
        <f t="shared" ref="N44:N45" si="31">K44/J44</f>
        <v>6.5573770491803282E-2</v>
      </c>
    </row>
    <row r="45" spans="1:14" x14ac:dyDescent="0.25">
      <c r="A45" s="18" t="s">
        <v>232</v>
      </c>
      <c r="B45" s="18">
        <v>192</v>
      </c>
      <c r="C45" s="18">
        <v>44</v>
      </c>
      <c r="D45" s="18">
        <f t="shared" si="0"/>
        <v>3.8177083333333335</v>
      </c>
      <c r="E45" s="18">
        <v>733</v>
      </c>
      <c r="F45" s="18">
        <f t="shared" si="1"/>
        <v>0.22916666666666666</v>
      </c>
      <c r="G45" s="32">
        <v>2.2509257354845502</v>
      </c>
      <c r="I45" s="18" t="s">
        <v>175</v>
      </c>
      <c r="J45" s="18">
        <v>72</v>
      </c>
      <c r="K45" s="18">
        <v>19</v>
      </c>
      <c r="L45" s="18">
        <f t="shared" si="30"/>
        <v>3.4583333333333335</v>
      </c>
      <c r="M45" s="18">
        <v>249</v>
      </c>
      <c r="N45" s="18">
        <f t="shared" si="31"/>
        <v>0.2638888888888889</v>
      </c>
    </row>
    <row r="46" spans="1:14" x14ac:dyDescent="0.25">
      <c r="A46" s="18" t="s">
        <v>21</v>
      </c>
      <c r="B46" s="18">
        <v>180</v>
      </c>
      <c r="C46" s="18">
        <v>25</v>
      </c>
      <c r="D46" s="18">
        <f t="shared" si="0"/>
        <v>4.3055555555555554</v>
      </c>
      <c r="E46" s="18">
        <v>775</v>
      </c>
      <c r="F46" s="18">
        <f t="shared" si="1"/>
        <v>0.1388888888888889</v>
      </c>
      <c r="G46" s="32">
        <v>2.0655911179772799</v>
      </c>
      <c r="I46" s="18" t="s">
        <v>61</v>
      </c>
      <c r="J46" s="18">
        <v>75</v>
      </c>
      <c r="K46" s="18">
        <v>16</v>
      </c>
      <c r="L46" s="18">
        <f t="shared" si="30"/>
        <v>4.4000000000000004</v>
      </c>
      <c r="M46" s="18">
        <v>330</v>
      </c>
      <c r="N46" s="18">
        <f>K46/J46</f>
        <v>0.21333333333333335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115</v>
      </c>
      <c r="J47" s="18">
        <v>40</v>
      </c>
      <c r="K47" s="18">
        <v>3</v>
      </c>
      <c r="L47" s="18">
        <f t="shared" ref="L47:L48" si="32">M47/J47</f>
        <v>4.4749999999999996</v>
      </c>
      <c r="M47" s="18">
        <v>179</v>
      </c>
      <c r="N47" s="18">
        <f t="shared" ref="N47:N48" si="33">K47/J47</f>
        <v>7.4999999999999997E-2</v>
      </c>
    </row>
    <row r="48" spans="1:14" x14ac:dyDescent="0.25">
      <c r="A48" t="s">
        <v>414</v>
      </c>
      <c r="B48">
        <v>38</v>
      </c>
      <c r="C48">
        <v>4</v>
      </c>
      <c r="D48">
        <f t="shared" si="0"/>
        <v>4.8157894736842106</v>
      </c>
      <c r="E48">
        <v>183</v>
      </c>
      <c r="F48">
        <f t="shared" si="1"/>
        <v>0.10526315789473684</v>
      </c>
      <c r="G48" s="32">
        <v>2.8702082220799299</v>
      </c>
      <c r="I48" s="18" t="s">
        <v>24</v>
      </c>
      <c r="J48" s="18">
        <v>103</v>
      </c>
      <c r="K48" s="18">
        <v>12</v>
      </c>
      <c r="L48" s="18">
        <f t="shared" si="32"/>
        <v>4.5533980582524274</v>
      </c>
      <c r="M48" s="18">
        <v>469</v>
      </c>
      <c r="N48" s="18">
        <f t="shared" si="33"/>
        <v>0.11650485436893204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30</v>
      </c>
      <c r="J49" s="18">
        <v>65</v>
      </c>
      <c r="K49" s="18">
        <v>5</v>
      </c>
      <c r="L49" s="18">
        <f t="shared" ref="L48:L53" si="34">M49/J49</f>
        <v>5.1230769230769226</v>
      </c>
      <c r="M49" s="18">
        <v>333</v>
      </c>
      <c r="N49" s="18">
        <f t="shared" ref="N48:N53" si="35">K49/J49</f>
        <v>7.6923076923076927E-2</v>
      </c>
    </row>
    <row r="50" spans="1:14" x14ac:dyDescent="0.25">
      <c r="A50" s="18" t="s">
        <v>1</v>
      </c>
      <c r="B50" s="18">
        <v>127</v>
      </c>
      <c r="C50" s="18">
        <v>6</v>
      </c>
      <c r="D50" s="18">
        <f t="shared" si="0"/>
        <v>4.7244094488188972</v>
      </c>
      <c r="E50" s="18">
        <v>600</v>
      </c>
      <c r="F50" s="18">
        <f t="shared" si="1"/>
        <v>4.7244094488188976E-2</v>
      </c>
      <c r="G50" s="32">
        <v>2.0412414523193099</v>
      </c>
      <c r="I50" s="18" t="s">
        <v>29</v>
      </c>
      <c r="J50" s="18">
        <v>143</v>
      </c>
      <c r="K50" s="18">
        <v>21</v>
      </c>
      <c r="L50" s="18">
        <f t="shared" si="34"/>
        <v>3.9790209790209792</v>
      </c>
      <c r="M50" s="18">
        <v>569</v>
      </c>
      <c r="N50" s="18">
        <f t="shared" si="35"/>
        <v>0.14685314685314685</v>
      </c>
    </row>
    <row r="51" spans="1:14" x14ac:dyDescent="0.25">
      <c r="A51" s="18" t="s">
        <v>28</v>
      </c>
      <c r="B51" s="18">
        <v>116</v>
      </c>
      <c r="C51" s="18">
        <v>8</v>
      </c>
      <c r="D51" s="18">
        <f t="shared" si="0"/>
        <v>5.1206896551724137</v>
      </c>
      <c r="E51" s="18">
        <v>594</v>
      </c>
      <c r="F51" s="18">
        <f t="shared" si="1"/>
        <v>6.8965517241379309E-2</v>
      </c>
      <c r="G51" s="32">
        <v>1.30384048104052</v>
      </c>
      <c r="I51" s="18" t="s">
        <v>148</v>
      </c>
      <c r="J51" s="18">
        <v>42</v>
      </c>
      <c r="K51" s="18">
        <v>8</v>
      </c>
      <c r="L51" s="18">
        <f t="shared" si="34"/>
        <v>3.7380952380952381</v>
      </c>
      <c r="M51" s="18">
        <v>157</v>
      </c>
      <c r="N51" s="18">
        <f t="shared" si="35"/>
        <v>0.19047619047619047</v>
      </c>
    </row>
    <row r="52" spans="1:14" x14ac:dyDescent="0.25">
      <c r="A52" s="18" t="s">
        <v>253</v>
      </c>
      <c r="B52" s="18">
        <v>61</v>
      </c>
      <c r="C52" s="18">
        <v>4</v>
      </c>
      <c r="D52" s="18">
        <f t="shared" si="0"/>
        <v>5.6065573770491799</v>
      </c>
      <c r="E52" s="18">
        <v>342</v>
      </c>
      <c r="F52" s="18">
        <f t="shared" si="1"/>
        <v>6.5573770491803282E-2</v>
      </c>
      <c r="G52" s="32"/>
      <c r="I52" s="18" t="s">
        <v>79</v>
      </c>
      <c r="J52" s="18">
        <v>55</v>
      </c>
      <c r="K52" s="18">
        <v>6</v>
      </c>
      <c r="L52" s="18">
        <f t="shared" si="34"/>
        <v>4.6363636363636367</v>
      </c>
      <c r="M52" s="18">
        <v>255</v>
      </c>
      <c r="N52" s="18">
        <f t="shared" si="35"/>
        <v>0.10909090909090909</v>
      </c>
    </row>
    <row r="53" spans="1:14" x14ac:dyDescent="0.25">
      <c r="A53" s="18" t="s">
        <v>175</v>
      </c>
      <c r="B53" s="18">
        <v>72</v>
      </c>
      <c r="C53" s="18">
        <v>19</v>
      </c>
      <c r="D53" s="18">
        <f t="shared" si="0"/>
        <v>3.4583333333333335</v>
      </c>
      <c r="E53" s="18">
        <v>249</v>
      </c>
      <c r="F53" s="18">
        <f t="shared" si="1"/>
        <v>0.2638888888888889</v>
      </c>
      <c r="G53" s="32">
        <v>2</v>
      </c>
      <c r="I53" s="18" t="s">
        <v>123</v>
      </c>
      <c r="J53" s="18">
        <v>46</v>
      </c>
      <c r="K53" s="18">
        <v>6</v>
      </c>
      <c r="L53" s="18">
        <f t="shared" si="34"/>
        <v>4.3913043478260869</v>
      </c>
      <c r="M53" s="18">
        <v>202</v>
      </c>
      <c r="N53" s="18">
        <f t="shared" si="35"/>
        <v>0.13043478260869565</v>
      </c>
    </row>
    <row r="54" spans="1:14" x14ac:dyDescent="0.25">
      <c r="A54" s="18" t="s">
        <v>61</v>
      </c>
      <c r="B54" s="18">
        <v>75</v>
      </c>
      <c r="C54" s="18">
        <v>16</v>
      </c>
      <c r="D54" s="18">
        <f t="shared" si="0"/>
        <v>4.4000000000000004</v>
      </c>
      <c r="E54" s="18">
        <v>330</v>
      </c>
      <c r="F54" s="18">
        <f>C54/B54</f>
        <v>0.21333333333333335</v>
      </c>
      <c r="G54" s="32">
        <v>3.2403703492039302</v>
      </c>
      <c r="I54" s="18" t="s">
        <v>22</v>
      </c>
      <c r="J54" s="18">
        <v>185</v>
      </c>
      <c r="K54" s="18">
        <v>30</v>
      </c>
      <c r="L54" s="18">
        <f>M54/J54</f>
        <v>4.1243243243243244</v>
      </c>
      <c r="M54" s="18">
        <v>763</v>
      </c>
      <c r="N54" s="18">
        <f>K54/J54</f>
        <v>0.16216216216216217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33</v>
      </c>
      <c r="J55" s="18">
        <v>69</v>
      </c>
      <c r="K55" s="18">
        <v>4</v>
      </c>
      <c r="L55" s="18">
        <f t="shared" ref="L55" si="36">M55/J55</f>
        <v>5.4927536231884062</v>
      </c>
      <c r="M55" s="18">
        <v>379</v>
      </c>
      <c r="N55" s="18">
        <f t="shared" ref="N55" si="37">K55/J55</f>
        <v>5.7971014492753624E-2</v>
      </c>
    </row>
    <row r="56" spans="1:14" x14ac:dyDescent="0.25">
      <c r="A56" s="18" t="s">
        <v>115</v>
      </c>
      <c r="B56" s="18">
        <v>40</v>
      </c>
      <c r="C56" s="18">
        <v>3</v>
      </c>
      <c r="D56" s="18">
        <f t="shared" si="0"/>
        <v>4.4749999999999996</v>
      </c>
      <c r="E56" s="18">
        <v>179</v>
      </c>
      <c r="F56" s="18">
        <f t="shared" si="1"/>
        <v>7.4999999999999997E-2</v>
      </c>
      <c r="G56" s="32">
        <v>1.71824938596844</v>
      </c>
      <c r="I56" s="18" t="s">
        <v>129</v>
      </c>
      <c r="J56" s="18">
        <v>49</v>
      </c>
      <c r="K56" s="18">
        <v>8</v>
      </c>
      <c r="L56" s="18">
        <f t="shared" ref="L55:L57" si="38">M56/J56</f>
        <v>4.5306122448979593</v>
      </c>
      <c r="M56" s="18">
        <v>222</v>
      </c>
      <c r="N56" s="18">
        <f t="shared" ref="N55:N57" si="39">K56/J56</f>
        <v>0.16326530612244897</v>
      </c>
    </row>
    <row r="57" spans="1:14" x14ac:dyDescent="0.25">
      <c r="A57" s="18" t="s">
        <v>24</v>
      </c>
      <c r="B57" s="18">
        <v>103</v>
      </c>
      <c r="C57" s="18">
        <v>12</v>
      </c>
      <c r="D57" s="18">
        <f t="shared" si="0"/>
        <v>4.5533980582524274</v>
      </c>
      <c r="E57" s="18">
        <v>469</v>
      </c>
      <c r="F57" s="18">
        <f t="shared" si="1"/>
        <v>0.11650485436893204</v>
      </c>
      <c r="G57" s="32">
        <v>2.26909243703399</v>
      </c>
      <c r="I57" s="18" t="s">
        <v>113</v>
      </c>
      <c r="J57" s="18">
        <v>41</v>
      </c>
      <c r="K57" s="18">
        <v>1</v>
      </c>
      <c r="L57" s="18">
        <f t="shared" si="38"/>
        <v>4.2926829268292686</v>
      </c>
      <c r="M57" s="18">
        <v>176</v>
      </c>
      <c r="N57" s="18">
        <f t="shared" si="39"/>
        <v>2.4390243902439025E-2</v>
      </c>
    </row>
    <row r="58" spans="1:14" x14ac:dyDescent="0.25">
      <c r="A58" t="s">
        <v>116</v>
      </c>
      <c r="B58">
        <v>36</v>
      </c>
      <c r="C58">
        <v>5</v>
      </c>
      <c r="D58">
        <f t="shared" si="0"/>
        <v>3.8611111111111112</v>
      </c>
      <c r="E58">
        <v>139</v>
      </c>
      <c r="F58">
        <f t="shared" si="1"/>
        <v>0.1388888888888889</v>
      </c>
      <c r="G58" s="32">
        <v>1.7043362064926899</v>
      </c>
      <c r="I58" s="18" t="s">
        <v>35</v>
      </c>
      <c r="J58" s="18">
        <v>196</v>
      </c>
      <c r="K58" s="18">
        <v>47</v>
      </c>
      <c r="L58" s="18">
        <f t="shared" ref="L57:L58" si="40">M58/J58</f>
        <v>3.5408163265306123</v>
      </c>
      <c r="M58" s="18">
        <v>694</v>
      </c>
      <c r="N58" s="18">
        <f t="shared" ref="N57:N58" si="41">K58/J58</f>
        <v>0.23979591836734693</v>
      </c>
    </row>
    <row r="59" spans="1:14" x14ac:dyDescent="0.25">
      <c r="A59" t="s">
        <v>5</v>
      </c>
      <c r="B59">
        <v>31</v>
      </c>
      <c r="C59">
        <v>1</v>
      </c>
      <c r="D59">
        <f t="shared" si="0"/>
        <v>4.612903225806452</v>
      </c>
      <c r="E59">
        <v>143</v>
      </c>
      <c r="F59">
        <f t="shared" si="1"/>
        <v>3.2258064516129031E-2</v>
      </c>
      <c r="G59" s="32">
        <v>1.8898223650461301</v>
      </c>
      <c r="I59" s="18" t="s">
        <v>26</v>
      </c>
      <c r="J59" s="18">
        <v>111</v>
      </c>
      <c r="K59" s="18">
        <v>6</v>
      </c>
      <c r="L59" s="18">
        <f t="shared" ref="L59:L62" si="42">M59/J59</f>
        <v>5.2252252252252251</v>
      </c>
      <c r="M59" s="18">
        <v>580</v>
      </c>
      <c r="N59" s="18">
        <f t="shared" ref="N59:N62" si="43">K59/J59</f>
        <v>5.4054054054054057E-2</v>
      </c>
    </row>
    <row r="60" spans="1:14" x14ac:dyDescent="0.25">
      <c r="A60" t="s">
        <v>58</v>
      </c>
      <c r="B60">
        <v>30</v>
      </c>
      <c r="C60">
        <v>6</v>
      </c>
      <c r="D60">
        <f t="shared" si="0"/>
        <v>3.7</v>
      </c>
      <c r="E60">
        <v>111</v>
      </c>
      <c r="F60">
        <f t="shared" si="1"/>
        <v>0.2</v>
      </c>
      <c r="G60" s="32">
        <v>2.33809038890002</v>
      </c>
      <c r="I60" s="18" t="s">
        <v>122</v>
      </c>
      <c r="J60" s="18">
        <v>180</v>
      </c>
      <c r="K60" s="18">
        <v>20</v>
      </c>
      <c r="L60" s="18">
        <f t="shared" si="42"/>
        <v>3.9722222222222223</v>
      </c>
      <c r="M60" s="18">
        <v>715</v>
      </c>
      <c r="N60" s="18">
        <f t="shared" si="43"/>
        <v>0.1111111111111111</v>
      </c>
    </row>
    <row r="61" spans="1:14" x14ac:dyDescent="0.25">
      <c r="A61" s="18" t="s">
        <v>30</v>
      </c>
      <c r="B61" s="18">
        <v>65</v>
      </c>
      <c r="C61" s="18">
        <v>5</v>
      </c>
      <c r="D61" s="18">
        <f t="shared" si="0"/>
        <v>5.1230769230769226</v>
      </c>
      <c r="E61" s="18">
        <v>333</v>
      </c>
      <c r="F61" s="18">
        <f t="shared" si="1"/>
        <v>7.6923076923076927E-2</v>
      </c>
      <c r="G61" s="32">
        <v>2.5226248955475601</v>
      </c>
      <c r="I61" s="18" t="s">
        <v>49</v>
      </c>
      <c r="J61" s="18">
        <v>153</v>
      </c>
      <c r="K61" s="18">
        <v>9</v>
      </c>
      <c r="L61" s="18">
        <f t="shared" si="42"/>
        <v>5.0261437908496731</v>
      </c>
      <c r="M61" s="18">
        <v>769</v>
      </c>
      <c r="N61" s="18">
        <f t="shared" si="43"/>
        <v>5.8823529411764705E-2</v>
      </c>
    </row>
    <row r="62" spans="1:14" x14ac:dyDescent="0.25">
      <c r="A62" s="18" t="s">
        <v>29</v>
      </c>
      <c r="B62" s="18">
        <v>143</v>
      </c>
      <c r="C62" s="18">
        <v>21</v>
      </c>
      <c r="D62" s="18">
        <f t="shared" si="0"/>
        <v>3.9790209790209792</v>
      </c>
      <c r="E62" s="18">
        <v>569</v>
      </c>
      <c r="F62" s="18">
        <f t="shared" si="1"/>
        <v>0.14685314685314685</v>
      </c>
      <c r="G62" s="32">
        <v>2.0875571218153701</v>
      </c>
      <c r="I62" s="18" t="s">
        <v>3</v>
      </c>
      <c r="J62" s="18">
        <v>54</v>
      </c>
      <c r="K62" s="18">
        <v>7</v>
      </c>
      <c r="L62" s="18">
        <f t="shared" si="42"/>
        <v>4.3148148148148149</v>
      </c>
      <c r="M62" s="18">
        <v>233</v>
      </c>
      <c r="N62" s="18">
        <f t="shared" si="43"/>
        <v>0.12962962962962962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</row>
    <row r="64" spans="1:14" x14ac:dyDescent="0.25">
      <c r="A64" t="s">
        <v>9</v>
      </c>
      <c r="B64">
        <v>30</v>
      </c>
      <c r="C64">
        <v>3</v>
      </c>
      <c r="D64">
        <f t="shared" si="0"/>
        <v>3.8</v>
      </c>
      <c r="E64">
        <v>114</v>
      </c>
      <c r="F64">
        <f t="shared" si="1"/>
        <v>0.1</v>
      </c>
      <c r="G64" s="32">
        <v>2.42097317438899</v>
      </c>
    </row>
    <row r="65" spans="1:7" x14ac:dyDescent="0.25">
      <c r="A65" t="s">
        <v>139</v>
      </c>
      <c r="B65">
        <v>32</v>
      </c>
      <c r="C65">
        <v>4</v>
      </c>
      <c r="D65">
        <f t="shared" si="0"/>
        <v>4.3125</v>
      </c>
      <c r="E65">
        <v>138</v>
      </c>
      <c r="F65">
        <f t="shared" si="1"/>
        <v>0.125</v>
      </c>
      <c r="G65" s="32">
        <v>1.9944979263017399</v>
      </c>
    </row>
    <row r="66" spans="1:7" x14ac:dyDescent="0.25">
      <c r="A66" t="s">
        <v>428</v>
      </c>
      <c r="B66">
        <v>31</v>
      </c>
      <c r="C66">
        <v>5</v>
      </c>
      <c r="D66">
        <f t="shared" si="0"/>
        <v>4.096774193548387</v>
      </c>
      <c r="E66">
        <v>127</v>
      </c>
      <c r="F66">
        <f t="shared" si="1"/>
        <v>0.16129032258064516</v>
      </c>
      <c r="G66" s="32">
        <v>1.9414506867882999</v>
      </c>
    </row>
    <row r="67" spans="1:7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</row>
    <row r="68" spans="1:7" x14ac:dyDescent="0.25">
      <c r="A68" t="s">
        <v>17</v>
      </c>
      <c r="B68">
        <v>32</v>
      </c>
      <c r="C68">
        <v>2</v>
      </c>
      <c r="D68">
        <f t="shared" si="0"/>
        <v>5.15625</v>
      </c>
      <c r="E68">
        <v>165</v>
      </c>
      <c r="F68">
        <f t="shared" si="1"/>
        <v>6.25E-2</v>
      </c>
      <c r="G68" s="32">
        <v>2.4832774042918899</v>
      </c>
    </row>
    <row r="69" spans="1:7" x14ac:dyDescent="0.25">
      <c r="A69" s="18" t="s">
        <v>79</v>
      </c>
      <c r="B69" s="18">
        <v>55</v>
      </c>
      <c r="C69" s="18">
        <v>6</v>
      </c>
      <c r="D69" s="18">
        <f t="shared" si="0"/>
        <v>4.6363636363636367</v>
      </c>
      <c r="E69" s="18">
        <v>255</v>
      </c>
      <c r="F69" s="18">
        <f t="shared" si="1"/>
        <v>0.10909090909090909</v>
      </c>
      <c r="G69" s="32">
        <v>2.05866345916355</v>
      </c>
    </row>
    <row r="70" spans="1:7" x14ac:dyDescent="0.25">
      <c r="A70" s="18" t="s">
        <v>123</v>
      </c>
      <c r="B70" s="18">
        <v>46</v>
      </c>
      <c r="C70" s="18">
        <v>6</v>
      </c>
      <c r="D70" s="18">
        <f t="shared" si="0"/>
        <v>4.3913043478260869</v>
      </c>
      <c r="E70" s="18">
        <v>202</v>
      </c>
      <c r="F70" s="18">
        <f t="shared" si="1"/>
        <v>0.13043478260869565</v>
      </c>
      <c r="G70" s="32">
        <v>2</v>
      </c>
    </row>
    <row r="71" spans="1:7" x14ac:dyDescent="0.25">
      <c r="A71" t="s">
        <v>12</v>
      </c>
      <c r="B71">
        <v>31</v>
      </c>
      <c r="C71">
        <v>1</v>
      </c>
      <c r="D71">
        <f t="shared" si="0"/>
        <v>4.903225806451613</v>
      </c>
      <c r="E71">
        <v>152</v>
      </c>
      <c r="F71">
        <f t="shared" si="1"/>
        <v>3.2258064516129031E-2</v>
      </c>
      <c r="G71" s="32">
        <v>2.44584195260913</v>
      </c>
    </row>
    <row r="72" spans="1:7" x14ac:dyDescent="0.25">
      <c r="A72" t="s">
        <v>404</v>
      </c>
      <c r="B72">
        <v>32</v>
      </c>
      <c r="C72">
        <v>3</v>
      </c>
      <c r="D72">
        <f t="shared" si="0"/>
        <v>4.8125</v>
      </c>
      <c r="E72">
        <v>154</v>
      </c>
      <c r="F72">
        <f t="shared" si="1"/>
        <v>9.375E-2</v>
      </c>
      <c r="G72" s="32">
        <v>2.3094010767584998</v>
      </c>
    </row>
    <row r="73" spans="1:7" x14ac:dyDescent="0.25">
      <c r="A73" s="18" t="s">
        <v>22</v>
      </c>
      <c r="B73" s="18">
        <v>185</v>
      </c>
      <c r="C73" s="18">
        <v>30</v>
      </c>
      <c r="D73" s="18">
        <f>E73/B73</f>
        <v>4.1243243243243244</v>
      </c>
      <c r="E73" s="18">
        <v>763</v>
      </c>
      <c r="F73" s="18">
        <f>C73/B73</f>
        <v>0.16216216216216217</v>
      </c>
      <c r="G73" s="32">
        <v>2.2045689482796602</v>
      </c>
    </row>
    <row r="74" spans="1:7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7" x14ac:dyDescent="0.25">
      <c r="A75" t="s">
        <v>110</v>
      </c>
      <c r="B75">
        <v>30</v>
      </c>
      <c r="C75">
        <v>1</v>
      </c>
      <c r="D75">
        <f>E75/B75</f>
        <v>5.166666666666667</v>
      </c>
      <c r="E75">
        <v>155</v>
      </c>
      <c r="F75">
        <f>C75/B75</f>
        <v>3.3333333333333333E-2</v>
      </c>
      <c r="G75" s="32">
        <v>1.9407902170679501</v>
      </c>
    </row>
    <row r="76" spans="1:7" x14ac:dyDescent="0.25">
      <c r="A76" t="s">
        <v>82</v>
      </c>
      <c r="B76">
        <v>30</v>
      </c>
      <c r="C76">
        <v>1</v>
      </c>
      <c r="D76">
        <f t="shared" ref="D76:D91" si="44">E76/B76</f>
        <v>5.2</v>
      </c>
      <c r="E76">
        <v>156</v>
      </c>
      <c r="F76">
        <f>C76/B76</f>
        <v>3.3333333333333333E-2</v>
      </c>
      <c r="G76" s="32">
        <v>2</v>
      </c>
    </row>
    <row r="77" spans="1:7" x14ac:dyDescent="0.25">
      <c r="A77" s="18" t="s">
        <v>33</v>
      </c>
      <c r="B77" s="18">
        <v>69</v>
      </c>
      <c r="C77" s="18">
        <v>4</v>
      </c>
      <c r="D77" s="18">
        <f t="shared" si="44"/>
        <v>5.4927536231884062</v>
      </c>
      <c r="E77" s="18">
        <v>379</v>
      </c>
      <c r="F77" s="18">
        <f t="shared" ref="F77:F91" si="45">C77/B77</f>
        <v>5.7971014492753624E-2</v>
      </c>
      <c r="G77" s="32">
        <v>2.14993539954627</v>
      </c>
    </row>
    <row r="78" spans="1:7" x14ac:dyDescent="0.25">
      <c r="A78" t="s">
        <v>99</v>
      </c>
      <c r="B78">
        <v>30</v>
      </c>
      <c r="C78">
        <v>2</v>
      </c>
      <c r="D78">
        <f t="shared" si="44"/>
        <v>5.2</v>
      </c>
      <c r="E78">
        <v>156</v>
      </c>
      <c r="F78">
        <f t="shared" si="45"/>
        <v>6.6666666666666666E-2</v>
      </c>
      <c r="G78" s="32">
        <v>2.6687491868330699</v>
      </c>
    </row>
    <row r="79" spans="1:7" x14ac:dyDescent="0.25">
      <c r="A79" t="s">
        <v>7</v>
      </c>
      <c r="B79">
        <v>31</v>
      </c>
      <c r="C79">
        <v>7</v>
      </c>
      <c r="D79">
        <f t="shared" si="44"/>
        <v>3.870967741935484</v>
      </c>
      <c r="E79">
        <v>120</v>
      </c>
      <c r="F79">
        <f t="shared" si="45"/>
        <v>0.22580645161290322</v>
      </c>
      <c r="G79" s="32">
        <v>2.7888667551135802</v>
      </c>
    </row>
    <row r="80" spans="1:7" x14ac:dyDescent="0.25">
      <c r="A80" s="41" t="s">
        <v>138</v>
      </c>
      <c r="B80" s="41">
        <v>5</v>
      </c>
      <c r="C80" s="41">
        <v>1</v>
      </c>
      <c r="D80" s="41">
        <f t="shared" si="44"/>
        <v>4</v>
      </c>
      <c r="E80" s="41">
        <v>20</v>
      </c>
      <c r="F80" s="41">
        <f t="shared" si="45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44"/>
        <v>4.1818181818181817</v>
      </c>
      <c r="E81" s="41">
        <v>46</v>
      </c>
      <c r="F81" s="41">
        <f t="shared" si="45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49</v>
      </c>
      <c r="C82" s="18">
        <v>8</v>
      </c>
      <c r="D82" s="18">
        <f t="shared" si="44"/>
        <v>4.5306122448979593</v>
      </c>
      <c r="E82" s="18">
        <v>222</v>
      </c>
      <c r="F82" s="18">
        <f t="shared" si="45"/>
        <v>0.16326530612244897</v>
      </c>
      <c r="G82" s="32">
        <v>2.1315096371664199</v>
      </c>
    </row>
    <row r="83" spans="1:7" x14ac:dyDescent="0.25">
      <c r="A83" s="18" t="s">
        <v>113</v>
      </c>
      <c r="B83" s="18">
        <v>41</v>
      </c>
      <c r="C83" s="18">
        <v>1</v>
      </c>
      <c r="D83" s="18">
        <f t="shared" si="44"/>
        <v>4.2926829268292686</v>
      </c>
      <c r="E83" s="18">
        <v>176</v>
      </c>
      <c r="F83" s="18">
        <f t="shared" si="45"/>
        <v>2.4390243902439025E-2</v>
      </c>
      <c r="G83" s="32">
        <v>2.4899799195977401</v>
      </c>
    </row>
    <row r="84" spans="1:7" x14ac:dyDescent="0.25">
      <c r="A84" s="18" t="s">
        <v>35</v>
      </c>
      <c r="B84" s="18">
        <v>196</v>
      </c>
      <c r="C84" s="18">
        <v>47</v>
      </c>
      <c r="D84" s="18">
        <f t="shared" si="44"/>
        <v>3.5408163265306123</v>
      </c>
      <c r="E84" s="18">
        <v>694</v>
      </c>
      <c r="F84" s="18">
        <f t="shared" si="45"/>
        <v>0.23979591836734693</v>
      </c>
      <c r="G84" s="32">
        <v>2.6214406763289899</v>
      </c>
    </row>
    <row r="85" spans="1:7" x14ac:dyDescent="0.25">
      <c r="A85" s="18" t="s">
        <v>26</v>
      </c>
      <c r="B85" s="18">
        <v>111</v>
      </c>
      <c r="C85" s="18">
        <v>6</v>
      </c>
      <c r="D85" s="18">
        <f t="shared" si="44"/>
        <v>5.2252252252252251</v>
      </c>
      <c r="E85" s="18">
        <v>580</v>
      </c>
      <c r="F85" s="18">
        <f t="shared" si="45"/>
        <v>5.4054054054054057E-2</v>
      </c>
      <c r="G85" s="32">
        <v>2.4494897427831699</v>
      </c>
    </row>
    <row r="86" spans="1:7" x14ac:dyDescent="0.25">
      <c r="A86" s="18" t="s">
        <v>122</v>
      </c>
      <c r="B86" s="18">
        <v>180</v>
      </c>
      <c r="C86" s="18">
        <v>20</v>
      </c>
      <c r="D86" s="18">
        <f t="shared" si="44"/>
        <v>3.9722222222222223</v>
      </c>
      <c r="E86" s="18">
        <v>715</v>
      </c>
      <c r="F86" s="18">
        <f t="shared" si="45"/>
        <v>0.1111111111111111</v>
      </c>
      <c r="G86" s="32">
        <v>1.6329931618554501</v>
      </c>
    </row>
    <row r="87" spans="1:7" x14ac:dyDescent="0.25">
      <c r="A87" s="18" t="s">
        <v>49</v>
      </c>
      <c r="B87" s="18">
        <v>153</v>
      </c>
      <c r="C87" s="18">
        <v>9</v>
      </c>
      <c r="D87" s="18">
        <f t="shared" si="44"/>
        <v>5.0261437908496731</v>
      </c>
      <c r="E87" s="18">
        <v>769</v>
      </c>
      <c r="F87" s="18">
        <f t="shared" si="45"/>
        <v>5.8823529411764705E-2</v>
      </c>
      <c r="G87" s="32">
        <v>2.79455252402308</v>
      </c>
    </row>
    <row r="88" spans="1:7" x14ac:dyDescent="0.25">
      <c r="A88" s="18" t="s">
        <v>3</v>
      </c>
      <c r="B88" s="18">
        <v>54</v>
      </c>
      <c r="C88" s="18">
        <v>7</v>
      </c>
      <c r="D88" s="18">
        <f t="shared" si="44"/>
        <v>4.3148148148148149</v>
      </c>
      <c r="E88" s="18">
        <v>233</v>
      </c>
      <c r="F88" s="18">
        <f t="shared" si="45"/>
        <v>0.12962962962962962</v>
      </c>
      <c r="G88" s="32">
        <v>2.3731557327466102</v>
      </c>
    </row>
    <row r="89" spans="1:7" x14ac:dyDescent="0.25">
      <c r="A89" t="s">
        <v>230</v>
      </c>
      <c r="B89">
        <v>32</v>
      </c>
      <c r="C89">
        <v>4</v>
      </c>
      <c r="D89">
        <f t="shared" si="44"/>
        <v>5.0625</v>
      </c>
      <c r="E89">
        <v>162</v>
      </c>
      <c r="F89">
        <f t="shared" si="45"/>
        <v>0.125</v>
      </c>
      <c r="G89" s="32">
        <v>2.7748873851023199</v>
      </c>
    </row>
    <row r="90" spans="1:7" x14ac:dyDescent="0.25">
      <c r="A90" t="s">
        <v>2</v>
      </c>
      <c r="B90">
        <v>35</v>
      </c>
      <c r="C90">
        <v>9</v>
      </c>
      <c r="D90">
        <f t="shared" si="44"/>
        <v>3.7142857142857144</v>
      </c>
      <c r="E90">
        <v>130</v>
      </c>
      <c r="F90">
        <f t="shared" si="45"/>
        <v>0.25714285714285712</v>
      </c>
      <c r="G90" s="32">
        <v>2.5876449587894599</v>
      </c>
    </row>
    <row r="91" spans="1:7" x14ac:dyDescent="0.25">
      <c r="A91" t="s">
        <v>124</v>
      </c>
      <c r="B91">
        <v>35</v>
      </c>
      <c r="C91">
        <v>1</v>
      </c>
      <c r="D91">
        <f t="shared" si="44"/>
        <v>5</v>
      </c>
      <c r="E91">
        <v>175</v>
      </c>
      <c r="F91">
        <f t="shared" si="45"/>
        <v>2.8571428571428571E-2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49"/>
  <sheetViews>
    <sheetView workbookViewId="0">
      <selection activeCell="AG6" sqref="AG6"/>
    </sheetView>
  </sheetViews>
  <sheetFormatPr defaultRowHeight="15" x14ac:dyDescent="0.25"/>
  <cols>
    <col min="8" max="8" width="17.7109375" bestFit="1" customWidth="1"/>
    <col min="9" max="9" width="7.140625" bestFit="1" customWidth="1"/>
    <col min="10" max="10" width="8.7109375" bestFit="1" customWidth="1"/>
    <col min="11" max="12" width="12" bestFit="1" customWidth="1"/>
    <col min="13" max="13" width="5" bestFit="1" customWidth="1"/>
  </cols>
  <sheetData>
    <row r="1" spans="1:13" x14ac:dyDescent="0.25">
      <c r="A1" s="4" t="s">
        <v>42</v>
      </c>
      <c r="B1" s="4" t="s">
        <v>38</v>
      </c>
      <c r="C1" s="4" t="s">
        <v>39</v>
      </c>
      <c r="D1" s="4" t="s">
        <v>40</v>
      </c>
      <c r="F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3" x14ac:dyDescent="0.25">
      <c r="A2" s="18" t="s">
        <v>128</v>
      </c>
      <c r="B2" s="18">
        <v>116</v>
      </c>
      <c r="C2" s="18">
        <v>37</v>
      </c>
      <c r="D2" s="18">
        <f t="shared" ref="D2:D42" si="0">E2/B2</f>
        <v>3.2155172413793105</v>
      </c>
      <c r="E2" s="18">
        <v>373</v>
      </c>
      <c r="F2" s="18">
        <f t="shared" ref="F2:F42" si="1">C2/B2</f>
        <v>0.31896551724137934</v>
      </c>
      <c r="H2" s="18" t="s">
        <v>128</v>
      </c>
      <c r="I2" s="18">
        <v>118</v>
      </c>
      <c r="J2" s="18">
        <v>38</v>
      </c>
      <c r="K2" s="18">
        <f t="shared" ref="K2:K49" si="2">M2/I2</f>
        <v>3.2118644067796609</v>
      </c>
      <c r="L2" s="18">
        <f t="shared" ref="L2:L49" si="3">J2/I2</f>
        <v>0.32203389830508472</v>
      </c>
      <c r="M2" s="18">
        <v>379</v>
      </c>
    </row>
    <row r="3" spans="1:13" x14ac:dyDescent="0.25">
      <c r="A3" s="18" t="s">
        <v>175</v>
      </c>
      <c r="B3" s="18">
        <v>67</v>
      </c>
      <c r="C3" s="18">
        <v>19</v>
      </c>
      <c r="D3" s="18">
        <f t="shared" si="0"/>
        <v>3.3731343283582089</v>
      </c>
      <c r="E3" s="18">
        <v>226</v>
      </c>
      <c r="F3" s="18">
        <f t="shared" si="1"/>
        <v>0.28358208955223879</v>
      </c>
      <c r="H3" s="18" t="s">
        <v>175</v>
      </c>
      <c r="I3" s="18">
        <v>71</v>
      </c>
      <c r="J3" s="18">
        <v>19</v>
      </c>
      <c r="K3" s="18">
        <f t="shared" si="2"/>
        <v>3.4225352112676055</v>
      </c>
      <c r="L3" s="18">
        <f t="shared" si="3"/>
        <v>0.26760563380281688</v>
      </c>
      <c r="M3" s="18">
        <v>243</v>
      </c>
    </row>
    <row r="4" spans="1:13" x14ac:dyDescent="0.25">
      <c r="A4" s="18" t="s">
        <v>35</v>
      </c>
      <c r="B4" s="18">
        <v>191</v>
      </c>
      <c r="C4" s="18">
        <v>46</v>
      </c>
      <c r="D4" s="18">
        <f t="shared" si="0"/>
        <v>3.575916230366492</v>
      </c>
      <c r="E4" s="18">
        <v>683</v>
      </c>
      <c r="F4" s="18">
        <f t="shared" si="1"/>
        <v>0.24083769633507854</v>
      </c>
      <c r="H4" s="59" t="s">
        <v>35</v>
      </c>
      <c r="I4" s="59">
        <v>195</v>
      </c>
      <c r="J4" s="59">
        <v>47</v>
      </c>
      <c r="K4" s="59">
        <f t="shared" si="2"/>
        <v>3.5435897435897434</v>
      </c>
      <c r="L4" s="59">
        <f t="shared" si="3"/>
        <v>0.24102564102564103</v>
      </c>
      <c r="M4" s="18">
        <v>691</v>
      </c>
    </row>
    <row r="5" spans="1:13" x14ac:dyDescent="0.25">
      <c r="A5" s="18" t="s">
        <v>148</v>
      </c>
      <c r="B5" s="18">
        <v>42</v>
      </c>
      <c r="C5" s="18">
        <v>8</v>
      </c>
      <c r="D5" s="18">
        <f t="shared" si="0"/>
        <v>3.7380952380952381</v>
      </c>
      <c r="E5" s="18">
        <v>157</v>
      </c>
      <c r="F5" s="18">
        <f t="shared" si="1"/>
        <v>0.19047619047619047</v>
      </c>
      <c r="H5" s="59" t="s">
        <v>148</v>
      </c>
      <c r="I5" s="59">
        <v>42</v>
      </c>
      <c r="J5" s="59">
        <v>8</v>
      </c>
      <c r="K5" s="59">
        <f t="shared" si="2"/>
        <v>3.7380952380952381</v>
      </c>
      <c r="L5" s="59">
        <f t="shared" si="3"/>
        <v>0.19047619047619047</v>
      </c>
      <c r="M5" s="18">
        <v>157</v>
      </c>
    </row>
    <row r="6" spans="1:13" x14ac:dyDescent="0.25">
      <c r="A6" s="18" t="s">
        <v>147</v>
      </c>
      <c r="B6" s="18">
        <v>139</v>
      </c>
      <c r="C6" s="18">
        <v>27</v>
      </c>
      <c r="D6" s="18">
        <f t="shared" si="0"/>
        <v>3.8273381294964031</v>
      </c>
      <c r="E6" s="18">
        <v>532</v>
      </c>
      <c r="F6" s="18">
        <f t="shared" si="1"/>
        <v>0.19424460431654678</v>
      </c>
      <c r="H6" s="59" t="s">
        <v>112</v>
      </c>
      <c r="I6" s="59">
        <v>42</v>
      </c>
      <c r="J6" s="59">
        <v>8</v>
      </c>
      <c r="K6" s="59">
        <f t="shared" si="2"/>
        <v>3.7619047619047619</v>
      </c>
      <c r="L6" s="59">
        <f t="shared" si="3"/>
        <v>0.19047619047619047</v>
      </c>
      <c r="M6" s="18">
        <v>158</v>
      </c>
    </row>
    <row r="7" spans="1:13" x14ac:dyDescent="0.25">
      <c r="A7" s="18" t="s">
        <v>121</v>
      </c>
      <c r="B7" s="18">
        <v>111</v>
      </c>
      <c r="C7" s="18">
        <v>23</v>
      </c>
      <c r="D7" s="18">
        <f t="shared" si="0"/>
        <v>3.8738738738738738</v>
      </c>
      <c r="E7" s="18">
        <v>430</v>
      </c>
      <c r="F7" s="18">
        <f t="shared" si="1"/>
        <v>0.2072072072072072</v>
      </c>
      <c r="H7" s="59" t="s">
        <v>232</v>
      </c>
      <c r="I7" s="59">
        <v>185</v>
      </c>
      <c r="J7" s="59">
        <v>42</v>
      </c>
      <c r="K7" s="59">
        <f t="shared" si="2"/>
        <v>3.8324324324324324</v>
      </c>
      <c r="L7" s="59">
        <f t="shared" si="3"/>
        <v>0.22702702702702704</v>
      </c>
      <c r="M7" s="18">
        <v>709</v>
      </c>
    </row>
    <row r="8" spans="1:13" x14ac:dyDescent="0.25">
      <c r="A8" s="18" t="s">
        <v>232</v>
      </c>
      <c r="B8" s="18">
        <v>177</v>
      </c>
      <c r="C8" s="18">
        <v>37</v>
      </c>
      <c r="D8" s="18">
        <f t="shared" si="0"/>
        <v>3.8757062146892656</v>
      </c>
      <c r="E8" s="18">
        <v>686</v>
      </c>
      <c r="F8" s="18">
        <f t="shared" si="1"/>
        <v>0.20903954802259886</v>
      </c>
      <c r="H8" s="59" t="s">
        <v>121</v>
      </c>
      <c r="I8" s="59">
        <v>114</v>
      </c>
      <c r="J8" s="59">
        <v>25</v>
      </c>
      <c r="K8" s="59">
        <f t="shared" si="2"/>
        <v>3.8508771929824563</v>
      </c>
      <c r="L8" s="59">
        <f t="shared" si="3"/>
        <v>0.21929824561403508</v>
      </c>
      <c r="M8" s="18">
        <v>439</v>
      </c>
    </row>
    <row r="9" spans="1:13" x14ac:dyDescent="0.25">
      <c r="A9" s="18" t="s">
        <v>10</v>
      </c>
      <c r="B9" s="18">
        <v>73</v>
      </c>
      <c r="C9" s="18">
        <v>13</v>
      </c>
      <c r="D9" s="18">
        <f t="shared" si="0"/>
        <v>3.9452054794520546</v>
      </c>
      <c r="E9" s="18">
        <v>288</v>
      </c>
      <c r="F9" s="18">
        <f t="shared" si="1"/>
        <v>0.17808219178082191</v>
      </c>
      <c r="H9" s="59" t="s">
        <v>147</v>
      </c>
      <c r="I9" s="59">
        <v>144</v>
      </c>
      <c r="J9" s="59">
        <v>28</v>
      </c>
      <c r="K9" s="59">
        <f t="shared" si="2"/>
        <v>3.8611111111111112</v>
      </c>
      <c r="L9" s="59">
        <f t="shared" si="3"/>
        <v>0.19444444444444445</v>
      </c>
      <c r="M9" s="18">
        <v>556</v>
      </c>
    </row>
    <row r="10" spans="1:13" x14ac:dyDescent="0.25">
      <c r="A10" s="18" t="s">
        <v>29</v>
      </c>
      <c r="B10" s="18">
        <v>135</v>
      </c>
      <c r="C10" s="18">
        <v>20</v>
      </c>
      <c r="D10" s="18">
        <f t="shared" si="0"/>
        <v>3.9777777777777779</v>
      </c>
      <c r="E10" s="18">
        <v>537</v>
      </c>
      <c r="F10" s="18">
        <f t="shared" si="1"/>
        <v>0.14814814814814814</v>
      </c>
      <c r="H10" s="59" t="s">
        <v>122</v>
      </c>
      <c r="I10" s="59">
        <v>174</v>
      </c>
      <c r="J10" s="59">
        <v>20</v>
      </c>
      <c r="K10" s="59">
        <f t="shared" si="2"/>
        <v>3.9425287356321839</v>
      </c>
      <c r="L10" s="59">
        <f t="shared" si="3"/>
        <v>0.11494252873563218</v>
      </c>
      <c r="M10" s="18">
        <v>686</v>
      </c>
    </row>
    <row r="11" spans="1:13" x14ac:dyDescent="0.25">
      <c r="A11" s="18" t="s">
        <v>122</v>
      </c>
      <c r="B11" s="18">
        <v>164</v>
      </c>
      <c r="C11" s="18">
        <v>19</v>
      </c>
      <c r="D11" s="18">
        <f t="shared" si="0"/>
        <v>4.0060975609756095</v>
      </c>
      <c r="E11" s="18">
        <v>657</v>
      </c>
      <c r="F11" s="18">
        <f t="shared" si="1"/>
        <v>0.11585365853658537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18">
        <v>288</v>
      </c>
    </row>
    <row r="12" spans="1:13" x14ac:dyDescent="0.25">
      <c r="A12" s="18" t="s">
        <v>22</v>
      </c>
      <c r="B12" s="18">
        <v>185</v>
      </c>
      <c r="C12" s="18">
        <v>30</v>
      </c>
      <c r="D12" s="18">
        <f t="shared" si="0"/>
        <v>4.1243243243243244</v>
      </c>
      <c r="E12" s="18">
        <v>763</v>
      </c>
      <c r="F12" s="18">
        <f t="shared" si="1"/>
        <v>0.16216216216216217</v>
      </c>
      <c r="H12" s="59" t="s">
        <v>29</v>
      </c>
      <c r="I12" s="59">
        <v>140</v>
      </c>
      <c r="J12" s="59">
        <v>20</v>
      </c>
      <c r="K12" s="59">
        <f t="shared" si="2"/>
        <v>3.9642857142857144</v>
      </c>
      <c r="L12" s="59">
        <f t="shared" si="3"/>
        <v>0.14285714285714285</v>
      </c>
      <c r="M12" s="18">
        <v>555</v>
      </c>
    </row>
    <row r="13" spans="1:13" x14ac:dyDescent="0.25">
      <c r="A13" s="18" t="s">
        <v>0</v>
      </c>
      <c r="B13" s="18">
        <v>84</v>
      </c>
      <c r="C13" s="18">
        <v>14</v>
      </c>
      <c r="D13" s="18">
        <f t="shared" si="0"/>
        <v>4.1547619047619051</v>
      </c>
      <c r="E13" s="18">
        <v>349</v>
      </c>
      <c r="F13" s="18">
        <f t="shared" si="1"/>
        <v>0.16666666666666666</v>
      </c>
      <c r="H13" s="32" t="s">
        <v>22</v>
      </c>
      <c r="I13" s="32">
        <v>185</v>
      </c>
      <c r="J13" s="32">
        <v>30</v>
      </c>
      <c r="K13" s="32">
        <f t="shared" si="2"/>
        <v>4.1243243243243244</v>
      </c>
      <c r="L13" s="32">
        <f t="shared" si="3"/>
        <v>0.16216216216216217</v>
      </c>
      <c r="M13" s="18">
        <v>763</v>
      </c>
    </row>
    <row r="14" spans="1:13" x14ac:dyDescent="0.25">
      <c r="A14" s="18" t="s">
        <v>104</v>
      </c>
      <c r="B14" s="18">
        <v>132</v>
      </c>
      <c r="C14" s="18">
        <v>9</v>
      </c>
      <c r="D14" s="18">
        <f t="shared" si="0"/>
        <v>4.25</v>
      </c>
      <c r="E14" s="18">
        <v>561</v>
      </c>
      <c r="F14" s="18">
        <f t="shared" si="1"/>
        <v>6.8181818181818177E-2</v>
      </c>
      <c r="H14" s="32" t="s">
        <v>0</v>
      </c>
      <c r="I14" s="32">
        <v>84</v>
      </c>
      <c r="J14" s="32">
        <v>14</v>
      </c>
      <c r="K14" s="32">
        <f t="shared" si="2"/>
        <v>4.1547619047619051</v>
      </c>
      <c r="L14" s="32">
        <f t="shared" si="3"/>
        <v>0.16666666666666666</v>
      </c>
      <c r="M14" s="18">
        <v>349</v>
      </c>
    </row>
    <row r="15" spans="1:13" x14ac:dyDescent="0.25">
      <c r="A15" s="18" t="s">
        <v>3</v>
      </c>
      <c r="B15" s="18">
        <v>50</v>
      </c>
      <c r="C15" s="18">
        <v>7</v>
      </c>
      <c r="D15" s="18">
        <f t="shared" si="0"/>
        <v>4.3</v>
      </c>
      <c r="E15" s="18">
        <v>215</v>
      </c>
      <c r="F15" s="18">
        <f t="shared" si="1"/>
        <v>0.14000000000000001</v>
      </c>
      <c r="H15" s="32" t="s">
        <v>50</v>
      </c>
      <c r="I15" s="32">
        <v>40</v>
      </c>
      <c r="J15" s="32">
        <v>4</v>
      </c>
      <c r="K15" s="32">
        <f t="shared" si="2"/>
        <v>4.1749999999999998</v>
      </c>
      <c r="L15" s="32">
        <f t="shared" si="3"/>
        <v>0.1</v>
      </c>
      <c r="M15" s="18">
        <v>167</v>
      </c>
    </row>
    <row r="16" spans="1:13" x14ac:dyDescent="0.25">
      <c r="A16" s="18" t="s">
        <v>21</v>
      </c>
      <c r="B16" s="18">
        <v>180</v>
      </c>
      <c r="C16" s="18">
        <v>25</v>
      </c>
      <c r="D16" s="18">
        <f t="shared" si="0"/>
        <v>4.3055555555555554</v>
      </c>
      <c r="E16" s="18">
        <v>775</v>
      </c>
      <c r="F16" s="18">
        <f t="shared" si="1"/>
        <v>0.1388888888888889</v>
      </c>
      <c r="H16" s="32" t="s">
        <v>104</v>
      </c>
      <c r="I16" s="32">
        <v>134</v>
      </c>
      <c r="J16" s="32">
        <v>9</v>
      </c>
      <c r="K16" s="32">
        <f t="shared" si="2"/>
        <v>4.2686567164179108</v>
      </c>
      <c r="L16" s="32">
        <f t="shared" si="3"/>
        <v>6.7164179104477612E-2</v>
      </c>
      <c r="M16" s="18">
        <v>572</v>
      </c>
    </row>
    <row r="17" spans="1:13" x14ac:dyDescent="0.25">
      <c r="A17" s="18" t="s">
        <v>61</v>
      </c>
      <c r="B17" s="18">
        <v>70</v>
      </c>
      <c r="C17" s="18">
        <v>15</v>
      </c>
      <c r="D17" s="18">
        <f t="shared" si="0"/>
        <v>4.3285714285714283</v>
      </c>
      <c r="E17" s="18">
        <v>303</v>
      </c>
      <c r="F17" s="18">
        <f t="shared" si="1"/>
        <v>0.21428571428571427</v>
      </c>
      <c r="H17" s="32" t="s">
        <v>113</v>
      </c>
      <c r="I17" s="32">
        <v>40</v>
      </c>
      <c r="J17" s="32">
        <v>1</v>
      </c>
      <c r="K17" s="32">
        <f t="shared" si="2"/>
        <v>4.2750000000000004</v>
      </c>
      <c r="L17" s="32">
        <f t="shared" si="3"/>
        <v>2.5000000000000001E-2</v>
      </c>
      <c r="M17" s="18">
        <v>171</v>
      </c>
    </row>
    <row r="18" spans="1:13" x14ac:dyDescent="0.25">
      <c r="A18" s="18" t="s">
        <v>125</v>
      </c>
      <c r="B18" s="18">
        <v>40</v>
      </c>
      <c r="C18" s="18">
        <v>2</v>
      </c>
      <c r="D18" s="18">
        <f t="shared" si="0"/>
        <v>4.375</v>
      </c>
      <c r="E18" s="18">
        <v>175</v>
      </c>
      <c r="F18" s="18">
        <f t="shared" si="1"/>
        <v>0.05</v>
      </c>
      <c r="H18" s="32" t="s">
        <v>21</v>
      </c>
      <c r="I18" s="32">
        <v>180</v>
      </c>
      <c r="J18" s="32">
        <v>25</v>
      </c>
      <c r="K18" s="32">
        <f t="shared" si="2"/>
        <v>4.3055555555555554</v>
      </c>
      <c r="L18" s="32">
        <f t="shared" si="3"/>
        <v>0.1388888888888889</v>
      </c>
      <c r="M18" s="18">
        <v>775</v>
      </c>
    </row>
    <row r="19" spans="1:13" x14ac:dyDescent="0.25">
      <c r="A19" s="18" t="s">
        <v>8</v>
      </c>
      <c r="B19" s="18">
        <v>49</v>
      </c>
      <c r="C19" s="18">
        <v>6</v>
      </c>
      <c r="D19" s="18">
        <f t="shared" si="0"/>
        <v>4.4285714285714288</v>
      </c>
      <c r="E19" s="18">
        <v>217</v>
      </c>
      <c r="F19" s="18">
        <f t="shared" si="1"/>
        <v>0.12244897959183673</v>
      </c>
      <c r="H19" s="32" t="s">
        <v>3</v>
      </c>
      <c r="I19" s="32">
        <v>52</v>
      </c>
      <c r="J19" s="32">
        <v>7</v>
      </c>
      <c r="K19" s="32">
        <f t="shared" si="2"/>
        <v>4.3461538461538458</v>
      </c>
      <c r="L19" s="32">
        <f t="shared" si="3"/>
        <v>0.13461538461538461</v>
      </c>
      <c r="M19" s="18">
        <v>226</v>
      </c>
    </row>
    <row r="20" spans="1:13" x14ac:dyDescent="0.25">
      <c r="A20" s="18" t="s">
        <v>123</v>
      </c>
      <c r="B20" s="18">
        <v>44</v>
      </c>
      <c r="C20" s="18">
        <v>6</v>
      </c>
      <c r="D20" s="18">
        <f t="shared" si="0"/>
        <v>4.4772727272727275</v>
      </c>
      <c r="E20" s="18">
        <v>197</v>
      </c>
      <c r="F20" s="18">
        <f t="shared" si="1"/>
        <v>0.13636363636363635</v>
      </c>
      <c r="H20" s="32" t="s">
        <v>125</v>
      </c>
      <c r="I20" s="32">
        <v>40</v>
      </c>
      <c r="J20" s="32">
        <v>2</v>
      </c>
      <c r="K20" s="32">
        <f t="shared" si="2"/>
        <v>4.375</v>
      </c>
      <c r="L20" s="32">
        <f t="shared" si="3"/>
        <v>0.05</v>
      </c>
      <c r="M20" s="18">
        <v>175</v>
      </c>
    </row>
    <row r="21" spans="1:13" x14ac:dyDescent="0.25">
      <c r="A21" s="18" t="s">
        <v>24</v>
      </c>
      <c r="B21" s="18">
        <v>102</v>
      </c>
      <c r="C21" s="18">
        <v>12</v>
      </c>
      <c r="D21" s="18">
        <f t="shared" si="0"/>
        <v>4.5196078431372548</v>
      </c>
      <c r="E21" s="18">
        <v>461</v>
      </c>
      <c r="F21" s="18">
        <f t="shared" si="1"/>
        <v>0.11764705882352941</v>
      </c>
      <c r="H21" s="32" t="s">
        <v>123</v>
      </c>
      <c r="I21" s="32">
        <v>46</v>
      </c>
      <c r="J21" s="32">
        <v>6</v>
      </c>
      <c r="K21" s="32">
        <f t="shared" si="2"/>
        <v>4.3913043478260869</v>
      </c>
      <c r="L21" s="32">
        <f t="shared" si="3"/>
        <v>0.13043478260869565</v>
      </c>
      <c r="M21" s="18">
        <v>202</v>
      </c>
    </row>
    <row r="22" spans="1:13" x14ac:dyDescent="0.25">
      <c r="A22" s="18" t="s">
        <v>129</v>
      </c>
      <c r="B22" s="18">
        <v>46</v>
      </c>
      <c r="C22" s="18">
        <v>8</v>
      </c>
      <c r="D22" s="18">
        <f t="shared" si="0"/>
        <v>4.5217391304347823</v>
      </c>
      <c r="E22" s="18">
        <v>208</v>
      </c>
      <c r="F22" s="18">
        <f t="shared" si="1"/>
        <v>0.17391304347826086</v>
      </c>
      <c r="H22" s="41" t="s">
        <v>8</v>
      </c>
      <c r="I22" s="41">
        <v>49</v>
      </c>
      <c r="J22" s="41">
        <v>6</v>
      </c>
      <c r="K22" s="41">
        <f t="shared" si="2"/>
        <v>4.4285714285714288</v>
      </c>
      <c r="L22" s="41">
        <f t="shared" si="3"/>
        <v>0.12244897959183673</v>
      </c>
      <c r="M22" s="18">
        <v>217</v>
      </c>
    </row>
    <row r="23" spans="1:13" x14ac:dyDescent="0.25">
      <c r="A23" s="18" t="s">
        <v>105</v>
      </c>
      <c r="B23" s="18">
        <v>42</v>
      </c>
      <c r="C23" s="18">
        <v>6</v>
      </c>
      <c r="D23" s="18">
        <f t="shared" si="0"/>
        <v>4.5952380952380949</v>
      </c>
      <c r="E23" s="18">
        <v>193</v>
      </c>
      <c r="F23" s="18">
        <f t="shared" si="1"/>
        <v>0.14285714285714285</v>
      </c>
      <c r="H23" s="41" t="s">
        <v>61</v>
      </c>
      <c r="I23" s="41">
        <v>74</v>
      </c>
      <c r="J23" s="41">
        <v>15</v>
      </c>
      <c r="K23" s="41">
        <f t="shared" si="2"/>
        <v>4.4459459459459456</v>
      </c>
      <c r="L23" s="41">
        <f t="shared" si="3"/>
        <v>0.20270270270270271</v>
      </c>
      <c r="M23" s="18">
        <v>329</v>
      </c>
    </row>
    <row r="24" spans="1:13" x14ac:dyDescent="0.25">
      <c r="A24" s="18" t="s">
        <v>15</v>
      </c>
      <c r="B24" s="18">
        <v>270</v>
      </c>
      <c r="C24" s="18">
        <v>40</v>
      </c>
      <c r="D24" s="18">
        <f t="shared" si="0"/>
        <v>4.6148148148148147</v>
      </c>
      <c r="E24" s="18">
        <v>1246</v>
      </c>
      <c r="F24" s="18">
        <f t="shared" si="1"/>
        <v>0.14814814814814814</v>
      </c>
      <c r="H24" s="41" t="s">
        <v>115</v>
      </c>
      <c r="I24" s="41">
        <v>40</v>
      </c>
      <c r="J24" s="41">
        <v>3</v>
      </c>
      <c r="K24" s="41">
        <f t="shared" si="2"/>
        <v>4.4749999999999996</v>
      </c>
      <c r="L24" s="41">
        <f t="shared" si="3"/>
        <v>7.4999999999999997E-2</v>
      </c>
      <c r="M24" s="18">
        <v>179</v>
      </c>
    </row>
    <row r="25" spans="1:13" x14ac:dyDescent="0.25">
      <c r="A25" s="18" t="s">
        <v>79</v>
      </c>
      <c r="B25" s="18">
        <v>54</v>
      </c>
      <c r="C25" s="18">
        <v>6</v>
      </c>
      <c r="D25" s="18">
        <f t="shared" si="0"/>
        <v>4.6296296296296298</v>
      </c>
      <c r="E25" s="18">
        <v>250</v>
      </c>
      <c r="F25" s="18">
        <f t="shared" si="1"/>
        <v>0.1111111111111111</v>
      </c>
      <c r="H25" s="41" t="s">
        <v>24</v>
      </c>
      <c r="I25" s="41">
        <v>102</v>
      </c>
      <c r="J25" s="41">
        <v>12</v>
      </c>
      <c r="K25" s="41">
        <f t="shared" si="2"/>
        <v>4.5196078431372548</v>
      </c>
      <c r="L25" s="41">
        <f t="shared" si="3"/>
        <v>0.11764705882352941</v>
      </c>
      <c r="M25" s="18">
        <v>461</v>
      </c>
    </row>
    <row r="26" spans="1:13" x14ac:dyDescent="0.25">
      <c r="A26" s="18" t="s">
        <v>1</v>
      </c>
      <c r="B26" s="18">
        <v>117</v>
      </c>
      <c r="C26" s="18">
        <v>6</v>
      </c>
      <c r="D26" s="18">
        <f t="shared" si="0"/>
        <v>4.666666666666667</v>
      </c>
      <c r="E26" s="18">
        <v>546</v>
      </c>
      <c r="F26" s="18">
        <f t="shared" si="1"/>
        <v>5.128205128205128E-2</v>
      </c>
      <c r="H26" s="41" t="s">
        <v>105</v>
      </c>
      <c r="I26" s="41">
        <v>43</v>
      </c>
      <c r="J26" s="41">
        <v>6</v>
      </c>
      <c r="K26" s="41">
        <f t="shared" si="2"/>
        <v>4.5348837209302326</v>
      </c>
      <c r="L26" s="41">
        <f t="shared" si="3"/>
        <v>0.13953488372093023</v>
      </c>
      <c r="M26" s="18">
        <v>195</v>
      </c>
    </row>
    <row r="27" spans="1:13" x14ac:dyDescent="0.25">
      <c r="A27" s="18" t="s">
        <v>14</v>
      </c>
      <c r="B27" s="18">
        <v>45</v>
      </c>
      <c r="C27" s="18">
        <v>3</v>
      </c>
      <c r="D27" s="18">
        <f t="shared" si="0"/>
        <v>4.7111111111111112</v>
      </c>
      <c r="E27" s="18">
        <v>212</v>
      </c>
      <c r="F27" s="18">
        <f t="shared" si="1"/>
        <v>6.6666666666666666E-2</v>
      </c>
      <c r="H27" s="41" t="s">
        <v>129</v>
      </c>
      <c r="I27" s="41">
        <v>47</v>
      </c>
      <c r="J27" s="41">
        <v>8</v>
      </c>
      <c r="K27" s="41">
        <f t="shared" si="2"/>
        <v>4.5744680851063828</v>
      </c>
      <c r="L27" s="41">
        <f t="shared" si="3"/>
        <v>0.1702127659574468</v>
      </c>
      <c r="M27" s="18">
        <v>215</v>
      </c>
    </row>
    <row r="28" spans="1:13" x14ac:dyDescent="0.25">
      <c r="A28" s="18" t="s">
        <v>51</v>
      </c>
      <c r="B28" s="18">
        <v>47</v>
      </c>
      <c r="C28" s="18">
        <v>4</v>
      </c>
      <c r="D28" s="18">
        <f t="shared" si="0"/>
        <v>4.8085106382978724</v>
      </c>
      <c r="E28" s="18">
        <v>226</v>
      </c>
      <c r="F28" s="18">
        <f t="shared" si="1"/>
        <v>8.5106382978723402E-2</v>
      </c>
      <c r="H28" s="41" t="s">
        <v>27</v>
      </c>
      <c r="I28" s="41">
        <v>40</v>
      </c>
      <c r="J28" s="41">
        <v>3</v>
      </c>
      <c r="K28" s="41">
        <f t="shared" si="2"/>
        <v>4.5750000000000002</v>
      </c>
      <c r="L28" s="41">
        <f t="shared" si="3"/>
        <v>7.4999999999999997E-2</v>
      </c>
      <c r="M28" s="18">
        <v>183</v>
      </c>
    </row>
    <row r="29" spans="1:13" x14ac:dyDescent="0.25">
      <c r="A29" s="18" t="s">
        <v>25</v>
      </c>
      <c r="B29" s="18">
        <v>245</v>
      </c>
      <c r="C29" s="18">
        <v>23</v>
      </c>
      <c r="D29" s="18">
        <f t="shared" si="0"/>
        <v>4.9836734693877549</v>
      </c>
      <c r="E29" s="18">
        <v>1221</v>
      </c>
      <c r="F29" s="18">
        <f t="shared" si="1"/>
        <v>9.3877551020408165E-2</v>
      </c>
      <c r="H29" s="41" t="s">
        <v>15</v>
      </c>
      <c r="I29" s="41">
        <v>276</v>
      </c>
      <c r="J29" s="41">
        <v>40</v>
      </c>
      <c r="K29" s="41">
        <f t="shared" si="2"/>
        <v>4.6050724637681162</v>
      </c>
      <c r="L29" s="41">
        <f t="shared" si="3"/>
        <v>0.14492753623188406</v>
      </c>
      <c r="M29" s="18">
        <v>1271</v>
      </c>
    </row>
    <row r="30" spans="1:13" x14ac:dyDescent="0.25">
      <c r="A30" s="18" t="s">
        <v>31</v>
      </c>
      <c r="B30" s="18">
        <v>270</v>
      </c>
      <c r="C30" s="18">
        <v>23</v>
      </c>
      <c r="D30" s="18">
        <f t="shared" si="0"/>
        <v>4.9925925925925929</v>
      </c>
      <c r="E30" s="18">
        <v>1348</v>
      </c>
      <c r="F30" s="18">
        <f t="shared" si="1"/>
        <v>8.5185185185185183E-2</v>
      </c>
      <c r="H30" s="41" t="s">
        <v>79</v>
      </c>
      <c r="I30" s="41">
        <v>55</v>
      </c>
      <c r="J30" s="41">
        <v>6</v>
      </c>
      <c r="K30" s="41">
        <f t="shared" si="2"/>
        <v>4.6363636363636367</v>
      </c>
      <c r="L30" s="41">
        <f t="shared" si="3"/>
        <v>0.10909090909090909</v>
      </c>
      <c r="M30" s="18">
        <v>255</v>
      </c>
    </row>
    <row r="31" spans="1:13" x14ac:dyDescent="0.25">
      <c r="A31" s="18" t="s">
        <v>87</v>
      </c>
      <c r="B31" s="18">
        <v>193</v>
      </c>
      <c r="C31" s="18">
        <v>24</v>
      </c>
      <c r="D31" s="18">
        <f t="shared" si="0"/>
        <v>5.0259067357512954</v>
      </c>
      <c r="E31" s="18">
        <v>970</v>
      </c>
      <c r="F31" s="18">
        <f t="shared" si="1"/>
        <v>0.12435233160621761</v>
      </c>
      <c r="H31" s="41" t="s">
        <v>1</v>
      </c>
      <c r="I31" s="41">
        <v>123</v>
      </c>
      <c r="J31" s="41">
        <v>6</v>
      </c>
      <c r="K31" s="41">
        <f t="shared" si="2"/>
        <v>4.6991869918699187</v>
      </c>
      <c r="L31" s="41">
        <f t="shared" si="3"/>
        <v>4.878048780487805E-2</v>
      </c>
      <c r="M31" s="18">
        <v>578</v>
      </c>
    </row>
    <row r="32" spans="1:13" x14ac:dyDescent="0.25">
      <c r="A32" s="18" t="s">
        <v>56</v>
      </c>
      <c r="B32" s="18">
        <v>40</v>
      </c>
      <c r="C32" s="18">
        <v>0</v>
      </c>
      <c r="D32" s="18">
        <f t="shared" si="0"/>
        <v>5.0750000000000002</v>
      </c>
      <c r="E32" s="18">
        <v>203</v>
      </c>
      <c r="F32" s="18">
        <f t="shared" si="1"/>
        <v>0</v>
      </c>
      <c r="H32" s="41" t="s">
        <v>14</v>
      </c>
      <c r="I32" s="41">
        <v>45</v>
      </c>
      <c r="J32" s="41">
        <v>3</v>
      </c>
      <c r="K32" s="41">
        <f t="shared" si="2"/>
        <v>4.7111111111111112</v>
      </c>
      <c r="L32" s="41">
        <f t="shared" si="3"/>
        <v>6.6666666666666666E-2</v>
      </c>
      <c r="M32" s="18">
        <v>212</v>
      </c>
    </row>
    <row r="33" spans="1:13" x14ac:dyDescent="0.25">
      <c r="A33" s="18" t="s">
        <v>49</v>
      </c>
      <c r="B33" s="18">
        <v>146</v>
      </c>
      <c r="C33" s="18">
        <v>9</v>
      </c>
      <c r="D33" s="18">
        <f t="shared" si="0"/>
        <v>5.0821917808219181</v>
      </c>
      <c r="E33" s="18">
        <v>742</v>
      </c>
      <c r="F33" s="18">
        <f t="shared" si="1"/>
        <v>6.1643835616438353E-2</v>
      </c>
      <c r="H33" s="38" t="s">
        <v>51</v>
      </c>
      <c r="I33" s="38">
        <v>47</v>
      </c>
      <c r="J33" s="38">
        <v>4</v>
      </c>
      <c r="K33" s="38">
        <f t="shared" si="2"/>
        <v>4.8085106382978724</v>
      </c>
      <c r="L33" s="38">
        <f t="shared" si="3"/>
        <v>8.5106382978723402E-2</v>
      </c>
      <c r="M33" s="18">
        <v>226</v>
      </c>
    </row>
    <row r="34" spans="1:13" x14ac:dyDescent="0.25">
      <c r="A34" s="18" t="s">
        <v>81</v>
      </c>
      <c r="B34" s="18">
        <v>87</v>
      </c>
      <c r="C34" s="18">
        <v>6</v>
      </c>
      <c r="D34" s="18">
        <f t="shared" si="0"/>
        <v>5.1149425287356323</v>
      </c>
      <c r="E34" s="18">
        <v>445</v>
      </c>
      <c r="F34" s="18">
        <f t="shared" si="1"/>
        <v>6.8965517241379309E-2</v>
      </c>
      <c r="H34" s="38" t="s">
        <v>13</v>
      </c>
      <c r="I34" s="38">
        <v>40</v>
      </c>
      <c r="J34" s="38">
        <v>2</v>
      </c>
      <c r="K34" s="38">
        <f t="shared" si="2"/>
        <v>4.9000000000000004</v>
      </c>
      <c r="L34" s="38">
        <f t="shared" si="3"/>
        <v>0.05</v>
      </c>
      <c r="M34" s="18">
        <v>196</v>
      </c>
    </row>
    <row r="35" spans="1:13" x14ac:dyDescent="0.25">
      <c r="A35" s="18" t="s">
        <v>28</v>
      </c>
      <c r="B35" s="18">
        <v>98</v>
      </c>
      <c r="C35" s="18">
        <v>7</v>
      </c>
      <c r="D35" s="18">
        <f t="shared" si="0"/>
        <v>5.1224489795918364</v>
      </c>
      <c r="E35" s="18">
        <v>502</v>
      </c>
      <c r="F35" s="18">
        <f t="shared" si="1"/>
        <v>7.1428571428571425E-2</v>
      </c>
      <c r="H35" s="38" t="s">
        <v>87</v>
      </c>
      <c r="I35" s="38">
        <v>200</v>
      </c>
      <c r="J35" s="38">
        <v>24</v>
      </c>
      <c r="K35" s="38">
        <f t="shared" si="2"/>
        <v>5</v>
      </c>
      <c r="L35" s="38">
        <f t="shared" si="3"/>
        <v>0.12</v>
      </c>
      <c r="M35" s="18">
        <v>1000</v>
      </c>
    </row>
    <row r="36" spans="1:13" x14ac:dyDescent="0.25">
      <c r="A36" s="18" t="s">
        <v>30</v>
      </c>
      <c r="B36" s="18">
        <v>63</v>
      </c>
      <c r="C36" s="18">
        <v>5</v>
      </c>
      <c r="D36" s="18">
        <f t="shared" si="0"/>
        <v>5.1428571428571432</v>
      </c>
      <c r="E36" s="18">
        <v>324</v>
      </c>
      <c r="F36" s="18">
        <f t="shared" si="1"/>
        <v>7.9365079365079361E-2</v>
      </c>
      <c r="H36" s="38" t="s">
        <v>25</v>
      </c>
      <c r="I36" s="38">
        <v>251</v>
      </c>
      <c r="J36" s="38">
        <v>23</v>
      </c>
      <c r="K36" s="38">
        <f t="shared" si="2"/>
        <v>5.0278884462151394</v>
      </c>
      <c r="L36" s="38">
        <f t="shared" si="3"/>
        <v>9.1633466135458169E-2</v>
      </c>
      <c r="M36" s="18">
        <v>1262</v>
      </c>
    </row>
    <row r="37" spans="1:13" x14ac:dyDescent="0.25">
      <c r="A37" s="18" t="s">
        <v>26</v>
      </c>
      <c r="B37" s="18">
        <v>107</v>
      </c>
      <c r="C37" s="18">
        <v>6</v>
      </c>
      <c r="D37" s="18">
        <f t="shared" si="0"/>
        <v>5.2710280373831777</v>
      </c>
      <c r="E37" s="18">
        <v>564</v>
      </c>
      <c r="F37" s="18">
        <f t="shared" si="1"/>
        <v>5.6074766355140186E-2</v>
      </c>
      <c r="H37" s="38" t="s">
        <v>31</v>
      </c>
      <c r="I37" s="38">
        <v>278</v>
      </c>
      <c r="J37" s="38">
        <v>23</v>
      </c>
      <c r="K37" s="38">
        <f t="shared" si="2"/>
        <v>5.0323741007194247</v>
      </c>
      <c r="L37" s="38">
        <f t="shared" si="3"/>
        <v>8.2733812949640287E-2</v>
      </c>
      <c r="M37" s="18">
        <v>1399</v>
      </c>
    </row>
    <row r="38" spans="1:13" x14ac:dyDescent="0.25">
      <c r="A38" s="18" t="s">
        <v>6</v>
      </c>
      <c r="B38" s="18">
        <v>45</v>
      </c>
      <c r="C38" s="18">
        <v>3</v>
      </c>
      <c r="D38" s="18">
        <f t="shared" si="0"/>
        <v>5.3555555555555552</v>
      </c>
      <c r="E38" s="18">
        <v>241</v>
      </c>
      <c r="F38" s="18">
        <f t="shared" si="1"/>
        <v>6.6666666666666666E-2</v>
      </c>
      <c r="H38" s="38" t="s">
        <v>49</v>
      </c>
      <c r="I38" s="38">
        <v>151</v>
      </c>
      <c r="J38" s="38">
        <v>9</v>
      </c>
      <c r="K38" s="38">
        <f t="shared" si="2"/>
        <v>5.0596026490066226</v>
      </c>
      <c r="L38" s="38">
        <f t="shared" si="3"/>
        <v>5.9602649006622516E-2</v>
      </c>
      <c r="M38" s="18">
        <v>764</v>
      </c>
    </row>
    <row r="39" spans="1:13" x14ac:dyDescent="0.25">
      <c r="A39" s="18" t="s">
        <v>401</v>
      </c>
      <c r="B39" s="18">
        <v>71</v>
      </c>
      <c r="C39" s="18">
        <v>3</v>
      </c>
      <c r="D39" s="18">
        <f t="shared" si="0"/>
        <v>5.3661971830985919</v>
      </c>
      <c r="E39" s="18">
        <v>381</v>
      </c>
      <c r="F39" s="18">
        <f t="shared" si="1"/>
        <v>4.2253521126760563E-2</v>
      </c>
      <c r="H39" s="38" t="s">
        <v>56</v>
      </c>
      <c r="I39" s="38">
        <v>40</v>
      </c>
      <c r="J39" s="38">
        <v>0</v>
      </c>
      <c r="K39" s="38">
        <f t="shared" si="2"/>
        <v>5.0750000000000002</v>
      </c>
      <c r="L39" s="38">
        <f t="shared" si="3"/>
        <v>0</v>
      </c>
      <c r="M39" s="18">
        <v>203</v>
      </c>
    </row>
    <row r="40" spans="1:13" x14ac:dyDescent="0.25">
      <c r="A40" s="18" t="s">
        <v>34</v>
      </c>
      <c r="B40" s="18">
        <v>40</v>
      </c>
      <c r="C40" s="18">
        <v>3</v>
      </c>
      <c r="D40" s="18">
        <f t="shared" si="0"/>
        <v>5.4</v>
      </c>
      <c r="E40" s="18">
        <v>216</v>
      </c>
      <c r="F40" s="18">
        <f t="shared" si="1"/>
        <v>7.4999999999999997E-2</v>
      </c>
      <c r="H40" s="38" t="s">
        <v>28</v>
      </c>
      <c r="I40" s="38">
        <v>109</v>
      </c>
      <c r="J40" s="38">
        <v>7</v>
      </c>
      <c r="K40" s="38">
        <f t="shared" si="2"/>
        <v>5.1100917431192663</v>
      </c>
      <c r="L40" s="38">
        <f t="shared" si="3"/>
        <v>6.4220183486238536E-2</v>
      </c>
      <c r="M40" s="18">
        <v>557</v>
      </c>
    </row>
    <row r="41" spans="1:13" x14ac:dyDescent="0.25">
      <c r="A41" s="18" t="s">
        <v>33</v>
      </c>
      <c r="B41" s="18">
        <v>66</v>
      </c>
      <c r="C41" s="18">
        <v>4</v>
      </c>
      <c r="D41" s="18">
        <f t="shared" si="0"/>
        <v>5.5303030303030303</v>
      </c>
      <c r="E41" s="18">
        <v>365</v>
      </c>
      <c r="F41" s="18">
        <f t="shared" si="1"/>
        <v>6.0606060606060608E-2</v>
      </c>
      <c r="H41" s="38" t="s">
        <v>30</v>
      </c>
      <c r="I41" s="38">
        <v>64</v>
      </c>
      <c r="J41" s="38">
        <v>5</v>
      </c>
      <c r="K41" s="38">
        <f t="shared" si="2"/>
        <v>5.15625</v>
      </c>
      <c r="L41" s="38">
        <f t="shared" si="3"/>
        <v>7.8125E-2</v>
      </c>
      <c r="M41" s="18">
        <v>330</v>
      </c>
    </row>
    <row r="42" spans="1:13" x14ac:dyDescent="0.25">
      <c r="A42" s="18" t="s">
        <v>253</v>
      </c>
      <c r="B42" s="18">
        <v>61</v>
      </c>
      <c r="C42" s="18">
        <v>4</v>
      </c>
      <c r="D42" s="18">
        <f t="shared" si="0"/>
        <v>5.6065573770491799</v>
      </c>
      <c r="E42" s="18">
        <v>342</v>
      </c>
      <c r="F42" s="18">
        <f t="shared" si="1"/>
        <v>6.5573770491803282E-2</v>
      </c>
      <c r="H42" s="38" t="s">
        <v>81</v>
      </c>
      <c r="I42" s="38">
        <v>89</v>
      </c>
      <c r="J42" s="38">
        <v>6</v>
      </c>
      <c r="K42" s="38">
        <f t="shared" si="2"/>
        <v>5.1797752808988768</v>
      </c>
      <c r="L42" s="38">
        <f t="shared" si="3"/>
        <v>6.741573033707865E-2</v>
      </c>
      <c r="M42" s="18">
        <v>461</v>
      </c>
    </row>
    <row r="43" spans="1:13" x14ac:dyDescent="0.25">
      <c r="H43" s="38" t="s">
        <v>26</v>
      </c>
      <c r="I43" s="38">
        <v>111</v>
      </c>
      <c r="J43" s="38">
        <v>6</v>
      </c>
      <c r="K43" s="38">
        <f t="shared" si="2"/>
        <v>5.2252252252252251</v>
      </c>
      <c r="L43" s="38">
        <f t="shared" si="3"/>
        <v>5.4054054054054057E-2</v>
      </c>
      <c r="M43" s="18">
        <v>580</v>
      </c>
    </row>
    <row r="44" spans="1:13" x14ac:dyDescent="0.25">
      <c r="H44" s="67" t="s">
        <v>90</v>
      </c>
      <c r="I44" s="67">
        <v>40</v>
      </c>
      <c r="J44" s="67">
        <v>3</v>
      </c>
      <c r="K44" s="67">
        <f t="shared" si="2"/>
        <v>5.35</v>
      </c>
      <c r="L44" s="67">
        <f t="shared" si="3"/>
        <v>7.4999999999999997E-2</v>
      </c>
      <c r="M44" s="73">
        <v>214</v>
      </c>
    </row>
    <row r="45" spans="1:13" x14ac:dyDescent="0.25">
      <c r="H45" s="67" t="s">
        <v>6</v>
      </c>
      <c r="I45" s="67">
        <v>45</v>
      </c>
      <c r="J45" s="67">
        <v>3</v>
      </c>
      <c r="K45" s="67">
        <f t="shared" si="2"/>
        <v>5.3555555555555552</v>
      </c>
      <c r="L45" s="67">
        <f t="shared" si="3"/>
        <v>6.6666666666666666E-2</v>
      </c>
      <c r="M45" s="18">
        <v>241</v>
      </c>
    </row>
    <row r="46" spans="1:13" x14ac:dyDescent="0.25">
      <c r="H46" s="67" t="s">
        <v>401</v>
      </c>
      <c r="I46" s="67">
        <v>71</v>
      </c>
      <c r="J46" s="67">
        <v>3</v>
      </c>
      <c r="K46" s="67">
        <f t="shared" si="2"/>
        <v>5.3661971830985919</v>
      </c>
      <c r="L46" s="67">
        <f t="shared" si="3"/>
        <v>4.2253521126760563E-2</v>
      </c>
      <c r="M46" s="18">
        <v>381</v>
      </c>
    </row>
    <row r="47" spans="1:13" x14ac:dyDescent="0.25">
      <c r="H47" s="67" t="s">
        <v>34</v>
      </c>
      <c r="I47" s="67">
        <v>40</v>
      </c>
      <c r="J47" s="67">
        <v>3</v>
      </c>
      <c r="K47" s="67">
        <f t="shared" si="2"/>
        <v>5.4</v>
      </c>
      <c r="L47" s="67">
        <f t="shared" si="3"/>
        <v>7.4999999999999997E-2</v>
      </c>
      <c r="M47" s="18">
        <v>216</v>
      </c>
    </row>
    <row r="48" spans="1:13" x14ac:dyDescent="0.25">
      <c r="H48" s="67" t="s">
        <v>33</v>
      </c>
      <c r="I48" s="67">
        <v>67</v>
      </c>
      <c r="J48" s="67">
        <v>4</v>
      </c>
      <c r="K48" s="67">
        <f t="shared" si="2"/>
        <v>5.5373134328358207</v>
      </c>
      <c r="L48" s="67">
        <f t="shared" si="3"/>
        <v>5.9701492537313432E-2</v>
      </c>
      <c r="M48" s="18">
        <v>371</v>
      </c>
    </row>
    <row r="49" spans="8:13" x14ac:dyDescent="0.25">
      <c r="H49" s="67" t="s">
        <v>253</v>
      </c>
      <c r="I49" s="67">
        <v>61</v>
      </c>
      <c r="J49" s="67">
        <v>4</v>
      </c>
      <c r="K49" s="67">
        <f t="shared" si="2"/>
        <v>5.6065573770491799</v>
      </c>
      <c r="L49" s="67">
        <f t="shared" si="3"/>
        <v>6.5573770491803282E-2</v>
      </c>
      <c r="M49" s="18">
        <v>342</v>
      </c>
    </row>
  </sheetData>
  <sortState xmlns:xlrd2="http://schemas.microsoft.com/office/spreadsheetml/2017/richdata2" ref="H2:M49">
    <sortCondition ref="K2:K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  <vt:lpstr>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2026-08-10T18:17:44Z</dcterms:modified>
</cp:coreProperties>
</file>