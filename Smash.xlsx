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60B376E6-BFC3-4BF2-8571-C5D1E7256B22}" xr6:coauthVersionLast="47" xr6:coauthVersionMax="47" xr10:uidLastSave="{00000000-0000-0000-0000-000000000000}"/>
  <bookViews>
    <workbookView xWindow="-120" yWindow="-120" windowWidth="38640" windowHeight="211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r:id="rId9"/>
    <sheet name="4.0" sheetId="11" r:id="rId10"/>
    <sheet name="WE25" sheetId="12" r:id="rId11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<sst xmlns="http://schemas.openxmlformats.org/spreadsheetml/2006/main" count="15271" uniqueCount="571">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</sst>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60"/>
  <sheetViews>
    <sheetView topLeftCell="A76" zoomScaleNormal="100" workbookViewId="0">
      <selection activeCell="AB93" sqref="AB93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</row>
    <row r="257" spans="10:16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</row>
    <row r="258" spans="10:16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</row>
    <row r="259" spans="10:16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</row>
    <row r="260" spans="10:16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>G798/B798</f>
        <v>3.0555555555555554</v>
      </c>
      <c r="E798" s="18">
        <f>C798/B798</f>
        <v>0.31111111111111112</v>
      </c>
      <c r="G798" s="18">
        <v>275</v>
      </c>
      <c r="I798">
        <f>ROW(I798)-1</f>
        <v>797</v>
      </c>
      <c r="J798" s="18" t="s">
        <v>128</v>
      </c>
      <c r="K798" s="18">
        <v>92</v>
      </c>
      <c r="L798" s="18">
        <v>28</v>
      </c>
      <c r="M798" s="18">
        <f>N798/K798</f>
        <v>3.1413043478260869</v>
      </c>
      <c r="N798" s="18">
        <v>289</v>
      </c>
      <c r="O798" s="18">
        <f>L798/K798</f>
        <v>0.30434782608695654</v>
      </c>
      <c r="Q798" s="60" t="s">
        <v>128</v>
      </c>
      <c r="R798" s="60">
        <v>84</v>
      </c>
      <c r="S798" s="60">
        <v>26</v>
      </c>
      <c r="T798" s="60">
        <f>W798/R798</f>
        <v>3.0714285714285716</v>
      </c>
      <c r="U798" s="63">
        <f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>G799/B799</f>
        <v>3.2424242424242422</v>
      </c>
      <c r="E799" s="59">
        <f>C799/B799</f>
        <v>0.24242424242424243</v>
      </c>
      <c r="G799" s="18">
        <v>107</v>
      </c>
      <c r="I799">
        <f>ROW(I799)-1</f>
        <v>798</v>
      </c>
      <c r="J799" s="18" t="s">
        <v>175</v>
      </c>
      <c r="K799" s="18">
        <v>34</v>
      </c>
      <c r="L799" s="18">
        <v>8</v>
      </c>
      <c r="M799" s="18">
        <f>N799/K799</f>
        <v>3.2058823529411766</v>
      </c>
      <c r="N799" s="18">
        <v>109</v>
      </c>
      <c r="O799" s="18">
        <f>L799/K799</f>
        <v>0.23529411764705882</v>
      </c>
      <c r="Q799" s="59" t="s">
        <v>175</v>
      </c>
      <c r="R799" s="59">
        <v>30</v>
      </c>
      <c r="S799" s="59">
        <v>8</v>
      </c>
      <c r="T799" s="59">
        <f>W799/R799</f>
        <v>3.2333333333333334</v>
      </c>
      <c r="U799" s="59">
        <f>S799/R799</f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>G800/B800</f>
        <v>3.5839416058394162</v>
      </c>
      <c r="E800" s="59">
        <f>C800/B800</f>
        <v>0.27007299270072993</v>
      </c>
      <c r="G800" s="18">
        <v>491</v>
      </c>
      <c r="I800">
        <f>ROW(I800)-1</f>
        <v>799</v>
      </c>
      <c r="J800" s="18" t="s">
        <v>35</v>
      </c>
      <c r="K800" s="18">
        <v>141</v>
      </c>
      <c r="L800" s="18">
        <v>38</v>
      </c>
      <c r="M800" s="18">
        <f>N800/K800</f>
        <v>3.5531914893617023</v>
      </c>
      <c r="N800" s="18">
        <v>501</v>
      </c>
      <c r="O800" s="18">
        <f>L800/K800</f>
        <v>0.26950354609929078</v>
      </c>
      <c r="Q800" s="59" t="s">
        <v>35</v>
      </c>
      <c r="R800" s="59">
        <v>120</v>
      </c>
      <c r="S800" s="64">
        <v>34</v>
      </c>
      <c r="T800" s="59">
        <f>W800/R800</f>
        <v>3.5750000000000002</v>
      </c>
      <c r="U800" s="59">
        <f>S800/R800</f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>G801/B801</f>
        <v>3.6363636363636362</v>
      </c>
      <c r="E801" s="59">
        <f>C801/B801</f>
        <v>9.0909090909090912E-2</v>
      </c>
      <c r="F801" s="2" t="s">
        <v>44</v>
      </c>
      <c r="G801" s="18">
        <v>80</v>
      </c>
      <c r="I801">
        <f>ROW(I801)-1</f>
        <v>800</v>
      </c>
      <c r="J801" s="18" t="s">
        <v>52</v>
      </c>
      <c r="K801" s="18">
        <v>22</v>
      </c>
      <c r="L801" s="18">
        <v>2</v>
      </c>
      <c r="M801" s="18">
        <f>N801/K801</f>
        <v>3.6363636363636362</v>
      </c>
      <c r="N801" s="18">
        <v>80</v>
      </c>
      <c r="O801" s="18">
        <f>L801/K801</f>
        <v>9.0909090909090912E-2</v>
      </c>
      <c r="Q801" s="59" t="s">
        <v>52</v>
      </c>
      <c r="R801" s="59">
        <v>22</v>
      </c>
      <c r="S801" s="59">
        <v>2</v>
      </c>
      <c r="T801" s="59">
        <f>W801/R801</f>
        <v>3.6363636363636362</v>
      </c>
      <c r="U801" s="59">
        <f>S801/R801</f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>G802/B802</f>
        <v>3.7297297297297298</v>
      </c>
      <c r="E802" s="59">
        <f>C802/B802</f>
        <v>0.21621621621621623</v>
      </c>
      <c r="F802" s="2" t="s">
        <v>44</v>
      </c>
      <c r="G802" s="18">
        <v>138</v>
      </c>
      <c r="I802">
        <f>ROW(I802)-1</f>
        <v>801</v>
      </c>
      <c r="J802" s="18" t="s">
        <v>147</v>
      </c>
      <c r="K802" s="18">
        <v>102</v>
      </c>
      <c r="L802" s="18">
        <v>19</v>
      </c>
      <c r="M802" s="18">
        <f>N802/K802</f>
        <v>3.6960784313725492</v>
      </c>
      <c r="N802" s="18">
        <v>377</v>
      </c>
      <c r="O802" s="18">
        <f>L802/K802</f>
        <v>0.18627450980392157</v>
      </c>
      <c r="Q802" s="59" t="s">
        <v>147</v>
      </c>
      <c r="R802" s="59">
        <v>75</v>
      </c>
      <c r="S802" s="59">
        <v>15</v>
      </c>
      <c r="T802" s="59">
        <f>W802/R802</f>
        <v>3.7066666666666666</v>
      </c>
      <c r="U802" s="59">
        <f>S802/R802</f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>G803/B803</f>
        <v>3.7346938775510203</v>
      </c>
      <c r="E803" s="59">
        <f>C803/B803</f>
        <v>0.18367346938775511</v>
      </c>
      <c r="F803" s="3" t="s">
        <v>45</v>
      </c>
      <c r="G803" s="18">
        <v>366</v>
      </c>
      <c r="I803">
        <f>ROW(I803)-1</f>
        <v>802</v>
      </c>
      <c r="J803" s="18" t="s">
        <v>148</v>
      </c>
      <c r="K803" s="18">
        <v>39</v>
      </c>
      <c r="L803" s="18">
        <v>8</v>
      </c>
      <c r="M803" s="18">
        <f>N803/K803</f>
        <v>3.7435897435897436</v>
      </c>
      <c r="N803" s="18">
        <v>146</v>
      </c>
      <c r="O803" s="18">
        <f>L803/K803</f>
        <v>0.20512820512820512</v>
      </c>
      <c r="Q803" s="59" t="s">
        <v>121</v>
      </c>
      <c r="R803" s="59">
        <v>69</v>
      </c>
      <c r="S803" s="59">
        <v>16</v>
      </c>
      <c r="T803" s="59">
        <f>W803/R803</f>
        <v>3.8260869565217392</v>
      </c>
      <c r="U803" s="59">
        <f>S803/R803</f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>G804/B804</f>
        <v>3.8787878787878789</v>
      </c>
      <c r="E804" s="59">
        <f>C804/B804</f>
        <v>0.19696969696969696</v>
      </c>
      <c r="F804" s="2" t="s">
        <v>44</v>
      </c>
      <c r="G804" s="18">
        <v>256</v>
      </c>
      <c r="I804">
        <f>ROW(I804)-1</f>
        <v>803</v>
      </c>
      <c r="J804" s="18" t="s">
        <v>10</v>
      </c>
      <c r="K804" s="18">
        <v>66</v>
      </c>
      <c r="L804" s="18">
        <v>13</v>
      </c>
      <c r="M804" s="18">
        <f>N804/K804</f>
        <v>3.8787878787878789</v>
      </c>
      <c r="N804" s="18">
        <v>256</v>
      </c>
      <c r="O804" s="18">
        <f>L804/K804</f>
        <v>0.19696969696969696</v>
      </c>
      <c r="Q804" s="59" t="s">
        <v>232</v>
      </c>
      <c r="R804" s="59">
        <v>49</v>
      </c>
      <c r="S804" s="59">
        <v>11</v>
      </c>
      <c r="T804" s="59">
        <f>W804/R804</f>
        <v>3.8571428571428572</v>
      </c>
      <c r="U804" s="59">
        <f>S804/R804</f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>G805/B805</f>
        <v>3.892156862745098</v>
      </c>
      <c r="E805" s="59">
        <f>C805/B805</f>
        <v>0.14705882352941177</v>
      </c>
      <c r="F805" s="3" t="s">
        <v>46</v>
      </c>
      <c r="G805" s="18">
        <v>397</v>
      </c>
      <c r="I805">
        <f>ROW(I805)-1</f>
        <v>804</v>
      </c>
      <c r="J805" s="18" t="s">
        <v>29</v>
      </c>
      <c r="K805" s="18">
        <v>103</v>
      </c>
      <c r="L805" s="18">
        <v>15</v>
      </c>
      <c r="M805" s="18">
        <f>N805/K805</f>
        <v>3.883495145631068</v>
      </c>
      <c r="N805" s="18">
        <v>400</v>
      </c>
      <c r="O805" s="18">
        <f>L805/K805</f>
        <v>0.14563106796116504</v>
      </c>
      <c r="Q805" s="59" t="s">
        <v>29</v>
      </c>
      <c r="R805" s="59">
        <v>88</v>
      </c>
      <c r="S805" s="59">
        <v>12</v>
      </c>
      <c r="T805" s="59">
        <f>W805/R805</f>
        <v>3.875</v>
      </c>
      <c r="U805" s="59">
        <f>S805/R805</f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>G806/B806</f>
        <v>3.9230769230769229</v>
      </c>
      <c r="E806" s="59">
        <f>C806/B806</f>
        <v>0.23076923076923078</v>
      </c>
      <c r="F806" s="2" t="s">
        <v>44</v>
      </c>
      <c r="G806" s="18">
        <v>306</v>
      </c>
      <c r="I806">
        <f>ROW(I806)-1</f>
        <v>805</v>
      </c>
      <c r="J806" s="18" t="s">
        <v>121</v>
      </c>
      <c r="K806" s="18">
        <v>79</v>
      </c>
      <c r="L806" s="18">
        <v>18</v>
      </c>
      <c r="M806" s="18">
        <f>N806/K806</f>
        <v>3.8987341772151898</v>
      </c>
      <c r="N806" s="18">
        <v>308</v>
      </c>
      <c r="O806" s="18">
        <f>L806/K806</f>
        <v>0.22784810126582278</v>
      </c>
      <c r="Q806" s="59" t="s">
        <v>10</v>
      </c>
      <c r="R806" s="59">
        <v>66</v>
      </c>
      <c r="S806" s="59">
        <v>13</v>
      </c>
      <c r="T806" s="59">
        <f>W806/R806</f>
        <v>3.8787878787878789</v>
      </c>
      <c r="U806" s="59">
        <f>S806/R806</f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>G807/B807</f>
        <v>3.9305555555555554</v>
      </c>
      <c r="E807" s="59">
        <f>C807/B807</f>
        <v>0.19444444444444445</v>
      </c>
      <c r="F807" s="3" t="s">
        <v>46</v>
      </c>
      <c r="G807" s="18">
        <v>283</v>
      </c>
      <c r="I807">
        <f>ROW(I807)-1</f>
        <v>806</v>
      </c>
      <c r="J807" s="18" t="s">
        <v>232</v>
      </c>
      <c r="K807" s="18">
        <v>78</v>
      </c>
      <c r="L807" s="18">
        <v>15</v>
      </c>
      <c r="M807" s="18">
        <f>N807/K807</f>
        <v>3.9871794871794872</v>
      </c>
      <c r="N807" s="18">
        <v>311</v>
      </c>
      <c r="O807" s="18">
        <f>L807/K807</f>
        <v>0.19230769230769232</v>
      </c>
      <c r="Q807" s="41" t="s">
        <v>125</v>
      </c>
      <c r="R807" s="41">
        <v>21</v>
      </c>
      <c r="S807" s="41">
        <v>1</v>
      </c>
      <c r="T807" s="41">
        <f>W807/R807</f>
        <v>4</v>
      </c>
      <c r="U807" s="41">
        <f>S807/R807</f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>G808/B808</f>
        <v>4</v>
      </c>
      <c r="E808" s="41">
        <f>C808/B808</f>
        <v>4.7619047619047616E-2</v>
      </c>
      <c r="F808" s="3"/>
      <c r="G808" s="18">
        <v>84</v>
      </c>
      <c r="I808">
        <f>ROW(I808)-1</f>
        <v>807</v>
      </c>
      <c r="J808" s="18" t="s">
        <v>125</v>
      </c>
      <c r="K808" s="18">
        <v>21</v>
      </c>
      <c r="L808" s="18">
        <v>1</v>
      </c>
      <c r="M808" s="18">
        <f>N808/K808</f>
        <v>4</v>
      </c>
      <c r="N808" s="18">
        <v>84</v>
      </c>
      <c r="O808" s="18">
        <f>L808/K808</f>
        <v>4.7619047619047616E-2</v>
      </c>
      <c r="Q808" s="41" t="s">
        <v>3</v>
      </c>
      <c r="R808" s="41">
        <v>37</v>
      </c>
      <c r="S808" s="41">
        <v>6</v>
      </c>
      <c r="T808" s="41">
        <f>W808/R808</f>
        <v>4.0270270270270272</v>
      </c>
      <c r="U808" s="41">
        <f>S808/R808</f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>G809/B809</f>
        <v>4.0487804878048781</v>
      </c>
      <c r="E809" s="41">
        <f>C809/B809</f>
        <v>0.14634146341463414</v>
      </c>
      <c r="F809" s="2" t="s">
        <v>47</v>
      </c>
      <c r="G809" s="18">
        <v>166</v>
      </c>
      <c r="I809">
        <f>ROW(I809)-1</f>
        <v>808</v>
      </c>
      <c r="J809" s="18" t="s">
        <v>3</v>
      </c>
      <c r="K809" s="18">
        <v>41</v>
      </c>
      <c r="L809" s="18">
        <v>6</v>
      </c>
      <c r="M809" s="18">
        <f>N809/K809</f>
        <v>4.0487804878048781</v>
      </c>
      <c r="N809" s="18">
        <v>166</v>
      </c>
      <c r="O809" s="18">
        <f>L809/K809</f>
        <v>0.14634146341463414</v>
      </c>
      <c r="Q809" s="41" t="s">
        <v>116</v>
      </c>
      <c r="R809" s="41">
        <v>20</v>
      </c>
      <c r="S809" s="41">
        <v>4</v>
      </c>
      <c r="T809" s="41">
        <f>W809/R809</f>
        <v>4.05</v>
      </c>
      <c r="U809" s="41">
        <f>S809/R809</f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>G810/B810</f>
        <v>4.05</v>
      </c>
      <c r="E810" s="41">
        <f>C810/B810</f>
        <v>0.2</v>
      </c>
      <c r="F810" s="3" t="s">
        <v>46</v>
      </c>
      <c r="G810" s="18">
        <v>81</v>
      </c>
      <c r="I810">
        <f>ROW(I810)-1</f>
        <v>809</v>
      </c>
      <c r="J810" s="18" t="s">
        <v>116</v>
      </c>
      <c r="K810" s="18">
        <v>20</v>
      </c>
      <c r="L810" s="18">
        <v>4</v>
      </c>
      <c r="M810" s="18">
        <f>N810/K810</f>
        <v>4.05</v>
      </c>
      <c r="N810" s="18">
        <v>81</v>
      </c>
      <c r="O810" s="18">
        <f>L810/K810</f>
        <v>0.2</v>
      </c>
      <c r="Q810" s="41" t="s">
        <v>0</v>
      </c>
      <c r="R810" s="41">
        <v>77</v>
      </c>
      <c r="S810" s="41">
        <v>13</v>
      </c>
      <c r="T810" s="41">
        <f>W810/R810</f>
        <v>4.0779220779220777</v>
      </c>
      <c r="U810" s="41">
        <f>S810/R810</f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>G811/B811</f>
        <v>4.0999999999999996</v>
      </c>
      <c r="E811" s="41">
        <f>C811/B811</f>
        <v>0.2</v>
      </c>
      <c r="F811" s="3" t="s">
        <v>46</v>
      </c>
      <c r="G811" s="18">
        <v>82</v>
      </c>
      <c r="I811">
        <f>ROW(I811)-1</f>
        <v>810</v>
      </c>
      <c r="J811" s="18" t="s">
        <v>7</v>
      </c>
      <c r="K811" s="18">
        <v>20</v>
      </c>
      <c r="L811" s="18">
        <v>4</v>
      </c>
      <c r="M811" s="18">
        <f>N811/K811</f>
        <v>4.0999999999999996</v>
      </c>
      <c r="N811" s="18">
        <v>82</v>
      </c>
      <c r="O811" s="18">
        <f>L811/K811</f>
        <v>0.2</v>
      </c>
      <c r="Q811" s="41" t="s">
        <v>7</v>
      </c>
      <c r="R811" s="41">
        <v>20</v>
      </c>
      <c r="S811" s="41">
        <v>4</v>
      </c>
      <c r="T811" s="41">
        <f>W811/R811</f>
        <v>4.0999999999999996</v>
      </c>
      <c r="U811" s="41">
        <f>S811/R811</f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>G812/B812</f>
        <v>4.1428571428571432</v>
      </c>
      <c r="E812" s="41">
        <f>C812/B812</f>
        <v>0.17857142857142858</v>
      </c>
      <c r="G812">
        <v>116</v>
      </c>
      <c r="I812">
        <f>ROW(I812)-1</f>
        <v>811</v>
      </c>
      <c r="J812" s="18" t="s">
        <v>22</v>
      </c>
      <c r="K812" s="18">
        <v>176</v>
      </c>
      <c r="L812" s="18">
        <v>28</v>
      </c>
      <c r="M812" s="18">
        <f>N812/K812</f>
        <v>4.1420454545454541</v>
      </c>
      <c r="N812" s="18">
        <v>729</v>
      </c>
      <c r="O812" s="18">
        <f>L812/K812</f>
        <v>0.15909090909090909</v>
      </c>
      <c r="Q812" s="41" t="s">
        <v>148</v>
      </c>
      <c r="R812" s="41">
        <v>30</v>
      </c>
      <c r="S812" s="41">
        <v>4</v>
      </c>
      <c r="T812" s="41">
        <f>W812/R812</f>
        <v>4.1333333333333337</v>
      </c>
      <c r="U812" s="41">
        <f>S812/R812</f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>G813/B813</f>
        <v>4.1500000000000004</v>
      </c>
      <c r="E813" s="41">
        <f>C813/B813</f>
        <v>0.15</v>
      </c>
      <c r="G813" s="18">
        <v>83</v>
      </c>
      <c r="I813">
        <f>ROW(I813)-1</f>
        <v>812</v>
      </c>
      <c r="J813" t="s">
        <v>2</v>
      </c>
      <c r="K813">
        <v>28</v>
      </c>
      <c r="L813">
        <v>5</v>
      </c>
      <c r="M813">
        <f>N813/K813</f>
        <v>4.1428571428571432</v>
      </c>
      <c r="N813">
        <v>116</v>
      </c>
      <c r="O813">
        <f>L813/K813</f>
        <v>0.17857142857142858</v>
      </c>
      <c r="Q813" s="41" t="s">
        <v>2</v>
      </c>
      <c r="R813" s="41">
        <v>28</v>
      </c>
      <c r="S813" s="41">
        <v>5</v>
      </c>
      <c r="T813" s="41">
        <f>W813/R813</f>
        <v>4.1428571428571432</v>
      </c>
      <c r="U813" s="41">
        <f>S813/R813</f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>G814/B814</f>
        <v>4.1500000000000004</v>
      </c>
      <c r="E814" s="41">
        <f>C814/B814</f>
        <v>0.1</v>
      </c>
      <c r="G814" s="18">
        <v>83</v>
      </c>
      <c r="I814">
        <f>ROW(I814)-1</f>
        <v>813</v>
      </c>
      <c r="J814" s="18" t="s">
        <v>58</v>
      </c>
      <c r="K814" s="18">
        <v>20</v>
      </c>
      <c r="L814" s="18">
        <v>3</v>
      </c>
      <c r="M814" s="18">
        <f>N814/K814</f>
        <v>4.1500000000000004</v>
      </c>
      <c r="N814" s="18">
        <v>83</v>
      </c>
      <c r="O814" s="18">
        <f>L814/K814</f>
        <v>0.15</v>
      </c>
      <c r="Q814" s="41" t="s">
        <v>58</v>
      </c>
      <c r="R814" s="41">
        <v>20</v>
      </c>
      <c r="S814" s="41">
        <v>3</v>
      </c>
      <c r="T814" s="41">
        <f>W814/R814</f>
        <v>4.1500000000000004</v>
      </c>
      <c r="U814" s="41">
        <f>S814/R814</f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>G815/B815</f>
        <v>4.1547619047619051</v>
      </c>
      <c r="E815" s="41">
        <f>C815/B815</f>
        <v>0.16666666666666666</v>
      </c>
      <c r="G815" s="18">
        <v>349</v>
      </c>
      <c r="I815">
        <f>ROW(I815)-1</f>
        <v>814</v>
      </c>
      <c r="J815" s="18" t="s">
        <v>9</v>
      </c>
      <c r="K815" s="18">
        <v>20</v>
      </c>
      <c r="L815" s="18">
        <v>2</v>
      </c>
      <c r="M815" s="18">
        <f>N815/K815</f>
        <v>4.1500000000000004</v>
      </c>
      <c r="N815" s="18">
        <v>83</v>
      </c>
      <c r="O815" s="18">
        <f>L815/K815</f>
        <v>0.1</v>
      </c>
      <c r="Q815" s="41" t="s">
        <v>115</v>
      </c>
      <c r="R815" s="41">
        <v>25</v>
      </c>
      <c r="S815" s="41">
        <v>2</v>
      </c>
      <c r="T815" s="41">
        <f>W815/R815</f>
        <v>4.2</v>
      </c>
      <c r="U815" s="41">
        <f>S815/R815</f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>G816/B816</f>
        <v>4.16</v>
      </c>
      <c r="E816" s="41">
        <f>C816/B816</f>
        <v>0.15428571428571428</v>
      </c>
      <c r="G816" s="18">
        <v>728</v>
      </c>
      <c r="I816">
        <f>ROW(I816)-1</f>
        <v>815</v>
      </c>
      <c r="J816" s="18" t="s">
        <v>0</v>
      </c>
      <c r="K816" s="18">
        <v>84</v>
      </c>
      <c r="L816" s="18">
        <v>14</v>
      </c>
      <c r="M816" s="18">
        <f>N816/K816</f>
        <v>4.1547619047619051</v>
      </c>
      <c r="N816" s="18">
        <v>349</v>
      </c>
      <c r="O816" s="18">
        <f>L816/K816</f>
        <v>0.16666666666666666</v>
      </c>
      <c r="Q816" s="41" t="s">
        <v>22</v>
      </c>
      <c r="R816" s="41">
        <v>172</v>
      </c>
      <c r="S816" s="41">
        <v>25</v>
      </c>
      <c r="T816" s="41">
        <f>W816/R816</f>
        <v>4.2093023255813957</v>
      </c>
      <c r="U816" s="41">
        <f>S816/R816</f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>G817/B817</f>
        <v>4.2307692307692308</v>
      </c>
      <c r="E817" s="41">
        <f>C817/B817</f>
        <v>0.19230769230769232</v>
      </c>
      <c r="F817" s="2"/>
      <c r="G817" s="18">
        <v>110</v>
      </c>
      <c r="I817">
        <f>ROW(I817)-1</f>
        <v>816</v>
      </c>
      <c r="J817" s="18" t="s">
        <v>112</v>
      </c>
      <c r="K817" s="18">
        <v>26</v>
      </c>
      <c r="L817" s="18">
        <v>5</v>
      </c>
      <c r="M817" s="18">
        <f>N817/K817</f>
        <v>4.2307692307692308</v>
      </c>
      <c r="N817" s="18">
        <v>110</v>
      </c>
      <c r="O817" s="18">
        <f>L817/K817</f>
        <v>0.19230769230769232</v>
      </c>
      <c r="Q817" s="41" t="s">
        <v>112</v>
      </c>
      <c r="R817" s="41">
        <v>26</v>
      </c>
      <c r="S817" s="41">
        <v>5</v>
      </c>
      <c r="T817" s="41">
        <f>W817/R817</f>
        <v>4.2307692307692308</v>
      </c>
      <c r="U817" s="41">
        <f>S817/R817</f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>G818/B818</f>
        <v>4.2380952380952381</v>
      </c>
      <c r="E818" s="41">
        <f>C818/B818</f>
        <v>0.14285714285714285</v>
      </c>
      <c r="F818" s="2" t="s">
        <v>44</v>
      </c>
      <c r="G818" s="18">
        <v>89</v>
      </c>
      <c r="I818">
        <f>ROW(I818)-1</f>
        <v>817</v>
      </c>
      <c r="J818" s="18" t="s">
        <v>63</v>
      </c>
      <c r="K818" s="18">
        <v>21</v>
      </c>
      <c r="L818" s="18">
        <v>3</v>
      </c>
      <c r="M818" s="18">
        <f>N818/K818</f>
        <v>4.2380952380952381</v>
      </c>
      <c r="N818" s="18">
        <v>89</v>
      </c>
      <c r="O818" s="18">
        <f>L818/K818</f>
        <v>0.14285714285714285</v>
      </c>
      <c r="Q818" s="41" t="s">
        <v>122</v>
      </c>
      <c r="R818" s="41">
        <v>72</v>
      </c>
      <c r="S818" s="41">
        <v>7</v>
      </c>
      <c r="T818" s="41">
        <f>W818/R818</f>
        <v>4.2361111111111107</v>
      </c>
      <c r="U818" s="41">
        <f>S818/R818</f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>G819/B819</f>
        <v>4.25</v>
      </c>
      <c r="E819" s="41">
        <f>C819/B819</f>
        <v>5.9523809523809521E-2</v>
      </c>
      <c r="F819" s="2" t="s">
        <v>44</v>
      </c>
      <c r="G819" s="18">
        <v>357</v>
      </c>
      <c r="I819">
        <f>ROW(I819)-1</f>
        <v>818</v>
      </c>
      <c r="J819" s="18" t="s">
        <v>104</v>
      </c>
      <c r="K819" s="18">
        <v>84</v>
      </c>
      <c r="L819" s="18">
        <v>5</v>
      </c>
      <c r="M819" s="18">
        <f>N819/K819</f>
        <v>4.25</v>
      </c>
      <c r="N819" s="18">
        <v>357</v>
      </c>
      <c r="O819" s="18">
        <f>L819/K819</f>
        <v>5.9523809523809521E-2</v>
      </c>
      <c r="Q819" s="41" t="s">
        <v>63</v>
      </c>
      <c r="R819" s="41">
        <v>21</v>
      </c>
      <c r="S819" s="41">
        <v>3</v>
      </c>
      <c r="T819" s="41">
        <f>W819/R819</f>
        <v>4.2380952380952381</v>
      </c>
      <c r="U819" s="41">
        <f>S819/R819</f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>G820/B820</f>
        <v>4.25</v>
      </c>
      <c r="E820" s="41">
        <f>C820/B820</f>
        <v>0.05</v>
      </c>
      <c r="F820" s="2" t="s">
        <v>44</v>
      </c>
      <c r="G820" s="18">
        <v>85</v>
      </c>
      <c r="I820">
        <f>ROW(I820)-1</f>
        <v>819</v>
      </c>
      <c r="J820" s="18" t="s">
        <v>50</v>
      </c>
      <c r="K820" s="18">
        <v>20</v>
      </c>
      <c r="L820" s="18">
        <v>1</v>
      </c>
      <c r="M820" s="18">
        <f>N820/K820</f>
        <v>4.25</v>
      </c>
      <c r="N820" s="18">
        <v>85</v>
      </c>
      <c r="O820" s="18">
        <f>L820/K820</f>
        <v>0.05</v>
      </c>
      <c r="Q820" s="41" t="s">
        <v>50</v>
      </c>
      <c r="R820" s="41">
        <v>20</v>
      </c>
      <c r="S820" s="41">
        <v>1</v>
      </c>
      <c r="T820" s="41">
        <f>W820/R820</f>
        <v>4.25</v>
      </c>
      <c r="U820" s="41">
        <f>S820/R820</f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>G821/B821</f>
        <v>4.253333333333333</v>
      </c>
      <c r="E821" s="41">
        <f>C821/B821</f>
        <v>9.3333333333333338E-2</v>
      </c>
      <c r="F821" s="3" t="s">
        <v>54</v>
      </c>
      <c r="G821" s="18">
        <v>319</v>
      </c>
      <c r="I821">
        <f>ROW(I821)-1</f>
        <v>820</v>
      </c>
      <c r="J821" s="18" t="s">
        <v>139</v>
      </c>
      <c r="K821" s="18">
        <v>20</v>
      </c>
      <c r="L821" s="18">
        <v>2</v>
      </c>
      <c r="M821" s="18">
        <f>N821/K821</f>
        <v>4.3</v>
      </c>
      <c r="N821" s="18">
        <v>86</v>
      </c>
      <c r="O821" s="18">
        <f>L821/K821</f>
        <v>0.1</v>
      </c>
      <c r="Q821" s="41" t="s">
        <v>104</v>
      </c>
      <c r="R821" s="41">
        <v>75</v>
      </c>
      <c r="S821" s="41">
        <v>5</v>
      </c>
      <c r="T821" s="41">
        <f>W821/R821</f>
        <v>4.293333333333333</v>
      </c>
      <c r="U821" s="41">
        <f>S821/R821</f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>G822/B822</f>
        <v>4.3</v>
      </c>
      <c r="E822" s="41">
        <f>C822/B822</f>
        <v>0.1</v>
      </c>
      <c r="G822" s="18">
        <v>86</v>
      </c>
      <c r="I822">
        <f>ROW(I822)-1</f>
        <v>821</v>
      </c>
      <c r="J822" s="18" t="s">
        <v>122</v>
      </c>
      <c r="K822" s="18">
        <v>80</v>
      </c>
      <c r="L822" s="18">
        <v>7</v>
      </c>
      <c r="M822" s="18">
        <f>N822/K822</f>
        <v>4.3375000000000004</v>
      </c>
      <c r="N822" s="18">
        <v>347</v>
      </c>
      <c r="O822" s="18">
        <f>L822/K822</f>
        <v>8.7499999999999994E-2</v>
      </c>
      <c r="Q822" s="41" t="s">
        <v>139</v>
      </c>
      <c r="R822" s="41">
        <v>20</v>
      </c>
      <c r="S822" s="41">
        <v>2</v>
      </c>
      <c r="T822" s="41">
        <f>W822/R822</f>
        <v>4.3</v>
      </c>
      <c r="U822" s="41">
        <f>S822/R822</f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>G823/B823</f>
        <v>4.384615384615385</v>
      </c>
      <c r="E823" s="41">
        <f>C823/B823</f>
        <v>7.6923076923076927E-2</v>
      </c>
      <c r="G823" s="18">
        <v>171</v>
      </c>
      <c r="I823">
        <f>ROW(I823)-1</f>
        <v>822</v>
      </c>
      <c r="J823" s="18" t="s">
        <v>115</v>
      </c>
      <c r="K823" s="18">
        <v>39</v>
      </c>
      <c r="L823" s="18">
        <v>3</v>
      </c>
      <c r="M823" s="18">
        <f>N823/K823</f>
        <v>4.384615384615385</v>
      </c>
      <c r="N823" s="18">
        <v>171</v>
      </c>
      <c r="O823" s="18">
        <f>L823/K823</f>
        <v>7.6923076923076927E-2</v>
      </c>
      <c r="Q823" s="32" t="s">
        <v>15</v>
      </c>
      <c r="R823" s="65">
        <v>190</v>
      </c>
      <c r="S823" s="32">
        <v>33</v>
      </c>
      <c r="T823" s="32">
        <f>W823/R823</f>
        <v>4.4157894736842103</v>
      </c>
      <c r="U823" s="32">
        <f>S823/R823</f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>G824/B824</f>
        <v>4.4274809160305342</v>
      </c>
      <c r="E824" s="32">
        <f>C824/B824</f>
        <v>0.13740458015267176</v>
      </c>
      <c r="G824" s="18">
        <v>580</v>
      </c>
      <c r="I824">
        <f>ROW(I824)-1</f>
        <v>823</v>
      </c>
      <c r="J824" s="18" t="s">
        <v>21</v>
      </c>
      <c r="K824" s="18">
        <v>135</v>
      </c>
      <c r="L824" s="18">
        <v>20</v>
      </c>
      <c r="M824" s="18">
        <f>N824/K824</f>
        <v>4.3925925925925924</v>
      </c>
      <c r="N824" s="18">
        <v>593</v>
      </c>
      <c r="O824" s="18">
        <f>L824/K824</f>
        <v>0.14814814814814814</v>
      </c>
      <c r="Q824" s="32" t="s">
        <v>27</v>
      </c>
      <c r="R824" s="32">
        <v>36</v>
      </c>
      <c r="S824" s="32">
        <v>3</v>
      </c>
      <c r="T824" s="32">
        <f>W824/R824</f>
        <v>4.4444444444444446</v>
      </c>
      <c r="U824" s="32">
        <f>S824/R824</f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>G825/B825</f>
        <v>4.4333333333333336</v>
      </c>
      <c r="E825" s="32">
        <f>C825/B825</f>
        <v>0.13333333333333333</v>
      </c>
      <c r="G825" s="18">
        <v>133</v>
      </c>
      <c r="I825">
        <f>ROW(I825)-1</f>
        <v>824</v>
      </c>
      <c r="J825" s="18" t="s">
        <v>123</v>
      </c>
      <c r="K825" s="18">
        <v>30</v>
      </c>
      <c r="L825" s="18">
        <v>4</v>
      </c>
      <c r="M825" s="18">
        <f>N825/K825</f>
        <v>4.4333333333333336</v>
      </c>
      <c r="N825" s="18">
        <v>133</v>
      </c>
      <c r="O825" s="18">
        <f>L825/K825</f>
        <v>0.13333333333333333</v>
      </c>
      <c r="Q825" s="32" t="s">
        <v>129</v>
      </c>
      <c r="R825" s="32">
        <v>40</v>
      </c>
      <c r="S825" s="32">
        <v>7</v>
      </c>
      <c r="T825" s="32">
        <f>W825/R825</f>
        <v>4.45</v>
      </c>
      <c r="U825" s="32">
        <f>S825/R825</f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>G826/B826</f>
        <v>4.4444444444444446</v>
      </c>
      <c r="E826" s="32">
        <f>C826/B826</f>
        <v>8.3333333333333329E-2</v>
      </c>
      <c r="G826" s="18">
        <v>160</v>
      </c>
      <c r="I826">
        <f>ROW(I826)-1</f>
        <v>825</v>
      </c>
      <c r="J826" s="18" t="s">
        <v>27</v>
      </c>
      <c r="K826" s="18">
        <v>36</v>
      </c>
      <c r="L826" s="18">
        <v>3</v>
      </c>
      <c r="M826" s="18">
        <f>N826/K826</f>
        <v>4.4444444444444446</v>
      </c>
      <c r="N826" s="18">
        <v>160</v>
      </c>
      <c r="O826" s="18">
        <f>L826/K826</f>
        <v>8.3333333333333329E-2</v>
      </c>
      <c r="Q826" s="32" t="s">
        <v>8</v>
      </c>
      <c r="R826" s="32">
        <v>46</v>
      </c>
      <c r="S826" s="32">
        <v>5</v>
      </c>
      <c r="T826" s="32">
        <f>W826/R826</f>
        <v>4.4782608695652177</v>
      </c>
      <c r="U826" s="32">
        <f>S826/R826</f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>G827/B827</f>
        <v>4.45</v>
      </c>
      <c r="E827" s="32">
        <f>C827/B827</f>
        <v>0.17499999999999999</v>
      </c>
      <c r="G827">
        <v>178</v>
      </c>
      <c r="I827">
        <f>ROW(I827)-1</f>
        <v>826</v>
      </c>
      <c r="J827" t="s">
        <v>129</v>
      </c>
      <c r="K827">
        <v>40</v>
      </c>
      <c r="L827">
        <v>7</v>
      </c>
      <c r="M827">
        <f>N827/K827</f>
        <v>4.45</v>
      </c>
      <c r="N827">
        <v>178</v>
      </c>
      <c r="O827">
        <f>L827/K827</f>
        <v>0.17499999999999999</v>
      </c>
      <c r="Q827" s="32" t="s">
        <v>24</v>
      </c>
      <c r="R827" s="32">
        <v>83</v>
      </c>
      <c r="S827" s="32">
        <v>10</v>
      </c>
      <c r="T827" s="32">
        <f>W827/R827</f>
        <v>4.4819277108433733</v>
      </c>
      <c r="U827" s="32">
        <f>S827/R827</f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>G828/B828</f>
        <v>4.4782608695652177</v>
      </c>
      <c r="E828" s="32">
        <f>C828/B828</f>
        <v>0.10869565217391304</v>
      </c>
      <c r="G828" s="18">
        <v>206</v>
      </c>
      <c r="I828">
        <f>ROW(I828)-1</f>
        <v>827</v>
      </c>
      <c r="J828" s="18" t="s">
        <v>8</v>
      </c>
      <c r="K828" s="18">
        <v>46</v>
      </c>
      <c r="L828" s="18">
        <v>5</v>
      </c>
      <c r="M828" s="18">
        <f>N828/K828</f>
        <v>4.4782608695652177</v>
      </c>
      <c r="N828" s="18">
        <v>206</v>
      </c>
      <c r="O828" s="18">
        <f>L828/K828</f>
        <v>0.10869565217391304</v>
      </c>
      <c r="Q828" s="32" t="s">
        <v>21</v>
      </c>
      <c r="R828" s="32">
        <v>113</v>
      </c>
      <c r="S828" s="32">
        <v>16</v>
      </c>
      <c r="T828" s="32">
        <f>W828/R828</f>
        <v>4.4955752212389379</v>
      </c>
      <c r="U828" s="32">
        <f>S828/R828</f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>G829/B829</f>
        <v>4.5</v>
      </c>
      <c r="E829" s="32">
        <f>C829/B829</f>
        <v>0.16355140186915887</v>
      </c>
      <c r="G829" s="18">
        <v>963</v>
      </c>
      <c r="I829">
        <f>ROW(I829)-1</f>
        <v>828</v>
      </c>
      <c r="J829" s="18" t="s">
        <v>15</v>
      </c>
      <c r="K829" s="18">
        <v>217</v>
      </c>
      <c r="L829" s="18">
        <v>35</v>
      </c>
      <c r="M829" s="18">
        <f>N829/K829</f>
        <v>4.5115207373271886</v>
      </c>
      <c r="N829" s="18">
        <v>979</v>
      </c>
      <c r="O829" s="18">
        <f>L829/K829</f>
        <v>0.16129032258064516</v>
      </c>
      <c r="Q829" s="32" t="s">
        <v>123</v>
      </c>
      <c r="R829" s="32">
        <v>25</v>
      </c>
      <c r="S829" s="32">
        <v>4</v>
      </c>
      <c r="T829" s="32">
        <f>W829/R829</f>
        <v>4.5199999999999996</v>
      </c>
      <c r="U829" s="32">
        <f>S829/R829</f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>G830/B830</f>
        <v>4.5505617977528088</v>
      </c>
      <c r="E830" s="32">
        <f>C830/B830</f>
        <v>0.11235955056179775</v>
      </c>
      <c r="G830" s="18">
        <v>405</v>
      </c>
      <c r="I830">
        <f>ROW(I830)-1</f>
        <v>829</v>
      </c>
      <c r="J830" s="18" t="s">
        <v>24</v>
      </c>
      <c r="K830" s="18">
        <v>89</v>
      </c>
      <c r="L830" s="18">
        <v>10</v>
      </c>
      <c r="M830" s="18">
        <f>N830/K830</f>
        <v>4.5505617977528088</v>
      </c>
      <c r="N830" s="18">
        <v>405</v>
      </c>
      <c r="O830" s="18">
        <f>L830/K830</f>
        <v>0.11235955056179775</v>
      </c>
      <c r="Q830" s="32" t="s">
        <v>1</v>
      </c>
      <c r="R830" s="32">
        <v>83</v>
      </c>
      <c r="S830" s="32">
        <v>4</v>
      </c>
      <c r="T830" s="32">
        <f>W830/R830</f>
        <v>4.5421686746987948</v>
      </c>
      <c r="U830" s="32">
        <f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>G831/B831</f>
        <v>4.6086956521739131</v>
      </c>
      <c r="E831" s="32">
        <f>C831/B831</f>
        <v>4.3478260869565216E-2</v>
      </c>
      <c r="G831" s="18">
        <v>106</v>
      </c>
      <c r="I831">
        <f>ROW(I831)-1</f>
        <v>830</v>
      </c>
      <c r="J831" s="18" t="s">
        <v>5</v>
      </c>
      <c r="K831" s="18">
        <v>23</v>
      </c>
      <c r="L831" s="18">
        <v>1</v>
      </c>
      <c r="M831" s="18">
        <f>N831/K831</f>
        <v>4.6086956521739131</v>
      </c>
      <c r="N831" s="18">
        <v>106</v>
      </c>
      <c r="O831" s="18">
        <f>L831/K831</f>
        <v>4.3478260869565216E-2</v>
      </c>
      <c r="Q831" s="32" t="s">
        <v>428</v>
      </c>
      <c r="R831" s="32">
        <v>21</v>
      </c>
      <c r="S831" s="32">
        <v>0</v>
      </c>
      <c r="T831" s="32">
        <f>W831/R831</f>
        <v>4.6190476190476186</v>
      </c>
      <c r="U831" s="32">
        <f>S831/R831</f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>G832/B832</f>
        <v>4.6190476190476186</v>
      </c>
      <c r="E832" s="32">
        <f>C832/B832</f>
        <v>0</v>
      </c>
      <c r="G832">
        <v>97</v>
      </c>
      <c r="I832">
        <f>ROW(I832)-1</f>
        <v>831</v>
      </c>
      <c r="J832" t="s">
        <v>428</v>
      </c>
      <c r="K832">
        <v>21</v>
      </c>
      <c r="L832">
        <v>0</v>
      </c>
      <c r="M832">
        <f>N832/K832</f>
        <v>4.6190476190476186</v>
      </c>
      <c r="N832">
        <v>97</v>
      </c>
      <c r="O832">
        <f>L832/K832</f>
        <v>0</v>
      </c>
      <c r="Q832" s="32" t="s">
        <v>14</v>
      </c>
      <c r="R832" s="32">
        <v>45</v>
      </c>
      <c r="S832" s="32">
        <v>3</v>
      </c>
      <c r="T832" s="32">
        <f>W832/R832</f>
        <v>4.7111111111111112</v>
      </c>
      <c r="U832" s="32">
        <f>S832/R832</f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>G833/B833</f>
        <v>4.6222222222222218</v>
      </c>
      <c r="E833" s="32">
        <f>C833/B833</f>
        <v>4.4444444444444446E-2</v>
      </c>
      <c r="G833" s="18">
        <v>416</v>
      </c>
      <c r="I833">
        <f>ROW(I833)-1</f>
        <v>832</v>
      </c>
      <c r="J833" s="18" t="s">
        <v>79</v>
      </c>
      <c r="K833" s="18">
        <v>54</v>
      </c>
      <c r="L833" s="18">
        <v>6</v>
      </c>
      <c r="M833" s="18">
        <f>N833/K833</f>
        <v>4.6296296296296298</v>
      </c>
      <c r="N833" s="18">
        <v>250</v>
      </c>
      <c r="O833" s="18">
        <f>L833/K833</f>
        <v>0.1111111111111111</v>
      </c>
      <c r="Q833" s="32" t="s">
        <v>61</v>
      </c>
      <c r="R833" s="32">
        <v>25</v>
      </c>
      <c r="S833" s="32">
        <v>6</v>
      </c>
      <c r="T833" s="32">
        <f>W833/R833</f>
        <v>4.72</v>
      </c>
      <c r="U833" s="32">
        <f>S833/R833</f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>G834/B834</f>
        <v>4.6296296296296298</v>
      </c>
      <c r="E834" s="32">
        <f>C834/B834</f>
        <v>0.1111111111111111</v>
      </c>
      <c r="G834" s="18">
        <v>250</v>
      </c>
      <c r="I834">
        <f>ROW(I834)-1</f>
        <v>833</v>
      </c>
      <c r="J834" s="18" t="s">
        <v>1</v>
      </c>
      <c r="K834" s="18">
        <v>92</v>
      </c>
      <c r="L834" s="18">
        <v>4</v>
      </c>
      <c r="M834" s="18">
        <f>N834/K834</f>
        <v>4.6739130434782608</v>
      </c>
      <c r="N834" s="18">
        <v>430</v>
      </c>
      <c r="O834" s="18">
        <f>L834/K834</f>
        <v>4.3478260869565216E-2</v>
      </c>
      <c r="Q834" s="32" t="s">
        <v>13</v>
      </c>
      <c r="R834" s="32">
        <v>36</v>
      </c>
      <c r="S834" s="32">
        <v>2</v>
      </c>
      <c r="T834" s="32">
        <f>W834/R834</f>
        <v>4.7222222222222223</v>
      </c>
      <c r="U834" s="32">
        <f>S834/R834</f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>G835/B835</f>
        <v>4.7111111111111112</v>
      </c>
      <c r="E835" s="32">
        <f>C835/B835</f>
        <v>6.6666666666666666E-2</v>
      </c>
      <c r="G835">
        <v>212</v>
      </c>
      <c r="I835">
        <f>ROW(I835)-1</f>
        <v>834</v>
      </c>
      <c r="J835" t="s">
        <v>14</v>
      </c>
      <c r="K835">
        <v>45</v>
      </c>
      <c r="L835">
        <v>3</v>
      </c>
      <c r="M835">
        <f>N835/K835</f>
        <v>4.7111111111111112</v>
      </c>
      <c r="N835">
        <v>212</v>
      </c>
      <c r="O835">
        <f>L835/K835</f>
        <v>6.6666666666666666E-2</v>
      </c>
      <c r="Q835" s="32" t="s">
        <v>12</v>
      </c>
      <c r="R835" s="32">
        <v>20</v>
      </c>
      <c r="S835" s="32">
        <v>0</v>
      </c>
      <c r="T835" s="32">
        <f>W835/R835</f>
        <v>4.75</v>
      </c>
      <c r="U835" s="32">
        <f>S835/R835</f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>G836/B836</f>
        <v>4.7222222222222223</v>
      </c>
      <c r="E836" s="32">
        <f>C836/B836</f>
        <v>5.5555555555555552E-2</v>
      </c>
      <c r="G836" s="18">
        <v>170</v>
      </c>
      <c r="I836">
        <f>ROW(I836)-1</f>
        <v>835</v>
      </c>
      <c r="J836" s="18" t="s">
        <v>13</v>
      </c>
      <c r="K836" s="18">
        <v>36</v>
      </c>
      <c r="L836" s="18">
        <v>2</v>
      </c>
      <c r="M836" s="18">
        <f>N836/K836</f>
        <v>4.7222222222222223</v>
      </c>
      <c r="N836" s="18">
        <v>170</v>
      </c>
      <c r="O836" s="18">
        <f>L836/K836</f>
        <v>5.5555555555555552E-2</v>
      </c>
      <c r="Q836" s="38" t="s">
        <v>87</v>
      </c>
      <c r="R836" s="38">
        <v>54</v>
      </c>
      <c r="S836" s="38">
        <v>8</v>
      </c>
      <c r="T836" s="38">
        <f>W836/R836</f>
        <v>4.8518518518518521</v>
      </c>
      <c r="U836" s="38">
        <f>S836/R836</f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>G837/B837</f>
        <v>4.75</v>
      </c>
      <c r="E837" s="32">
        <f>C837/B837</f>
        <v>0</v>
      </c>
      <c r="G837" s="18">
        <v>95</v>
      </c>
      <c r="I837">
        <f>ROW(I837)-1</f>
        <v>836</v>
      </c>
      <c r="J837" s="18" t="s">
        <v>12</v>
      </c>
      <c r="K837" s="18">
        <v>20</v>
      </c>
      <c r="L837" s="18">
        <v>0</v>
      </c>
      <c r="M837" s="18">
        <f>N837/K837</f>
        <v>4.75</v>
      </c>
      <c r="N837" s="18">
        <v>95</v>
      </c>
      <c r="O837" s="18">
        <f>L837/K837</f>
        <v>0</v>
      </c>
      <c r="Q837" s="38" t="s">
        <v>37</v>
      </c>
      <c r="R837" s="38">
        <v>22</v>
      </c>
      <c r="S837" s="38">
        <v>2</v>
      </c>
      <c r="T837" s="38">
        <f>W837/R837</f>
        <v>4.9090909090909092</v>
      </c>
      <c r="U837" s="38">
        <f>S837/R837</f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>G838/B838</f>
        <v>4.7750000000000004</v>
      </c>
      <c r="E838" s="32">
        <f>C838/B838</f>
        <v>0.15</v>
      </c>
      <c r="G838" s="18">
        <v>382</v>
      </c>
      <c r="I838">
        <f>ROW(I838)-1</f>
        <v>837</v>
      </c>
      <c r="J838" s="18" t="s">
        <v>87</v>
      </c>
      <c r="K838" s="18">
        <v>84</v>
      </c>
      <c r="L838" s="18">
        <v>12</v>
      </c>
      <c r="M838" s="18">
        <f>N838/K838</f>
        <v>4.7619047619047619</v>
      </c>
      <c r="N838" s="18">
        <v>400</v>
      </c>
      <c r="O838" s="18">
        <f>L838/K838</f>
        <v>0.14285714285714285</v>
      </c>
      <c r="Q838" s="38" t="s">
        <v>4</v>
      </c>
      <c r="R838" s="38">
        <v>20</v>
      </c>
      <c r="S838" s="38">
        <v>3</v>
      </c>
      <c r="T838" s="38">
        <f>W838/R838</f>
        <v>4.95</v>
      </c>
      <c r="U838" s="38">
        <f>S838/R838</f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>G839/B839</f>
        <v>4.8518518518518521</v>
      </c>
      <c r="E839" s="18">
        <f>C839/B839</f>
        <v>0.22222222222222221</v>
      </c>
      <c r="G839" s="18">
        <v>131</v>
      </c>
      <c r="I839">
        <f>ROW(I839)-1</f>
        <v>838</v>
      </c>
      <c r="J839" s="18" t="s">
        <v>61</v>
      </c>
      <c r="K839" s="18">
        <v>28</v>
      </c>
      <c r="L839" s="18">
        <v>6</v>
      </c>
      <c r="M839" s="18">
        <f>N839/K839</f>
        <v>4.8571428571428568</v>
      </c>
      <c r="N839" s="18">
        <v>136</v>
      </c>
      <c r="O839" s="18">
        <f>L839/K839</f>
        <v>0.21428571428571427</v>
      </c>
      <c r="Q839" s="38" t="s">
        <v>25</v>
      </c>
      <c r="R839" s="38">
        <v>88</v>
      </c>
      <c r="S839" s="38">
        <v>8</v>
      </c>
      <c r="T839" s="38">
        <f>W839/R839</f>
        <v>5.0227272727272725</v>
      </c>
      <c r="U839" s="38">
        <f>S839/R839</f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>G840/B840</f>
        <v>4.9090909090909092</v>
      </c>
      <c r="E840" s="18">
        <f>C840/B840</f>
        <v>9.0909090909090912E-2</v>
      </c>
      <c r="G840" s="18">
        <v>108</v>
      </c>
      <c r="I840">
        <f>ROW(I840)-1</f>
        <v>839</v>
      </c>
      <c r="J840" s="18" t="s">
        <v>37</v>
      </c>
      <c r="K840" s="18">
        <v>22</v>
      </c>
      <c r="L840" s="18">
        <v>2</v>
      </c>
      <c r="M840" s="18">
        <f>N840/K840</f>
        <v>4.9090909090909092</v>
      </c>
      <c r="N840" s="18">
        <v>108</v>
      </c>
      <c r="O840" s="18">
        <f>L840/K840</f>
        <v>9.0909090909090912E-2</v>
      </c>
      <c r="Q840" s="38" t="s">
        <v>30</v>
      </c>
      <c r="R840" s="38">
        <v>33</v>
      </c>
      <c r="S840" s="38">
        <v>3</v>
      </c>
      <c r="T840" s="38">
        <f>W840/R840</f>
        <v>5.0303030303030303</v>
      </c>
      <c r="U840" s="38">
        <f>S840/R840</f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>G841/B841</f>
        <v>4.9189189189189193</v>
      </c>
      <c r="E841" s="18">
        <f>C841/B841</f>
        <v>8.1081081081081086E-2</v>
      </c>
      <c r="G841" s="18">
        <v>182</v>
      </c>
      <c r="I841">
        <f>ROW(I841)-1</f>
        <v>840</v>
      </c>
      <c r="J841" s="18" t="s">
        <v>51</v>
      </c>
      <c r="K841" s="18">
        <v>37</v>
      </c>
      <c r="L841" s="18">
        <v>3</v>
      </c>
      <c r="M841" s="18">
        <f>N841/K841</f>
        <v>4.9189189189189193</v>
      </c>
      <c r="N841" s="18">
        <v>182</v>
      </c>
      <c r="O841" s="18">
        <f>L841/K841</f>
        <v>8.1081081081081086E-2</v>
      </c>
      <c r="Q841" s="38" t="s">
        <v>81</v>
      </c>
      <c r="R841" s="38">
        <v>48</v>
      </c>
      <c r="S841" s="38">
        <v>2</v>
      </c>
      <c r="T841" s="38">
        <f>W841/R841</f>
        <v>5.041666666666667</v>
      </c>
      <c r="U841" s="38">
        <f>S841/R841</f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>G842/B842</f>
        <v>4.9230769230769234</v>
      </c>
      <c r="E842" s="18">
        <f>C842/B842</f>
        <v>9.4017094017094016E-2</v>
      </c>
      <c r="G842" s="18">
        <v>576</v>
      </c>
      <c r="I842">
        <f>ROW(I842)-1</f>
        <v>841</v>
      </c>
      <c r="J842" s="18" t="s">
        <v>4</v>
      </c>
      <c r="K842" s="18">
        <v>20</v>
      </c>
      <c r="L842" s="18">
        <v>3</v>
      </c>
      <c r="M842" s="18">
        <f>N842/K842</f>
        <v>4.95</v>
      </c>
      <c r="N842" s="18">
        <v>99</v>
      </c>
      <c r="O842" s="18">
        <f>L842/K842</f>
        <v>0.15</v>
      </c>
      <c r="Q842" s="38" t="s">
        <v>105</v>
      </c>
      <c r="R842" s="38">
        <v>20</v>
      </c>
      <c r="S842" s="38">
        <v>0</v>
      </c>
      <c r="T842" s="38">
        <f>W842/R842</f>
        <v>5.05</v>
      </c>
      <c r="U842" s="38">
        <f>S842/R842</f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>G843/B843</f>
        <v>4.95</v>
      </c>
      <c r="E843" s="18">
        <f>C843/B843</f>
        <v>0.15</v>
      </c>
      <c r="G843" s="18">
        <v>99</v>
      </c>
      <c r="I843">
        <f>ROW(I843)-1</f>
        <v>842</v>
      </c>
      <c r="J843" s="18" t="s">
        <v>25</v>
      </c>
      <c r="K843" s="18">
        <v>123</v>
      </c>
      <c r="L843" s="18">
        <v>11</v>
      </c>
      <c r="M843" s="18">
        <f>N843/K843</f>
        <v>4.9674796747967482</v>
      </c>
      <c r="N843" s="18">
        <v>611</v>
      </c>
      <c r="O843" s="18">
        <f>L843/K843</f>
        <v>8.943089430894309E-2</v>
      </c>
      <c r="Q843" s="38" t="s">
        <v>99</v>
      </c>
      <c r="R843" s="38">
        <v>20</v>
      </c>
      <c r="S843" s="38">
        <v>2</v>
      </c>
      <c r="T843" s="38">
        <f>W843/R843</f>
        <v>5.05</v>
      </c>
      <c r="U843" s="38">
        <f>S843/R843</f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>G844/B844</f>
        <v>5</v>
      </c>
      <c r="E844" s="18">
        <f>C844/B844</f>
        <v>3.7735849056603772E-2</v>
      </c>
      <c r="G844" s="18">
        <v>265</v>
      </c>
      <c r="I844">
        <f>ROW(I844)-1</f>
        <v>843</v>
      </c>
      <c r="J844" s="18" t="s">
        <v>81</v>
      </c>
      <c r="K844" s="18">
        <v>53</v>
      </c>
      <c r="L844" s="18">
        <v>2</v>
      </c>
      <c r="M844" s="18">
        <f>N844/K844</f>
        <v>5</v>
      </c>
      <c r="N844" s="18">
        <v>265</v>
      </c>
      <c r="O844" s="18">
        <f>L844/K844</f>
        <v>3.7735849056603772E-2</v>
      </c>
      <c r="Q844" s="38" t="s">
        <v>51</v>
      </c>
      <c r="R844" s="38">
        <v>33</v>
      </c>
      <c r="S844" s="38">
        <v>2</v>
      </c>
      <c r="T844" s="38">
        <f>W844/R844</f>
        <v>5.0606060606060606</v>
      </c>
      <c r="U844" s="38">
        <f>S844/R844</f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>G845/B845</f>
        <v>5.05</v>
      </c>
      <c r="E845">
        <f>C845/B845</f>
        <v>0</v>
      </c>
      <c r="G845">
        <v>101</v>
      </c>
      <c r="I845">
        <f>ROW(I845)-1</f>
        <v>844</v>
      </c>
      <c r="J845" t="s">
        <v>105</v>
      </c>
      <c r="K845">
        <v>20</v>
      </c>
      <c r="L845">
        <v>0</v>
      </c>
      <c r="M845">
        <f>N845/K845</f>
        <v>5.05</v>
      </c>
      <c r="N845">
        <v>101</v>
      </c>
      <c r="O845">
        <f>L845/K845</f>
        <v>0</v>
      </c>
      <c r="Q845" s="38" t="s">
        <v>79</v>
      </c>
      <c r="R845" s="38">
        <v>30</v>
      </c>
      <c r="S845" s="38">
        <v>1</v>
      </c>
      <c r="T845" s="38">
        <f>W845/R845</f>
        <v>5.0666666666666664</v>
      </c>
      <c r="U845" s="38">
        <f>S845/R845</f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>G846/B846</f>
        <v>5.05</v>
      </c>
      <c r="E846" s="18">
        <f>C846/B846</f>
        <v>0.1</v>
      </c>
      <c r="G846" s="18">
        <v>101</v>
      </c>
      <c r="I846">
        <f>ROW(I846)-1</f>
        <v>845</v>
      </c>
      <c r="J846" s="18" t="s">
        <v>99</v>
      </c>
      <c r="K846" s="18">
        <v>20</v>
      </c>
      <c r="L846" s="18">
        <v>2</v>
      </c>
      <c r="M846" s="18">
        <f>N846/K846</f>
        <v>5.05</v>
      </c>
      <c r="N846" s="18">
        <v>101</v>
      </c>
      <c r="O846" s="18">
        <f>L846/K846</f>
        <v>0.1</v>
      </c>
      <c r="Q846" s="38" t="s">
        <v>20</v>
      </c>
      <c r="R846" s="38">
        <v>22</v>
      </c>
      <c r="S846" s="38">
        <v>2</v>
      </c>
      <c r="T846" s="38">
        <f>W846/R846</f>
        <v>5.1818181818181817</v>
      </c>
      <c r="U846" s="38">
        <f>S846/R846</f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>G847/B847</f>
        <v>5.15</v>
      </c>
      <c r="E847" s="18">
        <f>C847/B847</f>
        <v>0</v>
      </c>
      <c r="G847" s="18">
        <v>103</v>
      </c>
      <c r="I847">
        <f>ROW(I847)-1</f>
        <v>846</v>
      </c>
      <c r="J847" s="18" t="s">
        <v>82</v>
      </c>
      <c r="K847" s="18">
        <v>20</v>
      </c>
      <c r="L847" s="18">
        <v>0</v>
      </c>
      <c r="M847" s="18">
        <f>N847/K847</f>
        <v>5.15</v>
      </c>
      <c r="N847" s="18">
        <v>103</v>
      </c>
      <c r="O847" s="18">
        <f>L847/K847</f>
        <v>0</v>
      </c>
      <c r="Q847" s="66" t="s">
        <v>31</v>
      </c>
      <c r="R847" s="66">
        <v>126</v>
      </c>
      <c r="S847" s="66">
        <v>8</v>
      </c>
      <c r="T847" s="66">
        <f>W847/R847</f>
        <v>5.3253968253968251</v>
      </c>
      <c r="U847" s="66">
        <f>S847/R847</f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>G848/B848</f>
        <v>5.1818181818181817</v>
      </c>
      <c r="E848" s="18">
        <f>C848/B848</f>
        <v>9.0909090909090912E-2</v>
      </c>
      <c r="G848" s="18">
        <v>114</v>
      </c>
      <c r="I848">
        <f>ROW(I848)-1</f>
        <v>847</v>
      </c>
      <c r="J848" s="18" t="s">
        <v>20</v>
      </c>
      <c r="K848" s="18">
        <v>22</v>
      </c>
      <c r="L848" s="18">
        <v>2</v>
      </c>
      <c r="M848" s="18">
        <f>N848/K848</f>
        <v>5.1818181818181817</v>
      </c>
      <c r="N848" s="18">
        <v>114</v>
      </c>
      <c r="O848" s="18">
        <f>L848/K848</f>
        <v>9.0909090909090912E-2</v>
      </c>
      <c r="Q848" s="66" t="s">
        <v>19</v>
      </c>
      <c r="R848" s="66">
        <v>23</v>
      </c>
      <c r="S848" s="66">
        <v>1</v>
      </c>
      <c r="T848" s="66">
        <f>W848/R848</f>
        <v>5.3478260869565215</v>
      </c>
      <c r="U848" s="66">
        <f>S848/R848</f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>G849/B849</f>
        <v>5.1923076923076925</v>
      </c>
      <c r="E849" s="18">
        <f>C849/B849</f>
        <v>7.6923076923076927E-2</v>
      </c>
      <c r="G849" s="18">
        <v>135</v>
      </c>
      <c r="I849">
        <f>ROW(I849)-1</f>
        <v>848</v>
      </c>
      <c r="J849" s="18" t="s">
        <v>19</v>
      </c>
      <c r="K849" s="18">
        <v>26</v>
      </c>
      <c r="L849" s="18">
        <v>2</v>
      </c>
      <c r="M849" s="18">
        <f>N849/K849</f>
        <v>5.1923076923076925</v>
      </c>
      <c r="N849" s="18">
        <v>135</v>
      </c>
      <c r="O849" s="18">
        <f>L849/K849</f>
        <v>7.6923076923076927E-2</v>
      </c>
      <c r="Q849" s="66" t="s">
        <v>6</v>
      </c>
      <c r="R849" s="66">
        <v>45</v>
      </c>
      <c r="S849" s="66">
        <v>3</v>
      </c>
      <c r="T849" s="66">
        <f>W849/R849</f>
        <v>5.3555555555555552</v>
      </c>
      <c r="U849" s="66">
        <f>S849/R849</f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>G850/B850</f>
        <v>5.2</v>
      </c>
      <c r="E850" s="18">
        <f>C850/B850</f>
        <v>7.4999999999999997E-2</v>
      </c>
      <c r="G850" s="18">
        <v>208</v>
      </c>
      <c r="I850">
        <f>ROW(I850)-1</f>
        <v>849</v>
      </c>
      <c r="J850" s="18" t="s">
        <v>26</v>
      </c>
      <c r="K850" s="18">
        <v>50</v>
      </c>
      <c r="L850" s="18">
        <v>4</v>
      </c>
      <c r="M850" s="18">
        <f>N850/K850</f>
        <v>5.2</v>
      </c>
      <c r="N850" s="18">
        <v>260</v>
      </c>
      <c r="O850" s="18">
        <f>L850/K850</f>
        <v>0.08</v>
      </c>
      <c r="Q850" s="66" t="s">
        <v>253</v>
      </c>
      <c r="R850" s="66">
        <v>28</v>
      </c>
      <c r="S850" s="66">
        <v>1</v>
      </c>
      <c r="T850" s="66">
        <f>W850/R850</f>
        <v>5.3571428571428568</v>
      </c>
      <c r="U850" s="66">
        <f>S850/R850</f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>G851/B851</f>
        <v>5.2</v>
      </c>
      <c r="E851" s="18">
        <f>C851/B851</f>
        <v>0.08</v>
      </c>
      <c r="G851" s="18">
        <v>260</v>
      </c>
      <c r="I851">
        <f>ROW(I851)-1</f>
        <v>850</v>
      </c>
      <c r="J851" s="18" t="s">
        <v>30</v>
      </c>
      <c r="K851" s="18">
        <v>41</v>
      </c>
      <c r="L851" s="18">
        <v>3</v>
      </c>
      <c r="M851" s="18">
        <f>N851/K851</f>
        <v>5.2439024390243905</v>
      </c>
      <c r="N851" s="18">
        <v>215</v>
      </c>
      <c r="O851" s="18">
        <f>L851/K851</f>
        <v>7.3170731707317069E-2</v>
      </c>
      <c r="Q851" s="66" t="s">
        <v>26</v>
      </c>
      <c r="R851" s="66">
        <v>32</v>
      </c>
      <c r="S851" s="66">
        <v>2</v>
      </c>
      <c r="T851" s="66">
        <f>W851/R851</f>
        <v>5.375</v>
      </c>
      <c r="U851" s="66">
        <f>S851/R851</f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>G852/B852</f>
        <v>5.2356687898089174</v>
      </c>
      <c r="E852" s="18">
        <f>C852/B852</f>
        <v>7.6433121019108277E-2</v>
      </c>
      <c r="G852" s="18">
        <v>822</v>
      </c>
      <c r="I852">
        <f>ROW(I852)-1</f>
        <v>851</v>
      </c>
      <c r="J852" s="18" t="s">
        <v>17</v>
      </c>
      <c r="K852" s="18">
        <v>20</v>
      </c>
      <c r="L852" s="18">
        <v>2</v>
      </c>
      <c r="M852" s="18">
        <f>N852/K852</f>
        <v>5.25</v>
      </c>
      <c r="N852" s="18">
        <v>105</v>
      </c>
      <c r="O852" s="18">
        <f>L852/K852</f>
        <v>0.1</v>
      </c>
      <c r="Q852" s="66" t="s">
        <v>56</v>
      </c>
      <c r="R852" s="66">
        <v>21</v>
      </c>
      <c r="S852" s="66">
        <v>0</v>
      </c>
      <c r="T852" s="66">
        <f>W852/R852</f>
        <v>5.3809523809523814</v>
      </c>
      <c r="U852" s="66">
        <f>S852/R852</f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>G853/B853</f>
        <v>5.25</v>
      </c>
      <c r="E853" s="18">
        <f>C853/B853</f>
        <v>0.1</v>
      </c>
      <c r="G853" s="18">
        <v>105</v>
      </c>
      <c r="I853">
        <f>ROW(I853)-1</f>
        <v>852</v>
      </c>
      <c r="J853" s="18" t="s">
        <v>404</v>
      </c>
      <c r="K853" s="18">
        <v>20</v>
      </c>
      <c r="L853" s="18">
        <v>2</v>
      </c>
      <c r="M853" s="18">
        <f>N853/K853</f>
        <v>5.25</v>
      </c>
      <c r="N853" s="18">
        <v>105</v>
      </c>
      <c r="O853" s="18">
        <f>L853/K853</f>
        <v>0.1</v>
      </c>
      <c r="Q853" s="66" t="s">
        <v>90</v>
      </c>
      <c r="R853" s="66">
        <v>27</v>
      </c>
      <c r="S853" s="66">
        <v>3</v>
      </c>
      <c r="T853" s="66">
        <f>W853/R853</f>
        <v>5.4074074074074074</v>
      </c>
      <c r="U853" s="66">
        <f>S853/R853</f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>G854/B854</f>
        <v>5.25</v>
      </c>
      <c r="E854" s="18">
        <f>C854/B854</f>
        <v>0.1</v>
      </c>
      <c r="G854" s="18">
        <v>105</v>
      </c>
      <c r="I854">
        <f>ROW(I854)-1</f>
        <v>853</v>
      </c>
      <c r="J854" s="18" t="s">
        <v>31</v>
      </c>
      <c r="K854" s="18">
        <v>161</v>
      </c>
      <c r="L854" s="18">
        <v>12</v>
      </c>
      <c r="M854" s="18">
        <f>N854/K854</f>
        <v>5.2546583850931681</v>
      </c>
      <c r="N854" s="18">
        <v>846</v>
      </c>
      <c r="O854" s="18">
        <f>L854/K854</f>
        <v>7.4534161490683232E-2</v>
      </c>
      <c r="Q854" s="66" t="s">
        <v>49</v>
      </c>
      <c r="R854" s="66">
        <v>68</v>
      </c>
      <c r="S854" s="66">
        <v>3</v>
      </c>
      <c r="T854" s="66">
        <f>W854/R854</f>
        <v>5.5147058823529411</v>
      </c>
      <c r="U854" s="66">
        <f>S854/R854</f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>G855/B855</f>
        <v>5.3103448275862073</v>
      </c>
      <c r="E855" s="18">
        <f>C855/B855</f>
        <v>3.4482758620689655E-2</v>
      </c>
      <c r="G855" s="18">
        <v>154</v>
      </c>
      <c r="I855">
        <f>ROW(I855)-1</f>
        <v>854</v>
      </c>
      <c r="J855" s="18" t="s">
        <v>49</v>
      </c>
      <c r="K855" s="18">
        <v>95</v>
      </c>
      <c r="L855" s="18">
        <v>7</v>
      </c>
      <c r="M855" s="18">
        <f>N855/K855</f>
        <v>5.2631578947368425</v>
      </c>
      <c r="N855" s="18">
        <v>500</v>
      </c>
      <c r="O855" s="18">
        <f>L855/K855</f>
        <v>7.3684210526315783E-2</v>
      </c>
      <c r="Q855" s="66" t="s">
        <v>33</v>
      </c>
      <c r="R855" s="66">
        <v>64</v>
      </c>
      <c r="S855" s="66">
        <v>4</v>
      </c>
      <c r="T855" s="66">
        <f>W855/R855</f>
        <v>5.515625</v>
      </c>
      <c r="U855" s="66">
        <f>S855/R855</f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>G856/B856</f>
        <v>5.32258064516129</v>
      </c>
      <c r="E856" s="18">
        <f>C856/B856</f>
        <v>6.4516129032258063E-2</v>
      </c>
      <c r="G856" s="18">
        <v>495</v>
      </c>
      <c r="I856">
        <f>ROW(I856)-1</f>
        <v>855</v>
      </c>
      <c r="J856" s="18" t="s">
        <v>253</v>
      </c>
      <c r="K856" s="18">
        <v>29</v>
      </c>
      <c r="L856" s="18">
        <v>1</v>
      </c>
      <c r="M856" s="18">
        <f>N856/K856</f>
        <v>5.3103448275862073</v>
      </c>
      <c r="N856" s="18">
        <v>154</v>
      </c>
      <c r="O856" s="18">
        <f>L856/K856</f>
        <v>3.4482758620689655E-2</v>
      </c>
      <c r="Q856" s="66" t="s">
        <v>28</v>
      </c>
      <c r="R856" s="66">
        <v>20</v>
      </c>
      <c r="S856" s="66">
        <v>0</v>
      </c>
      <c r="T856" s="66">
        <f>W856/R856</f>
        <v>5.65</v>
      </c>
      <c r="U856" s="66">
        <f>S856/R856</f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>G857/B857</f>
        <v>5.3555555555555552</v>
      </c>
      <c r="E857" s="18">
        <f>C857/B857</f>
        <v>6.6666666666666666E-2</v>
      </c>
      <c r="G857" s="18">
        <v>241</v>
      </c>
      <c r="I857">
        <f>ROW(I857)-1</f>
        <v>856</v>
      </c>
      <c r="J857" s="18" t="s">
        <v>6</v>
      </c>
      <c r="K857" s="18">
        <v>45</v>
      </c>
      <c r="L857" s="18">
        <v>3</v>
      </c>
      <c r="M857" s="18">
        <f>N857/K857</f>
        <v>5.3555555555555552</v>
      </c>
      <c r="N857" s="18">
        <v>241</v>
      </c>
      <c r="O857" s="18">
        <f>L857/K857</f>
        <v>6.6666666666666666E-2</v>
      </c>
      <c r="Q857" s="66" t="s">
        <v>401</v>
      </c>
      <c r="R857" s="66">
        <v>45</v>
      </c>
      <c r="S857" s="66">
        <v>1</v>
      </c>
      <c r="T857" s="66">
        <f>W857/R857</f>
        <v>5.9777777777777779</v>
      </c>
      <c r="U857" s="66">
        <f>S857/R857</f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>G858/B858</f>
        <v>5.3809523809523814</v>
      </c>
      <c r="E858" s="18">
        <f>C858/B858</f>
        <v>0</v>
      </c>
      <c r="G858" s="18">
        <v>113</v>
      </c>
      <c r="I858">
        <f>ROW(I858)-1</f>
        <v>857</v>
      </c>
      <c r="J858" s="18" t="s">
        <v>56</v>
      </c>
      <c r="K858" s="18">
        <v>21</v>
      </c>
      <c r="L858" s="18">
        <v>0</v>
      </c>
      <c r="M858" s="18">
        <f>N858/K858</f>
        <v>5.3809523809523814</v>
      </c>
      <c r="N858" s="18">
        <v>113</v>
      </c>
      <c r="O858" s="18">
        <f>L858/K858</f>
        <v>0</v>
      </c>
    </row>
    <row r="859" spans="1:23" x14ac:dyDescent="0.25">
      <c r="A859" t="s">
        <v>90</v>
      </c>
      <c r="B859">
        <v>27</v>
      </c>
      <c r="C859">
        <v>3</v>
      </c>
      <c r="D859">
        <f>G859/B859</f>
        <v>5.4074074074074074</v>
      </c>
      <c r="E859">
        <f>C859/B859</f>
        <v>0.1111111111111111</v>
      </c>
      <c r="G859">
        <v>146</v>
      </c>
      <c r="I859">
        <f>ROW(I859)-1</f>
        <v>858</v>
      </c>
      <c r="J859" t="s">
        <v>90</v>
      </c>
      <c r="K859">
        <v>27</v>
      </c>
      <c r="L859">
        <v>3</v>
      </c>
      <c r="M859">
        <f>N859/K859</f>
        <v>5.4074074074074074</v>
      </c>
      <c r="N859">
        <v>146</v>
      </c>
      <c r="O859">
        <f>L859/K859</f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>G860/B860</f>
        <v>5.515625</v>
      </c>
      <c r="E860" s="18">
        <f>C860/B860</f>
        <v>6.25E-2</v>
      </c>
      <c r="G860" s="18">
        <v>353</v>
      </c>
      <c r="I860">
        <f>ROW(I860)-1</f>
        <v>859</v>
      </c>
      <c r="J860" s="18" t="s">
        <v>33</v>
      </c>
      <c r="K860" s="18">
        <v>64</v>
      </c>
      <c r="L860" s="18">
        <v>4</v>
      </c>
      <c r="M860" s="18">
        <f>N860/K860</f>
        <v>5.515625</v>
      </c>
      <c r="N860" s="18">
        <v>353</v>
      </c>
      <c r="O860" s="18">
        <f>L860/K860</f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>G861/B861</f>
        <v>5.65</v>
      </c>
      <c r="E861" s="18">
        <f>C861/B861</f>
        <v>0</v>
      </c>
      <c r="G861" s="18">
        <v>113</v>
      </c>
      <c r="I861">
        <f>ROW(I861)-1</f>
        <v>860</v>
      </c>
      <c r="J861" s="18" t="s">
        <v>28</v>
      </c>
      <c r="K861" s="18">
        <v>20</v>
      </c>
      <c r="L861" s="18">
        <v>0</v>
      </c>
      <c r="M861" s="18">
        <f>N861/K861</f>
        <v>5.65</v>
      </c>
      <c r="N861" s="18">
        <v>113</v>
      </c>
      <c r="O861" s="18">
        <f>L861/K861</f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>G862/B862</f>
        <v>5.6785714285714288</v>
      </c>
      <c r="E862" s="18">
        <f>C862/B862</f>
        <v>5.3571428571428568E-2</v>
      </c>
      <c r="G862" s="18">
        <v>318</v>
      </c>
      <c r="I862">
        <f>ROW(I862)-1</f>
        <v>861</v>
      </c>
      <c r="J862" s="18" t="s">
        <v>401</v>
      </c>
      <c r="K862" s="18">
        <v>57</v>
      </c>
      <c r="L862" s="18">
        <v>3</v>
      </c>
      <c r="M862" s="18">
        <f>N862/K862</f>
        <v>5.6842105263157894</v>
      </c>
      <c r="N862" s="18">
        <v>324</v>
      </c>
      <c r="O862" s="18">
        <f>L862/K862</f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topLeftCell="A35" zoomScaleNormal="100" workbookViewId="0">
      <selection activeCell="I12" sqref="I12:N85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18" t="s">
        <v>125</v>
      </c>
      <c r="B13" s="18">
        <v>24</v>
      </c>
      <c r="C13" s="18">
        <v>2</v>
      </c>
      <c r="D13" s="18">
        <f t="shared" ref="D13:D72" si="0">E13/B13</f>
        <v>4.083333333333333</v>
      </c>
      <c r="E13" s="18">
        <v>98</v>
      </c>
      <c r="F13" s="18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s="18" t="s">
        <v>105</v>
      </c>
      <c r="B16" s="18">
        <v>22</v>
      </c>
      <c r="C16" s="18">
        <v>1</v>
      </c>
      <c r="D16" s="18">
        <f t="shared" si="0"/>
        <v>4.9090909090909092</v>
      </c>
      <c r="E16" s="18">
        <v>108</v>
      </c>
      <c r="F16" s="18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27</v>
      </c>
      <c r="C23" s="18">
        <v>3</v>
      </c>
      <c r="D23" s="18">
        <f t="shared" si="0"/>
        <v>5.0370370370370372</v>
      </c>
      <c r="E23" s="18">
        <v>136</v>
      </c>
      <c r="F23" s="18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s="18" t="s">
        <v>34</v>
      </c>
      <c r="B28" s="18">
        <v>21</v>
      </c>
      <c r="C28" s="18">
        <v>2</v>
      </c>
      <c r="D28" s="18">
        <f t="shared" si="0"/>
        <v>5.666666666666667</v>
      </c>
      <c r="E28" s="18">
        <v>119</v>
      </c>
      <c r="F28" s="1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8:L30" si="10">M29/J29</f>
        <v>3.6909090909090909</v>
      </c>
      <c r="M29" s="18">
        <v>406</v>
      </c>
      <c r="N29" s="18">
        <f t="shared" ref="N28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s="18" t="s">
        <v>36</v>
      </c>
      <c r="B33" s="18">
        <v>20</v>
      </c>
      <c r="C33" s="18">
        <v>0</v>
      </c>
      <c r="D33" s="18">
        <f t="shared" si="0"/>
        <v>4.5</v>
      </c>
      <c r="E33" s="18">
        <v>90</v>
      </c>
      <c r="F33" s="18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s="18" t="s">
        <v>117</v>
      </c>
      <c r="B36" s="18">
        <v>21</v>
      </c>
      <c r="C36" s="18">
        <v>3</v>
      </c>
      <c r="D36" s="18">
        <f t="shared" si="0"/>
        <v>4.2857142857142856</v>
      </c>
      <c r="E36" s="18">
        <v>90</v>
      </c>
      <c r="F36" s="18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3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1048576"/>
  <sheetViews>
    <sheetView tabSelected="1" zoomScale="70" zoomScaleNormal="70" workbookViewId="0">
      <selection activeCell="AA26" sqref="AA26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>O2/J2</f>
        <v>3.236842105263158</v>
      </c>
      <c r="M2" s="60">
        <f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>O3/J3</f>
        <v>3.2574257425742572</v>
      </c>
      <c r="M3" s="60">
        <f>K3/J3</f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>O4/J4</f>
        <v>3.5405405405405403</v>
      </c>
      <c r="M4" s="59">
        <f>K4/J4</f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>O5/J5</f>
        <v>3.6363636363636362</v>
      </c>
      <c r="M5" s="59">
        <f>K5/J5</f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>O6/J6</f>
        <v>3.6909090909090909</v>
      </c>
      <c r="M6" s="59">
        <f>K6/J6</f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>O7/J7</f>
        <v>3.7560975609756095</v>
      </c>
      <c r="M7" s="59">
        <f>K7/J7</f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>O8/J8</f>
        <v>3.8333333333333335</v>
      </c>
      <c r="M8" s="59">
        <f>K8/J8</f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>O9/J9</f>
        <v>3.8787878787878789</v>
      </c>
      <c r="M9" s="59">
        <f>K9/J9</f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>O10/J10</f>
        <v>3.9090909090909092</v>
      </c>
      <c r="M10" s="59">
        <f>K10/J10</f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>O11/J11</f>
        <v>3.9166666666666665</v>
      </c>
      <c r="M11" s="59">
        <f>K11/J11</f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>O12/J12</f>
        <v>3.9361702127659575</v>
      </c>
      <c r="M12" s="59">
        <f>K12/J12</f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>O13/J13</f>
        <v>4.05</v>
      </c>
      <c r="M13" s="41">
        <f>K13/J13</f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>O14/J14</f>
        <v>4.083333333333333</v>
      </c>
      <c r="M14" s="41">
        <f>K14/J14</f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>O15/J15</f>
        <v>4.083333333333333</v>
      </c>
      <c r="M15" s="41">
        <f>K15/J15</f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>O16/J16</f>
        <v>4.0999999999999996</v>
      </c>
      <c r="M16" s="41">
        <f>K16/J16</f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>O17/J17</f>
        <v>4.104395604395604</v>
      </c>
      <c r="M17" s="41">
        <f>K17/J17</f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>O18/J18</f>
        <v>4.1428571428571432</v>
      </c>
      <c r="M18" s="41">
        <f>K18/J18</f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>O19/J19</f>
        <v>4.1500000000000004</v>
      </c>
      <c r="M19" s="41">
        <f>K19/J19</f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>O20/J20</f>
        <v>4.1547619047619051</v>
      </c>
      <c r="M20" s="41">
        <f>K20/J20</f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>O21/J21</f>
        <v>4.1627906976744189</v>
      </c>
      <c r="M21" s="41">
        <f>K21/J21</f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>O22/J22</f>
        <v>4.2307692307692308</v>
      </c>
      <c r="M22" s="41">
        <f>K22/J22</f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>O23/J23</f>
        <v>4.2380952380952381</v>
      </c>
      <c r="M23" s="41">
        <f>K23/J23</f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>O24/J24</f>
        <v>4.25</v>
      </c>
      <c r="M24" s="41">
        <f>K24/J24</f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>O25/J25</f>
        <v>4.270833333333333</v>
      </c>
      <c r="M25" s="41">
        <f>K25/J25</f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>O26/J26</f>
        <v>4.2842105263157899</v>
      </c>
      <c r="M26" s="41">
        <f>K26/J26</f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>O27/J27</f>
        <v>4.2857142857142856</v>
      </c>
      <c r="M27" s="41">
        <f>K27/J27</f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>O28/J28</f>
        <v>4.3</v>
      </c>
      <c r="M28" s="41">
        <f>K28/J28</f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>O29/J29</f>
        <v>4.3724137931034486</v>
      </c>
      <c r="M29" s="41">
        <f>K29/J29</f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>O30/J30</f>
        <v>4.384615384615385</v>
      </c>
      <c r="M30" s="41">
        <f>K30/J30</f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>O31/J31</f>
        <v>4.4444444444444446</v>
      </c>
      <c r="M31" s="32">
        <f>K31/J31</f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>O32/J32</f>
        <v>4.45</v>
      </c>
      <c r="M32" s="32">
        <f>K32/J32</f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>O33/J33</f>
        <v>4.4782608695652177</v>
      </c>
      <c r="M33" s="32">
        <f>K33/J33</f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2">G34/B34</f>
        <v>4.5681818181818183</v>
      </c>
      <c r="E34" s="32">
        <f t="shared" ref="E34:E65" si="3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>O34/J34</f>
        <v>4.5</v>
      </c>
      <c r="M34" s="32">
        <f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2"/>
        <v>4.5869565217391308</v>
      </c>
      <c r="E35" s="32">
        <f t="shared" si="3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>O35/J35</f>
        <v>4.5309734513274336</v>
      </c>
      <c r="M35" s="32">
        <f>K35/J35</f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2"/>
        <v>4.5925925925925926</v>
      </c>
      <c r="E36" s="32">
        <f t="shared" si="3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>O36/J36</f>
        <v>4.5510204081632653</v>
      </c>
      <c r="M36" s="32">
        <f>K36/J36</f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2"/>
        <v>4.6190476190476186</v>
      </c>
      <c r="E37" s="32">
        <f t="shared" si="3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>O37/J37</f>
        <v>4.5773195876288657</v>
      </c>
      <c r="M37" s="32">
        <f>K37/J37</f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2"/>
        <v>4.7111111111111112</v>
      </c>
      <c r="E38" s="32">
        <f t="shared" si="3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>O38/J38</f>
        <v>4.59375</v>
      </c>
      <c r="M38" s="32">
        <f>K38/J38</f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2"/>
        <v>4.72</v>
      </c>
      <c r="E39" s="32">
        <f t="shared" si="3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>O39/J39</f>
        <v>4.6086956521739131</v>
      </c>
      <c r="M39" s="32">
        <f>K39/J39</f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2"/>
        <v>4.7222222222222223</v>
      </c>
      <c r="E40" s="32">
        <f t="shared" si="3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>O40/J40</f>
        <v>4.6190476190476186</v>
      </c>
      <c r="M40" s="32">
        <f>K40/J40</f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2"/>
        <v>4.75</v>
      </c>
      <c r="E41" s="32">
        <f t="shared" si="3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>O41/J41</f>
        <v>4.6296296296296298</v>
      </c>
      <c r="M41" s="32">
        <f>K41/J41</f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2"/>
        <v>4.8840579710144931</v>
      </c>
      <c r="E42" s="38">
        <f t="shared" si="3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>O42/J42</f>
        <v>4.6363636363636367</v>
      </c>
      <c r="M42" s="32">
        <f>K42/J42</f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2"/>
        <v>4.9090909090909092</v>
      </c>
      <c r="E43" s="38">
        <f t="shared" si="3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>O43/J43</f>
        <v>4.6764705882352944</v>
      </c>
      <c r="M43" s="32">
        <f>K43/J43</f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2"/>
        <v>4.95</v>
      </c>
      <c r="E44" s="38">
        <f t="shared" si="3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>O44/J44</f>
        <v>4.7111111111111112</v>
      </c>
      <c r="M44" s="32">
        <f>K44/J44</f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2"/>
        <v>5</v>
      </c>
      <c r="E45" s="38">
        <f t="shared" si="3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>O45/J45</f>
        <v>4.7222222222222223</v>
      </c>
      <c r="M45" s="32">
        <f>K45/J45</f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2"/>
        <v>5.038095238095238</v>
      </c>
      <c r="E46" s="38">
        <f t="shared" si="3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>O46/J46</f>
        <v>4.75</v>
      </c>
      <c r="M46" s="32">
        <f>K46/J46</f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2"/>
        <v>5.05</v>
      </c>
      <c r="E47" s="38">
        <f t="shared" si="3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>O47/J47</f>
        <v>4.7619047619047619</v>
      </c>
      <c r="M47" s="32">
        <f>K47/J47</f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2"/>
        <v>5.05</v>
      </c>
      <c r="E48" s="38">
        <f t="shared" si="3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>O48/J48</f>
        <v>4.8529411764705879</v>
      </c>
      <c r="M48" s="38">
        <f>K48/J48</f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2"/>
        <v>5.0857142857142854</v>
      </c>
      <c r="E49" s="38">
        <f t="shared" si="3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>O49/J49</f>
        <v>4.9090909090909092</v>
      </c>
      <c r="M49" s="38">
        <f>K49/J49</f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2"/>
        <v>5.15</v>
      </c>
      <c r="E50" s="38">
        <f t="shared" si="3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>O50/J50</f>
        <v>4.9090909090909092</v>
      </c>
      <c r="M50" s="38">
        <f>K50/J50</f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2"/>
        <v>5.1818181818181817</v>
      </c>
      <c r="E51" s="38">
        <f t="shared" si="3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>O51/J51</f>
        <v>4.9189189189189193</v>
      </c>
      <c r="M51" s="38">
        <f>K51/J51</f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2"/>
        <v>5.2068965517241379</v>
      </c>
      <c r="E52" s="38">
        <f t="shared" si="3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>O52/J52</f>
        <v>4.95</v>
      </c>
      <c r="M52" s="38">
        <f>K52/J52</f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2"/>
        <v>5.243243243243243</v>
      </c>
      <c r="E53" s="38">
        <f t="shared" si="3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>O53/J53</f>
        <v>5.0140845070422539</v>
      </c>
      <c r="M53" s="38">
        <f>K53/J53</f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2"/>
        <v>5.25</v>
      </c>
      <c r="E54" s="38">
        <f t="shared" si="3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>O54/J54</f>
        <v>5.0370370370370372</v>
      </c>
      <c r="M54" s="38">
        <f>K54/J54</f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2"/>
        <v>5.25</v>
      </c>
      <c r="E55" s="38">
        <f t="shared" si="3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>O55/J55</f>
        <v>5.05</v>
      </c>
      <c r="M55" s="38">
        <f>K55/J55</f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2"/>
        <v>5.3103448275862073</v>
      </c>
      <c r="E56" s="67">
        <f t="shared" si="3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>O56/J56</f>
        <v>5.0634920634920633</v>
      </c>
      <c r="M56" s="38">
        <f>K56/J56</f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2"/>
        <v>5.3478260869565215</v>
      </c>
      <c r="E57" s="67">
        <f t="shared" si="3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>O57/J57</f>
        <v>5.083333333333333</v>
      </c>
      <c r="M57" s="38">
        <f>K57/J57</f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2"/>
        <v>5.3555555555555552</v>
      </c>
      <c r="E58" s="67">
        <f t="shared" si="3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>O58/J58</f>
        <v>5.0999999999999996</v>
      </c>
      <c r="M58" s="38">
        <f>K58/J58</f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2"/>
        <v>5.3571428571428568</v>
      </c>
      <c r="E59" s="67">
        <f t="shared" si="3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>O59/J59</f>
        <v>5.1415094339622645</v>
      </c>
      <c r="M59" s="38">
        <f>K59/J59</f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2"/>
        <v>5.3809523809523814</v>
      </c>
      <c r="E60" s="67">
        <f t="shared" si="3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>O60/J60</f>
        <v>5.15</v>
      </c>
      <c r="M60" s="38">
        <f>K60/J60</f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2"/>
        <v>5.4074074074074074</v>
      </c>
      <c r="E61" s="67">
        <f t="shared" si="3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>O61/J61</f>
        <v>5.15</v>
      </c>
      <c r="M61" s="38">
        <f>K61/J61</f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2"/>
        <v>5.4761904761904763</v>
      </c>
      <c r="E62" s="67">
        <f t="shared" si="3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>O62/J62</f>
        <v>5.1818181818181817</v>
      </c>
      <c r="M62" s="38">
        <f>K62/J62</f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2"/>
        <v>5.515625</v>
      </c>
      <c r="E63" s="67">
        <f t="shared" si="3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>O63/J63</f>
        <v>5.25</v>
      </c>
      <c r="M63" s="38">
        <f>K63/J63</f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2"/>
        <v>5.65</v>
      </c>
      <c r="E64" s="67">
        <f t="shared" si="3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>O64/J64</f>
        <v>5.25</v>
      </c>
      <c r="M64" s="38">
        <f>K64/J64</f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2"/>
        <v>5.7358490566037732</v>
      </c>
      <c r="E65" s="67">
        <f t="shared" si="3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>O65/J65</f>
        <v>5.2608695652173916</v>
      </c>
      <c r="M65" s="38">
        <f>K65/J65</f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>O66/J66</f>
        <v>5.32</v>
      </c>
      <c r="M66" s="67">
        <f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>O67/J67</f>
        <v>5.3555555555555552</v>
      </c>
      <c r="M67" s="67">
        <f>K67/J67</f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>O68/J68</f>
        <v>5.4074074074074074</v>
      </c>
      <c r="M68" s="67">
        <f>K68/J68</f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>O69/J69</f>
        <v>5.4375</v>
      </c>
      <c r="M69" s="67">
        <f>K69/J69</f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>O70/J70</f>
        <v>5.4545454545454541</v>
      </c>
      <c r="M70" s="67">
        <f>K70/J70</f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>O71/J71</f>
        <v>5.515625</v>
      </c>
      <c r="M71" s="67">
        <f>K71/J71</f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>O72/J72</f>
        <v>5.6271186440677967</v>
      </c>
      <c r="M72" s="67">
        <f>K72/J72</f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>O73/J73</f>
        <v>5.65</v>
      </c>
      <c r="M73" s="67">
        <f>K73/J73</f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>O74/J74</f>
        <v>5.666666666666667</v>
      </c>
      <c r="M74" s="67">
        <f>K74/J74</f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2026-01-06T00:38:10Z</dcterms:modified>
</cp:coreProperties>
</file>