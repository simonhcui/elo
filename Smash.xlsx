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A6C941A3-FF65-4C03-9A04-0C0E74848453}" xr6:coauthVersionLast="47" xr6:coauthVersionMax="47" xr10:uidLastSave="{00000000-0000-0000-0000-000000000000}"/>
  <bookViews>
    <workbookView xWindow="-120" yWindow="-120" windowWidth="38640" windowHeight="21120" firstSheet="2" activeTab="12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3" l="1"/>
  <c r="L64" i="13"/>
  <c r="N54" i="13"/>
  <c r="L54" i="13"/>
  <c r="N14" i="13"/>
  <c r="L14" i="13"/>
  <c r="N62" i="13"/>
  <c r="L62" i="13"/>
  <c r="N34" i="13"/>
  <c r="L34" i="13"/>
  <c r="N52" i="13"/>
  <c r="L52" i="13"/>
  <c r="N39" i="13"/>
  <c r="L39" i="13"/>
  <c r="N53" i="13"/>
  <c r="L53" i="13"/>
  <c r="L55" i="13"/>
  <c r="N55" i="13"/>
  <c r="L56" i="13"/>
  <c r="N56" i="13"/>
  <c r="L57" i="13"/>
  <c r="N57" i="13"/>
  <c r="L58" i="13"/>
  <c r="N58" i="13"/>
  <c r="L59" i="13"/>
  <c r="N59" i="13"/>
  <c r="L60" i="13"/>
  <c r="N60" i="13"/>
  <c r="L61" i="13"/>
  <c r="N61" i="13"/>
  <c r="L63" i="13"/>
  <c r="N63" i="13"/>
  <c r="L65" i="13"/>
  <c r="N65" i="13"/>
  <c r="L66" i="13"/>
  <c r="N66" i="13"/>
  <c r="N51" i="13"/>
  <c r="L51" i="13"/>
  <c r="N26" i="13"/>
  <c r="L26" i="13"/>
  <c r="N23" i="13"/>
  <c r="L23" i="13"/>
  <c r="N44" i="13"/>
  <c r="L44" i="13"/>
  <c r="N15" i="13"/>
  <c r="L15" i="13"/>
  <c r="N45" i="13"/>
  <c r="L45" i="13"/>
  <c r="N17" i="13"/>
  <c r="L17" i="13"/>
  <c r="N46" i="13"/>
  <c r="L46" i="13"/>
  <c r="N48" i="13"/>
  <c r="L48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47" i="13"/>
  <c r="L47" i="13"/>
  <c r="N38" i="13"/>
  <c r="L38" i="13"/>
  <c r="N42" i="13"/>
  <c r="L42" i="13"/>
  <c r="N40" i="13"/>
  <c r="L40" i="13"/>
  <c r="N28" i="13"/>
  <c r="L28" i="13"/>
  <c r="N33" i="13"/>
  <c r="L33" i="13"/>
  <c r="N41" i="13" l="1"/>
  <c r="L41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7" i="13"/>
  <c r="L37" i="13"/>
  <c r="N30" i="13"/>
  <c r="L30" i="13"/>
  <c r="N29" i="13"/>
  <c r="L29" i="13"/>
  <c r="N50" i="13" l="1"/>
  <c r="L50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9" i="13"/>
  <c r="L49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3" i="13"/>
  <c r="L43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<sst xmlns="http://schemas.openxmlformats.org/spreadsheetml/2006/main" count="16416" uniqueCount="592">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</sst>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271" zoomScaleNormal="100" workbookViewId="0">
      <selection activeCell="V302" sqref="V302:AD31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K5" sqref="K5"/>
    </sheetView>
  </sheetViews>
  <sheetFormatPr defaultRowHeight="15" x14ac:dyDescent="0.25"/>
  <sheetData>
    <row r="1" spans="1:16 16384:16384" x14ac:dyDescent="0.25">
      <c r="A1" s="1">
        <v>46116</v>
      </c>
      <c r="B1" s="1">
        <v>46116</v>
      </c>
      <c r="C1" s="1">
        <v>46121</v>
      </c>
      <c r="D1" s="1">
        <v>46121</v>
      </c>
      <c r="E1" s="1">
        <v>46121</v>
      </c>
      <c r="F1" s="1">
        <v>46121</v>
      </c>
      <c r="G1" s="1">
        <v>46122</v>
      </c>
      <c r="H1" s="1">
        <v>46122</v>
      </c>
      <c r="I1" s="1">
        <v>46123</v>
      </c>
      <c r="J1" s="1">
        <v>46123</v>
      </c>
      <c r="K1" s="1">
        <v>46123</v>
      </c>
      <c r="L1" s="1">
        <v>46123</v>
      </c>
      <c r="M1" s="1">
        <v>46123</v>
      </c>
      <c r="N1" s="1">
        <v>46123</v>
      </c>
      <c r="O1" s="1">
        <v>46123</v>
      </c>
      <c r="P1" s="1">
        <v>46123</v>
      </c>
      <c r="XFD1" s="1"/>
    </row>
    <row r="2" spans="1:16 16384:16384" x14ac:dyDescent="0.25">
      <c r="A2" t="s">
        <v>12</v>
      </c>
      <c r="B2" t="s">
        <v>122</v>
      </c>
      <c r="C2" t="s">
        <v>128</v>
      </c>
      <c r="D2" t="s">
        <v>122</v>
      </c>
      <c r="E2" t="s">
        <v>29</v>
      </c>
      <c r="F2" t="s">
        <v>232</v>
      </c>
    </row>
    <row r="3" spans="1:16 16384:16384" x14ac:dyDescent="0.25">
      <c r="A3" t="s">
        <v>35</v>
      </c>
      <c r="B3" t="s">
        <v>553</v>
      </c>
      <c r="C3" t="s">
        <v>116</v>
      </c>
      <c r="D3" t="s">
        <v>116</v>
      </c>
      <c r="E3" t="s">
        <v>116</v>
      </c>
      <c r="F3" t="s">
        <v>58</v>
      </c>
    </row>
    <row r="4" spans="1:16 16384:16384" x14ac:dyDescent="0.25">
      <c r="A4" t="s">
        <v>16</v>
      </c>
      <c r="B4" t="s">
        <v>28</v>
      </c>
      <c r="C4" t="s">
        <v>586</v>
      </c>
      <c r="D4" t="s">
        <v>28</v>
      </c>
      <c r="E4" t="s">
        <v>587</v>
      </c>
      <c r="F4" t="s">
        <v>9</v>
      </c>
    </row>
    <row r="5" spans="1:16 16384:16384" x14ac:dyDescent="0.25">
      <c r="A5" t="s">
        <v>122</v>
      </c>
      <c r="B5" t="s">
        <v>591</v>
      </c>
      <c r="C5" t="s">
        <v>31</v>
      </c>
      <c r="D5" t="s">
        <v>123</v>
      </c>
      <c r="E5" t="s">
        <v>26</v>
      </c>
      <c r="F5" t="s">
        <v>587</v>
      </c>
    </row>
    <row r="6" spans="1:16 16384:16384" x14ac:dyDescent="0.25">
      <c r="A6" t="s">
        <v>29</v>
      </c>
      <c r="B6" t="s">
        <v>232</v>
      </c>
      <c r="C6" t="s">
        <v>591</v>
      </c>
      <c r="D6" t="s">
        <v>31</v>
      </c>
      <c r="E6" t="s">
        <v>104</v>
      </c>
      <c r="F6" t="s">
        <v>26</v>
      </c>
    </row>
    <row r="7" spans="1:16 16384:16384" x14ac:dyDescent="0.25">
      <c r="A7" t="s">
        <v>591</v>
      </c>
      <c r="B7" t="s">
        <v>35</v>
      </c>
      <c r="C7" t="s">
        <v>589</v>
      </c>
      <c r="D7" t="s">
        <v>1</v>
      </c>
      <c r="E7" t="s">
        <v>49</v>
      </c>
      <c r="F7" t="s">
        <v>104</v>
      </c>
    </row>
    <row r="8" spans="1:16 16384:16384" x14ac:dyDescent="0.25">
      <c r="A8" t="s">
        <v>28</v>
      </c>
      <c r="B8" t="s">
        <v>574</v>
      </c>
      <c r="C8" t="s">
        <v>28</v>
      </c>
      <c r="D8" t="s">
        <v>591</v>
      </c>
      <c r="E8" t="s">
        <v>58</v>
      </c>
      <c r="F8" t="s">
        <v>29</v>
      </c>
    </row>
    <row r="9" spans="1:16 16384:16384" x14ac:dyDescent="0.25">
      <c r="A9" t="s">
        <v>232</v>
      </c>
      <c r="B9" t="s">
        <v>16</v>
      </c>
      <c r="C9" t="s">
        <v>122</v>
      </c>
      <c r="D9" t="s">
        <v>586</v>
      </c>
      <c r="E9" t="s">
        <v>30</v>
      </c>
      <c r="F9" t="s">
        <v>49</v>
      </c>
    </row>
    <row r="12" spans="1:16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6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4" si="2">M13/J13</f>
        <v>4.1714285714285717</v>
      </c>
      <c r="M13" s="18">
        <v>146</v>
      </c>
      <c r="N13" s="18">
        <f t="shared" ref="N13:N14" si="3">K13/J13</f>
        <v>5.7142857142857141E-2</v>
      </c>
    </row>
    <row r="14" spans="1:16 16384:16384" x14ac:dyDescent="0.25">
      <c r="A14" s="18" t="s">
        <v>104</v>
      </c>
      <c r="B14" s="18">
        <v>119</v>
      </c>
      <c r="C14" s="18">
        <v>9</v>
      </c>
      <c r="D14" s="18">
        <f t="shared" si="0"/>
        <v>4.2773109243697478</v>
      </c>
      <c r="E14" s="18">
        <v>509</v>
      </c>
      <c r="F14" s="18">
        <f t="shared" si="1"/>
        <v>7.5630252100840331E-2</v>
      </c>
      <c r="G14" s="32">
        <v>2.3273733406281498</v>
      </c>
      <c r="I14" s="18" t="s">
        <v>104</v>
      </c>
      <c r="J14" s="18">
        <v>119</v>
      </c>
      <c r="K14" s="18">
        <v>9</v>
      </c>
      <c r="L14" s="18">
        <f t="shared" si="2"/>
        <v>4.2773109243697478</v>
      </c>
      <c r="M14" s="18">
        <v>509</v>
      </c>
      <c r="N14" s="18">
        <f t="shared" si="3"/>
        <v>7.5630252100840331E-2</v>
      </c>
    </row>
    <row r="15" spans="1:16 16384:16384" x14ac:dyDescent="0.25">
      <c r="A15" s="18" t="s">
        <v>31</v>
      </c>
      <c r="B15" s="18">
        <v>230</v>
      </c>
      <c r="C15" s="18">
        <v>16</v>
      </c>
      <c r="D15" s="18">
        <f t="shared" si="0"/>
        <v>5.1956521739130439</v>
      </c>
      <c r="E15" s="18">
        <v>1195</v>
      </c>
      <c r="F15" s="18">
        <f t="shared" si="1"/>
        <v>6.9565217391304349E-2</v>
      </c>
      <c r="G15" s="32">
        <v>1.87082869338697</v>
      </c>
      <c r="I15" s="18" t="s">
        <v>31</v>
      </c>
      <c r="J15" s="18">
        <v>230</v>
      </c>
      <c r="K15" s="18">
        <v>16</v>
      </c>
      <c r="L15" s="18">
        <f t="shared" ref="L15" si="4">M15/J15</f>
        <v>5.1956521739130439</v>
      </c>
      <c r="M15" s="18">
        <v>1195</v>
      </c>
      <c r="N15" s="18">
        <f t="shared" ref="N15" si="5">K15/J15</f>
        <v>6.9565217391304349E-2</v>
      </c>
    </row>
    <row r="16" spans="1:16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6">M16/J16</f>
        <v>4.78125</v>
      </c>
      <c r="M16" s="18">
        <v>153</v>
      </c>
      <c r="N16" s="18">
        <f t="shared" ref="N16:N17" si="7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6"/>
        <v>3.2201834862385321</v>
      </c>
      <c r="M17" s="18">
        <v>351</v>
      </c>
      <c r="N17" s="18">
        <f t="shared" si="7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8">M18/J18</f>
        <v>4.4285714285714288</v>
      </c>
      <c r="M18" s="18">
        <v>217</v>
      </c>
      <c r="N18" s="18">
        <f t="shared" ref="N18" si="9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10">M20/J20</f>
        <v>5.6</v>
      </c>
      <c r="M20" s="73">
        <v>168</v>
      </c>
      <c r="N20" s="73">
        <f t="shared" ref="N20" si="11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2">M22/J22</f>
        <v>5.15625</v>
      </c>
      <c r="M22" s="18">
        <v>165</v>
      </c>
      <c r="N22" s="18">
        <f t="shared" ref="N22:N23" si="13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199</v>
      </c>
      <c r="K23" s="18">
        <v>19</v>
      </c>
      <c r="L23" s="18">
        <f t="shared" si="12"/>
        <v>5.075376884422111</v>
      </c>
      <c r="M23" s="18">
        <v>1010</v>
      </c>
      <c r="N23" s="18">
        <f t="shared" si="13"/>
        <v>9.5477386934673364E-2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4">M24/J24</f>
        <v>5.5333333333333332</v>
      </c>
      <c r="M24" s="18">
        <v>166</v>
      </c>
      <c r="N24" s="18">
        <f t="shared" ref="N24:N26" si="15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4"/>
        <v>3.6991869918699187</v>
      </c>
      <c r="M25" s="18">
        <v>455</v>
      </c>
      <c r="N25" s="18">
        <f t="shared" si="15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150</v>
      </c>
      <c r="K26" s="18">
        <v>17</v>
      </c>
      <c r="L26" s="18">
        <f t="shared" si="14"/>
        <v>4.9266666666666667</v>
      </c>
      <c r="M26" s="18">
        <v>739</v>
      </c>
      <c r="N26" s="18">
        <f t="shared" si="15"/>
        <v>0.11333333333333333</v>
      </c>
    </row>
    <row r="27" spans="1:14" x14ac:dyDescent="0.25">
      <c r="A27" s="18" t="s">
        <v>25</v>
      </c>
      <c r="B27" s="18">
        <v>199</v>
      </c>
      <c r="C27" s="18">
        <v>19</v>
      </c>
      <c r="D27" s="18">
        <f t="shared" si="0"/>
        <v>5.075376884422111</v>
      </c>
      <c r="E27" s="18">
        <v>1010</v>
      </c>
      <c r="F27" s="18">
        <f t="shared" si="1"/>
        <v>9.5477386934673364E-2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6">M27/J27</f>
        <v>4.3</v>
      </c>
      <c r="M27" s="18">
        <v>129</v>
      </c>
      <c r="N27" s="18">
        <f t="shared" ref="N27:N28" si="17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78</v>
      </c>
      <c r="K28" s="18">
        <v>5</v>
      </c>
      <c r="L28" s="18">
        <f t="shared" si="16"/>
        <v>5.1923076923076925</v>
      </c>
      <c r="M28" s="18">
        <v>405</v>
      </c>
      <c r="N28" s="18">
        <f t="shared" si="17"/>
        <v>6.4102564102564097E-2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8">M29/J29</f>
        <v>4.5333333333333332</v>
      </c>
      <c r="M29" s="18">
        <v>136</v>
      </c>
      <c r="N29" s="18">
        <f t="shared" ref="N29" si="19">K29/J29</f>
        <v>0</v>
      </c>
    </row>
    <row r="30" spans="1:14" x14ac:dyDescent="0.25">
      <c r="A30" s="18" t="s">
        <v>87</v>
      </c>
      <c r="B30" s="18">
        <v>150</v>
      </c>
      <c r="C30" s="18">
        <v>17</v>
      </c>
      <c r="D30" s="18">
        <f t="shared" si="0"/>
        <v>4.9266666666666667</v>
      </c>
      <c r="E30" s="18">
        <v>739</v>
      </c>
      <c r="F30" s="18">
        <f t="shared" si="1"/>
        <v>0.11333333333333333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20">M30/J30</f>
        <v>4.166666666666667</v>
      </c>
      <c r="M30" s="18">
        <v>125</v>
      </c>
      <c r="N30" s="18">
        <f t="shared" ref="N30" si="21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78</v>
      </c>
      <c r="C32" s="18">
        <v>5</v>
      </c>
      <c r="D32" s="18">
        <f t="shared" si="0"/>
        <v>5.1923076923076925</v>
      </c>
      <c r="E32" s="18">
        <v>405</v>
      </c>
      <c r="F32" s="18">
        <f t="shared" si="1"/>
        <v>6.4102564102564097E-2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" si="22">M32/J32</f>
        <v>4.25</v>
      </c>
      <c r="M32" s="18">
        <v>136</v>
      </c>
      <c r="N32" s="18">
        <f t="shared" ref="N32" si="23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65</v>
      </c>
      <c r="K33" s="18">
        <v>3</v>
      </c>
      <c r="L33" s="18">
        <f t="shared" ref="L33:L34" si="24">M33/J33</f>
        <v>5.4153846153846157</v>
      </c>
      <c r="M33" s="18">
        <v>352</v>
      </c>
      <c r="N33" s="18">
        <f t="shared" ref="N33:N34" si="25">K33/J33</f>
        <v>4.6153846153846156E-2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255</v>
      </c>
      <c r="K34" s="18">
        <v>38</v>
      </c>
      <c r="L34" s="18">
        <f t="shared" si="24"/>
        <v>4.5843137254901958</v>
      </c>
      <c r="M34" s="18">
        <v>1169</v>
      </c>
      <c r="N34" s="18">
        <f t="shared" si="25"/>
        <v>0.14901960784313725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6">M36/J36</f>
        <v>3.9452054794520546</v>
      </c>
      <c r="M36" s="18">
        <v>288</v>
      </c>
      <c r="N36" s="18">
        <f t="shared" ref="N36" si="27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30</v>
      </c>
      <c r="K37" s="18">
        <v>4</v>
      </c>
      <c r="L37" s="18">
        <f t="shared" ref="L37:L40" si="28">M37/J37</f>
        <v>4.8</v>
      </c>
      <c r="M37" s="18">
        <v>144</v>
      </c>
      <c r="N37" s="18">
        <f t="shared" ref="N37:N40" si="29">K37/J37</f>
        <v>0.13333333333333333</v>
      </c>
    </row>
    <row r="38" spans="1:14" x14ac:dyDescent="0.25">
      <c r="A38" s="18" t="s">
        <v>401</v>
      </c>
      <c r="B38" s="18">
        <v>65</v>
      </c>
      <c r="C38" s="18">
        <v>3</v>
      </c>
      <c r="D38" s="18">
        <f t="shared" si="0"/>
        <v>5.4153846153846157</v>
      </c>
      <c r="E38" s="18">
        <v>352</v>
      </c>
      <c r="F38" s="18">
        <f t="shared" si="1"/>
        <v>4.6153846153846156E-2</v>
      </c>
      <c r="G38" s="32">
        <v>2.1248885888797799</v>
      </c>
      <c r="I38" s="18" t="s">
        <v>121</v>
      </c>
      <c r="J38" s="18">
        <v>98</v>
      </c>
      <c r="K38" s="18">
        <v>22</v>
      </c>
      <c r="L38" s="18">
        <f t="shared" si="28"/>
        <v>3.8673469387755102</v>
      </c>
      <c r="M38" s="18">
        <v>379</v>
      </c>
      <c r="N38" s="18">
        <f t="shared" si="29"/>
        <v>0.22448979591836735</v>
      </c>
    </row>
    <row r="39" spans="1:14" x14ac:dyDescent="0.25">
      <c r="A39" s="18" t="s">
        <v>15</v>
      </c>
      <c r="B39" s="18">
        <v>255</v>
      </c>
      <c r="C39" s="18">
        <v>38</v>
      </c>
      <c r="D39" s="18">
        <f t="shared" si="0"/>
        <v>4.5843137254901958</v>
      </c>
      <c r="E39" s="18">
        <v>1169</v>
      </c>
      <c r="F39" s="18">
        <f t="shared" si="1"/>
        <v>0.14901960784313725</v>
      </c>
      <c r="G39" s="32">
        <v>2.3694389634605302</v>
      </c>
      <c r="I39" s="18" t="s">
        <v>232</v>
      </c>
      <c r="J39" s="18">
        <v>133</v>
      </c>
      <c r="K39" s="18">
        <v>25</v>
      </c>
      <c r="L39" s="18">
        <f t="shared" si="28"/>
        <v>3.736842105263158</v>
      </c>
      <c r="M39" s="18">
        <v>497</v>
      </c>
      <c r="N39" s="18">
        <f t="shared" si="29"/>
        <v>0.18796992481203006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21</v>
      </c>
      <c r="J40" s="18">
        <v>168</v>
      </c>
      <c r="K40" s="18">
        <v>25</v>
      </c>
      <c r="L40" s="18">
        <f t="shared" si="28"/>
        <v>4.3273809523809526</v>
      </c>
      <c r="M40" s="18">
        <v>727</v>
      </c>
      <c r="N40" s="18">
        <f t="shared" si="29"/>
        <v>0.14880952380952381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44</v>
      </c>
      <c r="K41" s="18">
        <v>3</v>
      </c>
      <c r="L41" s="18">
        <f t="shared" ref="L41" si="30">M41/J41</f>
        <v>4.9772727272727275</v>
      </c>
      <c r="M41" s="18">
        <v>219</v>
      </c>
      <c r="N41" s="18">
        <f t="shared" ref="N41" si="31">K41/J41</f>
        <v>6.8181818181818177E-2</v>
      </c>
    </row>
    <row r="42" spans="1:14" x14ac:dyDescent="0.25">
      <c r="A42" t="s">
        <v>63</v>
      </c>
      <c r="B42">
        <v>29</v>
      </c>
      <c r="C42">
        <v>4</v>
      </c>
      <c r="D42">
        <f t="shared" si="0"/>
        <v>4.3448275862068968</v>
      </c>
      <c r="E42">
        <v>126</v>
      </c>
      <c r="F42">
        <f t="shared" si="1"/>
        <v>0.13793103448275862</v>
      </c>
      <c r="G42" s="32">
        <v>2.6394443859772201</v>
      </c>
      <c r="I42" s="18" t="s">
        <v>414</v>
      </c>
      <c r="J42" s="18">
        <v>30</v>
      </c>
      <c r="K42" s="18">
        <v>4</v>
      </c>
      <c r="L42" s="18">
        <f t="shared" ref="L42" si="32">M42/J42</f>
        <v>4.6333333333333337</v>
      </c>
      <c r="M42" s="18">
        <v>139</v>
      </c>
      <c r="N42" s="18">
        <f t="shared" ref="N42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0</v>
      </c>
      <c r="J43" s="18">
        <v>84</v>
      </c>
      <c r="K43" s="18">
        <v>14</v>
      </c>
      <c r="L43" s="18">
        <f>M43/J43</f>
        <v>4.1547619047619051</v>
      </c>
      <c r="M43" s="18">
        <v>349</v>
      </c>
      <c r="N43" s="18">
        <f>K43/J43</f>
        <v>0.16666666666666666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1</v>
      </c>
      <c r="J44" s="18">
        <v>108</v>
      </c>
      <c r="K44" s="18">
        <v>6</v>
      </c>
      <c r="L44" s="18">
        <f t="shared" ref="L44" si="34">M44/J44</f>
        <v>4.6203703703703702</v>
      </c>
      <c r="M44" s="18">
        <v>499</v>
      </c>
      <c r="N44" s="18">
        <f t="shared" ref="N44" si="35">K44/J44</f>
        <v>5.5555555555555552E-2</v>
      </c>
    </row>
    <row r="45" spans="1:14" x14ac:dyDescent="0.25">
      <c r="A45" s="18" t="s">
        <v>232</v>
      </c>
      <c r="B45" s="18">
        <v>133</v>
      </c>
      <c r="C45" s="18">
        <v>25</v>
      </c>
      <c r="D45" s="18">
        <f t="shared" si="0"/>
        <v>3.736842105263158</v>
      </c>
      <c r="E45" s="18">
        <v>497</v>
      </c>
      <c r="F45" s="18">
        <f t="shared" si="1"/>
        <v>0.18796992481203006</v>
      </c>
      <c r="G45" s="32">
        <v>2.2509257354845502</v>
      </c>
      <c r="I45" s="18" t="s">
        <v>28</v>
      </c>
      <c r="J45" s="18">
        <v>53</v>
      </c>
      <c r="K45" s="18">
        <v>0</v>
      </c>
      <c r="L45" s="18">
        <f t="shared" ref="L45" si="36">M45/J45</f>
        <v>5.5471698113207548</v>
      </c>
      <c r="M45" s="18">
        <v>294</v>
      </c>
      <c r="N45" s="18">
        <f t="shared" ref="N45" si="37">K45/J45</f>
        <v>0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253</v>
      </c>
      <c r="J46" s="18">
        <v>40</v>
      </c>
      <c r="K46" s="18">
        <v>2</v>
      </c>
      <c r="L46" s="18">
        <f t="shared" ref="L46" si="38">M46/J46</f>
        <v>5.3</v>
      </c>
      <c r="M46" s="18">
        <v>212</v>
      </c>
      <c r="N46" s="18">
        <f t="shared" ref="N46" si="39">K46/J46</f>
        <v>0.05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175</v>
      </c>
      <c r="J47" s="18">
        <v>49</v>
      </c>
      <c r="K47" s="18">
        <v>13</v>
      </c>
      <c r="L47" s="18">
        <f t="shared" ref="L47:L48" si="40">M47/J47</f>
        <v>3.204081632653061</v>
      </c>
      <c r="M47" s="18">
        <v>157</v>
      </c>
      <c r="N47" s="18">
        <f t="shared" ref="N47" si="41">K47/J47</f>
        <v>0.26530612244897961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61</v>
      </c>
      <c r="J48" s="18">
        <v>51</v>
      </c>
      <c r="K48" s="18">
        <v>9</v>
      </c>
      <c r="L48" s="18">
        <f t="shared" si="40"/>
        <v>4.7254901960784315</v>
      </c>
      <c r="M48" s="18">
        <v>241</v>
      </c>
      <c r="N48" s="18">
        <f>K48/J48</f>
        <v>0.17647058823529413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115</v>
      </c>
      <c r="J49" s="18">
        <v>39</v>
      </c>
      <c r="K49" s="18">
        <v>3</v>
      </c>
      <c r="L49" s="18">
        <f t="shared" ref="L49:L50" si="42">M49/J49</f>
        <v>4.384615384615385</v>
      </c>
      <c r="M49" s="18">
        <v>171</v>
      </c>
      <c r="N49" s="18">
        <f t="shared" ref="N49:N50" si="43">K49/J49</f>
        <v>7.6923076923076927E-2</v>
      </c>
    </row>
    <row r="50" spans="1:14" x14ac:dyDescent="0.25">
      <c r="A50" s="18" t="s">
        <v>1</v>
      </c>
      <c r="B50" s="18">
        <v>108</v>
      </c>
      <c r="C50" s="18">
        <v>6</v>
      </c>
      <c r="D50" s="18">
        <f t="shared" si="0"/>
        <v>4.6203703703703702</v>
      </c>
      <c r="E50" s="18">
        <v>499</v>
      </c>
      <c r="F50" s="18">
        <f t="shared" si="1"/>
        <v>5.5555555555555552E-2</v>
      </c>
      <c r="G50" s="32">
        <v>2.0412414523193099</v>
      </c>
      <c r="I50" s="18" t="s">
        <v>24</v>
      </c>
      <c r="J50" s="18">
        <v>101</v>
      </c>
      <c r="K50" s="18">
        <v>12</v>
      </c>
      <c r="L50" s="18">
        <f t="shared" si="42"/>
        <v>4.5247524752475243</v>
      </c>
      <c r="M50" s="18">
        <v>457</v>
      </c>
      <c r="N50" s="18">
        <f t="shared" si="43"/>
        <v>0.11881188118811881</v>
      </c>
    </row>
    <row r="51" spans="1:14" x14ac:dyDescent="0.25">
      <c r="A51" s="18" t="s">
        <v>28</v>
      </c>
      <c r="B51" s="18">
        <v>53</v>
      </c>
      <c r="C51" s="18">
        <v>0</v>
      </c>
      <c r="D51" s="18">
        <f t="shared" si="0"/>
        <v>5.5471698113207548</v>
      </c>
      <c r="E51" s="18">
        <v>294</v>
      </c>
      <c r="F51" s="18">
        <f t="shared" si="1"/>
        <v>0</v>
      </c>
      <c r="G51" s="32">
        <v>1.30384048104052</v>
      </c>
      <c r="I51" s="18" t="s">
        <v>116</v>
      </c>
      <c r="J51" s="18">
        <v>30</v>
      </c>
      <c r="K51" s="18">
        <v>5</v>
      </c>
      <c r="L51" s="18">
        <f t="shared" ref="L51" si="44">M51/J51</f>
        <v>4.0666666666666664</v>
      </c>
      <c r="M51" s="18">
        <v>122</v>
      </c>
      <c r="N51" s="18">
        <f t="shared" ref="N51" si="45">K51/J51</f>
        <v>0.16666666666666666</v>
      </c>
    </row>
    <row r="52" spans="1:14" x14ac:dyDescent="0.25">
      <c r="A52" s="18" t="s">
        <v>253</v>
      </c>
      <c r="B52" s="18">
        <v>40</v>
      </c>
      <c r="C52" s="18">
        <v>2</v>
      </c>
      <c r="D52" s="18">
        <f t="shared" si="0"/>
        <v>5.3</v>
      </c>
      <c r="E52" s="18">
        <v>212</v>
      </c>
      <c r="F52" s="18">
        <f t="shared" si="1"/>
        <v>0.05</v>
      </c>
      <c r="G52" s="32"/>
      <c r="I52" s="18" t="s">
        <v>58</v>
      </c>
      <c r="J52" s="18">
        <v>30</v>
      </c>
      <c r="K52" s="18">
        <v>6</v>
      </c>
      <c r="L52" s="18">
        <f t="shared" ref="L52" si="46">M52/J52</f>
        <v>3.7</v>
      </c>
      <c r="M52" s="18">
        <v>111</v>
      </c>
      <c r="N52" s="18">
        <f t="shared" ref="N52" si="47">K52/J52</f>
        <v>0.2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30</v>
      </c>
      <c r="J53" s="18">
        <v>58</v>
      </c>
      <c r="K53" s="18">
        <v>4</v>
      </c>
      <c r="L53" s="18">
        <f>M53/J53</f>
        <v>5.1206896551724137</v>
      </c>
      <c r="M53" s="18">
        <v>297</v>
      </c>
      <c r="N53" s="18">
        <f>K53/J53</f>
        <v>6.8965517241379309E-2</v>
      </c>
    </row>
    <row r="54" spans="1:14" x14ac:dyDescent="0.25">
      <c r="A54" s="18" t="s">
        <v>61</v>
      </c>
      <c r="B54" s="18">
        <v>51</v>
      </c>
      <c r="C54" s="18">
        <v>9</v>
      </c>
      <c r="D54" s="18">
        <f t="shared" si="0"/>
        <v>4.7254901960784315</v>
      </c>
      <c r="E54" s="18">
        <v>241</v>
      </c>
      <c r="F54" s="18">
        <f>C54/B54</f>
        <v>0.17647058823529413</v>
      </c>
      <c r="G54" s="32">
        <v>3.2403703492039302</v>
      </c>
      <c r="I54" s="18" t="s">
        <v>29</v>
      </c>
      <c r="J54" s="18">
        <v>127</v>
      </c>
      <c r="K54" s="18">
        <v>18</v>
      </c>
      <c r="L54" s="18">
        <f t="shared" ref="L54" si="48">M54/J54</f>
        <v>4.015748031496063</v>
      </c>
      <c r="M54" s="18">
        <v>510</v>
      </c>
      <c r="N54" s="18">
        <f t="shared" ref="N54" si="49">K54/J54</f>
        <v>0.14173228346456693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148</v>
      </c>
      <c r="J55" s="18">
        <v>42</v>
      </c>
      <c r="K55" s="18">
        <v>8</v>
      </c>
      <c r="L55" s="18">
        <f t="shared" ref="L55:L66" si="50">M55/J55</f>
        <v>3.7380952380952381</v>
      </c>
      <c r="M55" s="18">
        <v>157</v>
      </c>
      <c r="N55" s="18">
        <f t="shared" ref="N55:N66" si="51">K55/J55</f>
        <v>0.19047619047619047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79</v>
      </c>
      <c r="J56" s="18">
        <v>54</v>
      </c>
      <c r="K56" s="18">
        <v>6</v>
      </c>
      <c r="L56" s="18">
        <f t="shared" si="50"/>
        <v>4.6296296296296298</v>
      </c>
      <c r="M56" s="18">
        <v>250</v>
      </c>
      <c r="N56" s="18">
        <f t="shared" si="51"/>
        <v>0.1111111111111111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123</v>
      </c>
      <c r="J57" s="18">
        <v>39</v>
      </c>
      <c r="K57" s="18">
        <v>6</v>
      </c>
      <c r="L57" s="18">
        <f t="shared" si="50"/>
        <v>4.3076923076923075</v>
      </c>
      <c r="M57" s="18">
        <v>168</v>
      </c>
      <c r="N57" s="18">
        <f t="shared" si="51"/>
        <v>0.15384615384615385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22</v>
      </c>
      <c r="J58" s="18">
        <v>182</v>
      </c>
      <c r="K58" s="18">
        <v>30</v>
      </c>
      <c r="L58" s="18">
        <f t="shared" si="50"/>
        <v>4.104395604395604</v>
      </c>
      <c r="M58" s="18">
        <v>747</v>
      </c>
      <c r="N58" s="18">
        <f t="shared" si="51"/>
        <v>0.16483516483516483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33</v>
      </c>
      <c r="J59" s="18">
        <v>64</v>
      </c>
      <c r="K59" s="18">
        <v>4</v>
      </c>
      <c r="L59" s="18">
        <f t="shared" si="50"/>
        <v>5.515625</v>
      </c>
      <c r="M59" s="18">
        <v>353</v>
      </c>
      <c r="N59" s="18">
        <f t="shared" si="51"/>
        <v>6.25E-2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129</v>
      </c>
      <c r="J60" s="18">
        <v>43</v>
      </c>
      <c r="K60" s="18">
        <v>7</v>
      </c>
      <c r="L60" s="18">
        <f t="shared" si="50"/>
        <v>4.558139534883721</v>
      </c>
      <c r="M60" s="18">
        <v>196</v>
      </c>
      <c r="N60" s="18">
        <f t="shared" si="51"/>
        <v>0.16279069767441862</v>
      </c>
    </row>
    <row r="61" spans="1:14" x14ac:dyDescent="0.25">
      <c r="A61" s="18" t="s">
        <v>30</v>
      </c>
      <c r="B61" s="18">
        <v>58</v>
      </c>
      <c r="C61" s="18">
        <v>4</v>
      </c>
      <c r="D61" s="18">
        <f t="shared" si="0"/>
        <v>5.1206896551724137</v>
      </c>
      <c r="E61" s="18">
        <v>297</v>
      </c>
      <c r="F61" s="18">
        <f t="shared" si="1"/>
        <v>6.8965517241379309E-2</v>
      </c>
      <c r="G61" s="32">
        <v>2.5226248955475601</v>
      </c>
      <c r="I61" s="18" t="s">
        <v>35</v>
      </c>
      <c r="J61" s="18">
        <v>173</v>
      </c>
      <c r="K61" s="18">
        <v>43</v>
      </c>
      <c r="L61" s="18">
        <f t="shared" si="50"/>
        <v>3.554913294797688</v>
      </c>
      <c r="M61" s="18">
        <v>615</v>
      </c>
      <c r="N61" s="18">
        <f t="shared" si="51"/>
        <v>0.24855491329479767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26</v>
      </c>
      <c r="J62" s="18">
        <v>91</v>
      </c>
      <c r="K62" s="18">
        <v>6</v>
      </c>
      <c r="L62" s="18">
        <f t="shared" si="50"/>
        <v>5.186813186813187</v>
      </c>
      <c r="M62" s="18">
        <v>472</v>
      </c>
      <c r="N62" s="18">
        <f t="shared" si="51"/>
        <v>6.5934065934065936E-2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129</v>
      </c>
      <c r="K63" s="18">
        <v>17</v>
      </c>
      <c r="L63" s="18">
        <f t="shared" si="50"/>
        <v>3.9767441860465116</v>
      </c>
      <c r="M63" s="18">
        <v>513</v>
      </c>
      <c r="N63" s="18">
        <f t="shared" si="51"/>
        <v>0.13178294573643412</v>
      </c>
    </row>
    <row r="64" spans="1:14" x14ac:dyDescent="0.25">
      <c r="A64" t="s">
        <v>9</v>
      </c>
      <c r="B64">
        <v>25</v>
      </c>
      <c r="C64">
        <v>3</v>
      </c>
      <c r="D64">
        <f t="shared" si="0"/>
        <v>3.88</v>
      </c>
      <c r="E64">
        <v>97</v>
      </c>
      <c r="F64">
        <f t="shared" si="1"/>
        <v>0.12</v>
      </c>
      <c r="G64" s="32">
        <v>2.42097317438899</v>
      </c>
      <c r="I64" s="18" t="s">
        <v>49</v>
      </c>
      <c r="J64" s="18">
        <v>128</v>
      </c>
      <c r="K64" s="18">
        <v>7</v>
      </c>
      <c r="L64" s="18">
        <f t="shared" si="50"/>
        <v>5.125</v>
      </c>
      <c r="M64" s="18">
        <v>656</v>
      </c>
      <c r="N64" s="18">
        <f t="shared" si="51"/>
        <v>5.46875E-2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 t="s">
        <v>3</v>
      </c>
      <c r="J65" s="18">
        <v>46</v>
      </c>
      <c r="K65" s="18">
        <v>7</v>
      </c>
      <c r="L65" s="18">
        <f t="shared" si="50"/>
        <v>4.1304347826086953</v>
      </c>
      <c r="M65" s="18">
        <v>190</v>
      </c>
      <c r="N65" s="18">
        <f t="shared" si="51"/>
        <v>0.15217391304347827</v>
      </c>
    </row>
    <row r="66" spans="1:14" x14ac:dyDescent="0.25">
      <c r="A66" t="s">
        <v>428</v>
      </c>
      <c r="B66">
        <v>26</v>
      </c>
      <c r="C66">
        <v>3</v>
      </c>
      <c r="D66">
        <f t="shared" si="0"/>
        <v>4.2692307692307692</v>
      </c>
      <c r="E66">
        <v>111</v>
      </c>
      <c r="F66">
        <f t="shared" si="1"/>
        <v>0.11538461538461539</v>
      </c>
      <c r="G66" s="32">
        <v>1.9414506867882999</v>
      </c>
      <c r="I66" s="18" t="s">
        <v>124</v>
      </c>
      <c r="J66" s="18">
        <v>31</v>
      </c>
      <c r="K66" s="18">
        <v>1</v>
      </c>
      <c r="L66" s="18">
        <f t="shared" si="50"/>
        <v>4.935483870967742</v>
      </c>
      <c r="M66" s="18">
        <v>153</v>
      </c>
      <c r="N66" s="18">
        <f t="shared" si="51"/>
        <v>3.2258064516129031E-2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22</v>
      </c>
      <c r="C71">
        <v>1</v>
      </c>
      <c r="D71">
        <f t="shared" si="0"/>
        <v>4.6818181818181817</v>
      </c>
      <c r="E71">
        <v>103</v>
      </c>
      <c r="F71">
        <f t="shared" si="1"/>
        <v>4.5454545454545456E-2</v>
      </c>
      <c r="G71" s="32">
        <v>2.44584195260913</v>
      </c>
    </row>
    <row r="72" spans="1:14" x14ac:dyDescent="0.25">
      <c r="A72" t="s">
        <v>404</v>
      </c>
      <c r="B72">
        <v>22</v>
      </c>
      <c r="C72">
        <v>2</v>
      </c>
      <c r="D72">
        <f t="shared" si="0"/>
        <v>5.2727272727272725</v>
      </c>
      <c r="E72">
        <v>116</v>
      </c>
      <c r="F72">
        <f t="shared" si="1"/>
        <v>9.0909090909090912E-2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52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52"/>
        <v>5.515625</v>
      </c>
      <c r="E77" s="18">
        <v>353</v>
      </c>
      <c r="F77" s="18">
        <f t="shared" ref="F77:F91" si="53">C77/B77</f>
        <v>6.25E-2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2"/>
        <v>5.05</v>
      </c>
      <c r="E78">
        <v>101</v>
      </c>
      <c r="F78">
        <f t="shared" si="53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2"/>
        <v>4.0999999999999996</v>
      </c>
      <c r="E79">
        <v>82</v>
      </c>
      <c r="F79">
        <f t="shared" si="53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2"/>
        <v>4</v>
      </c>
      <c r="E80" s="41">
        <v>20</v>
      </c>
      <c r="F80" s="41">
        <f t="shared" si="53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2"/>
        <v>4.1818181818181817</v>
      </c>
      <c r="E81" s="41">
        <v>46</v>
      </c>
      <c r="F81" s="41">
        <f t="shared" si="53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52"/>
        <v>4.558139534883721</v>
      </c>
      <c r="E82" s="18">
        <v>196</v>
      </c>
      <c r="F82" s="18">
        <f t="shared" si="53"/>
        <v>0.16279069767441862</v>
      </c>
      <c r="G82" s="32">
        <v>2.1315096371664199</v>
      </c>
    </row>
    <row r="83" spans="1:7" x14ac:dyDescent="0.25">
      <c r="A83" t="s">
        <v>113</v>
      </c>
      <c r="B83">
        <v>24</v>
      </c>
      <c r="C83">
        <v>0</v>
      </c>
      <c r="D83">
        <f t="shared" si="52"/>
        <v>4.416666666666667</v>
      </c>
      <c r="E83">
        <v>106</v>
      </c>
      <c r="F83">
        <f t="shared" si="53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52"/>
        <v>3.554913294797688</v>
      </c>
      <c r="E84" s="18">
        <v>615</v>
      </c>
      <c r="F84" s="18">
        <f t="shared" si="53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91</v>
      </c>
      <c r="C85" s="18">
        <v>6</v>
      </c>
      <c r="D85" s="18">
        <f t="shared" si="52"/>
        <v>5.186813186813187</v>
      </c>
      <c r="E85" s="18">
        <v>472</v>
      </c>
      <c r="F85" s="18">
        <f t="shared" si="53"/>
        <v>6.5934065934065936E-2</v>
      </c>
      <c r="G85" s="32">
        <v>2.4494897427831699</v>
      </c>
    </row>
    <row r="86" spans="1:7" x14ac:dyDescent="0.25">
      <c r="A86" s="18" t="s">
        <v>122</v>
      </c>
      <c r="B86" s="18">
        <v>129</v>
      </c>
      <c r="C86" s="18">
        <v>17</v>
      </c>
      <c r="D86" s="18">
        <f t="shared" si="52"/>
        <v>3.9767441860465116</v>
      </c>
      <c r="E86" s="18">
        <v>513</v>
      </c>
      <c r="F86" s="18">
        <f t="shared" si="53"/>
        <v>0.13178294573643412</v>
      </c>
      <c r="G86" s="32">
        <v>1.6329931618554501</v>
      </c>
    </row>
    <row r="87" spans="1:7" x14ac:dyDescent="0.25">
      <c r="A87" s="18" t="s">
        <v>49</v>
      </c>
      <c r="B87" s="18">
        <v>128</v>
      </c>
      <c r="C87" s="18">
        <v>7</v>
      </c>
      <c r="D87" s="18">
        <f t="shared" si="52"/>
        <v>5.125</v>
      </c>
      <c r="E87" s="18">
        <v>656</v>
      </c>
      <c r="F87" s="18">
        <f t="shared" si="53"/>
        <v>5.46875E-2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52"/>
        <v>4.1304347826086953</v>
      </c>
      <c r="E88" s="18">
        <v>190</v>
      </c>
      <c r="F88" s="18">
        <f t="shared" si="53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2"/>
        <v>4.8076923076923075</v>
      </c>
      <c r="E89">
        <v>125</v>
      </c>
      <c r="F89">
        <f t="shared" si="53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2"/>
        <v>4.1428571428571432</v>
      </c>
      <c r="E90">
        <v>116</v>
      </c>
      <c r="F90">
        <f t="shared" si="53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2"/>
        <v>4.935483870967742</v>
      </c>
      <c r="E91" s="18">
        <v>153</v>
      </c>
      <c r="F91" s="18">
        <f t="shared" si="5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tabSelected="1"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2026-04-08T22:07:42Z</dcterms:modified>
</cp:coreProperties>
</file>