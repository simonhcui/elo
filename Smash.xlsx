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3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" i="15" l="1"/>
  <c r="L19" i="15"/>
  <c r="N15" i="15"/>
  <c r="L15" i="15"/>
  <c r="N61" i="15"/>
  <c r="L61" i="15"/>
  <c r="N69" i="15"/>
  <c r="L69" i="15"/>
  <c r="N46" i="15"/>
  <c r="L46" i="15"/>
  <c r="N32" i="15"/>
  <c r="L32" i="15"/>
  <c r="N41" i="15"/>
  <c r="L41" i="15"/>
  <c r="N39" i="15"/>
  <c r="L39" i="15"/>
  <c r="N56" i="15"/>
  <c r="L56" i="15"/>
  <c r="N70" i="15"/>
  <c r="L70" i="15"/>
  <c r="N49" i="15"/>
  <c r="L49" i="15"/>
  <c r="N67" i="15"/>
  <c r="L67" i="15"/>
  <c r="N42" i="15"/>
  <c r="L42" i="15"/>
  <c r="N50" i="15"/>
  <c r="L50" i="15"/>
  <c r="N35" i="15"/>
  <c r="L35" i="15"/>
  <c r="N33" i="15" l="1"/>
  <c r="L33" i="15"/>
  <c r="N47" i="15"/>
  <c r="L47" i="15"/>
  <c r="N37" i="15"/>
  <c r="L37" i="15"/>
  <c r="N38" i="15"/>
  <c r="L38" i="15"/>
  <c r="N62" i="15"/>
  <c r="L62" i="15"/>
  <c r="N66" i="15"/>
  <c r="L66" i="15"/>
  <c r="N40" i="15"/>
  <c r="L40" i="15"/>
  <c r="N14" i="15" l="1"/>
  <c r="L14" i="15"/>
  <c r="N54" i="15"/>
  <c r="L54" i="15"/>
  <c r="N68" i="15"/>
  <c r="L68" i="15"/>
  <c r="N24" i="15" l="1"/>
  <c r="L24" i="15"/>
  <c r="N60" i="15"/>
  <c r="L60" i="15"/>
  <c r="N55" i="15"/>
  <c r="L55" i="15"/>
  <c r="N16" i="15"/>
  <c r="L16" i="15"/>
  <c r="N28" i="15"/>
  <c r="L28" i="15"/>
  <c r="N65" i="15" l="1"/>
  <c r="L65" i="15"/>
  <c r="N64" i="15"/>
  <c r="L64" i="15"/>
  <c r="N43" i="15"/>
  <c r="L43" i="15"/>
  <c r="N71" i="15" l="1"/>
  <c r="L71" i="15"/>
  <c r="N51" i="15"/>
  <c r="L51" i="15"/>
  <c r="N72" i="15"/>
  <c r="L72" i="15"/>
  <c r="N58" i="15"/>
  <c r="L58" i="15"/>
  <c r="N45" i="15"/>
  <c r="L45" i="15"/>
  <c r="N27" i="15"/>
  <c r="L27" i="15"/>
  <c r="N36" i="15" l="1"/>
  <c r="L36" i="15"/>
  <c r="N18" i="15"/>
  <c r="L18" i="15"/>
  <c r="N63" i="15"/>
  <c r="L63" i="15"/>
  <c r="S48" i="16"/>
  <c r="R48" i="16"/>
  <c r="S9" i="16"/>
  <c r="R9" i="16"/>
  <c r="S23" i="16"/>
  <c r="R23" i="16"/>
  <c r="S41" i="16"/>
  <c r="R41" i="16"/>
  <c r="S13" i="16"/>
  <c r="R13" i="16"/>
  <c r="S50" i="16"/>
  <c r="R50" i="16"/>
  <c r="S4" i="16"/>
  <c r="R4" i="16"/>
  <c r="S20" i="16"/>
  <c r="R20" i="16"/>
  <c r="S30" i="16"/>
  <c r="R30" i="16"/>
  <c r="S55" i="16"/>
  <c r="R55" i="16"/>
  <c r="S15" i="16"/>
  <c r="R15" i="16"/>
  <c r="S25" i="16"/>
  <c r="R25" i="16"/>
  <c r="S34" i="16"/>
  <c r="R34" i="16"/>
  <c r="S5" i="16"/>
  <c r="R5" i="16"/>
  <c r="S14" i="16"/>
  <c r="R14" i="16"/>
  <c r="S47" i="16"/>
  <c r="R47" i="16"/>
  <c r="S10" i="16"/>
  <c r="R10" i="16"/>
  <c r="S31" i="16"/>
  <c r="R31" i="16"/>
  <c r="S29" i="16"/>
  <c r="R29" i="16"/>
  <c r="S22" i="16"/>
  <c r="R22" i="16"/>
  <c r="S3" i="16"/>
  <c r="R3" i="16"/>
  <c r="S56" i="16"/>
  <c r="R56" i="16"/>
  <c r="S46" i="16"/>
  <c r="R46" i="16"/>
  <c r="S36" i="16"/>
  <c r="R36" i="16"/>
  <c r="S16" i="16"/>
  <c r="R16" i="16"/>
  <c r="S39" i="16"/>
  <c r="R39" i="16"/>
  <c r="S37" i="16"/>
  <c r="R37" i="16"/>
  <c r="S21" i="16"/>
  <c r="R21" i="16"/>
  <c r="S7" i="16"/>
  <c r="R7" i="16"/>
  <c r="S8" i="16"/>
  <c r="R8" i="16"/>
  <c r="S40" i="16"/>
  <c r="R40" i="16"/>
  <c r="S12" i="16"/>
  <c r="R12" i="16"/>
  <c r="S38" i="16"/>
  <c r="R38" i="16"/>
  <c r="S33" i="16"/>
  <c r="R33" i="16"/>
  <c r="S54" i="16"/>
  <c r="R54" i="16"/>
  <c r="S24" i="16"/>
  <c r="R24" i="16"/>
  <c r="S32" i="16"/>
  <c r="R32" i="16"/>
  <c r="S6" i="16"/>
  <c r="R6" i="16"/>
  <c r="S19" i="16"/>
  <c r="R19" i="16"/>
  <c r="S49" i="16"/>
  <c r="R49" i="16"/>
  <c r="S17" i="16"/>
  <c r="R17" i="16"/>
  <c r="S44" i="16"/>
  <c r="R44" i="16"/>
  <c r="S11" i="16"/>
  <c r="R11" i="16"/>
  <c r="S51" i="16"/>
  <c r="R51" i="16"/>
  <c r="S42" i="16"/>
  <c r="R42" i="16"/>
  <c r="S45" i="16"/>
  <c r="R45" i="16"/>
  <c r="S53" i="16"/>
  <c r="R53" i="16"/>
  <c r="S52" i="16"/>
  <c r="R52" i="16"/>
  <c r="S35" i="16"/>
  <c r="R35" i="16"/>
  <c r="S28" i="16"/>
  <c r="R28" i="16"/>
  <c r="S2" i="16"/>
  <c r="R2" i="16"/>
  <c r="S26" i="16"/>
  <c r="R26" i="16"/>
  <c r="S43" i="16"/>
  <c r="R43" i="16"/>
  <c r="S18" i="16"/>
  <c r="R18" i="16"/>
  <c r="S27" i="16"/>
  <c r="R27" i="16"/>
  <c r="N73" i="15"/>
  <c r="L73" i="15"/>
  <c r="N44" i="15"/>
  <c r="L44" i="15"/>
  <c r="N25" i="15" l="1"/>
  <c r="L25" i="15"/>
  <c r="N53" i="15"/>
  <c r="L53" i="15"/>
  <c r="N26" i="15" l="1"/>
  <c r="L26" i="15"/>
  <c r="N52" i="15"/>
  <c r="L52" i="15"/>
  <c r="N17" i="15"/>
  <c r="L17" i="15"/>
  <c r="N30" i="15"/>
  <c r="L30" i="15"/>
  <c r="L19" i="16" l="1"/>
  <c r="K19" i="16"/>
  <c r="L38" i="16"/>
  <c r="K38" i="16"/>
  <c r="L10" i="16"/>
  <c r="K10" i="16"/>
  <c r="L43" i="16"/>
  <c r="K43" i="16"/>
  <c r="L4" i="16"/>
  <c r="K4" i="16"/>
  <c r="L17" i="16"/>
  <c r="K17" i="16"/>
  <c r="L27" i="16"/>
  <c r="K27" i="16"/>
  <c r="L48" i="16"/>
  <c r="K48" i="16"/>
  <c r="L13" i="16"/>
  <c r="K13" i="16"/>
  <c r="L21" i="16"/>
  <c r="K21" i="16"/>
  <c r="L30" i="16"/>
  <c r="K30" i="16"/>
  <c r="L5" i="16"/>
  <c r="K5" i="16"/>
  <c r="L12" i="16"/>
  <c r="K12" i="16"/>
  <c r="L41" i="16"/>
  <c r="K41" i="16"/>
  <c r="L25" i="16"/>
  <c r="K25" i="16"/>
  <c r="L24" i="16"/>
  <c r="K24" i="16"/>
  <c r="L23" i="16"/>
  <c r="K23" i="16"/>
  <c r="L3" i="16"/>
  <c r="K3" i="16"/>
  <c r="L49" i="16"/>
  <c r="K49" i="16"/>
  <c r="L40" i="16"/>
  <c r="K40" i="16"/>
  <c r="L31" i="16"/>
  <c r="K31" i="16"/>
  <c r="L14" i="16"/>
  <c r="K14" i="16"/>
  <c r="L33" i="16"/>
  <c r="K33" i="16"/>
  <c r="L18" i="16"/>
  <c r="K18" i="16"/>
  <c r="L7" i="16"/>
  <c r="K7" i="16"/>
  <c r="L8" i="16"/>
  <c r="K8" i="16"/>
  <c r="L11" i="16"/>
  <c r="K11" i="16"/>
  <c r="L34" i="16"/>
  <c r="K34" i="16"/>
  <c r="L29" i="16"/>
  <c r="K29" i="16"/>
  <c r="L46" i="16"/>
  <c r="K46" i="16"/>
  <c r="L28" i="16"/>
  <c r="K28" i="16"/>
  <c r="L6" i="16"/>
  <c r="K6" i="16"/>
  <c r="L42" i="16"/>
  <c r="K42" i="16"/>
  <c r="L15" i="16"/>
  <c r="K15" i="16"/>
  <c r="L35" i="16"/>
  <c r="K35" i="16"/>
  <c r="L9" i="16"/>
  <c r="K9" i="16"/>
  <c r="L47" i="16"/>
  <c r="K47" i="16"/>
  <c r="L36" i="16"/>
  <c r="K36" i="16"/>
  <c r="L39" i="16"/>
  <c r="K39" i="16"/>
  <c r="L45" i="16"/>
  <c r="K45" i="16"/>
  <c r="L44" i="16"/>
  <c r="K44" i="16"/>
  <c r="L32" i="16"/>
  <c r="K32" i="16"/>
  <c r="L22" i="16"/>
  <c r="K22" i="16"/>
  <c r="L2" i="16"/>
  <c r="K2" i="16"/>
  <c r="L26" i="16"/>
  <c r="K26" i="16"/>
  <c r="L37" i="16"/>
  <c r="K37" i="16"/>
  <c r="L16" i="16"/>
  <c r="K16" i="16"/>
  <c r="L20" i="16"/>
  <c r="K20" i="16"/>
  <c r="N59" i="15"/>
  <c r="L59" i="15"/>
  <c r="N31" i="15"/>
  <c r="L31" i="15"/>
  <c r="N21" i="15"/>
  <c r="L21" i="15"/>
  <c r="N29" i="15" l="1"/>
  <c r="L29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8" i="15" l="1"/>
  <c r="L48" i="15"/>
  <c r="N23" i="15"/>
  <c r="L23" i="15"/>
  <c r="L34" i="15"/>
  <c r="N34" i="15"/>
  <c r="L57" i="15"/>
  <c r="N57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2" i="15"/>
  <c r="L22" i="15"/>
  <c r="F22" i="15"/>
  <c r="D22" i="15"/>
  <c r="F21" i="15"/>
  <c r="D21" i="15"/>
  <c r="N20" i="15"/>
  <c r="L20" i="15"/>
  <c r="F20" i="15"/>
  <c r="D20" i="15"/>
  <c r="F19" i="15"/>
  <c r="D19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<sst xmlns="http://schemas.openxmlformats.org/spreadsheetml/2006/main" count="18335" uniqueCount="613">
  <si>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</si>
  <si>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</si>
  <si>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</si>
  <si>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</si>
  <si>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</si>
  <si>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</si>
  <si>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</si>
  <si>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</si>
  <si>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</si>
  <si>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</si>
  <si>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</si>
  <si>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</si>
  <si>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</si>
  <si>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</si>
  <si>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</si>
  <si>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</si>
  <si>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</si>
  <si>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</si>
  <si>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</si>
  <si>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</si>
  <si>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</si>
  <si>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</si>
  <si>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</si>
  <si>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</si>
  <si>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</si>
  <si>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</si>
  <si>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</si>
  <si>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</si>
  <si>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</si>
  <si>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</si>
  <si>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</si>
  <si>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</si>
  <si>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</si>
  <si>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</si>
  <si>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</si>
  <si>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</si>
  <si>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</si>
  <si>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</si>
  <si>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</si>
  <si>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</si>
  <si>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</si>
  <si>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</si>
  <si>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</si>
  <si>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</si>
  <si>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</si>
  <si>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</si>
  <si>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</si>
  <si>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</si>
  <si>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</si>
  <si>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</si>
  <si>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</si>
  <si>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</si>
  <si>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</si>
  <si>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</si>
  <si>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</si>
  <si>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</si>
  <si>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</si>
  <si>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</si>
  <si>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</si>
  <si>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</si>
  <si>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</si>
  <si>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</si>
  <si>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</si>
  <si>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</si>
  <si>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</si>
  <si>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</si>
  <si>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</si>
  <si>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</si>
  <si>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</si>
  <si>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</si>
  <si>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</si>
  <si>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</si>
  <si>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</si>
  <si>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</si>
  <si>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</si>
  <si>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</si>
  <si>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</si>
  <si>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</si>
  <si>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</si>
  <si>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</si>
  <si>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</si>
  <si>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</si>
  <si>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</si>
  <si>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</si>
  <si>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</si>
  <si>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</si>
  <si>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</si>
  <si>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</si>
  <si>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</si>
  <si>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</si>
  <si>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</si>
  <si>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</si>
  <si>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</si>
  <si>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</si>
  <si>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</si>
  <si>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</si>
  <si>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</si>
  <si>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</si>
  <si>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</si>
  <si>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</si>
  <si>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</si>
  <si>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</si>
  <si>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</si>
  <si>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</si>
  <si>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</si>
  <si>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</si>
  <si>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</si>
  <si>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</si>
  <si>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</si>
  <si>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</si>
  <si>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</si>
  <si>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</si>
  <si>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</si>
  <si>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</si>
  <si>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</si>
  <si>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</si>
  <si>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</si>
  <si>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</si>
  <si>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</si>
  <si>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</si>
  <si>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</si>
  <si>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</si>
  <si>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</si>
  <si>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</si>
  <si>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</si>
  <si>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</si>
  <si>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</si>
  <si>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</si>
  <si>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</si>
  <si>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</si>
  <si>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</si>
  <si>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</si>
  <si>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</si>
  <si>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</si>
  <si>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</si>
  <si>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</si>
  <si>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</si>
  <si>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</si>
  <si>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</si>
  <si>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</si>
  <si>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</si>
  <si>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</si>
  <si>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</si>
  <si>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</si>
  <si>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</si>
  <si>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</si>
  <si>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</si>
  <si>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</si>
  <si>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</si>
  <si>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</si>
  <si>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</si>
  <si>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</si>
  <si>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</si>
  <si>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</si>
  <si>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</si>
  <si>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</si>
  <si>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</si>
  <si>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</si>
  <si>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</si>
  <si>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</si>
  <si>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</si>
  <si>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</si>
  <si>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</si>
  <si>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</si>
  <si>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</si>
  <si>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</si>
  <si>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</si>
  <si>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</si>
  <si>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</si>
  <si>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</si>
  <si>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</si>
  <si>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</si>
  <si>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</si>
  <si>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</si>
  <si>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</si>
  <si>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</si>
  <si>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</si>
  <si>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</si>
  <si>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</si>
  <si>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</si>
  <si>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</si>
  <si>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</si>
  <si>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</si>
  <si>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</si>
  <si>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</si>
  <si>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</si>
  <si>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</si>
  <si>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</si>
  <si>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</si>
  <si>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</si>
  <si>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</si>
  <si>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</si>
  <si>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</si>
  <si>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</si>
  <si>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</si>
  <si>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</si>
  <si>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</si>
  <si>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</si>
  <si>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</si>
  <si>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</si>
  <si>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</si>
  <si>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</si>
  <si>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</si>
  <si>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</si>
  <si>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</si>
  <si>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</si>
  <si>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</si>
  <si>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</si>
  <si>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</si>
  <si>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</si>
  <si>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</si>
  <si>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</si>
  <si>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</si>
  <si>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</si>
  <si>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</si>
  <si>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</si>
  <si>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</si>
  <si>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</si>
  <si>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</si>
  <si>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</si>
  <si>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</si>
  <si>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</si>
  <si>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</si>
  <si>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</si>
  <si>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</si>
  <si>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</si>
  <si>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</si>
  <si>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</si>
  <si>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</si>
  <si>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</si>
  <si>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</si>
  <si>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</si>
  <si>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</si>
  <si>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</si>
  <si>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</si>
  <si>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</si>
  <si>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</si>
  <si>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</si>
  <si>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</si>
  <si>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</si>
  <si>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</si>
  <si>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</si>
  <si>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</si>
  <si>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</si>
  <si>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</si>
  <si>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</si>
  <si>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</si>
  <si>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</si>
  <si>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</si>
  <si>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</si>
  <si>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</si>
  <si>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</si>
  <si>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</si>
  <si>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</si>
  <si>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</si>
  <si>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</si>
  <si>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</si>
  <si>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</si>
  <si>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</si>
  <si>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</si>
  <si>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</si>
  <si>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</si>
  <si>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</si>
  <si>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</si>
  <si>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</si>
  <si>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</si>
  <si>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</si>
  <si>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</si>
  <si>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</si>
  <si>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</si>
  <si>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</si>
  <si>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</si>
  <si>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</si>
  <si>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</si>
  <si>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</si>
  <si>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</si>
  <si>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</si>
  <si>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</si>
  <si>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</si>
  <si>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</si>
  <si>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</si>
  <si>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</si>
  <si>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</si>
  <si>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</si>
  <si>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</si>
  <si>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</si>
  <si>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</si>
  <si>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</si>
  <si>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</si>
  <si>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</si>
  <si>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</si>
  <si>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</si>
  <si>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</si>
  <si>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</si>
  <si>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</si>
  <si>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</si>
  <si>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</si>
  <si>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</si>
  <si>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</si>
  <si>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</si>
  <si>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</si>
  <si>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</si>
  <si>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</si>
  <si>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</si>
  <si>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</si>
  <si>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</si>
  <si>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</si>
  <si>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</si>
  <si>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</si>
  <si>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</si>
  <si>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</si>
  <si>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</si>
  <si>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</si>
  <si>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</si>
  <si>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</si>
  <si>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</si>
  <si>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</si>
  <si>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</si>
  <si>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</si>
  <si>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</si>
  <si>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</si>
  <si>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</si>
  <si>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</si>
  <si>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</si>
  <si>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</si>
  <si>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</si>
  <si>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</si>
  <si>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</si>
  <si>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</si>
  <si>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</si>
  <si>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</si>
  <si>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</si>
  <si>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</si>
  <si>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</si>
  <si>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</si>
  <si>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</si>
  <si>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</si>
  <si>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</si>
  <si>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</si>
  <si>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</si>
  <si>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</si>
  <si>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</si>
  <si>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</si>
  <si>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</si>
  <si>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</si>
  <si>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</si>
  <si>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</si>
  <si>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</si>
  <si>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</si>
  <si>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</si>
  <si>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</si>
  <si>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</si>
  <si>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</si>
  <si>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</si>
  <si>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</si>
  <si>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</si>
  <si>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</si>
  <si>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</si>
  <si>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</si>
  <si>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</si>
  <si>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</si>
  <si>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</si>
  <si>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</si>
  <si>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</si>
  <si>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</si>
  <si>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</si>
  <si>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</si>
  <si>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</si>
  <si>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</si>
  <si>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</si>
  <si>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</si>
  <si>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</si>
  <si>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</si>
  <si>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</si>
  <si>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</si>
  <si>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</si>
  <si>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</si>
  <si>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</si>
  <si>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</si>
  <si>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</si>
  <si>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</si>
  <si>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</si>
  <si>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</si>
  <si>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</si>
  <si>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</si>
  <si>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</si>
  <si>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</si>
  <si>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</si>
  <si>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</si>
  <si>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</si>
  <si>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</si>
  <si>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</si>
  <si>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</si>
  <si>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</si>
  <si>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</si>
  <si>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</si>
  <si>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</si>
  <si>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</si>
  <si>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</si>
  <si>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</si>
  <si>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</si>
  <si>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</si>
  <si>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</si>
  <si>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</si>
  <si>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</si>
  <si>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</si>
  <si>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</si>
  <si>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</si>
  <si>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</si>
  <si>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</si>
  <si>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</si>
  <si>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</si>
  <si>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</si>
  <si>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</si>
  <si>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</si>
  <si>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</si>
  <si>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</si>
  <si>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</si>
  <si>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</si>
  <si>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</si>
  <si>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</si>
  <si>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</si>
  <si>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</si>
  <si>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</si>
  <si>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</si>
  <si>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</si>
  <si>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</si>
  <si>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</si>
  <si>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</si>
  <si>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</si>
  <si>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</si>
  <si>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</si>
  <si>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</si>
  <si>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</si>
  <si>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</si>
  <si>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</si>
  <si>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</si>
  <si>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</si>
  <si>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</si>
  <si>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</si>
  <si>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</si>
  <si>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</si>
  <si>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</si>
  <si>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</si>
  <si>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</si>
  <si>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</si>
  <si>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</si>
  <si>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</si>
  <si>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</si>
  <si>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</si>
  <si>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</si>
  <si>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</si>
  <si>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</si>
  <si>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</si>
  <si>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</si>
  <si>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</si>
  <si>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</si>
  <si>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</si>
  <si>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</si>
  <si>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</si>
  <si>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</si>
  <si>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</si>
  <si>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</si>
  <si>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</si>
  <si>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</si>
  <si>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</si>
  <si>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</si>
  <si>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</si>
  <si>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</si>
  <si>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</si>
  <si>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</si>
  <si>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</si>
  <si>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</si>
  <si>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</si>
  <si>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</si>
  <si>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</si>
  <si>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</si>
  <si>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</si>
  <si>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</si>
  <si>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</si>
  <si>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</si>
  <si>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</si>
  <si>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</si>
  <si>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</si>
  <si>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</si>
  <si>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</si>
  <si>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</si>
  <si>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</si>
  <si>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</si>
  <si>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</si>
  <si>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</si>
  <si>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</si>
  <si>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</si>
  <si>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</si>
  <si>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</si>
  <si>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</si>
  <si>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</si>
  <si>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</si>
  <si>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</si>
  <si>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</si>
  <si>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</si>
  <si>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</si>
  <si>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</si>
  <si>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</si>
  <si>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</si>
  <si>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</si>
  <si>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</si>
  <si>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</si>
  <si>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</si>
  <si>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</si>
  <si>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</si>
  <si>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</si>
  <si>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</si>
  <si>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</si>
  <si>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</si>
  <si>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</si>
  <si>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</si>
  <si>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</si>
  <si>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</si>
  <si>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</si>
  <si>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</si>
  <si>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</si>
  <si>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</si>
  <si>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</si>
  <si>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</si>
  <si>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</si>
  <si>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</si>
  <si>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</si>
  <si>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</si>
  <si>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</si>
  <si>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</si>
  <si>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</si>
  <si>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</si>
  <si>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</si>
  <si>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</si>
  <si>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</si>
  <si>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</si>
  <si>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</si>
  <si>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</si>
  <si>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</si>
  <si>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</si>
  <si>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</si>
  <si>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</si>
  <si>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</si>
  <si>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</si>
  <si>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</si>
  <si>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</si>
  <si>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</si>
  <si>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</si>
  <si>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</si>
  <si>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</si>
  <si>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</si>
  <si>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</si>
  <si>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</si>
  <si>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</si>
  <si>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</si>
  <si>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</si>
  <si>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</si>
  <si>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</si>
  <si>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</si>
  <si>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</si>
  <si>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</si>
  <si>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</si>
  <si>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</si>
  <si>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</si>
  <si>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</si>
  <si>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</si>
  <si>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</si>
  <si>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</si>
  <si>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</si>
  <si>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</si>
  <si>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</si>
  <si>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</si>
  <si>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</si>
  <si>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</si>
  <si>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</si>
  <si>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</si>
  <si>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</si>
  <si>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</si>
  <si>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</si>
  <si>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</si>
  <si>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</si>
  <si>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</si>
  <si>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</si>
  <si>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</si>
  <si>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</si>
  <si>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</si>
  <si>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</si>
  <si>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</si>
  <si>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</si>
  <si>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</si>
  <si>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</si>
  <si>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</si>
  <si>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</si>
  <si>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</si>
  <si>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</si>
  <si>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</si>
  <si>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</si>
  <si>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</si>
  <si>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</si>
  <si>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</si>
  <si>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</si>
  <si>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</si>
  <si>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</si>
  <si>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</si>
  <si>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</si>
  <si>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</si>
  <si>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</si>
  <si>
    <t>Zero Suit</t>
  </si>
  <si>
    <r>
      <t>Peach/</t>
    </r>
    <r>
      <rPr>
        <b/>
        <sz val="11"/>
        <color theme="1"/>
        <rFont val="Calibri"/>
        <family val="2"/>
        <scheme val="minor"/>
      </rPr>
      <t>Daisy</t>
    </r>
  </si>
  <si>
    <r>
      <rPr>
        <b/>
        <sz val="11"/>
        <color theme="1"/>
        <rFont val="Calibri"/>
        <family val="2"/>
        <scheme val="minor"/>
      </rPr>
      <t>Ricter</t>
    </r>
    <r>
      <rPr>
        <sz val="11"/>
        <color theme="1"/>
        <rFont val="Calibri"/>
        <family val="2"/>
        <scheme val="minor"/>
      </rPr>
      <t>/Simon</t>
    </r>
  </si>
  <si>
    <t>New Jace</t>
  </si>
  <si>
    <t>Puff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</si>
</sst>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4.5" x14ac:dyDescent="0.35"/>
  <cols>
    <col min="1" max="1" width="17.7265625" bestFit="1" customWidth="1"/>
    <col min="2" max="3" width="14" bestFit="1" customWidth="1"/>
    <col min="4" max="4" width="37.453125" bestFit="1" customWidth="1"/>
    <col min="5" max="5" width="14.1796875" bestFit="1" customWidth="1"/>
    <col min="6" max="8" width="17.7265625" bestFit="1" customWidth="1"/>
    <col min="9" max="9" width="14" bestFit="1" customWidth="1"/>
    <col min="10" max="12" width="17.7265625" bestFit="1" customWidth="1"/>
    <col min="13" max="14" width="14" bestFit="1" customWidth="1"/>
    <col min="15" max="15" width="13.54296875" bestFit="1" customWidth="1"/>
    <col min="16" max="16" width="15.1796875" bestFit="1" customWidth="1"/>
    <col min="17" max="18" width="14" bestFit="1" customWidth="1"/>
    <col min="19" max="19" width="17.7265625" bestFit="1" customWidth="1"/>
    <col min="20" max="21" width="14" bestFit="1" customWidth="1"/>
  </cols>
  <sheetData>
    <row r="1" spans="1:14" x14ac:dyDescent="0.3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3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3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3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3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3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3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3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3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3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3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3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3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3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3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3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3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3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3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3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3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3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3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3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3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3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3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3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3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3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3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3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3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3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3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3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3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3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3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3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3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3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3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3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3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3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3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3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3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3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3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3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3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3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3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3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3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3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3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3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3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3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3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3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3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3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3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3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3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3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3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3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3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3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3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3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3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3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3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3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3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3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3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3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3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3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3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3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3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3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3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3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3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4.5" x14ac:dyDescent="0.35"/>
  <cols>
    <col min="1" max="1" width="19.453125" bestFit="1" customWidth="1"/>
    <col min="2" max="2" width="7.453125" bestFit="1" customWidth="1"/>
    <col min="3" max="3" width="8.7265625" bestFit="1" customWidth="1"/>
    <col min="4" max="4" width="12.1796875" bestFit="1" customWidth="1"/>
    <col min="5" max="5" width="12" bestFit="1" customWidth="1"/>
    <col min="6" max="6" width="20.7265625" bestFit="1" customWidth="1"/>
    <col min="8" max="8" width="19.453125" bestFit="1" customWidth="1"/>
    <col min="9" max="9" width="7.453125" bestFit="1" customWidth="1"/>
    <col min="10" max="10" width="8.7265625" bestFit="1" customWidth="1"/>
    <col min="11" max="11" width="12.1796875" bestFit="1" customWidth="1"/>
    <col min="12" max="12" width="12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8" width="12" bestFit="1" customWidth="1"/>
    <col min="19" max="19" width="11.54296875" bestFit="1" customWidth="1"/>
    <col min="20" max="20" width="11.1796875" bestFit="1" customWidth="1"/>
  </cols>
  <sheetData>
    <row r="1" spans="1:20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3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3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3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3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3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3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3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3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3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3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3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3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3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3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3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3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3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3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3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3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3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3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3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3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3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3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3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3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3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3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3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3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3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3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3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3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3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3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3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3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3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3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3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3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3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3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3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3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3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3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3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3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3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3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3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3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3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3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3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3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3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3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3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3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3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3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3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3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3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3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3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3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3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3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3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3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3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3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90"/>
  <sheetViews>
    <sheetView topLeftCell="N349" zoomScaleNormal="100" workbookViewId="0">
      <selection activeCell="AE382" sqref="AE382:AN390"/>
    </sheetView>
  </sheetViews>
  <sheetFormatPr defaultRowHeight="14.5" x14ac:dyDescent="0.35"/>
  <sheetData>
    <row r="1" spans="1:39" x14ac:dyDescent="0.3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3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3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3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3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3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3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3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3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3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3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3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3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3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3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3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3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3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3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3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3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3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3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3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3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3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3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3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3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3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3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3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3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3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3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3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35">
      <c r="K42" s="18" t="s">
        <v>268</v>
      </c>
    </row>
    <row r="43" spans="1:32" x14ac:dyDescent="0.35">
      <c r="K43" t="s">
        <v>177</v>
      </c>
    </row>
    <row r="44" spans="1:32" x14ac:dyDescent="0.3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3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3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3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3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3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3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3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3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35">
      <c r="K53" t="s">
        <v>301</v>
      </c>
    </row>
    <row r="54" spans="11:29" x14ac:dyDescent="0.35">
      <c r="K54" s="18" t="s">
        <v>357</v>
      </c>
    </row>
    <row r="55" spans="11:29" x14ac:dyDescent="0.35">
      <c r="K55" s="18" t="s">
        <v>246</v>
      </c>
    </row>
    <row r="56" spans="11:29" x14ac:dyDescent="0.3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3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3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3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3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3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3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3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3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35">
      <c r="K65" s="18" t="s">
        <v>264</v>
      </c>
    </row>
    <row r="66" spans="11:31" x14ac:dyDescent="0.35">
      <c r="K66" s="18" t="s">
        <v>294</v>
      </c>
    </row>
    <row r="67" spans="11:31" x14ac:dyDescent="0.3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3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3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3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3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3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3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3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3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35">
      <c r="K76">
        <v>2</v>
      </c>
    </row>
    <row r="77" spans="11:31" x14ac:dyDescent="0.3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3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3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3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3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3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3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3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3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35">
      <c r="K86" s="18" t="s">
        <v>354</v>
      </c>
    </row>
    <row r="87" spans="11:31" x14ac:dyDescent="0.3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3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3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3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3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3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3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3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3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35">
      <c r="K96" s="18" t="s">
        <v>299</v>
      </c>
    </row>
    <row r="97" spans="11:33" x14ac:dyDescent="0.35">
      <c r="K97" s="18" t="s">
        <v>330</v>
      </c>
    </row>
    <row r="98" spans="11:33" x14ac:dyDescent="0.35">
      <c r="K98" t="s">
        <v>206</v>
      </c>
    </row>
    <row r="99" spans="11:33" x14ac:dyDescent="0.35">
      <c r="K99" s="18" t="s">
        <v>353</v>
      </c>
    </row>
    <row r="100" spans="11:33" x14ac:dyDescent="0.35">
      <c r="K100" t="s">
        <v>288</v>
      </c>
    </row>
    <row r="101" spans="11:33" x14ac:dyDescent="0.35">
      <c r="K101" t="s">
        <v>209</v>
      </c>
    </row>
    <row r="102" spans="11:33" x14ac:dyDescent="0.3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3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3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3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3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3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3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3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3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35">
      <c r="K111" s="18" t="s">
        <v>247</v>
      </c>
    </row>
    <row r="112" spans="11:33" x14ac:dyDescent="0.3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3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3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3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3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3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3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3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3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3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3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3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3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3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3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3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3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3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3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3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3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3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3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3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3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3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3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3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3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3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3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3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3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3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3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3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3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3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3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3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3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3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3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3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3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3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3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3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3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3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3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3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3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3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3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3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3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3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3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3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3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3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3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3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3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3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3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3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3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3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3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3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3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3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3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3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3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3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3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3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3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3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3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3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3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3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3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3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3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3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3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3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3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3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3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3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3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3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3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3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3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3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3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3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3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3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3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3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3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3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3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3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3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3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3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3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3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3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3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3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3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3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3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3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3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3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3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3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3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3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3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3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3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3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3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3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3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3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3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3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3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3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3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3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3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3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3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3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3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3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3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3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3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3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3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3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3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3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3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3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3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3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3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3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3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3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3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3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3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3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3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3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3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3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3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3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3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3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3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3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3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3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3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3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3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3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3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3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3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3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3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3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3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3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3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3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3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3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3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3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3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3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3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3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3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3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3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3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3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3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3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3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3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3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3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3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3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7" x14ac:dyDescent="0.3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7" x14ac:dyDescent="0.3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7" x14ac:dyDescent="0.3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7" x14ac:dyDescent="0.3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7" x14ac:dyDescent="0.3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7" x14ac:dyDescent="0.3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7" x14ac:dyDescent="0.3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7" x14ac:dyDescent="0.3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7" x14ac:dyDescent="0.3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  <c r="V362" s="1">
        <v>46219</v>
      </c>
      <c r="W362" s="1">
        <v>46219</v>
      </c>
      <c r="X362" s="1">
        <v>46219</v>
      </c>
      <c r="Y362" s="1">
        <v>46219</v>
      </c>
      <c r="Z362" s="1">
        <v>46226</v>
      </c>
      <c r="AA362" s="1">
        <v>46226</v>
      </c>
      <c r="AC362" s="1">
        <v>46233</v>
      </c>
      <c r="AD362" s="1">
        <v>46233</v>
      </c>
      <c r="AE362" s="1">
        <v>46233</v>
      </c>
      <c r="AF362" s="1">
        <v>46234</v>
      </c>
      <c r="AG362" s="1">
        <v>46234</v>
      </c>
      <c r="AH362" s="1">
        <v>46235</v>
      </c>
      <c r="AI362" s="1">
        <v>46235</v>
      </c>
      <c r="AJ362" s="1">
        <v>46235</v>
      </c>
      <c r="AK362" s="1">
        <v>46235</v>
      </c>
    </row>
    <row r="363" spans="10:37" x14ac:dyDescent="0.3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  <c r="V363" t="s">
        <v>121</v>
      </c>
      <c r="W363" t="s">
        <v>232</v>
      </c>
      <c r="X363" t="s">
        <v>52</v>
      </c>
      <c r="Y363" t="s">
        <v>2</v>
      </c>
      <c r="Z363" t="s">
        <v>128</v>
      </c>
      <c r="AA363" t="s">
        <v>232</v>
      </c>
      <c r="AC363" t="s">
        <v>28</v>
      </c>
      <c r="AD363" t="s">
        <v>586</v>
      </c>
      <c r="AE363" t="s">
        <v>553</v>
      </c>
      <c r="AF363" t="s">
        <v>36</v>
      </c>
      <c r="AG363" t="s">
        <v>232</v>
      </c>
      <c r="AH363" t="s">
        <v>117</v>
      </c>
      <c r="AI363" t="s">
        <v>232</v>
      </c>
      <c r="AJ363" t="s">
        <v>2</v>
      </c>
      <c r="AK363" t="s">
        <v>2</v>
      </c>
    </row>
    <row r="364" spans="10:37" x14ac:dyDescent="0.3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  <c r="V364" t="s">
        <v>35</v>
      </c>
      <c r="W364" t="s">
        <v>123</v>
      </c>
      <c r="X364" t="s">
        <v>15</v>
      </c>
      <c r="Y364" t="s">
        <v>29</v>
      </c>
      <c r="Z364" t="s">
        <v>593</v>
      </c>
      <c r="AA364" t="s">
        <v>116</v>
      </c>
      <c r="AC364" t="s">
        <v>52</v>
      </c>
      <c r="AD364" t="s">
        <v>36</v>
      </c>
      <c r="AE364" t="s">
        <v>36</v>
      </c>
      <c r="AF364" t="s">
        <v>28</v>
      </c>
      <c r="AG364" t="s">
        <v>105</v>
      </c>
      <c r="AH364" t="s">
        <v>78</v>
      </c>
      <c r="AI364" t="s">
        <v>116</v>
      </c>
      <c r="AJ364" t="s">
        <v>593</v>
      </c>
      <c r="AK364" t="s">
        <v>116</v>
      </c>
    </row>
    <row r="365" spans="10:37" x14ac:dyDescent="0.3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  <c r="V365" t="s">
        <v>87</v>
      </c>
      <c r="W365" t="s">
        <v>112</v>
      </c>
      <c r="X365" t="s">
        <v>29</v>
      </c>
      <c r="Y365" t="s">
        <v>122</v>
      </c>
      <c r="Z365" t="s">
        <v>123</v>
      </c>
      <c r="AA365" t="s">
        <v>593</v>
      </c>
      <c r="AC365" t="s">
        <v>30</v>
      </c>
      <c r="AD365" t="s">
        <v>25</v>
      </c>
      <c r="AE365" t="s">
        <v>35</v>
      </c>
      <c r="AF365" t="s">
        <v>121</v>
      </c>
      <c r="AG365" t="s">
        <v>1</v>
      </c>
      <c r="AH365" t="s">
        <v>129</v>
      </c>
      <c r="AI365" t="s">
        <v>2</v>
      </c>
      <c r="AJ365" t="s">
        <v>25</v>
      </c>
      <c r="AK365" t="s">
        <v>25</v>
      </c>
    </row>
    <row r="366" spans="10:37" x14ac:dyDescent="0.3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  <c r="V366" t="s">
        <v>122</v>
      </c>
      <c r="W366" t="s">
        <v>28</v>
      </c>
      <c r="X366" t="s">
        <v>3</v>
      </c>
      <c r="Y366" t="s">
        <v>15</v>
      </c>
      <c r="Z366" t="s">
        <v>13</v>
      </c>
      <c r="AA366" t="s">
        <v>573</v>
      </c>
      <c r="AC366" t="s">
        <v>20</v>
      </c>
      <c r="AD366" t="s">
        <v>232</v>
      </c>
      <c r="AE366" t="s">
        <v>117</v>
      </c>
      <c r="AF366" t="s">
        <v>232</v>
      </c>
      <c r="AG366" t="s">
        <v>117</v>
      </c>
      <c r="AH366" t="s">
        <v>116</v>
      </c>
      <c r="AI366" t="s">
        <v>129</v>
      </c>
      <c r="AJ366" t="s">
        <v>28</v>
      </c>
      <c r="AK366" t="s">
        <v>31</v>
      </c>
    </row>
    <row r="367" spans="10:37" x14ac:dyDescent="0.3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  <c r="V367" t="s">
        <v>4</v>
      </c>
      <c r="W367" t="s">
        <v>78</v>
      </c>
      <c r="X367" t="s">
        <v>79</v>
      </c>
      <c r="Y367" t="s">
        <v>175</v>
      </c>
      <c r="Z367" t="s">
        <v>1</v>
      </c>
      <c r="AA367" t="s">
        <v>87</v>
      </c>
      <c r="AC367" t="s">
        <v>15</v>
      </c>
      <c r="AD367" t="s">
        <v>31</v>
      </c>
      <c r="AE367" t="s">
        <v>29</v>
      </c>
      <c r="AF367" t="s">
        <v>25</v>
      </c>
      <c r="AG367" t="s">
        <v>36</v>
      </c>
      <c r="AH367" t="s">
        <v>2</v>
      </c>
      <c r="AI367" t="s">
        <v>78</v>
      </c>
      <c r="AJ367" t="s">
        <v>116</v>
      </c>
      <c r="AK367" t="s">
        <v>1</v>
      </c>
    </row>
    <row r="368" spans="10:37" x14ac:dyDescent="0.3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  <c r="V368" t="s">
        <v>28</v>
      </c>
      <c r="W368" t="s">
        <v>87</v>
      </c>
      <c r="X368" t="s">
        <v>30</v>
      </c>
      <c r="Y368" t="s">
        <v>49</v>
      </c>
      <c r="Z368" t="s">
        <v>31</v>
      </c>
      <c r="AA368" t="s">
        <v>13</v>
      </c>
      <c r="AC368" t="s">
        <v>122</v>
      </c>
      <c r="AD368" t="s">
        <v>4</v>
      </c>
      <c r="AE368" t="s">
        <v>175</v>
      </c>
      <c r="AF368" t="s">
        <v>63</v>
      </c>
      <c r="AG368" t="s">
        <v>28</v>
      </c>
      <c r="AH368" t="s">
        <v>124</v>
      </c>
      <c r="AI368" t="s">
        <v>4</v>
      </c>
      <c r="AJ368" t="s">
        <v>1</v>
      </c>
      <c r="AK368" t="s">
        <v>593</v>
      </c>
    </row>
    <row r="369" spans="10:40" x14ac:dyDescent="0.3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  <c r="V369" t="s">
        <v>25</v>
      </c>
      <c r="W369" t="s">
        <v>25</v>
      </c>
      <c r="X369" t="s">
        <v>49</v>
      </c>
      <c r="Y369" t="s">
        <v>3</v>
      </c>
      <c r="Z369" t="s">
        <v>25</v>
      </c>
      <c r="AA369" t="s">
        <v>31</v>
      </c>
      <c r="AC369" t="s">
        <v>25</v>
      </c>
      <c r="AD369" t="s">
        <v>117</v>
      </c>
      <c r="AE369" t="s">
        <v>122</v>
      </c>
      <c r="AF369" t="s">
        <v>117</v>
      </c>
      <c r="AG369" t="s">
        <v>586</v>
      </c>
      <c r="AH369" t="s">
        <v>232</v>
      </c>
      <c r="AI369" t="s">
        <v>117</v>
      </c>
      <c r="AJ369" t="s">
        <v>87</v>
      </c>
      <c r="AK369" t="s">
        <v>87</v>
      </c>
    </row>
    <row r="370" spans="10:40" x14ac:dyDescent="0.3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  <c r="V370" t="s">
        <v>90</v>
      </c>
      <c r="W370" t="s">
        <v>4</v>
      </c>
      <c r="X370" t="s">
        <v>20</v>
      </c>
      <c r="Y370" t="s">
        <v>553</v>
      </c>
      <c r="Z370" t="s">
        <v>115</v>
      </c>
      <c r="AA370" t="s">
        <v>25</v>
      </c>
      <c r="AC370" t="s">
        <v>31</v>
      </c>
      <c r="AD370" t="s">
        <v>28</v>
      </c>
      <c r="AE370" t="s">
        <v>15</v>
      </c>
      <c r="AF370" t="s">
        <v>1</v>
      </c>
      <c r="AG370" t="s">
        <v>25</v>
      </c>
      <c r="AH370" t="s">
        <v>4</v>
      </c>
      <c r="AI370" t="s">
        <v>124</v>
      </c>
      <c r="AJ370" t="s">
        <v>31</v>
      </c>
      <c r="AK370" t="s">
        <v>28</v>
      </c>
    </row>
    <row r="372" spans="10:40" x14ac:dyDescent="0.35">
      <c r="J372" s="1">
        <v>46240</v>
      </c>
      <c r="K372" s="1">
        <v>46240</v>
      </c>
      <c r="L372" s="1">
        <v>46240</v>
      </c>
      <c r="M372" s="1">
        <v>46240</v>
      </c>
      <c r="N372" s="1">
        <v>46241</v>
      </c>
      <c r="O372" s="1">
        <v>46247</v>
      </c>
      <c r="P372" s="1">
        <v>46247</v>
      </c>
      <c r="Q372" s="1">
        <v>46247</v>
      </c>
      <c r="R372" s="1">
        <v>46247</v>
      </c>
      <c r="T372" s="1">
        <v>46268</v>
      </c>
      <c r="U372" s="1">
        <v>46268</v>
      </c>
      <c r="V372" s="1">
        <v>46268</v>
      </c>
      <c r="W372" s="1">
        <v>46268</v>
      </c>
      <c r="X372" s="1">
        <v>46269</v>
      </c>
      <c r="Y372" s="1">
        <v>46269</v>
      </c>
      <c r="Z372" s="1">
        <v>46269</v>
      </c>
      <c r="AA372" s="1">
        <v>46270</v>
      </c>
      <c r="AB372" s="1">
        <v>46270</v>
      </c>
      <c r="AC372" s="1">
        <v>46270</v>
      </c>
      <c r="AD372" s="1">
        <v>46270</v>
      </c>
      <c r="AE372" s="1">
        <v>46270</v>
      </c>
      <c r="AF372" s="1">
        <v>46270</v>
      </c>
      <c r="AG372" s="1">
        <v>46270</v>
      </c>
      <c r="AH372" s="1">
        <v>46270</v>
      </c>
      <c r="AJ372" s="1">
        <v>46275</v>
      </c>
      <c r="AK372" s="1">
        <v>46275</v>
      </c>
      <c r="AL372" s="1">
        <v>46275</v>
      </c>
      <c r="AM372" s="1">
        <v>46276</v>
      </c>
      <c r="AN372" s="1">
        <v>46276</v>
      </c>
    </row>
    <row r="373" spans="10:40" x14ac:dyDescent="0.35">
      <c r="J373" t="s">
        <v>121</v>
      </c>
      <c r="K373" t="s">
        <v>4</v>
      </c>
      <c r="L373" t="s">
        <v>36</v>
      </c>
      <c r="M373" t="s">
        <v>29</v>
      </c>
      <c r="N373" t="s">
        <v>121</v>
      </c>
      <c r="O373" t="s">
        <v>7</v>
      </c>
      <c r="P373" t="s">
        <v>31</v>
      </c>
      <c r="Q373" t="s">
        <v>572</v>
      </c>
      <c r="R373" t="s">
        <v>9</v>
      </c>
      <c r="T373" t="s">
        <v>123</v>
      </c>
      <c r="U373" t="s">
        <v>2</v>
      </c>
      <c r="V373" t="s">
        <v>552</v>
      </c>
      <c r="W373" t="s">
        <v>26</v>
      </c>
      <c r="X373" t="s">
        <v>1</v>
      </c>
      <c r="Y373" t="s">
        <v>552</v>
      </c>
      <c r="Z373" t="s">
        <v>552</v>
      </c>
      <c r="AA373" t="s">
        <v>572</v>
      </c>
      <c r="AB373" t="s">
        <v>104</v>
      </c>
      <c r="AC373" t="s">
        <v>99</v>
      </c>
      <c r="AD373" t="s">
        <v>122</v>
      </c>
      <c r="AE373" t="s">
        <v>21</v>
      </c>
      <c r="AF373" t="s">
        <v>28</v>
      </c>
      <c r="AG373" t="s">
        <v>58</v>
      </c>
      <c r="AH373" t="s">
        <v>232</v>
      </c>
      <c r="AJ373" t="s">
        <v>8</v>
      </c>
      <c r="AK373" t="s">
        <v>585</v>
      </c>
      <c r="AL373" t="s">
        <v>49</v>
      </c>
      <c r="AM373" t="s">
        <v>612</v>
      </c>
      <c r="AN373" t="s">
        <v>23</v>
      </c>
    </row>
    <row r="374" spans="10:40" x14ac:dyDescent="0.35">
      <c r="J374" t="s">
        <v>593</v>
      </c>
      <c r="K374" t="s">
        <v>31</v>
      </c>
      <c r="L374" t="s">
        <v>49</v>
      </c>
      <c r="M374" t="s">
        <v>608</v>
      </c>
      <c r="N374" t="s">
        <v>403</v>
      </c>
      <c r="O374" t="s">
        <v>4</v>
      </c>
      <c r="P374" t="s">
        <v>87</v>
      </c>
      <c r="Q374" t="s">
        <v>122</v>
      </c>
      <c r="R374" t="s">
        <v>15</v>
      </c>
      <c r="T374" t="s">
        <v>7</v>
      </c>
      <c r="U374" t="s">
        <v>232</v>
      </c>
      <c r="V374" t="s">
        <v>35</v>
      </c>
      <c r="W374" t="s">
        <v>34</v>
      </c>
      <c r="X374" t="s">
        <v>232</v>
      </c>
      <c r="Y374" t="s">
        <v>585</v>
      </c>
      <c r="Z374" t="s">
        <v>553</v>
      </c>
      <c r="AA374" t="s">
        <v>104</v>
      </c>
      <c r="AB374" t="s">
        <v>552</v>
      </c>
      <c r="AC374" t="s">
        <v>15</v>
      </c>
      <c r="AD374" t="s">
        <v>1</v>
      </c>
      <c r="AE374" t="s">
        <v>232</v>
      </c>
      <c r="AF374" t="s">
        <v>232</v>
      </c>
      <c r="AG374" t="s">
        <v>552</v>
      </c>
      <c r="AH374" t="s">
        <v>403</v>
      </c>
      <c r="AJ374" t="s">
        <v>21</v>
      </c>
      <c r="AK374" t="s">
        <v>27</v>
      </c>
      <c r="AL374" t="s">
        <v>52</v>
      </c>
      <c r="AM374" t="s">
        <v>121</v>
      </c>
      <c r="AN374" t="s">
        <v>82</v>
      </c>
    </row>
    <row r="375" spans="10:40" x14ac:dyDescent="0.35">
      <c r="J375" t="s">
        <v>3</v>
      </c>
      <c r="K375" t="s">
        <v>36</v>
      </c>
      <c r="L375" t="s">
        <v>33</v>
      </c>
      <c r="M375" t="s">
        <v>49</v>
      </c>
      <c r="N375" t="s">
        <v>232</v>
      </c>
      <c r="O375" t="s">
        <v>116</v>
      </c>
      <c r="P375" t="s">
        <v>116</v>
      </c>
      <c r="Q375" t="s">
        <v>104</v>
      </c>
      <c r="R375" t="s">
        <v>122</v>
      </c>
      <c r="T375" t="s">
        <v>116</v>
      </c>
      <c r="U375" t="s">
        <v>87</v>
      </c>
      <c r="V375" t="s">
        <v>15</v>
      </c>
      <c r="W375" t="s">
        <v>35</v>
      </c>
      <c r="X375" t="s">
        <v>8</v>
      </c>
      <c r="Y375" t="s">
        <v>87</v>
      </c>
      <c r="Z375" t="s">
        <v>9</v>
      </c>
      <c r="AA375" t="s">
        <v>2</v>
      </c>
      <c r="AB375" t="s">
        <v>553</v>
      </c>
      <c r="AC375" t="s">
        <v>37</v>
      </c>
      <c r="AD375" t="s">
        <v>553</v>
      </c>
      <c r="AE375" t="s">
        <v>49</v>
      </c>
      <c r="AF375" t="s">
        <v>8</v>
      </c>
      <c r="AG375" t="s">
        <v>12</v>
      </c>
      <c r="AH375" t="s">
        <v>21</v>
      </c>
      <c r="AJ375" t="s">
        <v>585</v>
      </c>
      <c r="AK375" t="s">
        <v>21</v>
      </c>
      <c r="AL375" t="s">
        <v>20</v>
      </c>
      <c r="AM375" t="s">
        <v>232</v>
      </c>
      <c r="AN375" t="s">
        <v>232</v>
      </c>
    </row>
    <row r="376" spans="10:40" x14ac:dyDescent="0.35">
      <c r="J376" t="s">
        <v>78</v>
      </c>
      <c r="K376" t="s">
        <v>3</v>
      </c>
      <c r="L376" t="s">
        <v>128</v>
      </c>
      <c r="M376" t="s">
        <v>232</v>
      </c>
      <c r="N376" t="s">
        <v>147</v>
      </c>
      <c r="O376" t="s">
        <v>28</v>
      </c>
      <c r="P376" t="s">
        <v>7</v>
      </c>
      <c r="Q376" t="s">
        <v>552</v>
      </c>
      <c r="R376" t="s">
        <v>552</v>
      </c>
      <c r="T376" t="s">
        <v>28</v>
      </c>
      <c r="U376" t="s">
        <v>7</v>
      </c>
      <c r="V376" t="s">
        <v>572</v>
      </c>
      <c r="W376" t="s">
        <v>122</v>
      </c>
      <c r="X376" t="s">
        <v>123</v>
      </c>
      <c r="Y376" t="s">
        <v>553</v>
      </c>
      <c r="Z376" t="s">
        <v>28</v>
      </c>
      <c r="AA376" t="s">
        <v>552</v>
      </c>
      <c r="AB376" t="s">
        <v>99</v>
      </c>
      <c r="AC376" t="s">
        <v>124</v>
      </c>
      <c r="AD376" t="s">
        <v>37</v>
      </c>
      <c r="AE376" t="s">
        <v>31</v>
      </c>
      <c r="AF376" t="s">
        <v>21</v>
      </c>
      <c r="AG376" t="s">
        <v>15</v>
      </c>
      <c r="AH376" t="s">
        <v>15</v>
      </c>
      <c r="AJ376" t="s">
        <v>22</v>
      </c>
      <c r="AK376" t="s">
        <v>31</v>
      </c>
      <c r="AL376" t="s">
        <v>29</v>
      </c>
      <c r="AM376" t="s">
        <v>28</v>
      </c>
      <c r="AN376" t="s">
        <v>27</v>
      </c>
    </row>
    <row r="377" spans="10:40" x14ac:dyDescent="0.35">
      <c r="J377" t="s">
        <v>4</v>
      </c>
      <c r="K377" t="s">
        <v>230</v>
      </c>
      <c r="L377" t="s">
        <v>15</v>
      </c>
      <c r="M377" t="s">
        <v>33</v>
      </c>
      <c r="N377" t="s">
        <v>113</v>
      </c>
      <c r="O377" t="s">
        <v>31</v>
      </c>
      <c r="P377" t="s">
        <v>4</v>
      </c>
      <c r="Q377" t="s">
        <v>35</v>
      </c>
      <c r="R377" t="s">
        <v>232</v>
      </c>
      <c r="T377" t="s">
        <v>2</v>
      </c>
      <c r="U377" t="s">
        <v>31</v>
      </c>
      <c r="V377" t="s">
        <v>49</v>
      </c>
      <c r="W377" t="s">
        <v>33</v>
      </c>
      <c r="X377" t="s">
        <v>0</v>
      </c>
      <c r="Y377" t="s">
        <v>9</v>
      </c>
      <c r="Z377" t="s">
        <v>123</v>
      </c>
      <c r="AA377" t="s">
        <v>78</v>
      </c>
      <c r="AB377" t="s">
        <v>124</v>
      </c>
      <c r="AC377" t="s">
        <v>129</v>
      </c>
      <c r="AD377" t="s">
        <v>129</v>
      </c>
      <c r="AE377" t="s">
        <v>28</v>
      </c>
      <c r="AF377" t="s">
        <v>49</v>
      </c>
      <c r="AG377" t="s">
        <v>61</v>
      </c>
      <c r="AH377" t="s">
        <v>61</v>
      </c>
      <c r="AJ377" t="s">
        <v>28</v>
      </c>
      <c r="AK377" t="s">
        <v>28</v>
      </c>
      <c r="AL377" t="s">
        <v>51</v>
      </c>
      <c r="AM377" t="s">
        <v>63</v>
      </c>
      <c r="AN377" t="s">
        <v>119</v>
      </c>
    </row>
    <row r="378" spans="10:40" x14ac:dyDescent="0.35">
      <c r="J378" t="s">
        <v>31</v>
      </c>
      <c r="K378" t="s">
        <v>593</v>
      </c>
      <c r="L378" t="s">
        <v>12</v>
      </c>
      <c r="M378" t="s">
        <v>15</v>
      </c>
      <c r="N378" t="s">
        <v>608</v>
      </c>
      <c r="O378" t="s">
        <v>63</v>
      </c>
      <c r="P378" t="s">
        <v>2</v>
      </c>
      <c r="Q378" t="s">
        <v>4</v>
      </c>
      <c r="R378" t="s">
        <v>33</v>
      </c>
      <c r="T378" t="s">
        <v>31</v>
      </c>
      <c r="U378" t="s">
        <v>116</v>
      </c>
      <c r="V378" t="s">
        <v>26</v>
      </c>
      <c r="W378" t="s">
        <v>572</v>
      </c>
      <c r="X378" t="s">
        <v>28</v>
      </c>
      <c r="Y378" t="s">
        <v>232</v>
      </c>
      <c r="Z378" t="s">
        <v>8</v>
      </c>
      <c r="AA378" t="s">
        <v>99</v>
      </c>
      <c r="AB378" t="s">
        <v>15</v>
      </c>
      <c r="AC378" t="s">
        <v>122</v>
      </c>
      <c r="AD378" t="s">
        <v>99</v>
      </c>
      <c r="AE378" t="s">
        <v>87</v>
      </c>
      <c r="AF378" t="s">
        <v>31</v>
      </c>
      <c r="AG378" t="s">
        <v>9</v>
      </c>
      <c r="AH378" t="s">
        <v>9</v>
      </c>
      <c r="AJ378" t="s">
        <v>27</v>
      </c>
      <c r="AK378" t="s">
        <v>122</v>
      </c>
      <c r="AL378" t="s">
        <v>585</v>
      </c>
      <c r="AM378" t="s">
        <v>230</v>
      </c>
      <c r="AN378" t="s">
        <v>123</v>
      </c>
    </row>
    <row r="379" spans="10:40" x14ac:dyDescent="0.35">
      <c r="J379" t="s">
        <v>36</v>
      </c>
      <c r="K379" t="s">
        <v>78</v>
      </c>
      <c r="L379" t="s">
        <v>78</v>
      </c>
      <c r="M379" t="s">
        <v>78</v>
      </c>
      <c r="N379" t="s">
        <v>63</v>
      </c>
      <c r="O379" t="s">
        <v>2</v>
      </c>
      <c r="P379" t="s">
        <v>124</v>
      </c>
      <c r="Q379" t="s">
        <v>58</v>
      </c>
      <c r="R379" t="s">
        <v>553</v>
      </c>
      <c r="T379" t="s">
        <v>82</v>
      </c>
      <c r="U379" t="s">
        <v>28</v>
      </c>
      <c r="V379" t="s">
        <v>33</v>
      </c>
      <c r="W379" t="s">
        <v>15</v>
      </c>
      <c r="X379" t="s">
        <v>21</v>
      </c>
      <c r="Y379" t="s">
        <v>63</v>
      </c>
      <c r="Z379" t="s">
        <v>12</v>
      </c>
      <c r="AA379" t="s">
        <v>124</v>
      </c>
      <c r="AB379" t="s">
        <v>26</v>
      </c>
      <c r="AC379" t="s">
        <v>1</v>
      </c>
      <c r="AD379" t="s">
        <v>552</v>
      </c>
      <c r="AE379" t="s">
        <v>82</v>
      </c>
      <c r="AF379" t="s">
        <v>87</v>
      </c>
      <c r="AG379" t="s">
        <v>26</v>
      </c>
      <c r="AH379" t="s">
        <v>610</v>
      </c>
      <c r="AJ379" t="s">
        <v>31</v>
      </c>
      <c r="AK379" t="s">
        <v>237</v>
      </c>
      <c r="AL379" t="s">
        <v>15</v>
      </c>
      <c r="AM379" t="s">
        <v>119</v>
      </c>
      <c r="AN379" t="s">
        <v>28</v>
      </c>
    </row>
    <row r="380" spans="10:40" x14ac:dyDescent="0.35">
      <c r="J380" t="s">
        <v>230</v>
      </c>
      <c r="K380" t="s">
        <v>586</v>
      </c>
      <c r="L380" t="s">
        <v>29</v>
      </c>
      <c r="M380" t="s">
        <v>24</v>
      </c>
      <c r="N380" t="s">
        <v>28</v>
      </c>
      <c r="O380" t="s">
        <v>124</v>
      </c>
      <c r="P380" t="s">
        <v>28</v>
      </c>
      <c r="Q380" t="s">
        <v>15</v>
      </c>
      <c r="R380" t="s">
        <v>104</v>
      </c>
      <c r="T380" t="s">
        <v>87</v>
      </c>
      <c r="U380" t="s">
        <v>4</v>
      </c>
      <c r="V380" t="s">
        <v>122</v>
      </c>
      <c r="W380" t="s">
        <v>552</v>
      </c>
      <c r="X380" t="s">
        <v>87</v>
      </c>
      <c r="Y380" t="s">
        <v>21</v>
      </c>
      <c r="Z380" t="s">
        <v>589</v>
      </c>
      <c r="AA380" t="s">
        <v>26</v>
      </c>
      <c r="AB380" t="s">
        <v>78</v>
      </c>
      <c r="AC380" t="s">
        <v>16</v>
      </c>
      <c r="AD380" t="s">
        <v>16</v>
      </c>
      <c r="AE380" t="s">
        <v>609</v>
      </c>
      <c r="AF380" t="s">
        <v>9</v>
      </c>
      <c r="AG380" t="s">
        <v>63</v>
      </c>
      <c r="AH380" t="s">
        <v>552</v>
      </c>
      <c r="AJ380" t="s">
        <v>122</v>
      </c>
      <c r="AK380" t="s">
        <v>8</v>
      </c>
      <c r="AL380" t="s">
        <v>30</v>
      </c>
      <c r="AM380" t="s">
        <v>123</v>
      </c>
      <c r="AN380" t="s">
        <v>230</v>
      </c>
    </row>
    <row r="382" spans="10:40" x14ac:dyDescent="0.35">
      <c r="J382" s="1">
        <v>46282</v>
      </c>
      <c r="K382" s="1">
        <v>46282</v>
      </c>
      <c r="L382" s="1">
        <v>46282</v>
      </c>
      <c r="M382" s="1">
        <v>46282</v>
      </c>
      <c r="N382" s="1">
        <v>46283</v>
      </c>
      <c r="O382" s="1">
        <v>46283</v>
      </c>
      <c r="Q382" s="1">
        <v>46289</v>
      </c>
      <c r="R382" s="1">
        <v>46289</v>
      </c>
      <c r="S382" s="1">
        <v>46289</v>
      </c>
      <c r="T382" s="1">
        <v>46289</v>
      </c>
      <c r="U382" s="1">
        <v>46289</v>
      </c>
      <c r="V382" s="1">
        <v>46289</v>
      </c>
      <c r="X382" s="1">
        <v>46290</v>
      </c>
      <c r="Y382" s="1">
        <v>46290</v>
      </c>
      <c r="Z382" s="1">
        <v>46296</v>
      </c>
      <c r="AA382" s="1">
        <v>46296</v>
      </c>
      <c r="AB382" s="1">
        <v>46296</v>
      </c>
      <c r="AC382" s="1">
        <v>46296</v>
      </c>
      <c r="AE382" s="1">
        <v>46297</v>
      </c>
      <c r="AF382" s="1">
        <v>46297</v>
      </c>
      <c r="AG382" s="1">
        <v>46298</v>
      </c>
      <c r="AH382" s="1">
        <v>46298</v>
      </c>
      <c r="AI382" s="1">
        <v>46298</v>
      </c>
      <c r="AJ382" s="1">
        <v>46298</v>
      </c>
      <c r="AK382" s="1">
        <v>46298</v>
      </c>
      <c r="AL382" s="1">
        <v>46298</v>
      </c>
      <c r="AM382" s="1">
        <v>46298</v>
      </c>
      <c r="AN382" s="1">
        <v>46298</v>
      </c>
    </row>
    <row r="383" spans="10:40" x14ac:dyDescent="0.35">
      <c r="J383" t="s">
        <v>121</v>
      </c>
      <c r="K383" t="s">
        <v>123</v>
      </c>
      <c r="L383" t="s">
        <v>15</v>
      </c>
      <c r="M383" t="s">
        <v>232</v>
      </c>
      <c r="N383" t="s">
        <v>232</v>
      </c>
      <c r="O383" t="s">
        <v>28</v>
      </c>
      <c r="Q383" t="s">
        <v>122</v>
      </c>
      <c r="R383" t="s">
        <v>472</v>
      </c>
      <c r="S383" t="s">
        <v>552</v>
      </c>
      <c r="T383" t="s">
        <v>115</v>
      </c>
      <c r="U383" t="s">
        <v>49</v>
      </c>
      <c r="V383" t="s">
        <v>129</v>
      </c>
      <c r="X383" t="s">
        <v>553</v>
      </c>
      <c r="Y383" t="s">
        <v>232</v>
      </c>
      <c r="Z383" t="s">
        <v>1</v>
      </c>
      <c r="AA383" t="s">
        <v>1</v>
      </c>
      <c r="AB383" t="s">
        <v>49</v>
      </c>
      <c r="AC383" t="s">
        <v>232</v>
      </c>
      <c r="AE383" t="s">
        <v>31</v>
      </c>
      <c r="AF383" t="s">
        <v>552</v>
      </c>
      <c r="AG383" t="s">
        <v>232</v>
      </c>
      <c r="AH383" t="s">
        <v>129</v>
      </c>
      <c r="AI383" t="s">
        <v>17</v>
      </c>
      <c r="AJ383" t="s">
        <v>552</v>
      </c>
      <c r="AK383" t="s">
        <v>1</v>
      </c>
      <c r="AL383" t="s">
        <v>31</v>
      </c>
      <c r="AM383" t="s">
        <v>15</v>
      </c>
      <c r="AN383" t="s">
        <v>12</v>
      </c>
    </row>
    <row r="384" spans="10:40" x14ac:dyDescent="0.35">
      <c r="J384" t="s">
        <v>87</v>
      </c>
      <c r="K384" t="s">
        <v>585</v>
      </c>
      <c r="L384" t="s">
        <v>63</v>
      </c>
      <c r="M384" t="s">
        <v>552</v>
      </c>
      <c r="N384" t="s">
        <v>1</v>
      </c>
      <c r="O384" t="s">
        <v>230</v>
      </c>
      <c r="Q384" t="s">
        <v>27</v>
      </c>
      <c r="R384" t="s">
        <v>552</v>
      </c>
      <c r="S384" t="s">
        <v>553</v>
      </c>
      <c r="T384" t="s">
        <v>553</v>
      </c>
      <c r="U384" t="s">
        <v>26</v>
      </c>
      <c r="V384" t="s">
        <v>110</v>
      </c>
      <c r="X384" t="s">
        <v>58</v>
      </c>
      <c r="Y384" t="s">
        <v>12</v>
      </c>
      <c r="Z384" t="s">
        <v>122</v>
      </c>
      <c r="AA384" t="s">
        <v>123</v>
      </c>
      <c r="AB384" t="s">
        <v>12</v>
      </c>
      <c r="AC384" t="s">
        <v>552</v>
      </c>
      <c r="AE384" t="s">
        <v>10</v>
      </c>
      <c r="AF384" t="s">
        <v>1</v>
      </c>
      <c r="AG384" t="s">
        <v>58</v>
      </c>
      <c r="AH384" t="s">
        <v>99</v>
      </c>
      <c r="AI384" t="s">
        <v>5</v>
      </c>
      <c r="AJ384" t="s">
        <v>16</v>
      </c>
      <c r="AK384" t="s">
        <v>230</v>
      </c>
      <c r="AL384" t="s">
        <v>105</v>
      </c>
      <c r="AM384" t="s">
        <v>58</v>
      </c>
      <c r="AN384" t="s">
        <v>26</v>
      </c>
    </row>
    <row r="385" spans="10:40" x14ac:dyDescent="0.35">
      <c r="J385" t="s">
        <v>35</v>
      </c>
      <c r="K385" t="s">
        <v>27</v>
      </c>
      <c r="L385" t="s">
        <v>20</v>
      </c>
      <c r="M385" t="s">
        <v>585</v>
      </c>
      <c r="N385" t="s">
        <v>21</v>
      </c>
      <c r="O385" t="s">
        <v>232</v>
      </c>
      <c r="Q385" t="s">
        <v>35</v>
      </c>
      <c r="R385" t="s">
        <v>122</v>
      </c>
      <c r="S385" t="s">
        <v>3</v>
      </c>
      <c r="T385" t="s">
        <v>3</v>
      </c>
      <c r="U385" t="s">
        <v>15</v>
      </c>
      <c r="V385" t="s">
        <v>33</v>
      </c>
      <c r="X385" t="s">
        <v>552</v>
      </c>
      <c r="Y385" t="s">
        <v>553</v>
      </c>
      <c r="Z385" t="s">
        <v>612</v>
      </c>
      <c r="AA385" t="s">
        <v>122</v>
      </c>
      <c r="AB385" t="s">
        <v>63</v>
      </c>
      <c r="AC385" t="s">
        <v>49</v>
      </c>
      <c r="AE385" t="s">
        <v>232</v>
      </c>
      <c r="AF385" t="s">
        <v>31</v>
      </c>
      <c r="AG385" t="s">
        <v>7</v>
      </c>
      <c r="AH385" t="s">
        <v>58</v>
      </c>
      <c r="AI385" t="s">
        <v>612</v>
      </c>
      <c r="AJ385" t="s">
        <v>1</v>
      </c>
      <c r="AK385" t="s">
        <v>31</v>
      </c>
      <c r="AL385" t="s">
        <v>30</v>
      </c>
      <c r="AM385" t="s">
        <v>232</v>
      </c>
      <c r="AN385" t="s">
        <v>37</v>
      </c>
    </row>
    <row r="386" spans="10:40" x14ac:dyDescent="0.35">
      <c r="J386" t="s">
        <v>472</v>
      </c>
      <c r="K386" t="s">
        <v>35</v>
      </c>
      <c r="L386" t="s">
        <v>29</v>
      </c>
      <c r="M386" t="s">
        <v>2</v>
      </c>
      <c r="N386" t="s">
        <v>121</v>
      </c>
      <c r="O386" t="s">
        <v>1</v>
      </c>
      <c r="Q386" t="s">
        <v>472</v>
      </c>
      <c r="R386" t="s">
        <v>27</v>
      </c>
      <c r="S386" t="s">
        <v>63</v>
      </c>
      <c r="T386" t="s">
        <v>58</v>
      </c>
      <c r="U386" t="s">
        <v>30</v>
      </c>
      <c r="V386" t="s">
        <v>26</v>
      </c>
      <c r="X386" t="s">
        <v>232</v>
      </c>
      <c r="Y386" t="s">
        <v>1</v>
      </c>
      <c r="Z386" t="s">
        <v>123</v>
      </c>
      <c r="AA386" t="s">
        <v>21</v>
      </c>
      <c r="AB386" t="s">
        <v>35</v>
      </c>
      <c r="AC386" t="s">
        <v>33</v>
      </c>
      <c r="AE386" t="s">
        <v>1</v>
      </c>
      <c r="AF386" t="s">
        <v>232</v>
      </c>
      <c r="AG386" t="s">
        <v>15</v>
      </c>
      <c r="AH386" t="s">
        <v>26</v>
      </c>
      <c r="AI386" t="s">
        <v>28</v>
      </c>
      <c r="AJ386" t="s">
        <v>553</v>
      </c>
      <c r="AK386" t="s">
        <v>30</v>
      </c>
      <c r="AL386" t="s">
        <v>1</v>
      </c>
      <c r="AM386" t="s">
        <v>17</v>
      </c>
      <c r="AN386" t="s">
        <v>17</v>
      </c>
    </row>
    <row r="387" spans="10:40" x14ac:dyDescent="0.35">
      <c r="J387" t="s">
        <v>122</v>
      </c>
      <c r="K387" t="s">
        <v>122</v>
      </c>
      <c r="L387" t="s">
        <v>52</v>
      </c>
      <c r="M387" t="s">
        <v>15</v>
      </c>
      <c r="N387" t="s">
        <v>16</v>
      </c>
      <c r="O387" t="s">
        <v>21</v>
      </c>
      <c r="Q387" t="s">
        <v>31</v>
      </c>
      <c r="R387" t="s">
        <v>28</v>
      </c>
      <c r="S387" t="s">
        <v>139</v>
      </c>
      <c r="T387" t="s">
        <v>123</v>
      </c>
      <c r="U387" t="s">
        <v>129</v>
      </c>
      <c r="V387" t="s">
        <v>29</v>
      </c>
      <c r="X387" t="s">
        <v>1</v>
      </c>
      <c r="Y387" t="s">
        <v>28</v>
      </c>
      <c r="Z387" t="s">
        <v>121</v>
      </c>
      <c r="AA387" t="s">
        <v>82</v>
      </c>
      <c r="AB387" t="s">
        <v>15</v>
      </c>
      <c r="AC387" t="s">
        <v>9</v>
      </c>
      <c r="AE387" t="s">
        <v>17</v>
      </c>
      <c r="AF387" t="s">
        <v>553</v>
      </c>
      <c r="AG387" t="s">
        <v>82</v>
      </c>
      <c r="AH387" t="s">
        <v>232</v>
      </c>
      <c r="AI387" t="s">
        <v>16</v>
      </c>
      <c r="AJ387" t="s">
        <v>28</v>
      </c>
      <c r="AK387" t="s">
        <v>4</v>
      </c>
      <c r="AL387" t="s">
        <v>123</v>
      </c>
      <c r="AM387" t="s">
        <v>12</v>
      </c>
      <c r="AN387" t="s">
        <v>15</v>
      </c>
    </row>
    <row r="388" spans="10:40" x14ac:dyDescent="0.35">
      <c r="J388" t="s">
        <v>28</v>
      </c>
      <c r="K388" t="s">
        <v>121</v>
      </c>
      <c r="L388" t="s">
        <v>26</v>
      </c>
      <c r="M388" t="s">
        <v>553</v>
      </c>
      <c r="N388" t="s">
        <v>230</v>
      </c>
      <c r="O388" t="s">
        <v>33</v>
      </c>
      <c r="Q388" t="s">
        <v>28</v>
      </c>
      <c r="R388" t="s">
        <v>553</v>
      </c>
      <c r="S388" t="s">
        <v>58</v>
      </c>
      <c r="T388" t="s">
        <v>552</v>
      </c>
      <c r="U388" t="s">
        <v>33</v>
      </c>
      <c r="V388" t="s">
        <v>15</v>
      </c>
      <c r="X388" t="s">
        <v>37</v>
      </c>
      <c r="Y388" t="s">
        <v>37</v>
      </c>
      <c r="Z388" t="s">
        <v>28</v>
      </c>
      <c r="AA388" t="s">
        <v>28</v>
      </c>
      <c r="AB388" t="s">
        <v>33</v>
      </c>
      <c r="AC388" t="s">
        <v>15</v>
      </c>
      <c r="AE388" t="s">
        <v>28</v>
      </c>
      <c r="AF388" t="s">
        <v>28</v>
      </c>
      <c r="AG388" t="s">
        <v>26</v>
      </c>
      <c r="AH388" t="s">
        <v>7</v>
      </c>
      <c r="AI388" t="s">
        <v>122</v>
      </c>
      <c r="AJ388" t="s">
        <v>122</v>
      </c>
      <c r="AK388" t="s">
        <v>25</v>
      </c>
      <c r="AL388" t="s">
        <v>17</v>
      </c>
      <c r="AM388" t="s">
        <v>37</v>
      </c>
      <c r="AN388" t="s">
        <v>7</v>
      </c>
    </row>
    <row r="389" spans="10:40" x14ac:dyDescent="0.35">
      <c r="J389" t="s">
        <v>123</v>
      </c>
      <c r="K389" t="s">
        <v>28</v>
      </c>
      <c r="L389" t="s">
        <v>30</v>
      </c>
      <c r="M389" t="s">
        <v>29</v>
      </c>
      <c r="N389" t="s">
        <v>33</v>
      </c>
      <c r="O389" t="s">
        <v>16</v>
      </c>
      <c r="Q389" t="s">
        <v>99</v>
      </c>
      <c r="R389" t="s">
        <v>35</v>
      </c>
      <c r="S389" t="s">
        <v>123</v>
      </c>
      <c r="T389" t="s">
        <v>82</v>
      </c>
      <c r="U389" t="s">
        <v>29</v>
      </c>
      <c r="V389" t="s">
        <v>232</v>
      </c>
      <c r="X389" t="s">
        <v>121</v>
      </c>
      <c r="Y389" t="s">
        <v>552</v>
      </c>
      <c r="Z389" t="s">
        <v>21</v>
      </c>
      <c r="AA389" t="s">
        <v>612</v>
      </c>
      <c r="AB389" t="s">
        <v>82</v>
      </c>
      <c r="AC389" t="s">
        <v>35</v>
      </c>
      <c r="AE389" t="s">
        <v>113</v>
      </c>
      <c r="AF389" t="s">
        <v>17</v>
      </c>
      <c r="AG389" t="s">
        <v>99</v>
      </c>
      <c r="AH389" t="s">
        <v>82</v>
      </c>
      <c r="AI389" t="s">
        <v>37</v>
      </c>
      <c r="AJ389" t="s">
        <v>5</v>
      </c>
      <c r="AK389" t="s">
        <v>17</v>
      </c>
      <c r="AL389" t="s">
        <v>25</v>
      </c>
      <c r="AM389" t="s">
        <v>113</v>
      </c>
      <c r="AN389" t="s">
        <v>58</v>
      </c>
    </row>
    <row r="390" spans="10:40" x14ac:dyDescent="0.35">
      <c r="J390" t="s">
        <v>585</v>
      </c>
      <c r="K390" t="s">
        <v>472</v>
      </c>
      <c r="L390" t="s">
        <v>0</v>
      </c>
      <c r="M390" t="s">
        <v>26</v>
      </c>
      <c r="N390" t="s">
        <v>113</v>
      </c>
      <c r="O390" t="s">
        <v>612</v>
      </c>
      <c r="Q390" t="s">
        <v>121</v>
      </c>
      <c r="R390" t="s">
        <v>31</v>
      </c>
      <c r="S390" t="s">
        <v>110</v>
      </c>
      <c r="T390" t="s">
        <v>110</v>
      </c>
      <c r="U390" t="s">
        <v>110</v>
      </c>
      <c r="V390" t="s">
        <v>49</v>
      </c>
      <c r="X390" t="s">
        <v>28</v>
      </c>
      <c r="Y390" t="s">
        <v>58</v>
      </c>
      <c r="Z390" t="s">
        <v>31</v>
      </c>
      <c r="AA390" t="s">
        <v>31</v>
      </c>
      <c r="AB390" t="s">
        <v>51</v>
      </c>
      <c r="AC390" t="s">
        <v>553</v>
      </c>
      <c r="AE390" t="s">
        <v>27</v>
      </c>
      <c r="AF390" t="s">
        <v>27</v>
      </c>
      <c r="AG390" t="s">
        <v>129</v>
      </c>
      <c r="AH390" t="s">
        <v>15</v>
      </c>
      <c r="AI390" t="s">
        <v>1</v>
      </c>
      <c r="AJ390" t="s">
        <v>37</v>
      </c>
      <c r="AK390" t="s">
        <v>50</v>
      </c>
      <c r="AL390" t="s">
        <v>612</v>
      </c>
      <c r="AM390" t="s">
        <v>26</v>
      </c>
      <c r="AN390" t="s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915"/>
  <sheetViews>
    <sheetView topLeftCell="A733" workbookViewId="0">
      <selection activeCell="H886" sqref="H886"/>
    </sheetView>
  </sheetViews>
  <sheetFormatPr defaultRowHeight="14.5" x14ac:dyDescent="0.35"/>
  <sheetData>
    <row r="1" spans="1:35" x14ac:dyDescent="0.3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3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3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3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3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3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3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3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3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3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3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3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3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3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3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3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3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3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3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3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3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3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3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3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3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3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3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3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3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3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3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3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3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3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3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3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3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3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3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3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3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3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3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3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3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3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3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3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3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3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3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3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3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3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3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3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3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3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3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3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3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3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3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3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3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3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3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3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3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3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3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3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3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3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3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3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3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3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3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3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3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3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3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3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3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3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3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3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3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3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3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3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3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3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3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3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3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3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3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3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3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3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3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3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3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3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3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3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3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3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3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3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3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3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3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3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3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3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3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3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3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3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3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3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3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3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3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3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3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3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3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3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3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3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3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3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3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3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3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3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3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3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3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3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3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3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3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3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3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3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3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3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3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3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3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3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3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3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3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3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3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3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3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3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3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3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3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3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3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3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3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3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3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3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3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3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3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3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3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3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3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3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3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3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3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3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3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3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3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3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3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3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3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3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3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3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3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3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3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3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3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3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3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3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3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3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3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3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3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3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3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3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3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3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3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3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3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3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3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3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3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3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3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3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3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3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3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3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3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3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3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3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3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3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3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3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3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3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3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3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3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3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3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3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3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3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3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3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3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3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3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3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3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3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3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3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3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3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3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3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3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3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3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3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3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3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3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3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3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3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3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3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3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3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3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3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3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3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3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3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3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3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3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3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3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3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3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3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3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3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3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3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3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3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3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3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3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3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3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3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3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3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3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3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3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3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3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3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3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3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3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3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3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3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3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3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3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3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3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3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3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3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3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3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3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3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3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3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3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3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3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3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3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3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3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3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3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3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3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3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3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3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3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3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3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3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3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3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3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3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3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3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3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3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3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3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3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3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3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3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3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3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3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3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3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3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3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3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3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3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3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3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3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3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3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3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3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3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3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3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3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3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3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3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3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3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3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3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3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3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3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3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3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3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3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3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3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3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3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3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3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3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3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3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3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3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3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3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3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3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3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3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3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3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3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3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3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3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3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3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3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3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3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3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3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3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3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3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3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3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3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3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3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3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3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3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3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3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3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3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3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3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3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3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3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3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3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3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3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3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3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3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3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3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3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3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3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3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3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3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3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3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3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3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3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3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3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3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3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3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3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3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3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3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3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3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3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3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3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3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3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3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3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3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3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3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3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3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3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3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3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3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3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3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3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3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3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3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3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3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3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3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3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3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3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3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3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3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3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3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3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3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3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3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3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3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3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3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3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3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3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3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3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3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3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3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3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3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3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3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3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3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3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3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3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3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3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3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3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3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3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3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3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3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3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3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3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3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3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3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3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3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3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3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3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3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3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3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3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3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3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3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3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3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3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3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3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3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3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3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3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3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3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3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3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3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3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3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3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3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3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3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3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3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3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3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3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3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3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3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3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3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3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3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3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3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3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3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3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3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3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3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3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3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3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3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3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3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3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3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3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3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3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3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3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3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3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3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3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3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3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3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3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3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3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3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3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3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3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3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3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3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3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3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3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3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3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3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3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3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3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3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3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3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3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3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3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3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3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3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3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3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3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3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3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3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3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3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3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3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3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3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3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3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3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3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3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3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3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3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3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3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3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3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3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3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3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3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3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3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3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3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3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3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3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3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3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3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3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3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3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3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3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3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3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3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3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3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3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3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3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3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3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3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3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3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3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3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3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3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3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3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3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3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3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3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3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3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3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3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3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3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3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3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3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3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3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3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3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3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3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3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3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3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3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3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3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3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3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3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3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3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3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3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3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3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3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3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3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3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3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3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3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3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3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3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3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3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3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3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3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3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3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3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3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3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3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3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3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3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3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3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3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3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3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3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3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3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3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3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3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3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3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3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3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3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3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3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3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3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3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3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3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3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3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3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3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3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3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3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3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3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3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3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3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3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3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3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3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3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3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3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3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3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3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3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3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3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3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3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3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3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3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3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3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3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3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3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3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3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3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3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3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3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3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3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3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3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3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3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3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35">
      <c r="H872" s="74" t="s">
        <v>59</v>
      </c>
    </row>
    <row r="873" spans="8:8" x14ac:dyDescent="0.35">
      <c r="H873" s="74" t="s">
        <v>44</v>
      </c>
    </row>
    <row r="874" spans="8:8" x14ac:dyDescent="0.35">
      <c r="H874" s="3" t="s">
        <v>45</v>
      </c>
    </row>
    <row r="875" spans="8:8" x14ac:dyDescent="0.35">
      <c r="H875" s="3" t="s">
        <v>45</v>
      </c>
    </row>
    <row r="876" spans="8:8" x14ac:dyDescent="0.35">
      <c r="H876" s="11" t="s">
        <v>578</v>
      </c>
    </row>
    <row r="877" spans="8:8" x14ac:dyDescent="0.35">
      <c r="H877" s="3" t="s">
        <v>46</v>
      </c>
    </row>
    <row r="878" spans="8:8" x14ac:dyDescent="0.35">
      <c r="H878" s="74" t="s">
        <v>44</v>
      </c>
    </row>
    <row r="879" spans="8:8" x14ac:dyDescent="0.35">
      <c r="H879" s="3" t="s">
        <v>46</v>
      </c>
    </row>
    <row r="880" spans="8:8" x14ac:dyDescent="0.35">
      <c r="H880" s="3" t="s">
        <v>54</v>
      </c>
    </row>
    <row r="881" spans="8:8" x14ac:dyDescent="0.35">
      <c r="H881" s="57" t="s">
        <v>583</v>
      </c>
    </row>
    <row r="882" spans="8:8" x14ac:dyDescent="0.35">
      <c r="H882" s="3" t="s">
        <v>45</v>
      </c>
    </row>
    <row r="883" spans="8:8" x14ac:dyDescent="0.35">
      <c r="H883" s="3" t="s">
        <v>45</v>
      </c>
    </row>
    <row r="884" spans="8:8" x14ac:dyDescent="0.35">
      <c r="H884" s="57" t="s">
        <v>575</v>
      </c>
    </row>
    <row r="885" spans="8:8" x14ac:dyDescent="0.35">
      <c r="H885" s="3" t="s">
        <v>54</v>
      </c>
    </row>
    <row r="886" spans="8:8" x14ac:dyDescent="0.35">
      <c r="H886" s="3" t="s">
        <v>54</v>
      </c>
    </row>
    <row r="887" spans="8:8" x14ac:dyDescent="0.35">
      <c r="H887" s="74" t="s">
        <v>47</v>
      </c>
    </row>
    <row r="888" spans="8:8" x14ac:dyDescent="0.35">
      <c r="H888" s="3" t="s">
        <v>54</v>
      </c>
    </row>
    <row r="889" spans="8:8" x14ac:dyDescent="0.35">
      <c r="H889" s="3" t="s">
        <v>45</v>
      </c>
    </row>
    <row r="890" spans="8:8" x14ac:dyDescent="0.35">
      <c r="H890" s="57" t="s">
        <v>582</v>
      </c>
    </row>
    <row r="891" spans="8:8" x14ac:dyDescent="0.35">
      <c r="H891" s="3" t="s">
        <v>69</v>
      </c>
    </row>
    <row r="892" spans="8:8" x14ac:dyDescent="0.35">
      <c r="H892" s="3" t="s">
        <v>195</v>
      </c>
    </row>
    <row r="893" spans="8:8" x14ac:dyDescent="0.35">
      <c r="H893" s="3" t="s">
        <v>494</v>
      </c>
    </row>
    <row r="894" spans="8:8" x14ac:dyDescent="0.35">
      <c r="H894" s="3" t="s">
        <v>55</v>
      </c>
    </row>
    <row r="895" spans="8:8" x14ac:dyDescent="0.35">
      <c r="H895" s="57" t="s">
        <v>584</v>
      </c>
    </row>
    <row r="896" spans="8:8" x14ac:dyDescent="0.35">
      <c r="H896" s="3" t="s">
        <v>55</v>
      </c>
    </row>
    <row r="897" spans="8:8" x14ac:dyDescent="0.35">
      <c r="H897" s="3" t="s">
        <v>55</v>
      </c>
    </row>
    <row r="898" spans="8:8" x14ac:dyDescent="0.35">
      <c r="H898" s="57" t="s">
        <v>581</v>
      </c>
    </row>
    <row r="899" spans="8:8" x14ac:dyDescent="0.35">
      <c r="H899" s="3" t="s">
        <v>494</v>
      </c>
    </row>
    <row r="900" spans="8:8" x14ac:dyDescent="0.35">
      <c r="H900" s="3" t="s">
        <v>495</v>
      </c>
    </row>
    <row r="901" spans="8:8" x14ac:dyDescent="0.35">
      <c r="H901" s="3" t="s">
        <v>195</v>
      </c>
    </row>
    <row r="902" spans="8:8" x14ac:dyDescent="0.35">
      <c r="H902" s="3" t="s">
        <v>195</v>
      </c>
    </row>
    <row r="903" spans="8:8" x14ac:dyDescent="0.35">
      <c r="H903" s="3" t="s">
        <v>55</v>
      </c>
    </row>
    <row r="904" spans="8:8" x14ac:dyDescent="0.35">
      <c r="H904" s="3" t="s">
        <v>55</v>
      </c>
    </row>
    <row r="905" spans="8:8" x14ac:dyDescent="0.35">
      <c r="H905" s="57" t="s">
        <v>580</v>
      </c>
    </row>
    <row r="906" spans="8:8" x14ac:dyDescent="0.35">
      <c r="H906" s="3" t="s">
        <v>495</v>
      </c>
    </row>
    <row r="907" spans="8:8" x14ac:dyDescent="0.35">
      <c r="H907" s="3" t="s">
        <v>495</v>
      </c>
    </row>
    <row r="908" spans="8:8" x14ac:dyDescent="0.35">
      <c r="H908" s="3" t="s">
        <v>69</v>
      </c>
    </row>
    <row r="909" spans="8:8" x14ac:dyDescent="0.35">
      <c r="H909" s="3" t="s">
        <v>69</v>
      </c>
    </row>
    <row r="910" spans="8:8" x14ac:dyDescent="0.35">
      <c r="H910" s="3" t="s">
        <v>69</v>
      </c>
    </row>
    <row r="911" spans="8:8" x14ac:dyDescent="0.35">
      <c r="H911" s="3" t="s">
        <v>195</v>
      </c>
    </row>
    <row r="912" spans="8:8" x14ac:dyDescent="0.35">
      <c r="H912" s="3" t="s">
        <v>296</v>
      </c>
    </row>
    <row r="913" spans="8:8" x14ac:dyDescent="0.35">
      <c r="H913" s="57" t="s">
        <v>577</v>
      </c>
    </row>
    <row r="914" spans="8:8" x14ac:dyDescent="0.35">
      <c r="H914" s="75" t="s">
        <v>576</v>
      </c>
    </row>
    <row r="915" spans="8:8" x14ac:dyDescent="0.3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4.5" x14ac:dyDescent="0.35"/>
  <cols>
    <col min="1" max="1" width="17.7265625" bestFit="1" customWidth="1"/>
    <col min="2" max="2" width="16.7265625" bestFit="1" customWidth="1"/>
    <col min="3" max="4" width="16.26953125" bestFit="1" customWidth="1"/>
    <col min="5" max="5" width="14.1796875" bestFit="1" customWidth="1"/>
    <col min="6" max="8" width="16.26953125" bestFit="1" customWidth="1"/>
    <col min="9" max="9" width="17.7265625" bestFit="1" customWidth="1"/>
    <col min="10" max="11" width="16.7265625" bestFit="1" customWidth="1"/>
    <col min="12" max="12" width="12" bestFit="1" customWidth="1"/>
    <col min="13" max="13" width="11.54296875" bestFit="1" customWidth="1"/>
  </cols>
  <sheetData>
    <row r="1" spans="1:14" x14ac:dyDescent="0.3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3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3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3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3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3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3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3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3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3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3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3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3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3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3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3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3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3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3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3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3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3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3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3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3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3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3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3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3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3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3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3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3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3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3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3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3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3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3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3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3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3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3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3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3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3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3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3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3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3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3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3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3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3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3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3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3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3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3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3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3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3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3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3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3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3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3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3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3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3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3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3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3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3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3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3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3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3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3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3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3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3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3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3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3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3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3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3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3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3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3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3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3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4.5" x14ac:dyDescent="0.35"/>
  <cols>
    <col min="1" max="1" width="18.816406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4.81640625" bestFit="1" customWidth="1"/>
    <col min="7" max="7" width="33.54296875" bestFit="1" customWidth="1"/>
    <col min="8" max="8" width="18.26953125" customWidth="1"/>
    <col min="9" max="9" width="9.7265625" customWidth="1"/>
    <col min="10" max="10" width="11.26953125" bestFit="1" customWidth="1"/>
    <col min="11" max="11" width="15.453125" bestFit="1" customWidth="1"/>
    <col min="12" max="12" width="15" customWidth="1"/>
    <col min="13" max="13" width="14.453125" bestFit="1" customWidth="1"/>
    <col min="14" max="14" width="37.7265625" bestFit="1" customWidth="1"/>
    <col min="16" max="16" width="18.26953125" bestFit="1" customWidth="1"/>
    <col min="17" max="17" width="9.7265625" bestFit="1" customWidth="1"/>
    <col min="18" max="18" width="11.26953125" bestFit="1" customWidth="1"/>
    <col min="19" max="19" width="15.453125" bestFit="1" customWidth="1"/>
    <col min="20" max="20" width="15" bestFit="1" customWidth="1"/>
    <col min="22" max="22" width="18.26953125" bestFit="1" customWidth="1"/>
    <col min="23" max="23" width="9.7265625" bestFit="1" customWidth="1"/>
    <col min="24" max="24" width="16.54296875" bestFit="1" customWidth="1"/>
    <col min="25" max="25" width="11.26953125" bestFit="1" customWidth="1"/>
    <col min="26" max="26" width="17.81640625" bestFit="1" customWidth="1"/>
    <col min="27" max="27" width="15.453125" bestFit="1" customWidth="1"/>
    <col min="28" max="28" width="21.26953125" bestFit="1" customWidth="1"/>
    <col min="29" max="29" width="14.453125" bestFit="1" customWidth="1"/>
  </cols>
  <sheetData>
    <row r="1" spans="1:29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3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3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3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3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3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3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3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3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3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3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3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3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3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3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3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3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3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3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3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3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3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3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3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3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3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3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3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3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3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3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3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3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3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3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3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3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3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3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3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3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3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3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3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3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3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3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3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3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3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3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3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3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3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3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3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3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3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3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3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3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3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3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3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3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3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3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3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3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3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3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3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3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3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3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3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3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3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4" bestFit="1" customWidth="1"/>
    <col min="15" max="15" width="11.26953125" bestFit="1" customWidth="1"/>
    <col min="16" max="16" width="12" bestFit="1" customWidth="1"/>
  </cols>
  <sheetData>
    <row r="1" spans="1:16" x14ac:dyDescent="0.3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3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3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3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3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3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3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3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3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3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3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3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3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3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3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3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3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3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3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3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3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3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3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3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3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3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3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3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3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3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3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3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3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3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3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3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3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3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3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3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3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3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3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3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3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3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3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3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3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3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3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3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3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3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3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3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3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3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3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3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3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3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3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3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3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3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3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3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3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3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3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3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3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3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3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3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3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3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3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3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3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3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3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3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3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3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3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4.5" x14ac:dyDescent="0.35"/>
  <cols>
    <col min="1" max="1" width="22.453125" bestFit="1" customWidth="1"/>
    <col min="2" max="2" width="10" bestFit="1" customWidth="1"/>
    <col min="3" max="3" width="11.54296875" bestFit="1" customWidth="1"/>
    <col min="4" max="4" width="15.81640625" bestFit="1" customWidth="1"/>
    <col min="5" max="5" width="15.453125" bestFit="1" customWidth="1"/>
    <col min="6" max="6" width="19.54296875" bestFit="1" customWidth="1"/>
    <col min="7" max="7" width="33.1796875" bestFit="1" customWidth="1"/>
    <col min="10" max="10" width="22.453125" bestFit="1" customWidth="1"/>
    <col min="11" max="11" width="10" bestFit="1" customWidth="1"/>
    <col min="12" max="12" width="11.54296875" bestFit="1" customWidth="1"/>
    <col min="13" max="13" width="15.81640625" bestFit="1" customWidth="1"/>
    <col min="14" max="14" width="15.453125" customWidth="1"/>
    <col min="15" max="15" width="19.54296875" bestFit="1" customWidth="1"/>
    <col min="16" max="16" width="33.1796875" bestFit="1" customWidth="1"/>
    <col min="20" max="20" width="18.81640625" bestFit="1" customWidth="1"/>
    <col min="21" max="21" width="10" bestFit="1" customWidth="1"/>
    <col min="22" max="22" width="11.54296875" bestFit="1" customWidth="1"/>
    <col min="23" max="23" width="15.81640625" bestFit="1" customWidth="1"/>
    <col min="24" max="24" width="15.453125" bestFit="1" customWidth="1"/>
    <col min="26" max="26" width="22.453125" bestFit="1" customWidth="1"/>
    <col min="27" max="27" width="10" bestFit="1" customWidth="1"/>
    <col min="28" max="28" width="10.54296875" bestFit="1" customWidth="1"/>
    <col min="29" max="29" width="15.81640625" bestFit="1" customWidth="1"/>
    <col min="30" max="30" width="10.54296875" bestFit="1" customWidth="1"/>
    <col min="31" max="31" width="19.54296875" bestFit="1" customWidth="1"/>
    <col min="32" max="32" width="33.1796875" bestFit="1" customWidth="1"/>
    <col min="33" max="33" width="36.26953125" bestFit="1" customWidth="1"/>
  </cols>
  <sheetData>
    <row r="1" spans="1:4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3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3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3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3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3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3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3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3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3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3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3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3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3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3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3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3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3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3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3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3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3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3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3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3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3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3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3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3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3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3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3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3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3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3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3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3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3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3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3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3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3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3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3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3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3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3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3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3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3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3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3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3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3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3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3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3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3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3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3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3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3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3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3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3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3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3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3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3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3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3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3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3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3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3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3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3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3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35">
      <c r="AC81" s="4"/>
      <c r="AD81" s="4"/>
      <c r="AE81" s="4"/>
    </row>
    <row r="86" spans="29:31" x14ac:dyDescent="0.35">
      <c r="AD86" s="7"/>
    </row>
    <row r="1048576" spans="16:33" x14ac:dyDescent="0.3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4.5" x14ac:dyDescent="0.35"/>
  <cols>
    <col min="1" max="1" width="17.7265625" bestFit="1" customWidth="1"/>
    <col min="2" max="2" width="17.26953125" bestFit="1" customWidth="1"/>
    <col min="3" max="3" width="13.54296875" bestFit="1" customWidth="1"/>
    <col min="4" max="4" width="15.1796875" bestFit="1" customWidth="1"/>
    <col min="5" max="5" width="13.54296875" bestFit="1" customWidth="1"/>
    <col min="6" max="6" width="12" bestFit="1" customWidth="1"/>
    <col min="7" max="7" width="17.7265625" bestFit="1" customWidth="1"/>
    <col min="8" max="8" width="12.26953125" bestFit="1" customWidth="1"/>
    <col min="9" max="9" width="11.81640625" bestFit="1" customWidth="1"/>
    <col min="10" max="10" width="9.7265625" bestFit="1" customWidth="1"/>
    <col min="11" max="11" width="10.81640625" bestFit="1" customWidth="1"/>
    <col min="12" max="12" width="11.81640625" bestFit="1" customWidth="1"/>
    <col min="13" max="13" width="11.7265625" bestFit="1" customWidth="1"/>
    <col min="14" max="14" width="12" bestFit="1" customWidth="1"/>
    <col min="15" max="15" width="11.26953125" bestFit="1" customWidth="1"/>
    <col min="16" max="16" width="12" bestFit="1" customWidth="1"/>
  </cols>
  <sheetData>
    <row r="1" spans="1:19 16384:16384" x14ac:dyDescent="0.3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3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3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3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3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3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3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3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3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3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3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3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3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3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3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3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3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3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3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3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3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3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3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3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3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3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3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3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3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3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3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3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3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3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3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3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3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3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3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3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3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3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3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3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3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3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3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3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3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3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3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3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3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3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3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3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3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3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3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3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3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3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3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3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3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3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3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3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3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3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3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3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3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3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3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3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3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3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3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3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3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3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3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zoomScale="90" zoomScaleNormal="90" workbookViewId="0">
      <selection activeCell="I2" sqref="I2"/>
    </sheetView>
  </sheetViews>
  <sheetFormatPr defaultRowHeight="14.5" x14ac:dyDescent="0.35"/>
  <sheetData>
    <row r="1" spans="1:27 16384:16384" x14ac:dyDescent="0.3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3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3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3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3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3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3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3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3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3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3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3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3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3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3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3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3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3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3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3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3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3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3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3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3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3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3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3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3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3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3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3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3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3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3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3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3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3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3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3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3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3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3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3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3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3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3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3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3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3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3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3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3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3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3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3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3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3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3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3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3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3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3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3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3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3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3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3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3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3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3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3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3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3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3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3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3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3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3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3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4.5" x14ac:dyDescent="0.35"/>
  <cols>
    <col min="1" max="1" width="22.1796875" bestFit="1" customWidth="1"/>
    <col min="2" max="2" width="7.453125" bestFit="1" customWidth="1"/>
    <col min="3" max="3" width="8.7265625" bestFit="1" customWidth="1"/>
    <col min="4" max="5" width="13" bestFit="1" customWidth="1"/>
    <col min="6" max="6" width="43.81640625" bestFit="1" customWidth="1"/>
    <col min="9" max="9" width="22.1796875" bestFit="1" customWidth="1"/>
    <col min="10" max="10" width="7.453125" customWidth="1"/>
    <col min="11" max="11" width="8.7265625" bestFit="1" customWidth="1"/>
    <col min="12" max="13" width="13" bestFit="1" customWidth="1"/>
    <col min="14" max="14" width="69.54296875" bestFit="1" customWidth="1"/>
  </cols>
  <sheetData>
    <row r="1" spans="1:15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3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3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3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3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3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3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3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3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3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3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3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3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3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3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3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3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3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3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3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3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3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3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3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3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3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3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3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3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3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3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3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3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3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3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3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3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3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3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3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3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3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3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3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3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3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3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3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3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3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3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3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3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3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3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3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3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3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3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3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3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3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3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3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3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3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3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3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3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3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3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3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3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3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3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8"/>
  <sheetViews>
    <sheetView zoomScale="90" zoomScaleNormal="90" workbookViewId="0">
      <selection activeCell="M47" sqref="M47"/>
    </sheetView>
  </sheetViews>
  <sheetFormatPr defaultRowHeight="14.5" x14ac:dyDescent="0.35"/>
  <cols>
    <col min="1" max="1" width="17.7265625" bestFit="1" customWidth="1"/>
    <col min="2" max="2" width="7.1796875" bestFit="1" customWidth="1"/>
    <col min="3" max="3" width="8.7265625" bestFit="1" customWidth="1"/>
    <col min="4" max="4" width="12" bestFit="1" customWidth="1"/>
    <col min="5" max="5" width="11.81640625" customWidth="1"/>
    <col min="8" max="8" width="20.26953125" bestFit="1" customWidth="1"/>
    <col min="9" max="9" width="7.1796875" bestFit="1" customWidth="1"/>
    <col min="10" max="10" width="8.7265625" bestFit="1" customWidth="1"/>
    <col min="11" max="12" width="13.26953125" bestFit="1" customWidth="1"/>
    <col min="13" max="13" width="73.7265625" bestFit="1" customWidth="1"/>
  </cols>
  <sheetData>
    <row r="1" spans="1:14" x14ac:dyDescent="0.3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3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3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3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3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3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3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3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3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3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3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3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3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3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3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3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3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3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3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3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3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3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3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3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3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3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3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3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3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3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3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3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3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3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3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3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3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3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3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3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3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3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3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3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3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3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3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3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3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3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3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3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3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3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3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3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3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3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4.5" x14ac:dyDescent="0.35"/>
  <cols>
    <col min="6" max="6" width="15.1796875" bestFit="1" customWidth="1"/>
  </cols>
  <sheetData>
    <row r="2" spans="1:26" x14ac:dyDescent="0.3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3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3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3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3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3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3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3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3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3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3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3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3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3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3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3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3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3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3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3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3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3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3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3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3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3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3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3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3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3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3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3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3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3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3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3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3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3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3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3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35">
      <c r="A42">
        <f t="shared" si="2"/>
        <v>41</v>
      </c>
      <c r="B42" t="s">
        <v>12</v>
      </c>
    </row>
    <row r="43" spans="1:17" x14ac:dyDescent="0.35">
      <c r="A43">
        <f t="shared" si="2"/>
        <v>42</v>
      </c>
      <c r="B43" t="s">
        <v>87</v>
      </c>
      <c r="C43" t="s">
        <v>510</v>
      </c>
    </row>
    <row r="44" spans="1:17" x14ac:dyDescent="0.35">
      <c r="A44">
        <f t="shared" si="2"/>
        <v>43</v>
      </c>
      <c r="B44" t="s">
        <v>61</v>
      </c>
    </row>
    <row r="45" spans="1:17" x14ac:dyDescent="0.35">
      <c r="A45">
        <f t="shared" si="2"/>
        <v>44</v>
      </c>
      <c r="B45" t="s">
        <v>37</v>
      </c>
    </row>
    <row r="46" spans="1:17" x14ac:dyDescent="0.35">
      <c r="A46">
        <f t="shared" si="2"/>
        <v>45</v>
      </c>
      <c r="B46" t="s">
        <v>51</v>
      </c>
    </row>
    <row r="47" spans="1:17" x14ac:dyDescent="0.35">
      <c r="A47">
        <f t="shared" si="2"/>
        <v>46</v>
      </c>
      <c r="B47" t="s">
        <v>4</v>
      </c>
    </row>
    <row r="48" spans="1:17" x14ac:dyDescent="0.35">
      <c r="A48">
        <f t="shared" si="2"/>
        <v>47</v>
      </c>
      <c r="B48" t="s">
        <v>25</v>
      </c>
      <c r="C48" t="s">
        <v>511</v>
      </c>
    </row>
    <row r="49" spans="1:3" x14ac:dyDescent="0.35">
      <c r="A49">
        <f t="shared" si="2"/>
        <v>48</v>
      </c>
      <c r="B49" t="s">
        <v>81</v>
      </c>
      <c r="C49" t="s">
        <v>512</v>
      </c>
    </row>
    <row r="50" spans="1:3" x14ac:dyDescent="0.35">
      <c r="A50">
        <f t="shared" si="2"/>
        <v>49</v>
      </c>
      <c r="B50" t="s">
        <v>105</v>
      </c>
      <c r="C50" t="s">
        <v>33</v>
      </c>
    </row>
    <row r="51" spans="1:3" x14ac:dyDescent="0.35">
      <c r="A51">
        <f t="shared" si="2"/>
        <v>50</v>
      </c>
      <c r="B51" t="s">
        <v>99</v>
      </c>
    </row>
    <row r="52" spans="1:3" x14ac:dyDescent="0.35">
      <c r="A52">
        <f t="shared" si="2"/>
        <v>51</v>
      </c>
      <c r="B52" t="s">
        <v>82</v>
      </c>
    </row>
    <row r="53" spans="1:3" x14ac:dyDescent="0.35">
      <c r="A53">
        <f t="shared" si="2"/>
        <v>52</v>
      </c>
      <c r="B53" t="s">
        <v>20</v>
      </c>
    </row>
    <row r="54" spans="1:3" x14ac:dyDescent="0.35">
      <c r="A54">
        <f t="shared" si="2"/>
        <v>53</v>
      </c>
      <c r="B54" t="s">
        <v>19</v>
      </c>
    </row>
    <row r="55" spans="1:3" x14ac:dyDescent="0.35">
      <c r="A55">
        <f t="shared" si="2"/>
        <v>54</v>
      </c>
      <c r="B55" t="s">
        <v>26</v>
      </c>
      <c r="C55" t="s">
        <v>513</v>
      </c>
    </row>
    <row r="56" spans="1:3" x14ac:dyDescent="0.35">
      <c r="A56">
        <f t="shared" si="2"/>
        <v>55</v>
      </c>
      <c r="B56" t="s">
        <v>514</v>
      </c>
      <c r="C56" t="s">
        <v>110</v>
      </c>
    </row>
    <row r="57" spans="1:3" x14ac:dyDescent="0.35">
      <c r="A57">
        <f t="shared" si="2"/>
        <v>56</v>
      </c>
      <c r="B57" t="s">
        <v>30</v>
      </c>
      <c r="C57" t="s">
        <v>515</v>
      </c>
    </row>
    <row r="58" spans="1:3" x14ac:dyDescent="0.35">
      <c r="A58">
        <f t="shared" si="2"/>
        <v>57</v>
      </c>
      <c r="B58" t="s">
        <v>17</v>
      </c>
    </row>
    <row r="59" spans="1:3" x14ac:dyDescent="0.35">
      <c r="A59">
        <f t="shared" si="2"/>
        <v>58</v>
      </c>
      <c r="B59" t="s">
        <v>404</v>
      </c>
    </row>
    <row r="60" spans="1:3" x14ac:dyDescent="0.35">
      <c r="A60">
        <f t="shared" si="2"/>
        <v>59</v>
      </c>
      <c r="B60" t="s">
        <v>31</v>
      </c>
      <c r="C60" t="s">
        <v>516</v>
      </c>
    </row>
    <row r="61" spans="1:3" x14ac:dyDescent="0.35">
      <c r="A61">
        <f t="shared" si="2"/>
        <v>60</v>
      </c>
      <c r="B61" t="s">
        <v>49</v>
      </c>
      <c r="C61" t="s">
        <v>517</v>
      </c>
    </row>
    <row r="62" spans="1:3" x14ac:dyDescent="0.35">
      <c r="A62">
        <f t="shared" si="2"/>
        <v>61</v>
      </c>
      <c r="B62" t="s">
        <v>230</v>
      </c>
      <c r="C62" t="s">
        <v>518</v>
      </c>
    </row>
    <row r="63" spans="1:3" x14ac:dyDescent="0.35">
      <c r="A63">
        <f t="shared" si="2"/>
        <v>62</v>
      </c>
      <c r="B63" t="s">
        <v>253</v>
      </c>
    </row>
    <row r="64" spans="1:3" x14ac:dyDescent="0.35">
      <c r="A64">
        <f t="shared" si="2"/>
        <v>63</v>
      </c>
      <c r="B64" t="s">
        <v>6</v>
      </c>
    </row>
    <row r="65" spans="1:3" x14ac:dyDescent="0.35">
      <c r="A65">
        <f t="shared" si="2"/>
        <v>64</v>
      </c>
      <c r="B65" t="s">
        <v>56</v>
      </c>
      <c r="C65" t="s">
        <v>519</v>
      </c>
    </row>
    <row r="66" spans="1:3" x14ac:dyDescent="0.35">
      <c r="A66">
        <f t="shared" si="2"/>
        <v>65</v>
      </c>
      <c r="B66" t="s">
        <v>90</v>
      </c>
    </row>
    <row r="67" spans="1:3" x14ac:dyDescent="0.35">
      <c r="A67">
        <f t="shared" si="2"/>
        <v>66</v>
      </c>
      <c r="B67" t="s">
        <v>124</v>
      </c>
      <c r="C67" t="s">
        <v>520</v>
      </c>
    </row>
    <row r="68" spans="1:3" x14ac:dyDescent="0.35">
      <c r="A68">
        <f t="shared" si="2"/>
        <v>67</v>
      </c>
      <c r="B68" t="s">
        <v>33</v>
      </c>
    </row>
    <row r="69" spans="1:3" x14ac:dyDescent="0.35">
      <c r="A69">
        <f t="shared" si="2"/>
        <v>68</v>
      </c>
      <c r="B69" t="s">
        <v>34</v>
      </c>
      <c r="C69" t="s">
        <v>521</v>
      </c>
    </row>
    <row r="70" spans="1:3" x14ac:dyDescent="0.35">
      <c r="A70">
        <f t="shared" si="2"/>
        <v>69</v>
      </c>
      <c r="B70" t="s">
        <v>28</v>
      </c>
    </row>
    <row r="71" spans="1:3" x14ac:dyDescent="0.35">
      <c r="A71">
        <f t="shared" si="2"/>
        <v>70</v>
      </c>
      <c r="B71" t="s">
        <v>401</v>
      </c>
      <c r="C71" t="s">
        <v>522</v>
      </c>
    </row>
    <row r="74" spans="1:3" x14ac:dyDescent="0.35">
      <c r="A74" t="s">
        <v>523</v>
      </c>
    </row>
    <row r="75" spans="1:3" x14ac:dyDescent="0.35">
      <c r="A75" t="s">
        <v>524</v>
      </c>
    </row>
    <row r="76" spans="1:3" x14ac:dyDescent="0.35">
      <c r="A76" t="s">
        <v>525</v>
      </c>
    </row>
    <row r="77" spans="1:3" x14ac:dyDescent="0.35">
      <c r="A77" t="s">
        <v>526</v>
      </c>
    </row>
    <row r="78" spans="1:3" x14ac:dyDescent="0.35">
      <c r="A78" t="s">
        <v>527</v>
      </c>
    </row>
    <row r="79" spans="1:3" x14ac:dyDescent="0.35">
      <c r="A79" t="s">
        <v>528</v>
      </c>
    </row>
    <row r="80" spans="1:3" x14ac:dyDescent="0.35">
      <c r="A80" t="s">
        <v>529</v>
      </c>
    </row>
    <row r="81" spans="1:1" x14ac:dyDescent="0.35">
      <c r="A81" t="s">
        <v>530</v>
      </c>
    </row>
    <row r="82" spans="1:1" x14ac:dyDescent="0.35">
      <c r="A82" t="s">
        <v>531</v>
      </c>
    </row>
    <row r="83" spans="1:1" x14ac:dyDescent="0.35">
      <c r="A83" t="s">
        <v>532</v>
      </c>
    </row>
    <row r="84" spans="1:1" x14ac:dyDescent="0.35">
      <c r="A84" t="s">
        <v>533</v>
      </c>
    </row>
    <row r="85" spans="1:1" x14ac:dyDescent="0.35">
      <c r="A85" t="s">
        <v>534</v>
      </c>
    </row>
    <row r="86" spans="1:1" x14ac:dyDescent="0.35">
      <c r="A86" t="s">
        <v>535</v>
      </c>
    </row>
    <row r="87" spans="1:1" x14ac:dyDescent="0.35">
      <c r="A87" t="s">
        <v>536</v>
      </c>
    </row>
    <row r="88" spans="1:1" x14ac:dyDescent="0.35">
      <c r="A88" t="s">
        <v>537</v>
      </c>
    </row>
    <row r="89" spans="1:1" x14ac:dyDescent="0.35">
      <c r="A89" t="s">
        <v>538</v>
      </c>
    </row>
    <row r="90" spans="1:1" x14ac:dyDescent="0.35">
      <c r="A90" t="s">
        <v>539</v>
      </c>
    </row>
    <row r="91" spans="1:1" x14ac:dyDescent="0.35">
      <c r="A91" t="s">
        <v>540</v>
      </c>
    </row>
    <row r="92" spans="1:1" x14ac:dyDescent="0.35">
      <c r="A92" t="s">
        <v>541</v>
      </c>
    </row>
    <row r="93" spans="1:1" x14ac:dyDescent="0.35">
      <c r="A93" t="s">
        <v>542</v>
      </c>
    </row>
    <row r="94" spans="1:1" x14ac:dyDescent="0.35">
      <c r="A94" t="s">
        <v>543</v>
      </c>
    </row>
    <row r="95" spans="1:1" x14ac:dyDescent="0.35">
      <c r="A95" t="s">
        <v>544</v>
      </c>
    </row>
    <row r="96" spans="1:1" x14ac:dyDescent="0.35">
      <c r="A96" t="s">
        <v>545</v>
      </c>
    </row>
    <row r="97" spans="1:1" x14ac:dyDescent="0.35">
      <c r="A97" t="s">
        <v>546</v>
      </c>
    </row>
    <row r="98" spans="1:1" x14ac:dyDescent="0.35">
      <c r="A98" t="s">
        <v>547</v>
      </c>
    </row>
    <row r="99" spans="1:1" x14ac:dyDescent="0.35">
      <c r="A99" t="s">
        <v>548</v>
      </c>
    </row>
    <row r="100" spans="1:1" x14ac:dyDescent="0.35">
      <c r="A100" t="s">
        <v>549</v>
      </c>
    </row>
    <row r="101" spans="1:1" x14ac:dyDescent="0.3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I8" sqref="I8"/>
    </sheetView>
  </sheetViews>
  <sheetFormatPr defaultRowHeight="14.5" x14ac:dyDescent="0.35"/>
  <cols>
    <col min="4" max="4" width="13.54296875" bestFit="1" customWidth="1"/>
    <col min="6" max="6" width="12.54296875" bestFit="1" customWidth="1"/>
  </cols>
  <sheetData>
    <row r="1" spans="1:14 16384:16384" x14ac:dyDescent="0.35">
      <c r="A1" s="1">
        <v>46303</v>
      </c>
      <c r="B1" s="1">
        <v>46303</v>
      </c>
      <c r="C1" s="1">
        <v>46303</v>
      </c>
      <c r="D1" s="1">
        <v>46303</v>
      </c>
      <c r="E1" s="1">
        <v>46304</v>
      </c>
      <c r="F1" s="1">
        <v>46304</v>
      </c>
      <c r="G1" s="1">
        <v>46310</v>
      </c>
      <c r="H1" s="1">
        <v>46310</v>
      </c>
      <c r="I1" s="1">
        <v>46310</v>
      </c>
      <c r="J1" s="1">
        <v>46310</v>
      </c>
      <c r="K1" s="1">
        <v>46311</v>
      </c>
      <c r="L1" s="1">
        <v>46311</v>
      </c>
      <c r="XFD1" s="1"/>
    </row>
    <row r="2" spans="1:14 16384:16384" x14ac:dyDescent="0.35">
      <c r="A2" t="s">
        <v>10</v>
      </c>
      <c r="B2" t="s">
        <v>16</v>
      </c>
      <c r="C2" t="s">
        <v>122</v>
      </c>
      <c r="D2" t="s">
        <v>15</v>
      </c>
      <c r="E2" t="s">
        <v>232</v>
      </c>
      <c r="F2" t="s">
        <v>232</v>
      </c>
    </row>
    <row r="3" spans="1:14 16384:16384" x14ac:dyDescent="0.35">
      <c r="A3" t="s">
        <v>121</v>
      </c>
      <c r="B3" t="s">
        <v>4</v>
      </c>
      <c r="C3" t="s">
        <v>117</v>
      </c>
      <c r="D3" t="s">
        <v>553</v>
      </c>
      <c r="E3" t="s">
        <v>37</v>
      </c>
      <c r="F3" t="s">
        <v>27</v>
      </c>
    </row>
    <row r="4" spans="1:14 16384:16384" x14ac:dyDescent="0.35">
      <c r="A4" t="s">
        <v>27</v>
      </c>
      <c r="B4" t="s">
        <v>63</v>
      </c>
      <c r="C4" t="s">
        <v>29</v>
      </c>
      <c r="D4" t="s">
        <v>122</v>
      </c>
      <c r="E4" t="s">
        <v>27</v>
      </c>
      <c r="F4" t="s">
        <v>589</v>
      </c>
    </row>
    <row r="5" spans="1:14 16384:16384" x14ac:dyDescent="0.35">
      <c r="A5" t="s">
        <v>110</v>
      </c>
      <c r="B5" t="s">
        <v>27</v>
      </c>
      <c r="C5" t="s">
        <v>21</v>
      </c>
      <c r="D5" t="s">
        <v>21</v>
      </c>
      <c r="E5" t="s">
        <v>4</v>
      </c>
      <c r="F5" t="s">
        <v>472</v>
      </c>
    </row>
    <row r="6" spans="1:14 16384:16384" x14ac:dyDescent="0.35">
      <c r="A6" t="s">
        <v>113</v>
      </c>
      <c r="B6" t="s">
        <v>31</v>
      </c>
      <c r="C6" t="s">
        <v>35</v>
      </c>
      <c r="D6" t="s">
        <v>35</v>
      </c>
      <c r="E6" t="s">
        <v>12</v>
      </c>
      <c r="F6" t="s">
        <v>122</v>
      </c>
    </row>
    <row r="7" spans="1:14 16384:16384" x14ac:dyDescent="0.35">
      <c r="A7" t="s">
        <v>28</v>
      </c>
      <c r="B7" t="s">
        <v>232</v>
      </c>
      <c r="C7" t="s">
        <v>12</v>
      </c>
      <c r="D7" t="s">
        <v>552</v>
      </c>
      <c r="E7" t="s">
        <v>589</v>
      </c>
      <c r="F7" t="s">
        <v>12</v>
      </c>
    </row>
    <row r="8" spans="1:14 16384:16384" x14ac:dyDescent="0.35">
      <c r="A8" t="s">
        <v>4</v>
      </c>
      <c r="B8" t="s">
        <v>10</v>
      </c>
      <c r="C8" t="s">
        <v>49</v>
      </c>
      <c r="D8" t="s">
        <v>49</v>
      </c>
      <c r="E8" t="s">
        <v>31</v>
      </c>
      <c r="F8" t="s">
        <v>31</v>
      </c>
    </row>
    <row r="9" spans="1:14 16384:16384" x14ac:dyDescent="0.35">
      <c r="A9" t="s">
        <v>31</v>
      </c>
      <c r="B9" t="s">
        <v>28</v>
      </c>
      <c r="C9" t="s">
        <v>15</v>
      </c>
      <c r="D9" t="s">
        <v>29</v>
      </c>
      <c r="E9" t="s">
        <v>122</v>
      </c>
      <c r="F9" t="s">
        <v>37</v>
      </c>
    </row>
    <row r="12" spans="1:14 16384:16384" x14ac:dyDescent="0.3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3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8" si="2">M13/J13</f>
        <v>4.375</v>
      </c>
      <c r="M13" s="18">
        <v>175</v>
      </c>
      <c r="N13" s="18">
        <f t="shared" ref="N13:N18" si="3">K13/J13</f>
        <v>0.05</v>
      </c>
    </row>
    <row r="14" spans="1:14 16384:16384" x14ac:dyDescent="0.35">
      <c r="A14" s="18" t="s">
        <v>104</v>
      </c>
      <c r="B14" s="18">
        <v>139</v>
      </c>
      <c r="C14" s="18">
        <v>10</v>
      </c>
      <c r="D14" s="18">
        <f t="shared" si="0"/>
        <v>4.2733812949640289</v>
      </c>
      <c r="E14" s="18">
        <v>594</v>
      </c>
      <c r="F14" s="18">
        <f t="shared" si="1"/>
        <v>7.1942446043165464E-2</v>
      </c>
      <c r="G14" s="32">
        <v>2.3273733406281498</v>
      </c>
      <c r="I14" s="18" t="s">
        <v>104</v>
      </c>
      <c r="J14" s="18">
        <v>139</v>
      </c>
      <c r="K14" s="18">
        <v>10</v>
      </c>
      <c r="L14" s="18">
        <f t="shared" si="2"/>
        <v>4.2733812949640289</v>
      </c>
      <c r="M14" s="18">
        <v>594</v>
      </c>
      <c r="N14" s="18">
        <f t="shared" si="3"/>
        <v>7.1942446043165464E-2</v>
      </c>
    </row>
    <row r="15" spans="1:14 16384:16384" x14ac:dyDescent="0.35">
      <c r="A15" s="18" t="s">
        <v>31</v>
      </c>
      <c r="B15" s="18">
        <v>304</v>
      </c>
      <c r="C15" s="18">
        <v>26</v>
      </c>
      <c r="D15" s="18">
        <f t="shared" si="0"/>
        <v>5.0460526315789478</v>
      </c>
      <c r="E15" s="18">
        <v>1534</v>
      </c>
      <c r="F15" s="18">
        <f t="shared" si="1"/>
        <v>8.5526315789473686E-2</v>
      </c>
      <c r="G15" s="32">
        <v>1.87082869338697</v>
      </c>
      <c r="I15" s="18" t="s">
        <v>31</v>
      </c>
      <c r="J15" s="18">
        <v>304</v>
      </c>
      <c r="K15" s="18">
        <v>26</v>
      </c>
      <c r="L15" s="18">
        <f t="shared" si="2"/>
        <v>5.0460526315789478</v>
      </c>
      <c r="M15" s="18">
        <v>1534</v>
      </c>
      <c r="N15" s="18">
        <f t="shared" si="3"/>
        <v>8.5526315789473686E-2</v>
      </c>
    </row>
    <row r="16" spans="1:14 16384:16384" x14ac:dyDescent="0.35">
      <c r="A16" s="18" t="s">
        <v>105</v>
      </c>
      <c r="B16" s="18">
        <v>47</v>
      </c>
      <c r="C16" s="18">
        <v>6</v>
      </c>
      <c r="D16" s="18">
        <f t="shared" si="0"/>
        <v>4.3191489361702127</v>
      </c>
      <c r="E16" s="18">
        <v>203</v>
      </c>
      <c r="F16" s="18">
        <f t="shared" si="1"/>
        <v>0.1276595744680851</v>
      </c>
      <c r="G16" s="32">
        <v>1.8165902124584901</v>
      </c>
      <c r="I16" s="18" t="s">
        <v>105</v>
      </c>
      <c r="J16" s="18">
        <v>47</v>
      </c>
      <c r="K16" s="18">
        <v>6</v>
      </c>
      <c r="L16" s="18">
        <f t="shared" si="2"/>
        <v>4.3191489361702127</v>
      </c>
      <c r="M16" s="18">
        <v>203</v>
      </c>
      <c r="N16" s="18">
        <f t="shared" si="3"/>
        <v>0.1276595744680851</v>
      </c>
    </row>
    <row r="17" spans="1:14" x14ac:dyDescent="0.35">
      <c r="A17" s="18" t="s">
        <v>128</v>
      </c>
      <c r="B17" s="18">
        <v>119</v>
      </c>
      <c r="C17" s="18">
        <v>38</v>
      </c>
      <c r="D17" s="18">
        <f t="shared" si="0"/>
        <v>3.2184873949579833</v>
      </c>
      <c r="E17" s="18">
        <v>383</v>
      </c>
      <c r="F17" s="18">
        <f t="shared" si="1"/>
        <v>0.31932773109243695</v>
      </c>
      <c r="G17" s="32">
        <v>2.03049835952651</v>
      </c>
      <c r="I17" s="18" t="s">
        <v>128</v>
      </c>
      <c r="J17" s="18">
        <v>119</v>
      </c>
      <c r="K17" s="18">
        <v>38</v>
      </c>
      <c r="L17" s="18">
        <f t="shared" si="2"/>
        <v>3.2184873949579833</v>
      </c>
      <c r="M17" s="18">
        <v>383</v>
      </c>
      <c r="N17" s="18">
        <f t="shared" si="3"/>
        <v>0.31932773109243695</v>
      </c>
    </row>
    <row r="18" spans="1:14" x14ac:dyDescent="0.35">
      <c r="A18" s="18" t="s">
        <v>8</v>
      </c>
      <c r="B18" s="18">
        <v>54</v>
      </c>
      <c r="C18" s="18">
        <v>7</v>
      </c>
      <c r="D18" s="18">
        <f t="shared" si="0"/>
        <v>4.4074074074074074</v>
      </c>
      <c r="E18" s="18">
        <v>238</v>
      </c>
      <c r="F18" s="18">
        <f t="shared" si="1"/>
        <v>0.12962962962962962</v>
      </c>
      <c r="G18" s="32">
        <v>2.4994623077688098</v>
      </c>
      <c r="I18" s="18" t="s">
        <v>8</v>
      </c>
      <c r="J18" s="18">
        <v>54</v>
      </c>
      <c r="K18" s="18">
        <v>7</v>
      </c>
      <c r="L18" s="18">
        <f t="shared" si="2"/>
        <v>4.4074074074074074</v>
      </c>
      <c r="M18" s="18">
        <v>238</v>
      </c>
      <c r="N18" s="18">
        <f t="shared" si="3"/>
        <v>0.12962962962962962</v>
      </c>
    </row>
    <row r="19" spans="1:14" x14ac:dyDescent="0.35">
      <c r="A19" s="18" t="s">
        <v>37</v>
      </c>
      <c r="B19" s="18">
        <v>40</v>
      </c>
      <c r="C19" s="18">
        <v>2</v>
      </c>
      <c r="D19" s="18">
        <f t="shared" si="0"/>
        <v>5.125</v>
      </c>
      <c r="E19" s="18">
        <v>205</v>
      </c>
      <c r="F19" s="18">
        <f t="shared" si="1"/>
        <v>0.05</v>
      </c>
      <c r="G19" s="32">
        <v>2.4235565546581199</v>
      </c>
      <c r="I19" s="18" t="s">
        <v>37</v>
      </c>
      <c r="J19" s="18">
        <v>40</v>
      </c>
      <c r="K19" s="18">
        <v>2</v>
      </c>
      <c r="L19" s="18">
        <f t="shared" ref="L19" si="4">M19/J19</f>
        <v>5.125</v>
      </c>
      <c r="M19" s="18">
        <v>205</v>
      </c>
      <c r="N19" s="18">
        <f t="shared" ref="N19" si="5">K19/J19</f>
        <v>0.05</v>
      </c>
    </row>
    <row r="20" spans="1:14" x14ac:dyDescent="0.3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14</v>
      </c>
      <c r="J20" s="18">
        <v>45</v>
      </c>
      <c r="K20" s="18">
        <v>3</v>
      </c>
      <c r="L20" s="18">
        <f t="shared" ref="L20" si="6">M20/J20</f>
        <v>4.7111111111111112</v>
      </c>
      <c r="M20" s="18">
        <v>212</v>
      </c>
      <c r="N20" s="18">
        <f t="shared" ref="N20" si="7">K20/J20</f>
        <v>6.6666666666666666E-2</v>
      </c>
    </row>
    <row r="21" spans="1:14" x14ac:dyDescent="0.3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73" t="s">
        <v>90</v>
      </c>
      <c r="J21" s="73">
        <v>40</v>
      </c>
      <c r="K21" s="73">
        <v>3</v>
      </c>
      <c r="L21" s="73">
        <f t="shared" ref="L21" si="8">M21/J21</f>
        <v>5.35</v>
      </c>
      <c r="M21" s="73">
        <v>214</v>
      </c>
      <c r="N21" s="73">
        <f t="shared" ref="N21" si="9">K21/J21</f>
        <v>7.4999999999999997E-2</v>
      </c>
    </row>
    <row r="22" spans="1:14" x14ac:dyDescent="0.3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14" x14ac:dyDescent="0.3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56</v>
      </c>
      <c r="J23" s="18">
        <v>40</v>
      </c>
      <c r="K23" s="18">
        <v>0</v>
      </c>
      <c r="L23" s="18">
        <f>M23/J23</f>
        <v>5.0750000000000002</v>
      </c>
      <c r="M23" s="18">
        <v>203</v>
      </c>
      <c r="N23" s="18">
        <f>K23/J23</f>
        <v>0</v>
      </c>
    </row>
    <row r="24" spans="1:14" x14ac:dyDescent="0.3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25</v>
      </c>
      <c r="J24" s="18">
        <v>259</v>
      </c>
      <c r="K24" s="18">
        <v>23</v>
      </c>
      <c r="L24" s="18">
        <f t="shared" ref="L24" si="10">M24/J24</f>
        <v>5.0347490347490345</v>
      </c>
      <c r="M24" s="18">
        <v>1304</v>
      </c>
      <c r="N24" s="18">
        <f t="shared" ref="N24" si="11">K24/J24</f>
        <v>8.8803088803088806E-2</v>
      </c>
    </row>
    <row r="25" spans="1:14" x14ac:dyDescent="0.35">
      <c r="A25" t="s">
        <v>52</v>
      </c>
      <c r="B25">
        <v>39</v>
      </c>
      <c r="C25">
        <v>7</v>
      </c>
      <c r="D25">
        <f t="shared" si="0"/>
        <v>3.7435897435897436</v>
      </c>
      <c r="E25">
        <v>146</v>
      </c>
      <c r="F25">
        <f t="shared" si="1"/>
        <v>0.17948717948717949</v>
      </c>
      <c r="G25" s="32">
        <v>2.1794494717703299</v>
      </c>
      <c r="I25" s="18" t="s">
        <v>34</v>
      </c>
      <c r="J25" s="18">
        <v>41</v>
      </c>
      <c r="K25" s="18">
        <v>3</v>
      </c>
      <c r="L25" s="18">
        <f t="shared" ref="L25" si="12">M25/J25</f>
        <v>5.3170731707317076</v>
      </c>
      <c r="M25" s="18">
        <v>218</v>
      </c>
      <c r="N25" s="18">
        <f t="shared" ref="N25" si="13">K25/J25</f>
        <v>7.3170731707317069E-2</v>
      </c>
    </row>
    <row r="26" spans="1:14" x14ac:dyDescent="0.35">
      <c r="A26" t="s">
        <v>20</v>
      </c>
      <c r="B26">
        <v>39</v>
      </c>
      <c r="C26">
        <v>2</v>
      </c>
      <c r="D26">
        <f t="shared" si="0"/>
        <v>5.2307692307692308</v>
      </c>
      <c r="E26">
        <v>204</v>
      </c>
      <c r="F26">
        <f t="shared" si="1"/>
        <v>5.128205128205128E-2</v>
      </c>
      <c r="G26" s="32">
        <v>2.3159525823376299</v>
      </c>
      <c r="I26" s="18" t="s">
        <v>147</v>
      </c>
      <c r="J26" s="18">
        <v>145</v>
      </c>
      <c r="K26" s="18">
        <v>28</v>
      </c>
      <c r="L26" s="18">
        <f t="shared" ref="L26:L28" si="14">M26/J26</f>
        <v>3.8620689655172415</v>
      </c>
      <c r="M26" s="18">
        <v>560</v>
      </c>
      <c r="N26" s="18">
        <f t="shared" ref="N26:N28" si="15">K26/J26</f>
        <v>0.19310344827586207</v>
      </c>
    </row>
    <row r="27" spans="1:14" x14ac:dyDescent="0.35">
      <c r="A27" s="18" t="s">
        <v>25</v>
      </c>
      <c r="B27" s="18">
        <v>259</v>
      </c>
      <c r="C27" s="18">
        <v>23</v>
      </c>
      <c r="D27" s="18">
        <f t="shared" si="0"/>
        <v>5.0347490347490345</v>
      </c>
      <c r="E27" s="18">
        <v>1304</v>
      </c>
      <c r="F27" s="18">
        <f t="shared" si="1"/>
        <v>8.8803088803088806E-2</v>
      </c>
      <c r="G27" s="32">
        <v>2.1609054109613202</v>
      </c>
      <c r="I27" s="18" t="s">
        <v>87</v>
      </c>
      <c r="J27" s="18">
        <v>213</v>
      </c>
      <c r="K27" s="18">
        <v>25</v>
      </c>
      <c r="L27" s="18">
        <f t="shared" si="14"/>
        <v>5.018779342723005</v>
      </c>
      <c r="M27" s="18">
        <v>1069</v>
      </c>
      <c r="N27" s="18">
        <f t="shared" si="15"/>
        <v>0.11737089201877934</v>
      </c>
    </row>
    <row r="28" spans="1:14" x14ac:dyDescent="0.35">
      <c r="A28" s="18" t="s">
        <v>34</v>
      </c>
      <c r="B28" s="18">
        <v>41</v>
      </c>
      <c r="C28" s="18">
        <v>3</v>
      </c>
      <c r="D28" s="18">
        <f t="shared" si="0"/>
        <v>5.3170731707317076</v>
      </c>
      <c r="E28" s="18">
        <v>218</v>
      </c>
      <c r="F28" s="18">
        <f t="shared" si="1"/>
        <v>7.3170731707317069E-2</v>
      </c>
      <c r="G28" s="32">
        <v>2.2360679774997898</v>
      </c>
      <c r="I28" s="18" t="s">
        <v>50</v>
      </c>
      <c r="J28" s="18">
        <v>41</v>
      </c>
      <c r="K28" s="18">
        <v>4</v>
      </c>
      <c r="L28" s="18">
        <f t="shared" si="14"/>
        <v>4.2682926829268295</v>
      </c>
      <c r="M28" s="18">
        <v>175</v>
      </c>
      <c r="N28" s="18">
        <f t="shared" si="15"/>
        <v>9.7560975609756101E-2</v>
      </c>
    </row>
    <row r="29" spans="1:14" x14ac:dyDescent="0.35">
      <c r="A29" s="18" t="s">
        <v>147</v>
      </c>
      <c r="B29" s="18">
        <v>145</v>
      </c>
      <c r="C29" s="18">
        <v>28</v>
      </c>
      <c r="D29" s="18">
        <f t="shared" si="0"/>
        <v>3.8620689655172415</v>
      </c>
      <c r="E29" s="18">
        <v>560</v>
      </c>
      <c r="F29" s="18">
        <f t="shared" si="1"/>
        <v>0.19310344827586207</v>
      </c>
      <c r="G29" s="32">
        <v>1.94935886896179</v>
      </c>
      <c r="I29" s="18" t="s">
        <v>81</v>
      </c>
      <c r="J29" s="18">
        <v>89</v>
      </c>
      <c r="K29" s="18">
        <v>6</v>
      </c>
      <c r="L29" s="18">
        <f>M29/J29</f>
        <v>5.1797752808988768</v>
      </c>
      <c r="M29" s="18">
        <v>461</v>
      </c>
      <c r="N29" s="18">
        <f>K29/J29</f>
        <v>6.741573033707865E-2</v>
      </c>
    </row>
    <row r="30" spans="1:14" x14ac:dyDescent="0.35">
      <c r="A30" s="18" t="s">
        <v>87</v>
      </c>
      <c r="B30" s="18">
        <v>213</v>
      </c>
      <c r="C30" s="18">
        <v>25</v>
      </c>
      <c r="D30" s="18">
        <f t="shared" si="0"/>
        <v>5.018779342723005</v>
      </c>
      <c r="E30" s="18">
        <v>1069</v>
      </c>
      <c r="F30" s="18">
        <f t="shared" si="1"/>
        <v>0.11737089201877934</v>
      </c>
      <c r="G30" s="32">
        <v>1.7888543819998299</v>
      </c>
      <c r="I30" s="18" t="s">
        <v>36</v>
      </c>
      <c r="J30" s="18">
        <v>40</v>
      </c>
      <c r="K30" s="18">
        <v>3</v>
      </c>
      <c r="L30" s="18">
        <f t="shared" ref="L30" si="16">M30/J30</f>
        <v>4.2750000000000004</v>
      </c>
      <c r="M30" s="18">
        <v>171</v>
      </c>
      <c r="N30" s="18">
        <f t="shared" ref="N30" si="17">K30/J30</f>
        <v>7.4999999999999997E-2</v>
      </c>
    </row>
    <row r="31" spans="1:14" x14ac:dyDescent="0.35">
      <c r="A31" s="18" t="s">
        <v>50</v>
      </c>
      <c r="B31" s="18">
        <v>41</v>
      </c>
      <c r="C31" s="18">
        <v>4</v>
      </c>
      <c r="D31" s="18">
        <f t="shared" si="0"/>
        <v>4.2682926829268295</v>
      </c>
      <c r="E31" s="18">
        <v>175</v>
      </c>
      <c r="F31" s="18">
        <f t="shared" si="1"/>
        <v>9.7560975609756101E-2</v>
      </c>
      <c r="G31" s="32">
        <v>2.2360679774997898</v>
      </c>
      <c r="I31" s="18" t="s">
        <v>112</v>
      </c>
      <c r="J31" s="18">
        <v>42</v>
      </c>
      <c r="K31" s="18">
        <v>8</v>
      </c>
      <c r="L31" s="18">
        <f t="shared" ref="L31:L33" si="18">M31/J31</f>
        <v>3.7619047619047619</v>
      </c>
      <c r="M31" s="18">
        <v>158</v>
      </c>
      <c r="N31" s="18">
        <f t="shared" ref="N31:N33" si="19">K31/J31</f>
        <v>0.19047619047619047</v>
      </c>
    </row>
    <row r="32" spans="1:14" x14ac:dyDescent="0.3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27</v>
      </c>
      <c r="J32" s="18">
        <v>58</v>
      </c>
      <c r="K32" s="18">
        <v>4</v>
      </c>
      <c r="L32" s="18">
        <f t="shared" si="18"/>
        <v>4.5172413793103452</v>
      </c>
      <c r="M32" s="18">
        <v>262</v>
      </c>
      <c r="N32" s="18">
        <f t="shared" si="19"/>
        <v>6.8965517241379309E-2</v>
      </c>
    </row>
    <row r="33" spans="1:14" x14ac:dyDescent="0.35">
      <c r="A33" s="18" t="s">
        <v>36</v>
      </c>
      <c r="B33" s="18">
        <v>40</v>
      </c>
      <c r="C33" s="18">
        <v>3</v>
      </c>
      <c r="D33" s="18">
        <f t="shared" si="0"/>
        <v>4.2750000000000004</v>
      </c>
      <c r="E33" s="18">
        <v>171</v>
      </c>
      <c r="F33" s="18">
        <f t="shared" si="1"/>
        <v>7.4999999999999997E-2</v>
      </c>
      <c r="G33" s="32">
        <v>2.6076809620810502</v>
      </c>
      <c r="I33" s="18" t="s">
        <v>117</v>
      </c>
      <c r="J33" s="18">
        <v>41</v>
      </c>
      <c r="K33" s="18">
        <v>7</v>
      </c>
      <c r="L33" s="18">
        <f t="shared" si="18"/>
        <v>4.2682926829268295</v>
      </c>
      <c r="M33" s="18">
        <v>175</v>
      </c>
      <c r="N33" s="18">
        <f t="shared" si="19"/>
        <v>0.17073170731707318</v>
      </c>
    </row>
    <row r="34" spans="1:14" x14ac:dyDescent="0.3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401</v>
      </c>
      <c r="J34" s="18">
        <v>71</v>
      </c>
      <c r="K34" s="18">
        <v>3</v>
      </c>
      <c r="L34" s="18">
        <f t="shared" ref="L34:L39" si="20">M34/J34</f>
        <v>5.3661971830985919</v>
      </c>
      <c r="M34" s="18">
        <v>381</v>
      </c>
      <c r="N34" s="18">
        <f t="shared" ref="N34:N39" si="21">K34/J34</f>
        <v>4.2253521126760563E-2</v>
      </c>
    </row>
    <row r="35" spans="1:14" x14ac:dyDescent="0.35">
      <c r="A35" s="18" t="s">
        <v>27</v>
      </c>
      <c r="B35" s="18">
        <v>58</v>
      </c>
      <c r="C35" s="18">
        <v>4</v>
      </c>
      <c r="D35" s="18">
        <f t="shared" si="0"/>
        <v>4.5172413793103452</v>
      </c>
      <c r="E35" s="18">
        <v>262</v>
      </c>
      <c r="F35" s="18">
        <f t="shared" si="1"/>
        <v>6.8965517241379309E-2</v>
      </c>
      <c r="G35" s="32">
        <v>2.54950975679639</v>
      </c>
      <c r="I35" s="18" t="s">
        <v>15</v>
      </c>
      <c r="J35" s="18">
        <v>301</v>
      </c>
      <c r="K35" s="18">
        <v>43</v>
      </c>
      <c r="L35" s="18">
        <f t="shared" si="20"/>
        <v>4.6212624584717608</v>
      </c>
      <c r="M35" s="18">
        <v>1391</v>
      </c>
      <c r="N35" s="18">
        <f t="shared" si="21"/>
        <v>0.14285714285714285</v>
      </c>
    </row>
    <row r="36" spans="1:14" x14ac:dyDescent="0.35">
      <c r="A36" s="18" t="s">
        <v>117</v>
      </c>
      <c r="B36" s="18">
        <v>41</v>
      </c>
      <c r="C36" s="18">
        <v>7</v>
      </c>
      <c r="D36" s="18">
        <f t="shared" si="0"/>
        <v>4.2682926829268295</v>
      </c>
      <c r="E36" s="18">
        <v>175</v>
      </c>
      <c r="F36" s="18">
        <f t="shared" si="1"/>
        <v>0.17073170731707318</v>
      </c>
      <c r="G36" s="32">
        <v>2.7284509239574799</v>
      </c>
      <c r="I36" s="18" t="s">
        <v>13</v>
      </c>
      <c r="J36" s="18">
        <v>42</v>
      </c>
      <c r="K36" s="18">
        <v>2</v>
      </c>
      <c r="L36" s="18">
        <f t="shared" si="20"/>
        <v>4.9523809523809526</v>
      </c>
      <c r="M36" s="18">
        <v>208</v>
      </c>
      <c r="N36" s="18">
        <f t="shared" si="21"/>
        <v>4.7619047619047616E-2</v>
      </c>
    </row>
    <row r="37" spans="1:14" x14ac:dyDescent="0.3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10</v>
      </c>
      <c r="J37" s="18">
        <v>76</v>
      </c>
      <c r="K37" s="18">
        <v>14</v>
      </c>
      <c r="L37" s="18">
        <f t="shared" si="20"/>
        <v>3.9210526315789473</v>
      </c>
      <c r="M37" s="18">
        <v>298</v>
      </c>
      <c r="N37" s="18">
        <f t="shared" si="21"/>
        <v>0.18421052631578946</v>
      </c>
    </row>
    <row r="38" spans="1:14" x14ac:dyDescent="0.3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63</v>
      </c>
      <c r="J38" s="18">
        <v>42</v>
      </c>
      <c r="K38" s="18">
        <v>5</v>
      </c>
      <c r="L38" s="18">
        <f t="shared" si="20"/>
        <v>4.5476190476190474</v>
      </c>
      <c r="M38" s="18">
        <v>191</v>
      </c>
      <c r="N38" s="18">
        <f t="shared" si="21"/>
        <v>0.11904761904761904</v>
      </c>
    </row>
    <row r="39" spans="1:14" x14ac:dyDescent="0.35">
      <c r="A39" s="18" t="s">
        <v>15</v>
      </c>
      <c r="B39" s="18">
        <v>301</v>
      </c>
      <c r="C39" s="18">
        <v>43</v>
      </c>
      <c r="D39" s="18">
        <f t="shared" si="0"/>
        <v>4.6212624584717608</v>
      </c>
      <c r="E39" s="18">
        <v>1391</v>
      </c>
      <c r="F39" s="18">
        <f t="shared" si="1"/>
        <v>0.14285714285714285</v>
      </c>
      <c r="G39" s="32">
        <v>2.3694389634605302</v>
      </c>
      <c r="I39" s="18" t="s">
        <v>4</v>
      </c>
      <c r="J39" s="18">
        <v>45</v>
      </c>
      <c r="K39" s="18">
        <v>5</v>
      </c>
      <c r="L39" s="18">
        <f t="shared" si="20"/>
        <v>4.9333333333333336</v>
      </c>
      <c r="M39" s="18">
        <v>222</v>
      </c>
      <c r="N39" s="18">
        <f t="shared" si="21"/>
        <v>0.1111111111111111</v>
      </c>
    </row>
    <row r="40" spans="1:14" x14ac:dyDescent="0.35">
      <c r="A40" s="18" t="s">
        <v>13</v>
      </c>
      <c r="B40" s="18">
        <v>42</v>
      </c>
      <c r="C40" s="18">
        <v>2</v>
      </c>
      <c r="D40" s="18">
        <f t="shared" si="0"/>
        <v>4.9523809523809526</v>
      </c>
      <c r="E40" s="18">
        <v>208</v>
      </c>
      <c r="F40" s="18">
        <f t="shared" si="1"/>
        <v>4.7619047619047616E-2</v>
      </c>
      <c r="G40" s="32">
        <v>2.1392325234704299</v>
      </c>
      <c r="I40" s="18" t="s">
        <v>121</v>
      </c>
      <c r="J40" s="18">
        <v>125</v>
      </c>
      <c r="K40" s="18">
        <v>28</v>
      </c>
      <c r="L40" s="18">
        <f t="shared" ref="L39:L42" si="22">M40/J40</f>
        <v>3.8319999999999999</v>
      </c>
      <c r="M40" s="18">
        <v>479</v>
      </c>
      <c r="N40" s="18">
        <f t="shared" ref="N39:N42" si="23">K40/J40</f>
        <v>0.224</v>
      </c>
    </row>
    <row r="41" spans="1:14" x14ac:dyDescent="0.35">
      <c r="A41" s="18" t="s">
        <v>10</v>
      </c>
      <c r="B41" s="18">
        <v>76</v>
      </c>
      <c r="C41" s="18">
        <v>14</v>
      </c>
      <c r="D41" s="18">
        <f t="shared" si="0"/>
        <v>3.9210526315789473</v>
      </c>
      <c r="E41" s="18">
        <v>298</v>
      </c>
      <c r="F41" s="18">
        <f t="shared" si="1"/>
        <v>0.18421052631578946</v>
      </c>
      <c r="G41" s="32">
        <v>2.2086889501029501</v>
      </c>
      <c r="I41" s="18" t="s">
        <v>232</v>
      </c>
      <c r="J41" s="18">
        <v>216</v>
      </c>
      <c r="K41" s="18">
        <v>52</v>
      </c>
      <c r="L41" s="18">
        <f t="shared" si="22"/>
        <v>3.7083333333333335</v>
      </c>
      <c r="M41" s="18">
        <v>801</v>
      </c>
      <c r="N41" s="18">
        <f t="shared" si="23"/>
        <v>0.24074074074074073</v>
      </c>
    </row>
    <row r="42" spans="1:14" x14ac:dyDescent="0.35">
      <c r="A42" s="18" t="s">
        <v>63</v>
      </c>
      <c r="B42" s="18">
        <v>42</v>
      </c>
      <c r="C42" s="18">
        <v>5</v>
      </c>
      <c r="D42" s="18">
        <f t="shared" si="0"/>
        <v>4.5476190476190474</v>
      </c>
      <c r="E42" s="18">
        <v>191</v>
      </c>
      <c r="F42" s="18">
        <f t="shared" si="1"/>
        <v>0.11904761904761904</v>
      </c>
      <c r="G42" s="32">
        <v>2.6394443859772201</v>
      </c>
      <c r="I42" s="18" t="s">
        <v>21</v>
      </c>
      <c r="J42" s="18">
        <v>193</v>
      </c>
      <c r="K42" s="18">
        <v>26</v>
      </c>
      <c r="L42" s="18">
        <f t="shared" si="22"/>
        <v>4.3005181347150261</v>
      </c>
      <c r="M42" s="18">
        <v>830</v>
      </c>
      <c r="N42" s="18">
        <f t="shared" si="23"/>
        <v>0.13471502590673576</v>
      </c>
    </row>
    <row r="43" spans="1:14" x14ac:dyDescent="0.35">
      <c r="A43" s="18" t="s">
        <v>4</v>
      </c>
      <c r="B43" s="18">
        <v>45</v>
      </c>
      <c r="C43" s="18">
        <v>5</v>
      </c>
      <c r="D43" s="18">
        <f t="shared" si="0"/>
        <v>4.9333333333333336</v>
      </c>
      <c r="E43" s="18">
        <v>222</v>
      </c>
      <c r="F43" s="18">
        <f t="shared" si="1"/>
        <v>0.1111111111111111</v>
      </c>
      <c r="G43" s="32">
        <v>2.08832734769027</v>
      </c>
      <c r="I43" s="18" t="s">
        <v>51</v>
      </c>
      <c r="J43" s="18">
        <v>49</v>
      </c>
      <c r="K43" s="18">
        <v>4</v>
      </c>
      <c r="L43" s="18">
        <f t="shared" ref="L43" si="24">M43/J43</f>
        <v>4.8775510204081636</v>
      </c>
      <c r="M43" s="18">
        <v>239</v>
      </c>
      <c r="N43" s="18">
        <f t="shared" ref="N43" si="25">K43/J43</f>
        <v>8.1632653061224483E-2</v>
      </c>
    </row>
    <row r="44" spans="1:14" x14ac:dyDescent="0.35">
      <c r="A44" s="18" t="s">
        <v>121</v>
      </c>
      <c r="B44" s="18">
        <v>125</v>
      </c>
      <c r="C44" s="18">
        <v>28</v>
      </c>
      <c r="D44" s="18">
        <f t="shared" si="0"/>
        <v>3.8319999999999999</v>
      </c>
      <c r="E44" s="18">
        <v>479</v>
      </c>
      <c r="F44" s="18">
        <f t="shared" si="1"/>
        <v>0.224</v>
      </c>
      <c r="G44" s="32">
        <v>2.2233267457082899</v>
      </c>
      <c r="I44" s="18" t="s">
        <v>414</v>
      </c>
      <c r="J44" s="18">
        <v>40</v>
      </c>
      <c r="K44" s="18">
        <v>4</v>
      </c>
      <c r="L44" s="18">
        <f t="shared" ref="L44:L47" si="26">M44/J44</f>
        <v>4.9000000000000004</v>
      </c>
      <c r="M44" s="18">
        <v>196</v>
      </c>
      <c r="N44" s="18">
        <f t="shared" ref="N44:N47" si="27">K44/J44</f>
        <v>0.1</v>
      </c>
    </row>
    <row r="45" spans="1:14" x14ac:dyDescent="0.35">
      <c r="A45" s="18" t="s">
        <v>232</v>
      </c>
      <c r="B45" s="18">
        <v>216</v>
      </c>
      <c r="C45" s="18">
        <v>52</v>
      </c>
      <c r="D45" s="18">
        <f t="shared" si="0"/>
        <v>3.7083333333333335</v>
      </c>
      <c r="E45" s="18">
        <v>801</v>
      </c>
      <c r="F45" s="18">
        <f t="shared" si="1"/>
        <v>0.24074074074074073</v>
      </c>
      <c r="G45" s="32">
        <v>2.2509257354845502</v>
      </c>
      <c r="I45" s="18" t="s">
        <v>0</v>
      </c>
      <c r="J45" s="18">
        <v>86</v>
      </c>
      <c r="K45" s="18">
        <v>14</v>
      </c>
      <c r="L45" s="18">
        <f t="shared" si="26"/>
        <v>4.2093023255813957</v>
      </c>
      <c r="M45" s="18">
        <v>362</v>
      </c>
      <c r="N45" s="18">
        <f t="shared" si="27"/>
        <v>0.16279069767441862</v>
      </c>
    </row>
    <row r="46" spans="1:14" x14ac:dyDescent="0.35">
      <c r="A46" s="18" t="s">
        <v>21</v>
      </c>
      <c r="B46" s="18">
        <v>193</v>
      </c>
      <c r="C46" s="18">
        <v>26</v>
      </c>
      <c r="D46" s="18">
        <f t="shared" si="0"/>
        <v>4.3005181347150261</v>
      </c>
      <c r="E46" s="18">
        <v>830</v>
      </c>
      <c r="F46" s="18">
        <f t="shared" si="1"/>
        <v>0.13471502590673576</v>
      </c>
      <c r="G46" s="32">
        <v>2.0655911179772799</v>
      </c>
      <c r="I46" s="18" t="s">
        <v>1</v>
      </c>
      <c r="J46" s="18">
        <v>145</v>
      </c>
      <c r="K46" s="18">
        <v>10</v>
      </c>
      <c r="L46" s="18">
        <f t="shared" si="26"/>
        <v>4.5931034482758619</v>
      </c>
      <c r="M46" s="18">
        <v>666</v>
      </c>
      <c r="N46" s="18">
        <f t="shared" si="27"/>
        <v>6.8965517241379309E-2</v>
      </c>
    </row>
    <row r="47" spans="1:14" x14ac:dyDescent="0.35">
      <c r="A47" s="18" t="s">
        <v>51</v>
      </c>
      <c r="B47" s="18">
        <v>49</v>
      </c>
      <c r="C47" s="18">
        <v>4</v>
      </c>
      <c r="D47" s="18">
        <f t="shared" si="0"/>
        <v>4.8775510204081636</v>
      </c>
      <c r="E47" s="18">
        <v>239</v>
      </c>
      <c r="F47" s="18">
        <f t="shared" si="1"/>
        <v>8.1632653061224483E-2</v>
      </c>
      <c r="G47" s="32">
        <v>2.2967049878400898</v>
      </c>
      <c r="I47" s="18" t="s">
        <v>28</v>
      </c>
      <c r="J47" s="18">
        <v>143</v>
      </c>
      <c r="K47" s="18">
        <v>10</v>
      </c>
      <c r="L47" s="18">
        <f t="shared" si="26"/>
        <v>5.1678321678321675</v>
      </c>
      <c r="M47" s="18">
        <v>739</v>
      </c>
      <c r="N47" s="18">
        <f t="shared" si="27"/>
        <v>6.9930069930069935E-2</v>
      </c>
    </row>
    <row r="48" spans="1:14" x14ac:dyDescent="0.35">
      <c r="A48" s="18" t="s">
        <v>414</v>
      </c>
      <c r="B48" s="18">
        <v>40</v>
      </c>
      <c r="C48" s="18">
        <v>4</v>
      </c>
      <c r="D48" s="18">
        <f t="shared" si="0"/>
        <v>4.9000000000000004</v>
      </c>
      <c r="E48" s="18">
        <v>196</v>
      </c>
      <c r="F48" s="18">
        <f t="shared" si="1"/>
        <v>0.1</v>
      </c>
      <c r="G48" s="32">
        <v>2.8702082220799299</v>
      </c>
      <c r="I48" s="18" t="s">
        <v>253</v>
      </c>
      <c r="J48" s="18">
        <v>61</v>
      </c>
      <c r="K48" s="18">
        <v>4</v>
      </c>
      <c r="L48" s="18">
        <f t="shared" ref="L48:L51" si="28">M48/J48</f>
        <v>5.6065573770491799</v>
      </c>
      <c r="M48" s="18">
        <v>342</v>
      </c>
      <c r="N48" s="18">
        <f t="shared" ref="N48:N49" si="29">K48/J48</f>
        <v>6.5573770491803282E-2</v>
      </c>
    </row>
    <row r="49" spans="1:14" x14ac:dyDescent="0.35">
      <c r="A49" s="18" t="s">
        <v>0</v>
      </c>
      <c r="B49" s="18">
        <v>86</v>
      </c>
      <c r="C49" s="18">
        <v>14</v>
      </c>
      <c r="D49" s="18">
        <f t="shared" si="0"/>
        <v>4.2093023255813957</v>
      </c>
      <c r="E49" s="18">
        <v>362</v>
      </c>
      <c r="F49" s="18">
        <f t="shared" si="1"/>
        <v>0.16279069767441862</v>
      </c>
      <c r="G49" s="32">
        <v>2.16465107712866</v>
      </c>
      <c r="I49" s="18" t="s">
        <v>175</v>
      </c>
      <c r="J49" s="18">
        <v>93</v>
      </c>
      <c r="K49" s="18">
        <v>25</v>
      </c>
      <c r="L49" s="18">
        <f t="shared" si="28"/>
        <v>3.4623655913978495</v>
      </c>
      <c r="M49" s="18">
        <v>322</v>
      </c>
      <c r="N49" s="18">
        <f t="shared" si="29"/>
        <v>0.26881720430107525</v>
      </c>
    </row>
    <row r="50" spans="1:14" x14ac:dyDescent="0.35">
      <c r="A50" s="18" t="s">
        <v>1</v>
      </c>
      <c r="B50" s="18">
        <v>145</v>
      </c>
      <c r="C50" s="18">
        <v>10</v>
      </c>
      <c r="D50" s="18">
        <f t="shared" si="0"/>
        <v>4.5931034482758619</v>
      </c>
      <c r="E50" s="18">
        <v>666</v>
      </c>
      <c r="F50" s="18">
        <f t="shared" si="1"/>
        <v>6.8965517241379309E-2</v>
      </c>
      <c r="G50" s="32">
        <v>2.0412414523193099</v>
      </c>
      <c r="I50" s="18" t="s">
        <v>61</v>
      </c>
      <c r="J50" s="18">
        <v>96</v>
      </c>
      <c r="K50" s="18">
        <v>19</v>
      </c>
      <c r="L50" s="18">
        <f t="shared" si="28"/>
        <v>4.270833333333333</v>
      </c>
      <c r="M50" s="18">
        <v>410</v>
      </c>
      <c r="N50" s="18">
        <f>K50/J50</f>
        <v>0.19791666666666666</v>
      </c>
    </row>
    <row r="51" spans="1:14" x14ac:dyDescent="0.35">
      <c r="A51" s="18" t="s">
        <v>28</v>
      </c>
      <c r="B51" s="18">
        <v>143</v>
      </c>
      <c r="C51" s="18">
        <v>10</v>
      </c>
      <c r="D51" s="18">
        <f t="shared" si="0"/>
        <v>5.1678321678321675</v>
      </c>
      <c r="E51" s="18">
        <v>739</v>
      </c>
      <c r="F51" s="18">
        <f t="shared" si="1"/>
        <v>6.9930069930069935E-2</v>
      </c>
      <c r="G51" s="32">
        <v>1.30384048104052</v>
      </c>
      <c r="I51" s="18" t="s">
        <v>115</v>
      </c>
      <c r="J51" s="18">
        <v>41</v>
      </c>
      <c r="K51" s="18">
        <v>4</v>
      </c>
      <c r="L51" s="18">
        <f t="shared" si="28"/>
        <v>4.3902439024390247</v>
      </c>
      <c r="M51" s="18">
        <v>180</v>
      </c>
      <c r="N51" s="18">
        <f t="shared" ref="N51" si="30">K51/J51</f>
        <v>9.7560975609756101E-2</v>
      </c>
    </row>
    <row r="52" spans="1:14" x14ac:dyDescent="0.3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24</v>
      </c>
      <c r="J52" s="18">
        <v>103</v>
      </c>
      <c r="K52" s="18">
        <v>12</v>
      </c>
      <c r="L52" s="18">
        <f t="shared" ref="L52" si="31">M52/J52</f>
        <v>4.5533980582524274</v>
      </c>
      <c r="M52" s="18">
        <v>469</v>
      </c>
      <c r="N52" s="18">
        <f t="shared" ref="N52" si="32">K52/J52</f>
        <v>0.11650485436893204</v>
      </c>
    </row>
    <row r="53" spans="1:14" x14ac:dyDescent="0.35">
      <c r="A53" s="18" t="s">
        <v>175</v>
      </c>
      <c r="B53" s="18">
        <v>93</v>
      </c>
      <c r="C53" s="18">
        <v>25</v>
      </c>
      <c r="D53" s="18">
        <f t="shared" si="0"/>
        <v>3.4623655913978495</v>
      </c>
      <c r="E53" s="18">
        <v>322</v>
      </c>
      <c r="F53" s="18">
        <f t="shared" si="1"/>
        <v>0.26881720430107525</v>
      </c>
      <c r="G53" s="32">
        <v>2</v>
      </c>
      <c r="I53" s="18" t="s">
        <v>116</v>
      </c>
      <c r="J53" s="18">
        <v>40</v>
      </c>
      <c r="K53" s="18">
        <v>5</v>
      </c>
      <c r="L53" s="18">
        <f>M53/J53</f>
        <v>3.85</v>
      </c>
      <c r="M53" s="18">
        <v>154</v>
      </c>
      <c r="N53" s="18">
        <f>K53/J53</f>
        <v>0.125</v>
      </c>
    </row>
    <row r="54" spans="1:14" x14ac:dyDescent="0.35">
      <c r="A54" s="18" t="s">
        <v>61</v>
      </c>
      <c r="B54" s="18">
        <v>96</v>
      </c>
      <c r="C54" s="18">
        <v>19</v>
      </c>
      <c r="D54" s="18">
        <f t="shared" si="0"/>
        <v>4.270833333333333</v>
      </c>
      <c r="E54" s="18">
        <v>410</v>
      </c>
      <c r="F54" s="18">
        <f>C54/B54</f>
        <v>0.19791666666666666</v>
      </c>
      <c r="G54" s="32">
        <v>3.2403703492039302</v>
      </c>
      <c r="I54" s="18" t="s">
        <v>58</v>
      </c>
      <c r="J54" s="18">
        <v>40</v>
      </c>
      <c r="K54" s="18">
        <v>7</v>
      </c>
      <c r="L54" s="18">
        <f t="shared" ref="L54" si="33">M54/J54</f>
        <v>3.8250000000000002</v>
      </c>
      <c r="M54" s="18">
        <v>153</v>
      </c>
      <c r="N54" s="18">
        <f t="shared" ref="N54" si="34">K54/J54</f>
        <v>0.17499999999999999</v>
      </c>
    </row>
    <row r="55" spans="1:14" x14ac:dyDescent="0.3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70</v>
      </c>
      <c r="K55" s="18">
        <v>5</v>
      </c>
      <c r="L55" s="18">
        <f t="shared" ref="L55:L56" si="35">M55/J55</f>
        <v>5.128571428571429</v>
      </c>
      <c r="M55" s="18">
        <v>359</v>
      </c>
      <c r="N55" s="18">
        <f t="shared" ref="N55:N56" si="36">K55/J55</f>
        <v>7.1428571428571425E-2</v>
      </c>
    </row>
    <row r="56" spans="1:14" x14ac:dyDescent="0.35">
      <c r="A56" s="18" t="s">
        <v>115</v>
      </c>
      <c r="B56" s="18">
        <v>41</v>
      </c>
      <c r="C56" s="18">
        <v>4</v>
      </c>
      <c r="D56" s="18">
        <f t="shared" si="0"/>
        <v>4.3902439024390247</v>
      </c>
      <c r="E56" s="18">
        <v>180</v>
      </c>
      <c r="F56" s="18">
        <f t="shared" si="1"/>
        <v>9.7560975609756101E-2</v>
      </c>
      <c r="G56" s="32">
        <v>1.71824938596844</v>
      </c>
      <c r="I56" s="18" t="s">
        <v>29</v>
      </c>
      <c r="J56" s="18">
        <v>150</v>
      </c>
      <c r="K56" s="18">
        <v>21</v>
      </c>
      <c r="L56" s="18">
        <f t="shared" si="35"/>
        <v>4.0466666666666669</v>
      </c>
      <c r="M56" s="18">
        <v>607</v>
      </c>
      <c r="N56" s="18">
        <f t="shared" si="36"/>
        <v>0.14000000000000001</v>
      </c>
    </row>
    <row r="57" spans="1:14" x14ac:dyDescent="0.35">
      <c r="A57" s="18" t="s">
        <v>24</v>
      </c>
      <c r="B57" s="18">
        <v>103</v>
      </c>
      <c r="C57" s="18">
        <v>12</v>
      </c>
      <c r="D57" s="18">
        <f t="shared" si="0"/>
        <v>4.5533980582524274</v>
      </c>
      <c r="E57" s="18">
        <v>469</v>
      </c>
      <c r="F57" s="18">
        <f t="shared" si="1"/>
        <v>0.11650485436893204</v>
      </c>
      <c r="G57" s="32">
        <v>2.26909243703399</v>
      </c>
      <c r="I57" s="18" t="s">
        <v>148</v>
      </c>
      <c r="J57" s="18">
        <v>42</v>
      </c>
      <c r="K57" s="18">
        <v>8</v>
      </c>
      <c r="L57" s="18">
        <f t="shared" ref="L57" si="37">M57/J57</f>
        <v>3.7380952380952381</v>
      </c>
      <c r="M57" s="18">
        <v>157</v>
      </c>
      <c r="N57" s="18">
        <f t="shared" ref="N57" si="38">K57/J57</f>
        <v>0.19047619047619047</v>
      </c>
    </row>
    <row r="58" spans="1:14" x14ac:dyDescent="0.35">
      <c r="A58" s="18" t="s">
        <v>116</v>
      </c>
      <c r="B58" s="18">
        <v>40</v>
      </c>
      <c r="C58" s="18">
        <v>5</v>
      </c>
      <c r="D58" s="18">
        <f t="shared" si="0"/>
        <v>3.85</v>
      </c>
      <c r="E58" s="18">
        <v>154</v>
      </c>
      <c r="F58" s="18">
        <f t="shared" si="1"/>
        <v>0.125</v>
      </c>
      <c r="G58" s="32">
        <v>1.7043362064926899</v>
      </c>
      <c r="I58" s="18" t="s">
        <v>428</v>
      </c>
      <c r="J58" s="18">
        <v>40</v>
      </c>
      <c r="K58" s="18">
        <v>7</v>
      </c>
      <c r="L58" s="18">
        <f t="shared" ref="L58" si="39">M58/J58</f>
        <v>4.0250000000000004</v>
      </c>
      <c r="M58" s="18">
        <v>161</v>
      </c>
      <c r="N58" s="18">
        <f t="shared" ref="N58" si="40">K58/J58</f>
        <v>0.17499999999999999</v>
      </c>
    </row>
    <row r="59" spans="1:14" x14ac:dyDescent="0.35">
      <c r="A59" t="s">
        <v>5</v>
      </c>
      <c r="B59">
        <v>38</v>
      </c>
      <c r="C59">
        <v>2</v>
      </c>
      <c r="D59">
        <f t="shared" si="0"/>
        <v>4.5526315789473681</v>
      </c>
      <c r="E59">
        <v>173</v>
      </c>
      <c r="F59">
        <f t="shared" si="1"/>
        <v>5.2631578947368418E-2</v>
      </c>
      <c r="G59" s="32">
        <v>1.8898223650461301</v>
      </c>
      <c r="I59" s="18" t="s">
        <v>79</v>
      </c>
      <c r="J59" s="18">
        <v>55</v>
      </c>
      <c r="K59" s="18">
        <v>6</v>
      </c>
      <c r="L59" s="18">
        <f>M59/J59</f>
        <v>4.6363636363636367</v>
      </c>
      <c r="M59" s="18">
        <v>255</v>
      </c>
      <c r="N59" s="18">
        <f>K59/J59</f>
        <v>0.10909090909090909</v>
      </c>
    </row>
    <row r="60" spans="1:14" x14ac:dyDescent="0.35">
      <c r="A60" s="18" t="s">
        <v>58</v>
      </c>
      <c r="B60" s="18">
        <v>40</v>
      </c>
      <c r="C60" s="18">
        <v>7</v>
      </c>
      <c r="D60" s="18">
        <f t="shared" si="0"/>
        <v>3.8250000000000002</v>
      </c>
      <c r="E60" s="18">
        <v>153</v>
      </c>
      <c r="F60" s="18">
        <f t="shared" si="1"/>
        <v>0.17499999999999999</v>
      </c>
      <c r="G60" s="32">
        <v>2.33809038890002</v>
      </c>
      <c r="I60" s="18" t="s">
        <v>123</v>
      </c>
      <c r="J60" s="18">
        <v>58</v>
      </c>
      <c r="K60" s="18">
        <v>8</v>
      </c>
      <c r="L60" s="18">
        <f t="shared" ref="L60" si="41">M60/J60</f>
        <v>4.431034482758621</v>
      </c>
      <c r="M60" s="18">
        <v>257</v>
      </c>
      <c r="N60" s="18">
        <f t="shared" ref="N60" si="42">K60/J60</f>
        <v>0.13793103448275862</v>
      </c>
    </row>
    <row r="61" spans="1:14" x14ac:dyDescent="0.35">
      <c r="A61" s="18" t="s">
        <v>30</v>
      </c>
      <c r="B61" s="18">
        <v>70</v>
      </c>
      <c r="C61" s="18">
        <v>5</v>
      </c>
      <c r="D61" s="18">
        <f t="shared" si="0"/>
        <v>5.128571428571429</v>
      </c>
      <c r="E61" s="18">
        <v>359</v>
      </c>
      <c r="F61" s="18">
        <f t="shared" si="1"/>
        <v>7.1428571428571425E-2</v>
      </c>
      <c r="G61" s="32">
        <v>2.5226248955475601</v>
      </c>
      <c r="I61" s="18" t="s">
        <v>12</v>
      </c>
      <c r="J61" s="18">
        <v>40</v>
      </c>
      <c r="K61" s="18">
        <v>2</v>
      </c>
      <c r="L61" s="18">
        <f t="shared" ref="L61" si="43">M61/J61</f>
        <v>4.7249999999999996</v>
      </c>
      <c r="M61" s="18">
        <v>189</v>
      </c>
      <c r="N61" s="18">
        <f t="shared" ref="N61" si="44">K61/J61</f>
        <v>0.05</v>
      </c>
    </row>
    <row r="62" spans="1:14" x14ac:dyDescent="0.35">
      <c r="A62" s="18" t="s">
        <v>29</v>
      </c>
      <c r="B62" s="18">
        <v>150</v>
      </c>
      <c r="C62" s="18">
        <v>21</v>
      </c>
      <c r="D62" s="18">
        <f t="shared" si="0"/>
        <v>4.0466666666666669</v>
      </c>
      <c r="E62" s="18">
        <v>607</v>
      </c>
      <c r="F62" s="18">
        <f t="shared" si="1"/>
        <v>0.14000000000000001</v>
      </c>
      <c r="G62" s="32">
        <v>2.0875571218153701</v>
      </c>
      <c r="I62" s="18" t="s">
        <v>404</v>
      </c>
      <c r="J62" s="18">
        <v>40</v>
      </c>
      <c r="K62" s="18">
        <v>4</v>
      </c>
      <c r="L62" s="18">
        <f t="shared" ref="L62" si="45">M62/J62</f>
        <v>4.9249999999999998</v>
      </c>
      <c r="M62" s="18">
        <v>197</v>
      </c>
      <c r="N62" s="18">
        <f t="shared" ref="N62" si="46">K62/J62</f>
        <v>0.1</v>
      </c>
    </row>
    <row r="63" spans="1:14" x14ac:dyDescent="0.3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22</v>
      </c>
      <c r="J63" s="18">
        <v>186</v>
      </c>
      <c r="K63" s="18">
        <v>30</v>
      </c>
      <c r="L63" s="18">
        <f>M63/J63</f>
        <v>4.123655913978495</v>
      </c>
      <c r="M63" s="18">
        <v>767</v>
      </c>
      <c r="N63" s="18">
        <f>K63/J63</f>
        <v>0.16129032258064516</v>
      </c>
    </row>
    <row r="64" spans="1:14" x14ac:dyDescent="0.35">
      <c r="A64" t="s">
        <v>9</v>
      </c>
      <c r="B64">
        <v>37</v>
      </c>
      <c r="C64">
        <v>4</v>
      </c>
      <c r="D64">
        <f t="shared" si="0"/>
        <v>4</v>
      </c>
      <c r="E64">
        <v>148</v>
      </c>
      <c r="F64">
        <f t="shared" si="1"/>
        <v>0.10810810810810811</v>
      </c>
      <c r="G64" s="32">
        <v>2.42097317438899</v>
      </c>
      <c r="I64" s="18" t="s">
        <v>33</v>
      </c>
      <c r="J64" s="18">
        <v>79</v>
      </c>
      <c r="K64" s="18">
        <v>4</v>
      </c>
      <c r="L64" s="18">
        <f>M64/J64</f>
        <v>5.518987341772152</v>
      </c>
      <c r="M64" s="18">
        <v>436</v>
      </c>
      <c r="N64" s="18">
        <f>K64/J64</f>
        <v>5.0632911392405063E-2</v>
      </c>
    </row>
    <row r="65" spans="1:14" x14ac:dyDescent="0.35">
      <c r="A65" t="s">
        <v>139</v>
      </c>
      <c r="B65">
        <v>33</v>
      </c>
      <c r="C65">
        <v>4</v>
      </c>
      <c r="D65">
        <f t="shared" si="0"/>
        <v>4.333333333333333</v>
      </c>
      <c r="E65">
        <v>143</v>
      </c>
      <c r="F65">
        <f t="shared" si="1"/>
        <v>0.12121212121212122</v>
      </c>
      <c r="G65" s="32">
        <v>1.9944979263017399</v>
      </c>
      <c r="I65" s="18" t="s">
        <v>129</v>
      </c>
      <c r="J65" s="18">
        <v>55</v>
      </c>
      <c r="K65" s="18">
        <v>10</v>
      </c>
      <c r="L65" s="18">
        <f>M65/J65</f>
        <v>4.4909090909090912</v>
      </c>
      <c r="M65" s="18">
        <v>247</v>
      </c>
      <c r="N65" s="18">
        <f>K65/J65</f>
        <v>0.18181818181818182</v>
      </c>
    </row>
    <row r="66" spans="1:14" x14ac:dyDescent="0.35">
      <c r="A66" s="18" t="s">
        <v>428</v>
      </c>
      <c r="B66" s="18">
        <v>40</v>
      </c>
      <c r="C66" s="18">
        <v>7</v>
      </c>
      <c r="D66" s="18">
        <f t="shared" si="0"/>
        <v>4.0250000000000004</v>
      </c>
      <c r="E66" s="18">
        <v>161</v>
      </c>
      <c r="F66" s="18">
        <f t="shared" si="1"/>
        <v>0.17499999999999999</v>
      </c>
      <c r="G66" s="32">
        <v>1.9414506867882999</v>
      </c>
      <c r="I66" s="18" t="s">
        <v>113</v>
      </c>
      <c r="J66" s="18">
        <v>45</v>
      </c>
      <c r="K66" s="18">
        <v>1</v>
      </c>
      <c r="L66" s="18">
        <f>M66/J66</f>
        <v>4.5111111111111111</v>
      </c>
      <c r="M66" s="18">
        <v>203</v>
      </c>
      <c r="N66" s="18">
        <f>K66/J66</f>
        <v>2.2222222222222223E-2</v>
      </c>
    </row>
    <row r="67" spans="1:14" x14ac:dyDescent="0.3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35</v>
      </c>
      <c r="J67" s="18">
        <v>207</v>
      </c>
      <c r="K67" s="18">
        <v>47</v>
      </c>
      <c r="L67" s="18">
        <f t="shared" ref="L67" si="47">M67/J67</f>
        <v>3.5845410628019323</v>
      </c>
      <c r="M67" s="18">
        <v>742</v>
      </c>
      <c r="N67" s="18">
        <f t="shared" ref="N67" si="48">K67/J67</f>
        <v>0.22705314009661837</v>
      </c>
    </row>
    <row r="68" spans="1:14" x14ac:dyDescent="0.35">
      <c r="A68" t="s">
        <v>17</v>
      </c>
      <c r="B68">
        <v>39</v>
      </c>
      <c r="C68">
        <v>3</v>
      </c>
      <c r="D68">
        <f t="shared" si="0"/>
        <v>5.1025641025641022</v>
      </c>
      <c r="E68">
        <v>199</v>
      </c>
      <c r="F68">
        <f t="shared" si="1"/>
        <v>7.6923076923076927E-2</v>
      </c>
      <c r="G68" s="32">
        <v>2.4832774042918899</v>
      </c>
      <c r="I68" s="18" t="s">
        <v>26</v>
      </c>
      <c r="J68" s="18">
        <v>124</v>
      </c>
      <c r="K68" s="18">
        <v>7</v>
      </c>
      <c r="L68" s="18">
        <f>M68/J68</f>
        <v>5.2338709677419351</v>
      </c>
      <c r="M68" s="18">
        <v>649</v>
      </c>
      <c r="N68" s="18">
        <f>K68/J68</f>
        <v>5.6451612903225805E-2</v>
      </c>
    </row>
    <row r="69" spans="1:14" x14ac:dyDescent="0.3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  <c r="I69" s="18" t="s">
        <v>122</v>
      </c>
      <c r="J69" s="18">
        <v>200</v>
      </c>
      <c r="K69" s="18">
        <v>23</v>
      </c>
      <c r="L69" s="18">
        <f t="shared" ref="L69" si="49">M69/J69</f>
        <v>4.0049999999999999</v>
      </c>
      <c r="M69" s="18">
        <v>801</v>
      </c>
      <c r="N69" s="18">
        <f t="shared" ref="N69" si="50">K69/J69</f>
        <v>0.115</v>
      </c>
    </row>
    <row r="70" spans="1:14" x14ac:dyDescent="0.35">
      <c r="A70" s="18" t="s">
        <v>123</v>
      </c>
      <c r="B70" s="18">
        <v>58</v>
      </c>
      <c r="C70" s="18">
        <v>8</v>
      </c>
      <c r="D70" s="18">
        <f t="shared" si="0"/>
        <v>4.431034482758621</v>
      </c>
      <c r="E70" s="18">
        <v>257</v>
      </c>
      <c r="F70" s="18">
        <f t="shared" si="1"/>
        <v>0.13793103448275862</v>
      </c>
      <c r="G70" s="32">
        <v>2</v>
      </c>
      <c r="I70" s="18" t="s">
        <v>49</v>
      </c>
      <c r="J70" s="18">
        <v>163</v>
      </c>
      <c r="K70" s="18">
        <v>12</v>
      </c>
      <c r="L70" s="18">
        <f t="shared" ref="L69:L70" si="51">M70/J70</f>
        <v>4.9693251533742329</v>
      </c>
      <c r="M70" s="18">
        <v>810</v>
      </c>
      <c r="N70" s="18">
        <f t="shared" ref="N69:N70" si="52">K70/J70</f>
        <v>7.3619631901840496E-2</v>
      </c>
    </row>
    <row r="71" spans="1:14" x14ac:dyDescent="0.35">
      <c r="A71" s="18" t="s">
        <v>12</v>
      </c>
      <c r="B71" s="18">
        <v>40</v>
      </c>
      <c r="C71" s="18">
        <v>2</v>
      </c>
      <c r="D71" s="18">
        <f t="shared" si="0"/>
        <v>4.7249999999999996</v>
      </c>
      <c r="E71" s="18">
        <v>189</v>
      </c>
      <c r="F71" s="18">
        <f t="shared" si="1"/>
        <v>0.05</v>
      </c>
      <c r="G71" s="32">
        <v>2.44584195260913</v>
      </c>
      <c r="I71" s="18" t="s">
        <v>3</v>
      </c>
      <c r="J71" s="18">
        <v>56</v>
      </c>
      <c r="K71" s="18">
        <v>7</v>
      </c>
      <c r="L71" s="18">
        <f>M71/J71</f>
        <v>4.2678571428571432</v>
      </c>
      <c r="M71" s="18">
        <v>239</v>
      </c>
      <c r="N71" s="18">
        <f>K71/J71</f>
        <v>0.125</v>
      </c>
    </row>
    <row r="72" spans="1:14" x14ac:dyDescent="0.35">
      <c r="A72" s="18" t="s">
        <v>404</v>
      </c>
      <c r="B72" s="18">
        <v>40</v>
      </c>
      <c r="C72" s="18">
        <v>4</v>
      </c>
      <c r="D72" s="18">
        <f t="shared" si="0"/>
        <v>4.9249999999999998</v>
      </c>
      <c r="E72" s="18">
        <v>197</v>
      </c>
      <c r="F72" s="18">
        <f t="shared" si="1"/>
        <v>0.1</v>
      </c>
      <c r="G72" s="32">
        <v>2.3094010767584998</v>
      </c>
      <c r="I72" s="18" t="s">
        <v>2</v>
      </c>
      <c r="J72" s="18">
        <v>41</v>
      </c>
      <c r="K72" s="18">
        <v>10</v>
      </c>
      <c r="L72" s="18">
        <f>M72/J72</f>
        <v>3.8048780487804876</v>
      </c>
      <c r="M72" s="18">
        <v>156</v>
      </c>
      <c r="N72" s="18">
        <f>K72/J72</f>
        <v>0.24390243902439024</v>
      </c>
    </row>
    <row r="73" spans="1:14" x14ac:dyDescent="0.35">
      <c r="A73" s="18" t="s">
        <v>22</v>
      </c>
      <c r="B73" s="18">
        <v>186</v>
      </c>
      <c r="C73" s="18">
        <v>30</v>
      </c>
      <c r="D73" s="18">
        <f>E73/B73</f>
        <v>4.123655913978495</v>
      </c>
      <c r="E73" s="18">
        <v>767</v>
      </c>
      <c r="F73" s="18">
        <f>C73/B73</f>
        <v>0.16129032258064516</v>
      </c>
      <c r="G73" s="32">
        <v>2.2045689482796602</v>
      </c>
      <c r="I73" s="18" t="s">
        <v>124</v>
      </c>
      <c r="J73" s="18">
        <v>40</v>
      </c>
      <c r="K73" s="18">
        <v>1</v>
      </c>
      <c r="L73" s="18">
        <f>M73/J73</f>
        <v>5.15</v>
      </c>
      <c r="M73" s="18">
        <v>206</v>
      </c>
      <c r="N73" s="18">
        <f>K73/J73</f>
        <v>2.5000000000000001E-2</v>
      </c>
    </row>
    <row r="74" spans="1:14" x14ac:dyDescent="0.3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35">
      <c r="A75" t="s">
        <v>110</v>
      </c>
      <c r="B75">
        <v>35</v>
      </c>
      <c r="C75">
        <v>1</v>
      </c>
      <c r="D75">
        <f>E75/B75</f>
        <v>4.7142857142857144</v>
      </c>
      <c r="E75">
        <v>165</v>
      </c>
      <c r="F75">
        <f>C75/B75</f>
        <v>2.8571428571428571E-2</v>
      </c>
      <c r="G75" s="32">
        <v>1.9407902170679501</v>
      </c>
    </row>
    <row r="76" spans="1:14" x14ac:dyDescent="0.35">
      <c r="A76" t="s">
        <v>82</v>
      </c>
      <c r="B76">
        <v>38</v>
      </c>
      <c r="C76">
        <v>1</v>
      </c>
      <c r="D76">
        <f t="shared" ref="D76:D91" si="53">E76/B76</f>
        <v>5.3421052631578947</v>
      </c>
      <c r="E76">
        <v>203</v>
      </c>
      <c r="F76">
        <f>C76/B76</f>
        <v>2.6315789473684209E-2</v>
      </c>
      <c r="G76" s="32">
        <v>2</v>
      </c>
    </row>
    <row r="77" spans="1:14" x14ac:dyDescent="0.35">
      <c r="A77" s="18" t="s">
        <v>33</v>
      </c>
      <c r="B77" s="18">
        <v>79</v>
      </c>
      <c r="C77" s="18">
        <v>4</v>
      </c>
      <c r="D77" s="18">
        <f t="shared" si="53"/>
        <v>5.518987341772152</v>
      </c>
      <c r="E77" s="18">
        <v>436</v>
      </c>
      <c r="F77" s="18">
        <f t="shared" ref="F77:F91" si="54">C77/B77</f>
        <v>5.0632911392405063E-2</v>
      </c>
      <c r="G77" s="32">
        <v>2.14993539954627</v>
      </c>
    </row>
    <row r="78" spans="1:14" x14ac:dyDescent="0.35">
      <c r="A78" t="s">
        <v>99</v>
      </c>
      <c r="B78">
        <v>37</v>
      </c>
      <c r="C78">
        <v>3</v>
      </c>
      <c r="D78">
        <f t="shared" si="53"/>
        <v>5.1081081081081079</v>
      </c>
      <c r="E78">
        <v>189</v>
      </c>
      <c r="F78">
        <f t="shared" si="54"/>
        <v>8.1081081081081086E-2</v>
      </c>
      <c r="G78" s="32">
        <v>2.6687491868330699</v>
      </c>
    </row>
    <row r="79" spans="1:14" x14ac:dyDescent="0.35">
      <c r="A79" t="s">
        <v>7</v>
      </c>
      <c r="B79">
        <v>38</v>
      </c>
      <c r="C79">
        <v>8</v>
      </c>
      <c r="D79">
        <f t="shared" si="53"/>
        <v>3.8421052631578947</v>
      </c>
      <c r="E79">
        <v>146</v>
      </c>
      <c r="F79">
        <f t="shared" si="54"/>
        <v>0.21052631578947367</v>
      </c>
      <c r="G79" s="32">
        <v>2.7888667551135802</v>
      </c>
    </row>
    <row r="80" spans="1:14" x14ac:dyDescent="0.3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3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35">
      <c r="A82" s="18" t="s">
        <v>129</v>
      </c>
      <c r="B82" s="18">
        <v>55</v>
      </c>
      <c r="C82" s="18">
        <v>10</v>
      </c>
      <c r="D82" s="18">
        <f t="shared" si="53"/>
        <v>4.4909090909090912</v>
      </c>
      <c r="E82" s="18">
        <v>247</v>
      </c>
      <c r="F82" s="18">
        <f t="shared" si="54"/>
        <v>0.18181818181818182</v>
      </c>
      <c r="G82" s="32">
        <v>2.1315096371664199</v>
      </c>
    </row>
    <row r="83" spans="1:7" x14ac:dyDescent="0.35">
      <c r="A83" s="18" t="s">
        <v>113</v>
      </c>
      <c r="B83" s="18">
        <v>45</v>
      </c>
      <c r="C83" s="18">
        <v>1</v>
      </c>
      <c r="D83" s="18">
        <f t="shared" si="53"/>
        <v>4.5111111111111111</v>
      </c>
      <c r="E83" s="18">
        <v>203</v>
      </c>
      <c r="F83" s="18">
        <f t="shared" si="54"/>
        <v>2.2222222222222223E-2</v>
      </c>
      <c r="G83" s="32">
        <v>2.4899799195977401</v>
      </c>
    </row>
    <row r="84" spans="1:7" x14ac:dyDescent="0.35">
      <c r="A84" s="18" t="s">
        <v>35</v>
      </c>
      <c r="B84" s="18">
        <v>207</v>
      </c>
      <c r="C84" s="18">
        <v>47</v>
      </c>
      <c r="D84" s="18">
        <f t="shared" si="53"/>
        <v>3.5845410628019323</v>
      </c>
      <c r="E84" s="18">
        <v>742</v>
      </c>
      <c r="F84" s="18">
        <f t="shared" si="54"/>
        <v>0.22705314009661837</v>
      </c>
      <c r="G84" s="32">
        <v>2.6214406763289899</v>
      </c>
    </row>
    <row r="85" spans="1:7" x14ac:dyDescent="0.35">
      <c r="A85" s="18" t="s">
        <v>26</v>
      </c>
      <c r="B85" s="18">
        <v>124</v>
      </c>
      <c r="C85" s="18">
        <v>7</v>
      </c>
      <c r="D85" s="18">
        <f t="shared" si="53"/>
        <v>5.2338709677419351</v>
      </c>
      <c r="E85" s="18">
        <v>649</v>
      </c>
      <c r="F85" s="18">
        <f t="shared" si="54"/>
        <v>5.6451612903225805E-2</v>
      </c>
      <c r="G85" s="32">
        <v>2.4494897427831699</v>
      </c>
    </row>
    <row r="86" spans="1:7" x14ac:dyDescent="0.35">
      <c r="A86" s="18" t="s">
        <v>122</v>
      </c>
      <c r="B86" s="18">
        <v>200</v>
      </c>
      <c r="C86" s="18">
        <v>23</v>
      </c>
      <c r="D86" s="18">
        <f t="shared" si="53"/>
        <v>4.0049999999999999</v>
      </c>
      <c r="E86" s="18">
        <v>801</v>
      </c>
      <c r="F86" s="18">
        <f t="shared" si="54"/>
        <v>0.115</v>
      </c>
      <c r="G86" s="32">
        <v>1.6329931618554501</v>
      </c>
    </row>
    <row r="87" spans="1:7" x14ac:dyDescent="0.35">
      <c r="A87" s="18" t="s">
        <v>49</v>
      </c>
      <c r="B87" s="18">
        <v>163</v>
      </c>
      <c r="C87" s="18">
        <v>12</v>
      </c>
      <c r="D87" s="18">
        <f t="shared" si="53"/>
        <v>4.9693251533742329</v>
      </c>
      <c r="E87" s="18">
        <v>810</v>
      </c>
      <c r="F87" s="18">
        <f t="shared" si="54"/>
        <v>7.3619631901840496E-2</v>
      </c>
      <c r="G87" s="32">
        <v>2.79455252402308</v>
      </c>
    </row>
    <row r="88" spans="1:7" x14ac:dyDescent="0.35">
      <c r="A88" s="18" t="s">
        <v>3</v>
      </c>
      <c r="B88" s="18">
        <v>56</v>
      </c>
      <c r="C88" s="18">
        <v>7</v>
      </c>
      <c r="D88" s="18">
        <f t="shared" si="53"/>
        <v>4.2678571428571432</v>
      </c>
      <c r="E88" s="18">
        <v>239</v>
      </c>
      <c r="F88" s="18">
        <f t="shared" si="54"/>
        <v>0.125</v>
      </c>
      <c r="G88" s="32">
        <v>2.3731557327466102</v>
      </c>
    </row>
    <row r="89" spans="1:7" x14ac:dyDescent="0.35">
      <c r="A89" t="s">
        <v>230</v>
      </c>
      <c r="B89">
        <v>37</v>
      </c>
      <c r="C89">
        <v>4</v>
      </c>
      <c r="D89">
        <f t="shared" si="53"/>
        <v>5.0270270270270272</v>
      </c>
      <c r="E89">
        <v>186</v>
      </c>
      <c r="F89">
        <f t="shared" si="54"/>
        <v>0.10810810810810811</v>
      </c>
      <c r="G89" s="32">
        <v>2.7748873851023199</v>
      </c>
    </row>
    <row r="90" spans="1:7" x14ac:dyDescent="0.35">
      <c r="A90" s="18" t="s">
        <v>2</v>
      </c>
      <c r="B90" s="18">
        <v>41</v>
      </c>
      <c r="C90" s="18">
        <v>10</v>
      </c>
      <c r="D90" s="18">
        <f t="shared" si="53"/>
        <v>3.8048780487804876</v>
      </c>
      <c r="E90" s="18">
        <v>156</v>
      </c>
      <c r="F90" s="18">
        <f t="shared" si="54"/>
        <v>0.24390243902439024</v>
      </c>
      <c r="G90" s="32">
        <v>2.5876449587894599</v>
      </c>
    </row>
    <row r="91" spans="1:7" x14ac:dyDescent="0.35">
      <c r="A91" s="18" t="s">
        <v>124</v>
      </c>
      <c r="B91" s="18">
        <v>40</v>
      </c>
      <c r="C91" s="18">
        <v>1</v>
      </c>
      <c r="D91" s="18">
        <f t="shared" si="53"/>
        <v>5.15</v>
      </c>
      <c r="E91" s="18">
        <v>206</v>
      </c>
      <c r="F91" s="18">
        <f t="shared" si="54"/>
        <v>2.5000000000000001E-2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6"/>
  <sheetViews>
    <sheetView zoomScale="90" zoomScaleNormal="90" workbookViewId="0">
      <selection activeCell="AA35" sqref="AA35"/>
    </sheetView>
  </sheetViews>
  <sheetFormatPr defaultRowHeight="14.5" x14ac:dyDescent="0.35"/>
  <cols>
    <col min="8" max="8" width="17.7265625" bestFit="1" customWidth="1"/>
    <col min="9" max="9" width="7.1796875" bestFit="1" customWidth="1"/>
    <col min="10" max="10" width="8.7265625" bestFit="1" customWidth="1"/>
    <col min="11" max="12" width="12" bestFit="1" customWidth="1"/>
    <col min="13" max="13" width="5" bestFit="1" customWidth="1"/>
    <col min="15" max="15" width="17.7265625" bestFit="1" customWidth="1"/>
    <col min="16" max="16" width="7.1796875" bestFit="1" customWidth="1"/>
    <col min="17" max="17" width="8.7265625" bestFit="1" customWidth="1"/>
    <col min="18" max="19" width="13.26953125" bestFit="1" customWidth="1"/>
  </cols>
  <sheetData>
    <row r="1" spans="1:21" x14ac:dyDescent="0.3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1" x14ac:dyDescent="0.3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  <c r="H2" s="18" t="s">
        <v>128</v>
      </c>
      <c r="I2" s="18">
        <v>118</v>
      </c>
      <c r="J2" s="18">
        <v>38</v>
      </c>
      <c r="K2" s="18">
        <f t="shared" ref="K2:K49" si="2">M2/I2</f>
        <v>3.2118644067796609</v>
      </c>
      <c r="L2" s="18">
        <f t="shared" ref="L2:L49" si="3">J2/I2</f>
        <v>0.32203389830508472</v>
      </c>
      <c r="M2" s="18">
        <v>379</v>
      </c>
      <c r="O2" s="18" t="s">
        <v>128</v>
      </c>
      <c r="P2" s="18">
        <v>119</v>
      </c>
      <c r="Q2" s="18">
        <v>38</v>
      </c>
      <c r="R2" s="18">
        <f t="shared" ref="R2:R33" si="4">U2/P2</f>
        <v>3.2184873949579833</v>
      </c>
      <c r="S2" s="18">
        <f t="shared" ref="S2:S33" si="5">Q2/P2</f>
        <v>0.31932773109243695</v>
      </c>
      <c r="U2" s="18">
        <v>383</v>
      </c>
    </row>
    <row r="3" spans="1:21" x14ac:dyDescent="0.3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  <c r="H3" s="18" t="s">
        <v>175</v>
      </c>
      <c r="I3" s="18">
        <v>71</v>
      </c>
      <c r="J3" s="18">
        <v>19</v>
      </c>
      <c r="K3" s="18">
        <f t="shared" si="2"/>
        <v>3.4225352112676055</v>
      </c>
      <c r="L3" s="18">
        <f t="shared" si="3"/>
        <v>0.26760563380281688</v>
      </c>
      <c r="M3" s="18">
        <v>243</v>
      </c>
      <c r="O3" s="18" t="s">
        <v>175</v>
      </c>
      <c r="P3" s="18">
        <v>83</v>
      </c>
      <c r="Q3" s="18">
        <v>22</v>
      </c>
      <c r="R3" s="18">
        <f t="shared" si="4"/>
        <v>3.5060240963855422</v>
      </c>
      <c r="S3" s="18">
        <f t="shared" si="5"/>
        <v>0.26506024096385544</v>
      </c>
      <c r="U3" s="18">
        <v>291</v>
      </c>
    </row>
    <row r="4" spans="1:21" x14ac:dyDescent="0.3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  <c r="H4" s="59" t="s">
        <v>35</v>
      </c>
      <c r="I4" s="59">
        <v>195</v>
      </c>
      <c r="J4" s="59">
        <v>47</v>
      </c>
      <c r="K4" s="59">
        <f t="shared" si="2"/>
        <v>3.5435897435897434</v>
      </c>
      <c r="L4" s="59">
        <f t="shared" si="3"/>
        <v>0.24102564102564103</v>
      </c>
      <c r="M4" s="18">
        <v>691</v>
      </c>
      <c r="O4" s="59" t="s">
        <v>35</v>
      </c>
      <c r="P4" s="59">
        <v>199</v>
      </c>
      <c r="Q4" s="59">
        <v>47</v>
      </c>
      <c r="R4" s="59">
        <f t="shared" si="4"/>
        <v>3.5376884422110555</v>
      </c>
      <c r="S4" s="59">
        <f t="shared" si="5"/>
        <v>0.23618090452261306</v>
      </c>
      <c r="U4" s="18">
        <v>704</v>
      </c>
    </row>
    <row r="5" spans="1:21" x14ac:dyDescent="0.3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  <c r="H5" s="59" t="s">
        <v>148</v>
      </c>
      <c r="I5" s="59">
        <v>42</v>
      </c>
      <c r="J5" s="59">
        <v>8</v>
      </c>
      <c r="K5" s="59">
        <f t="shared" si="2"/>
        <v>3.7380952380952381</v>
      </c>
      <c r="L5" s="59">
        <f t="shared" si="3"/>
        <v>0.19047619047619047</v>
      </c>
      <c r="M5" s="18">
        <v>157</v>
      </c>
      <c r="O5" s="59" t="s">
        <v>148</v>
      </c>
      <c r="P5" s="59">
        <v>42</v>
      </c>
      <c r="Q5" s="59">
        <v>8</v>
      </c>
      <c r="R5" s="59">
        <f t="shared" si="4"/>
        <v>3.7380952380952381</v>
      </c>
      <c r="S5" s="59">
        <f t="shared" si="5"/>
        <v>0.19047619047619047</v>
      </c>
      <c r="U5" s="18">
        <v>157</v>
      </c>
    </row>
    <row r="6" spans="1:21" x14ac:dyDescent="0.3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  <c r="H6" s="59" t="s">
        <v>112</v>
      </c>
      <c r="I6" s="59">
        <v>42</v>
      </c>
      <c r="J6" s="59">
        <v>8</v>
      </c>
      <c r="K6" s="59">
        <f t="shared" si="2"/>
        <v>3.7619047619047619</v>
      </c>
      <c r="L6" s="59">
        <f t="shared" si="3"/>
        <v>0.19047619047619047</v>
      </c>
      <c r="M6" s="18">
        <v>158</v>
      </c>
      <c r="O6" s="59" t="s">
        <v>112</v>
      </c>
      <c r="P6" s="59">
        <v>42</v>
      </c>
      <c r="Q6" s="59">
        <v>8</v>
      </c>
      <c r="R6" s="59">
        <f t="shared" si="4"/>
        <v>3.7619047619047619</v>
      </c>
      <c r="S6" s="59">
        <f t="shared" si="5"/>
        <v>0.19047619047619047</v>
      </c>
      <c r="U6" s="18">
        <v>158</v>
      </c>
    </row>
    <row r="7" spans="1:21" x14ac:dyDescent="0.3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  <c r="H7" s="59" t="s">
        <v>232</v>
      </c>
      <c r="I7" s="59">
        <v>185</v>
      </c>
      <c r="J7" s="59">
        <v>42</v>
      </c>
      <c r="K7" s="59">
        <f t="shared" si="2"/>
        <v>3.8324324324324324</v>
      </c>
      <c r="L7" s="59">
        <f t="shared" si="3"/>
        <v>0.22702702702702704</v>
      </c>
      <c r="M7" s="18">
        <v>709</v>
      </c>
      <c r="O7" s="59" t="s">
        <v>232</v>
      </c>
      <c r="P7" s="59">
        <v>199</v>
      </c>
      <c r="Q7" s="59">
        <v>45</v>
      </c>
      <c r="R7" s="59">
        <f t="shared" si="4"/>
        <v>3.7839195979899496</v>
      </c>
      <c r="S7" s="59">
        <f t="shared" si="5"/>
        <v>0.22613065326633167</v>
      </c>
      <c r="U7" s="18">
        <v>753</v>
      </c>
    </row>
    <row r="8" spans="1:21" x14ac:dyDescent="0.3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  <c r="H8" s="59" t="s">
        <v>121</v>
      </c>
      <c r="I8" s="59">
        <v>114</v>
      </c>
      <c r="J8" s="59">
        <v>25</v>
      </c>
      <c r="K8" s="59">
        <f t="shared" si="2"/>
        <v>3.8508771929824563</v>
      </c>
      <c r="L8" s="59">
        <f t="shared" si="3"/>
        <v>0.21929824561403508</v>
      </c>
      <c r="M8" s="18">
        <v>439</v>
      </c>
      <c r="O8" s="59" t="s">
        <v>121</v>
      </c>
      <c r="P8" s="59">
        <v>117</v>
      </c>
      <c r="Q8" s="59">
        <v>27</v>
      </c>
      <c r="R8" s="59">
        <f t="shared" si="4"/>
        <v>3.7948717948717947</v>
      </c>
      <c r="S8" s="59">
        <f t="shared" si="5"/>
        <v>0.23076923076923078</v>
      </c>
      <c r="U8" s="18">
        <v>444</v>
      </c>
    </row>
    <row r="9" spans="1:21" x14ac:dyDescent="0.3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  <c r="H9" s="59" t="s">
        <v>147</v>
      </c>
      <c r="I9" s="59">
        <v>144</v>
      </c>
      <c r="J9" s="59">
        <v>28</v>
      </c>
      <c r="K9" s="59">
        <f t="shared" si="2"/>
        <v>3.8611111111111112</v>
      </c>
      <c r="L9" s="59">
        <f t="shared" si="3"/>
        <v>0.19444444444444445</v>
      </c>
      <c r="M9" s="18">
        <v>556</v>
      </c>
      <c r="O9" s="59" t="s">
        <v>2</v>
      </c>
      <c r="P9" s="59">
        <v>40</v>
      </c>
      <c r="Q9" s="59">
        <v>10</v>
      </c>
      <c r="R9" s="59">
        <f t="shared" si="4"/>
        <v>3.8</v>
      </c>
      <c r="S9" s="59">
        <f t="shared" si="5"/>
        <v>0.25</v>
      </c>
      <c r="T9" s="11" t="s">
        <v>611</v>
      </c>
      <c r="U9" s="18">
        <v>152</v>
      </c>
    </row>
    <row r="10" spans="1:21" x14ac:dyDescent="0.3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  <c r="H10" s="59" t="s">
        <v>122</v>
      </c>
      <c r="I10" s="59">
        <v>174</v>
      </c>
      <c r="J10" s="59">
        <v>20</v>
      </c>
      <c r="K10" s="59">
        <f t="shared" si="2"/>
        <v>3.9425287356321839</v>
      </c>
      <c r="L10" s="59">
        <f t="shared" si="3"/>
        <v>0.11494252873563218</v>
      </c>
      <c r="M10" s="18">
        <v>686</v>
      </c>
      <c r="O10" s="59" t="s">
        <v>116</v>
      </c>
      <c r="P10" s="59">
        <v>40</v>
      </c>
      <c r="Q10" s="59">
        <v>5</v>
      </c>
      <c r="R10" s="59">
        <f t="shared" si="4"/>
        <v>3.85</v>
      </c>
      <c r="S10" s="59">
        <f t="shared" si="5"/>
        <v>0.125</v>
      </c>
      <c r="T10" s="58" t="s">
        <v>611</v>
      </c>
      <c r="U10" s="18">
        <v>154</v>
      </c>
    </row>
    <row r="11" spans="1:21" x14ac:dyDescent="0.3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18">
        <v>288</v>
      </c>
      <c r="O11" s="59" t="s">
        <v>147</v>
      </c>
      <c r="P11" s="59">
        <v>145</v>
      </c>
      <c r="Q11" s="59">
        <v>28</v>
      </c>
      <c r="R11" s="59">
        <f t="shared" si="4"/>
        <v>3.8620689655172415</v>
      </c>
      <c r="S11" s="59">
        <f t="shared" si="5"/>
        <v>0.19310344827586207</v>
      </c>
      <c r="T11" s="3" t="s">
        <v>45</v>
      </c>
      <c r="U11" s="18">
        <v>560</v>
      </c>
    </row>
    <row r="12" spans="1:21" x14ac:dyDescent="0.3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  <c r="H12" s="59" t="s">
        <v>29</v>
      </c>
      <c r="I12" s="59">
        <v>140</v>
      </c>
      <c r="J12" s="59">
        <v>20</v>
      </c>
      <c r="K12" s="59">
        <f t="shared" si="2"/>
        <v>3.9642857142857144</v>
      </c>
      <c r="L12" s="59">
        <f t="shared" si="3"/>
        <v>0.14285714285714285</v>
      </c>
      <c r="M12" s="18">
        <v>555</v>
      </c>
      <c r="O12" s="59" t="s">
        <v>10</v>
      </c>
      <c r="P12" s="59">
        <v>73</v>
      </c>
      <c r="Q12" s="59">
        <v>13</v>
      </c>
      <c r="R12" s="59">
        <f t="shared" si="4"/>
        <v>3.9452054794520546</v>
      </c>
      <c r="S12" s="59">
        <f t="shared" si="5"/>
        <v>0.17808219178082191</v>
      </c>
      <c r="T12" s="3" t="s">
        <v>46</v>
      </c>
      <c r="U12" s="18">
        <v>288</v>
      </c>
    </row>
    <row r="13" spans="1:21" x14ac:dyDescent="0.3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  <c r="H13" s="32" t="s">
        <v>22</v>
      </c>
      <c r="I13" s="32">
        <v>185</v>
      </c>
      <c r="J13" s="32">
        <v>30</v>
      </c>
      <c r="K13" s="32">
        <f t="shared" si="2"/>
        <v>4.1243243243243244</v>
      </c>
      <c r="L13" s="32">
        <f t="shared" si="3"/>
        <v>0.16216216216216217</v>
      </c>
      <c r="M13" s="18">
        <v>763</v>
      </c>
      <c r="O13" s="59" t="s">
        <v>122</v>
      </c>
      <c r="P13" s="59">
        <v>186</v>
      </c>
      <c r="Q13" s="59">
        <v>21</v>
      </c>
      <c r="R13" s="59">
        <f t="shared" si="4"/>
        <v>3.9731182795698925</v>
      </c>
      <c r="S13" s="59">
        <f t="shared" si="5"/>
        <v>0.11290322580645161</v>
      </c>
      <c r="T13" s="3" t="s">
        <v>54</v>
      </c>
      <c r="U13" s="18">
        <v>739</v>
      </c>
    </row>
    <row r="14" spans="1:21" x14ac:dyDescent="0.3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H14" s="32" t="s">
        <v>0</v>
      </c>
      <c r="I14" s="32">
        <v>84</v>
      </c>
      <c r="J14" s="32">
        <v>14</v>
      </c>
      <c r="K14" s="32">
        <f t="shared" si="2"/>
        <v>4.1547619047619051</v>
      </c>
      <c r="L14" s="32">
        <f t="shared" si="3"/>
        <v>0.16666666666666666</v>
      </c>
      <c r="M14" s="18">
        <v>349</v>
      </c>
      <c r="O14" s="59" t="s">
        <v>29</v>
      </c>
      <c r="P14" s="59">
        <v>143</v>
      </c>
      <c r="Q14" s="59">
        <v>21</v>
      </c>
      <c r="R14" s="59">
        <f t="shared" si="4"/>
        <v>3.9790209790209792</v>
      </c>
      <c r="S14" s="59">
        <f t="shared" si="5"/>
        <v>0.14685314685314685</v>
      </c>
      <c r="T14" s="3" t="s">
        <v>45</v>
      </c>
      <c r="U14" s="18">
        <v>569</v>
      </c>
    </row>
    <row r="15" spans="1:21" x14ac:dyDescent="0.3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  <c r="H15" s="32" t="s">
        <v>50</v>
      </c>
      <c r="I15" s="32">
        <v>40</v>
      </c>
      <c r="J15" s="32">
        <v>4</v>
      </c>
      <c r="K15" s="32">
        <f t="shared" si="2"/>
        <v>4.1749999999999998</v>
      </c>
      <c r="L15" s="32">
        <f t="shared" si="3"/>
        <v>0.1</v>
      </c>
      <c r="M15" s="18">
        <v>167</v>
      </c>
      <c r="O15" s="32" t="s">
        <v>22</v>
      </c>
      <c r="P15" s="32">
        <v>185</v>
      </c>
      <c r="Q15" s="32">
        <v>30</v>
      </c>
      <c r="R15" s="32">
        <f t="shared" si="4"/>
        <v>4.1243243243243244</v>
      </c>
      <c r="S15" s="32">
        <f t="shared" si="5"/>
        <v>0.16216216216216217</v>
      </c>
      <c r="T15" s="3" t="s">
        <v>45</v>
      </c>
      <c r="U15" s="18">
        <v>763</v>
      </c>
    </row>
    <row r="16" spans="1:21" x14ac:dyDescent="0.3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  <c r="H16" s="32" t="s">
        <v>104</v>
      </c>
      <c r="I16" s="32">
        <v>134</v>
      </c>
      <c r="J16" s="32">
        <v>9</v>
      </c>
      <c r="K16" s="32">
        <f t="shared" si="2"/>
        <v>4.2686567164179108</v>
      </c>
      <c r="L16" s="32">
        <f t="shared" si="3"/>
        <v>6.7164179104477612E-2</v>
      </c>
      <c r="M16" s="18">
        <v>572</v>
      </c>
      <c r="O16" s="32" t="s">
        <v>0</v>
      </c>
      <c r="P16" s="32">
        <v>85</v>
      </c>
      <c r="Q16" s="32">
        <v>14</v>
      </c>
      <c r="R16" s="32">
        <f t="shared" si="4"/>
        <v>4.1647058823529415</v>
      </c>
      <c r="S16" s="32">
        <f t="shared" si="5"/>
        <v>0.16470588235294117</v>
      </c>
      <c r="T16" s="3" t="s">
        <v>45</v>
      </c>
      <c r="U16" s="18">
        <v>354</v>
      </c>
    </row>
    <row r="17" spans="1:21" x14ac:dyDescent="0.3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  <c r="H17" s="32" t="s">
        <v>113</v>
      </c>
      <c r="I17" s="32">
        <v>40</v>
      </c>
      <c r="J17" s="32">
        <v>1</v>
      </c>
      <c r="K17" s="32">
        <f t="shared" si="2"/>
        <v>4.2750000000000004</v>
      </c>
      <c r="L17" s="32">
        <f t="shared" si="3"/>
        <v>2.5000000000000001E-2</v>
      </c>
      <c r="M17" s="18">
        <v>171</v>
      </c>
      <c r="O17" s="32" t="s">
        <v>50</v>
      </c>
      <c r="P17" s="32">
        <v>40</v>
      </c>
      <c r="Q17" s="32">
        <v>4</v>
      </c>
      <c r="R17" s="32">
        <f t="shared" si="4"/>
        <v>4.1749999999999998</v>
      </c>
      <c r="S17" s="32">
        <f t="shared" si="5"/>
        <v>0.1</v>
      </c>
      <c r="T17" s="3" t="s">
        <v>45</v>
      </c>
      <c r="U17" s="18">
        <v>167</v>
      </c>
    </row>
    <row r="18" spans="1:21" x14ac:dyDescent="0.3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  <c r="H18" s="32" t="s">
        <v>21</v>
      </c>
      <c r="I18" s="32">
        <v>180</v>
      </c>
      <c r="J18" s="32">
        <v>25</v>
      </c>
      <c r="K18" s="32">
        <f t="shared" si="2"/>
        <v>4.3055555555555554</v>
      </c>
      <c r="L18" s="32">
        <f t="shared" si="3"/>
        <v>0.1388888888888889</v>
      </c>
      <c r="M18" s="18">
        <v>775</v>
      </c>
      <c r="O18" s="32" t="s">
        <v>104</v>
      </c>
      <c r="P18" s="32">
        <v>138</v>
      </c>
      <c r="Q18" s="32">
        <v>10</v>
      </c>
      <c r="R18" s="32">
        <f t="shared" si="4"/>
        <v>4.2463768115942031</v>
      </c>
      <c r="S18" s="32">
        <f t="shared" si="5"/>
        <v>7.2463768115942032E-2</v>
      </c>
      <c r="T18" s="3" t="s">
        <v>45</v>
      </c>
      <c r="U18" s="18">
        <v>586</v>
      </c>
    </row>
    <row r="19" spans="1:21" x14ac:dyDescent="0.3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  <c r="H19" s="32" t="s">
        <v>3</v>
      </c>
      <c r="I19" s="32">
        <v>52</v>
      </c>
      <c r="J19" s="32">
        <v>7</v>
      </c>
      <c r="K19" s="32">
        <f t="shared" si="2"/>
        <v>4.3461538461538458</v>
      </c>
      <c r="L19" s="32">
        <f t="shared" si="3"/>
        <v>0.13461538461538461</v>
      </c>
      <c r="M19" s="18">
        <v>226</v>
      </c>
      <c r="O19" s="32" t="s">
        <v>36</v>
      </c>
      <c r="P19" s="32">
        <v>40</v>
      </c>
      <c r="Q19" s="32">
        <v>3</v>
      </c>
      <c r="R19" s="32">
        <f t="shared" si="4"/>
        <v>4.2750000000000004</v>
      </c>
      <c r="S19" s="32">
        <f t="shared" si="5"/>
        <v>7.4999999999999997E-2</v>
      </c>
      <c r="T19" s="12" t="s">
        <v>611</v>
      </c>
      <c r="U19" s="18">
        <v>171</v>
      </c>
    </row>
    <row r="20" spans="1:21" x14ac:dyDescent="0.3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  <c r="H20" s="32" t="s">
        <v>125</v>
      </c>
      <c r="I20" s="32">
        <v>40</v>
      </c>
      <c r="J20" s="32">
        <v>2</v>
      </c>
      <c r="K20" s="32">
        <f t="shared" si="2"/>
        <v>4.375</v>
      </c>
      <c r="L20" s="32">
        <f t="shared" si="3"/>
        <v>0.05</v>
      </c>
      <c r="M20" s="18">
        <v>175</v>
      </c>
      <c r="O20" s="32" t="s">
        <v>113</v>
      </c>
      <c r="P20" s="32">
        <v>41</v>
      </c>
      <c r="Q20" s="32">
        <v>1</v>
      </c>
      <c r="R20" s="32">
        <f t="shared" si="4"/>
        <v>4.2926829268292686</v>
      </c>
      <c r="S20" s="32">
        <f t="shared" si="5"/>
        <v>2.4390243902439025E-2</v>
      </c>
      <c r="T20" s="3" t="s">
        <v>54</v>
      </c>
      <c r="U20" s="18">
        <v>176</v>
      </c>
    </row>
    <row r="21" spans="1:21" x14ac:dyDescent="0.3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  <c r="H21" s="32" t="s">
        <v>123</v>
      </c>
      <c r="I21" s="32">
        <v>46</v>
      </c>
      <c r="J21" s="32">
        <v>6</v>
      </c>
      <c r="K21" s="32">
        <f t="shared" si="2"/>
        <v>4.3913043478260869</v>
      </c>
      <c r="L21" s="32">
        <f t="shared" si="3"/>
        <v>0.13043478260869565</v>
      </c>
      <c r="M21" s="18">
        <v>202</v>
      </c>
      <c r="O21" s="32" t="s">
        <v>21</v>
      </c>
      <c r="P21" s="32">
        <v>185</v>
      </c>
      <c r="Q21" s="32">
        <v>26</v>
      </c>
      <c r="R21" s="32">
        <f t="shared" si="4"/>
        <v>4.3135135135135139</v>
      </c>
      <c r="S21" s="32">
        <f t="shared" si="5"/>
        <v>0.14054054054054055</v>
      </c>
      <c r="T21" s="3" t="s">
        <v>54</v>
      </c>
      <c r="U21" s="18">
        <v>798</v>
      </c>
    </row>
    <row r="22" spans="1:21" x14ac:dyDescent="0.3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  <c r="H22" s="41" t="s">
        <v>8</v>
      </c>
      <c r="I22" s="41">
        <v>49</v>
      </c>
      <c r="J22" s="41">
        <v>6</v>
      </c>
      <c r="K22" s="41">
        <f t="shared" si="2"/>
        <v>4.4285714285714288</v>
      </c>
      <c r="L22" s="41">
        <f t="shared" si="3"/>
        <v>0.12244897959183673</v>
      </c>
      <c r="M22" s="18">
        <v>217</v>
      </c>
      <c r="O22" s="32" t="s">
        <v>61</v>
      </c>
      <c r="P22" s="32">
        <v>86</v>
      </c>
      <c r="Q22" s="32">
        <v>18</v>
      </c>
      <c r="R22" s="32">
        <f t="shared" si="4"/>
        <v>4.3139534883720927</v>
      </c>
      <c r="S22" s="32">
        <f t="shared" si="5"/>
        <v>0.20930232558139536</v>
      </c>
      <c r="T22" s="74" t="s">
        <v>44</v>
      </c>
      <c r="U22" s="18">
        <v>371</v>
      </c>
    </row>
    <row r="23" spans="1:21" x14ac:dyDescent="0.3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  <c r="H23" s="41" t="s">
        <v>61</v>
      </c>
      <c r="I23" s="41">
        <v>74</v>
      </c>
      <c r="J23" s="41">
        <v>15</v>
      </c>
      <c r="K23" s="41">
        <f t="shared" si="2"/>
        <v>4.4459459459459456</v>
      </c>
      <c r="L23" s="41">
        <f t="shared" si="3"/>
        <v>0.20270270270270271</v>
      </c>
      <c r="M23" s="18">
        <v>329</v>
      </c>
      <c r="O23" s="32" t="s">
        <v>3</v>
      </c>
      <c r="P23" s="32">
        <v>54</v>
      </c>
      <c r="Q23" s="32">
        <v>7</v>
      </c>
      <c r="R23" s="32">
        <f t="shared" si="4"/>
        <v>4.3148148148148149</v>
      </c>
      <c r="S23" s="32">
        <f t="shared" si="5"/>
        <v>0.12962962962962962</v>
      </c>
      <c r="T23" s="3" t="s">
        <v>55</v>
      </c>
      <c r="U23" s="18">
        <v>233</v>
      </c>
    </row>
    <row r="24" spans="1:21" x14ac:dyDescent="0.3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  <c r="H24" s="41" t="s">
        <v>115</v>
      </c>
      <c r="I24" s="41">
        <v>40</v>
      </c>
      <c r="J24" s="41">
        <v>3</v>
      </c>
      <c r="K24" s="41">
        <f t="shared" si="2"/>
        <v>4.4749999999999996</v>
      </c>
      <c r="L24" s="41">
        <f t="shared" si="3"/>
        <v>7.4999999999999997E-2</v>
      </c>
      <c r="M24" s="18">
        <v>179</v>
      </c>
      <c r="O24" s="32" t="s">
        <v>117</v>
      </c>
      <c r="P24" s="32">
        <v>40</v>
      </c>
      <c r="Q24" s="32">
        <v>7</v>
      </c>
      <c r="R24" s="32">
        <f t="shared" si="4"/>
        <v>4.3250000000000002</v>
      </c>
      <c r="S24" s="32">
        <f t="shared" si="5"/>
        <v>0.17499999999999999</v>
      </c>
      <c r="T24" s="14" t="s">
        <v>611</v>
      </c>
      <c r="U24" s="18">
        <v>173</v>
      </c>
    </row>
    <row r="25" spans="1:21" x14ac:dyDescent="0.3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  <c r="H25" s="41" t="s">
        <v>24</v>
      </c>
      <c r="I25" s="41">
        <v>102</v>
      </c>
      <c r="J25" s="41">
        <v>12</v>
      </c>
      <c r="K25" s="41">
        <f t="shared" si="2"/>
        <v>4.5196078431372548</v>
      </c>
      <c r="L25" s="41">
        <f t="shared" si="3"/>
        <v>0.11764705882352941</v>
      </c>
      <c r="M25" s="18">
        <v>461</v>
      </c>
      <c r="O25" s="32" t="s">
        <v>123</v>
      </c>
      <c r="P25" s="32">
        <v>49</v>
      </c>
      <c r="Q25" s="32">
        <v>7</v>
      </c>
      <c r="R25" s="32">
        <f t="shared" si="4"/>
        <v>4.3265306122448983</v>
      </c>
      <c r="S25" s="32">
        <f t="shared" si="5"/>
        <v>0.14285714285714285</v>
      </c>
      <c r="T25" s="3" t="s">
        <v>55</v>
      </c>
      <c r="U25" s="18">
        <v>212</v>
      </c>
    </row>
    <row r="26" spans="1:21" x14ac:dyDescent="0.3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  <c r="H26" s="41" t="s">
        <v>105</v>
      </c>
      <c r="I26" s="41">
        <v>43</v>
      </c>
      <c r="J26" s="41">
        <v>6</v>
      </c>
      <c r="K26" s="41">
        <f t="shared" si="2"/>
        <v>4.5348837209302326</v>
      </c>
      <c r="L26" s="41">
        <f t="shared" si="3"/>
        <v>0.13953488372093023</v>
      </c>
      <c r="M26" s="18">
        <v>195</v>
      </c>
      <c r="O26" s="32" t="s">
        <v>105</v>
      </c>
      <c r="P26" s="32">
        <v>46</v>
      </c>
      <c r="Q26" s="32">
        <v>6</v>
      </c>
      <c r="R26" s="32">
        <f t="shared" si="4"/>
        <v>4.3695652173913047</v>
      </c>
      <c r="S26" s="32">
        <f t="shared" si="5"/>
        <v>0.13043478260869565</v>
      </c>
      <c r="U26" s="18">
        <v>201</v>
      </c>
    </row>
    <row r="27" spans="1:21" x14ac:dyDescent="0.3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  <c r="H27" s="41" t="s">
        <v>129</v>
      </c>
      <c r="I27" s="41">
        <v>47</v>
      </c>
      <c r="J27" s="41">
        <v>8</v>
      </c>
      <c r="K27" s="41">
        <f t="shared" si="2"/>
        <v>4.5744680851063828</v>
      </c>
      <c r="L27" s="41">
        <f t="shared" si="3"/>
        <v>0.1702127659574468</v>
      </c>
      <c r="M27" s="18">
        <v>215</v>
      </c>
      <c r="O27" s="32" t="s">
        <v>125</v>
      </c>
      <c r="P27" s="32">
        <v>40</v>
      </c>
      <c r="Q27" s="32">
        <v>2</v>
      </c>
      <c r="R27" s="32">
        <f t="shared" si="4"/>
        <v>4.375</v>
      </c>
      <c r="S27" s="32">
        <f t="shared" si="5"/>
        <v>0.05</v>
      </c>
      <c r="T27" s="3" t="s">
        <v>282</v>
      </c>
      <c r="U27" s="18">
        <v>175</v>
      </c>
    </row>
    <row r="28" spans="1:21" x14ac:dyDescent="0.3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  <c r="H28" s="41" t="s">
        <v>27</v>
      </c>
      <c r="I28" s="41">
        <v>40</v>
      </c>
      <c r="J28" s="41">
        <v>3</v>
      </c>
      <c r="K28" s="41">
        <f t="shared" si="2"/>
        <v>4.5750000000000002</v>
      </c>
      <c r="L28" s="41">
        <f t="shared" si="3"/>
        <v>7.4999999999999997E-2</v>
      </c>
      <c r="M28" s="18">
        <v>183</v>
      </c>
      <c r="O28" s="41" t="s">
        <v>8</v>
      </c>
      <c r="P28" s="41">
        <v>52</v>
      </c>
      <c r="Q28" s="41">
        <v>6</v>
      </c>
      <c r="R28" s="41">
        <f t="shared" si="4"/>
        <v>4.4038461538461542</v>
      </c>
      <c r="S28" s="41">
        <f t="shared" si="5"/>
        <v>0.11538461538461539</v>
      </c>
      <c r="T28" s="3" t="s">
        <v>555</v>
      </c>
      <c r="U28" s="18">
        <v>229</v>
      </c>
    </row>
    <row r="29" spans="1:21" x14ac:dyDescent="0.3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  <c r="H29" s="41" t="s">
        <v>15</v>
      </c>
      <c r="I29" s="41">
        <v>276</v>
      </c>
      <c r="J29" s="41">
        <v>40</v>
      </c>
      <c r="K29" s="41">
        <f t="shared" si="2"/>
        <v>4.6050724637681162</v>
      </c>
      <c r="L29" s="41">
        <f t="shared" si="3"/>
        <v>0.14492753623188406</v>
      </c>
      <c r="M29" s="18">
        <v>1271</v>
      </c>
      <c r="O29" s="41" t="s">
        <v>115</v>
      </c>
      <c r="P29" s="41">
        <v>40</v>
      </c>
      <c r="Q29" s="41">
        <v>3</v>
      </c>
      <c r="R29" s="41">
        <f t="shared" si="4"/>
        <v>4.4749999999999996</v>
      </c>
      <c r="S29" s="41">
        <f t="shared" si="5"/>
        <v>7.4999999999999997E-2</v>
      </c>
      <c r="T29" s="3" t="s">
        <v>494</v>
      </c>
      <c r="U29" s="18">
        <v>179</v>
      </c>
    </row>
    <row r="30" spans="1:21" x14ac:dyDescent="0.3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  <c r="H30" s="41" t="s">
        <v>79</v>
      </c>
      <c r="I30" s="41">
        <v>55</v>
      </c>
      <c r="J30" s="41">
        <v>6</v>
      </c>
      <c r="K30" s="41">
        <f t="shared" si="2"/>
        <v>4.6363636363636367</v>
      </c>
      <c r="L30" s="41">
        <f t="shared" si="3"/>
        <v>0.10909090909090909</v>
      </c>
      <c r="M30" s="18">
        <v>255</v>
      </c>
      <c r="O30" s="41" t="s">
        <v>129</v>
      </c>
      <c r="P30" s="41">
        <v>51</v>
      </c>
      <c r="Q30" s="41">
        <v>8</v>
      </c>
      <c r="R30" s="41">
        <f t="shared" si="4"/>
        <v>4.5490196078431371</v>
      </c>
      <c r="S30" s="41">
        <f t="shared" si="5"/>
        <v>0.15686274509803921</v>
      </c>
      <c r="T30" s="3" t="s">
        <v>54</v>
      </c>
      <c r="U30" s="18">
        <v>232</v>
      </c>
    </row>
    <row r="31" spans="1:21" x14ac:dyDescent="0.3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  <c r="H31" s="41" t="s">
        <v>1</v>
      </c>
      <c r="I31" s="41">
        <v>123</v>
      </c>
      <c r="J31" s="41">
        <v>6</v>
      </c>
      <c r="K31" s="41">
        <f t="shared" si="2"/>
        <v>4.6991869918699187</v>
      </c>
      <c r="L31" s="41">
        <f t="shared" si="3"/>
        <v>4.878048780487805E-2</v>
      </c>
      <c r="M31" s="18">
        <v>578</v>
      </c>
      <c r="O31" s="41" t="s">
        <v>24</v>
      </c>
      <c r="P31" s="41">
        <v>103</v>
      </c>
      <c r="Q31" s="41">
        <v>12</v>
      </c>
      <c r="R31" s="41">
        <f t="shared" si="4"/>
        <v>4.5533980582524274</v>
      </c>
      <c r="S31" s="41">
        <f t="shared" si="5"/>
        <v>0.11650485436893204</v>
      </c>
      <c r="T31" s="3" t="s">
        <v>555</v>
      </c>
      <c r="U31" s="18">
        <v>469</v>
      </c>
    </row>
    <row r="32" spans="1:21" x14ac:dyDescent="0.3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  <c r="H32" s="41" t="s">
        <v>14</v>
      </c>
      <c r="I32" s="41">
        <v>45</v>
      </c>
      <c r="J32" s="41">
        <v>3</v>
      </c>
      <c r="K32" s="41">
        <f t="shared" si="2"/>
        <v>4.7111111111111112</v>
      </c>
      <c r="L32" s="41">
        <f t="shared" si="3"/>
        <v>6.6666666666666666E-2</v>
      </c>
      <c r="M32" s="18">
        <v>212</v>
      </c>
      <c r="O32" s="41" t="s">
        <v>27</v>
      </c>
      <c r="P32" s="41">
        <v>40</v>
      </c>
      <c r="Q32" s="41">
        <v>3</v>
      </c>
      <c r="R32" s="41">
        <f t="shared" si="4"/>
        <v>4.5750000000000002</v>
      </c>
      <c r="S32" s="41">
        <f t="shared" si="5"/>
        <v>7.4999999999999997E-2</v>
      </c>
      <c r="T32" s="3" t="s">
        <v>55</v>
      </c>
      <c r="U32" s="18">
        <v>183</v>
      </c>
    </row>
    <row r="33" spans="1:21" x14ac:dyDescent="0.3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  <c r="H33" s="38" t="s">
        <v>51</v>
      </c>
      <c r="I33" s="38">
        <v>47</v>
      </c>
      <c r="J33" s="38">
        <v>4</v>
      </c>
      <c r="K33" s="38">
        <f t="shared" si="2"/>
        <v>4.8085106382978724</v>
      </c>
      <c r="L33" s="38">
        <f t="shared" si="3"/>
        <v>8.5106382978723402E-2</v>
      </c>
      <c r="M33" s="18">
        <v>226</v>
      </c>
      <c r="O33" s="41" t="s">
        <v>15</v>
      </c>
      <c r="P33" s="41">
        <v>288</v>
      </c>
      <c r="Q33" s="41">
        <v>40</v>
      </c>
      <c r="R33" s="41">
        <f t="shared" si="4"/>
        <v>4.6215277777777777</v>
      </c>
      <c r="S33" s="41">
        <f t="shared" si="5"/>
        <v>0.1388888888888889</v>
      </c>
      <c r="T33" s="3" t="s">
        <v>55</v>
      </c>
      <c r="U33" s="18">
        <v>1331</v>
      </c>
    </row>
    <row r="34" spans="1:21" x14ac:dyDescent="0.3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  <c r="H34" s="38" t="s">
        <v>13</v>
      </c>
      <c r="I34" s="38">
        <v>40</v>
      </c>
      <c r="J34" s="38">
        <v>2</v>
      </c>
      <c r="K34" s="38">
        <f t="shared" si="2"/>
        <v>4.9000000000000004</v>
      </c>
      <c r="L34" s="38">
        <f t="shared" si="3"/>
        <v>0.05</v>
      </c>
      <c r="M34" s="18">
        <v>196</v>
      </c>
      <c r="O34" s="41" t="s">
        <v>79</v>
      </c>
      <c r="P34" s="41">
        <v>55</v>
      </c>
      <c r="Q34" s="41">
        <v>6</v>
      </c>
      <c r="R34" s="41">
        <f t="shared" ref="R34:R56" si="6">U34/P34</f>
        <v>4.6363636363636367</v>
      </c>
      <c r="S34" s="41">
        <f t="shared" ref="S34:S56" si="7">Q34/P34</f>
        <v>0.10909090909090909</v>
      </c>
      <c r="T34" s="3" t="s">
        <v>55</v>
      </c>
      <c r="U34" s="18">
        <v>255</v>
      </c>
    </row>
    <row r="35" spans="1:21" x14ac:dyDescent="0.3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  <c r="H35" s="38" t="s">
        <v>87</v>
      </c>
      <c r="I35" s="38">
        <v>200</v>
      </c>
      <c r="J35" s="38">
        <v>24</v>
      </c>
      <c r="K35" s="38">
        <f t="shared" si="2"/>
        <v>5</v>
      </c>
      <c r="L35" s="38">
        <f t="shared" si="3"/>
        <v>0.12</v>
      </c>
      <c r="M35" s="18">
        <v>1000</v>
      </c>
      <c r="O35" s="41" t="s">
        <v>14</v>
      </c>
      <c r="P35" s="41">
        <v>45</v>
      </c>
      <c r="Q35" s="41">
        <v>3</v>
      </c>
      <c r="R35" s="41">
        <f t="shared" si="6"/>
        <v>4.7111111111111112</v>
      </c>
      <c r="S35" s="41">
        <f t="shared" si="7"/>
        <v>6.6666666666666666E-2</v>
      </c>
      <c r="T35" s="3" t="s">
        <v>54</v>
      </c>
      <c r="U35" s="18">
        <v>212</v>
      </c>
    </row>
    <row r="36" spans="1:21" x14ac:dyDescent="0.3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  <c r="H36" s="38" t="s">
        <v>25</v>
      </c>
      <c r="I36" s="38">
        <v>251</v>
      </c>
      <c r="J36" s="38">
        <v>23</v>
      </c>
      <c r="K36" s="38">
        <f t="shared" si="2"/>
        <v>5.0278884462151394</v>
      </c>
      <c r="L36" s="38">
        <f t="shared" si="3"/>
        <v>9.1633466135458169E-2</v>
      </c>
      <c r="M36" s="18">
        <v>1262</v>
      </c>
      <c r="O36" s="41" t="s">
        <v>1</v>
      </c>
      <c r="P36" s="41">
        <v>131</v>
      </c>
      <c r="Q36" s="41">
        <v>7</v>
      </c>
      <c r="R36" s="41">
        <f t="shared" si="6"/>
        <v>4.7175572519083966</v>
      </c>
      <c r="S36" s="41">
        <f t="shared" si="7"/>
        <v>5.3435114503816793E-2</v>
      </c>
      <c r="T36" s="3" t="s">
        <v>494</v>
      </c>
      <c r="U36" s="18">
        <v>618</v>
      </c>
    </row>
    <row r="37" spans="1:21" x14ac:dyDescent="0.3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  <c r="H37" s="38" t="s">
        <v>31</v>
      </c>
      <c r="I37" s="38">
        <v>278</v>
      </c>
      <c r="J37" s="38">
        <v>23</v>
      </c>
      <c r="K37" s="38">
        <f t="shared" si="2"/>
        <v>5.0323741007194247</v>
      </c>
      <c r="L37" s="38">
        <f t="shared" si="3"/>
        <v>8.2733812949640287E-2</v>
      </c>
      <c r="M37" s="18">
        <v>1399</v>
      </c>
      <c r="O37" s="38" t="s">
        <v>51</v>
      </c>
      <c r="P37" s="38">
        <v>47</v>
      </c>
      <c r="Q37" s="38">
        <v>4</v>
      </c>
      <c r="R37" s="38">
        <f t="shared" si="6"/>
        <v>4.8085106382978724</v>
      </c>
      <c r="S37" s="38">
        <f t="shared" si="7"/>
        <v>8.5106382978723402E-2</v>
      </c>
      <c r="T37" s="3" t="s">
        <v>55</v>
      </c>
      <c r="U37" s="18">
        <v>226</v>
      </c>
    </row>
    <row r="38" spans="1:21" x14ac:dyDescent="0.3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  <c r="H38" s="38" t="s">
        <v>49</v>
      </c>
      <c r="I38" s="38">
        <v>151</v>
      </c>
      <c r="J38" s="38">
        <v>9</v>
      </c>
      <c r="K38" s="38">
        <f t="shared" si="2"/>
        <v>5.0596026490066226</v>
      </c>
      <c r="L38" s="38">
        <f t="shared" si="3"/>
        <v>5.9602649006622516E-2</v>
      </c>
      <c r="M38" s="18">
        <v>764</v>
      </c>
      <c r="O38" s="38" t="s">
        <v>13</v>
      </c>
      <c r="P38" s="38">
        <v>40</v>
      </c>
      <c r="Q38" s="38">
        <v>2</v>
      </c>
      <c r="R38" s="38">
        <f t="shared" si="6"/>
        <v>4.9000000000000004</v>
      </c>
      <c r="S38" s="38">
        <f t="shared" si="7"/>
        <v>0.05</v>
      </c>
      <c r="T38" s="3" t="s">
        <v>55</v>
      </c>
      <c r="U38" s="18">
        <v>196</v>
      </c>
    </row>
    <row r="39" spans="1:21" x14ac:dyDescent="0.3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  <c r="H39" s="38" t="s">
        <v>56</v>
      </c>
      <c r="I39" s="38">
        <v>40</v>
      </c>
      <c r="J39" s="38">
        <v>0</v>
      </c>
      <c r="K39" s="38">
        <f t="shared" si="2"/>
        <v>5.0750000000000002</v>
      </c>
      <c r="L39" s="38">
        <f t="shared" si="3"/>
        <v>0</v>
      </c>
      <c r="M39" s="18">
        <v>203</v>
      </c>
      <c r="O39" s="38" t="s">
        <v>414</v>
      </c>
      <c r="P39" s="38">
        <v>40</v>
      </c>
      <c r="Q39" s="38">
        <v>4</v>
      </c>
      <c r="R39" s="38">
        <f t="shared" si="6"/>
        <v>4.9000000000000004</v>
      </c>
      <c r="S39" s="38">
        <f t="shared" si="7"/>
        <v>0.1</v>
      </c>
      <c r="T39" s="20" t="s">
        <v>611</v>
      </c>
      <c r="U39" s="18">
        <v>196</v>
      </c>
    </row>
    <row r="40" spans="1:21" x14ac:dyDescent="0.3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  <c r="H40" s="38" t="s">
        <v>28</v>
      </c>
      <c r="I40" s="38">
        <v>109</v>
      </c>
      <c r="J40" s="38">
        <v>7</v>
      </c>
      <c r="K40" s="38">
        <f t="shared" si="2"/>
        <v>5.1100917431192663</v>
      </c>
      <c r="L40" s="38">
        <f t="shared" si="3"/>
        <v>6.4220183486238536E-2</v>
      </c>
      <c r="M40" s="18">
        <v>557</v>
      </c>
      <c r="O40" s="38" t="s">
        <v>4</v>
      </c>
      <c r="P40" s="38">
        <v>41</v>
      </c>
      <c r="Q40" s="38">
        <v>5</v>
      </c>
      <c r="R40" s="38">
        <f t="shared" si="6"/>
        <v>4.975609756097561</v>
      </c>
      <c r="S40" s="38">
        <f t="shared" si="7"/>
        <v>0.12195121951219512</v>
      </c>
      <c r="T40" s="10" t="s">
        <v>611</v>
      </c>
      <c r="U40" s="18">
        <v>204</v>
      </c>
    </row>
    <row r="41" spans="1:21" x14ac:dyDescent="0.3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  <c r="H41" s="38" t="s">
        <v>30</v>
      </c>
      <c r="I41" s="38">
        <v>64</v>
      </c>
      <c r="J41" s="38">
        <v>5</v>
      </c>
      <c r="K41" s="38">
        <f t="shared" si="2"/>
        <v>5.15625</v>
      </c>
      <c r="L41" s="38">
        <f t="shared" si="3"/>
        <v>7.8125E-2</v>
      </c>
      <c r="M41" s="18">
        <v>330</v>
      </c>
      <c r="O41" s="38" t="s">
        <v>49</v>
      </c>
      <c r="P41" s="38">
        <v>156</v>
      </c>
      <c r="Q41" s="38">
        <v>9</v>
      </c>
      <c r="R41" s="38">
        <f t="shared" si="6"/>
        <v>5.0128205128205128</v>
      </c>
      <c r="S41" s="38">
        <f t="shared" si="7"/>
        <v>5.7692307692307696E-2</v>
      </c>
      <c r="T41" s="3" t="s">
        <v>54</v>
      </c>
      <c r="U41" s="18">
        <v>782</v>
      </c>
    </row>
    <row r="42" spans="1:21" x14ac:dyDescent="0.3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  <c r="H42" s="38" t="s">
        <v>81</v>
      </c>
      <c r="I42" s="38">
        <v>89</v>
      </c>
      <c r="J42" s="38">
        <v>6</v>
      </c>
      <c r="K42" s="38">
        <f t="shared" si="2"/>
        <v>5.1797752808988768</v>
      </c>
      <c r="L42" s="38">
        <f t="shared" si="3"/>
        <v>6.741573033707865E-2</v>
      </c>
      <c r="M42" s="18">
        <v>461</v>
      </c>
      <c r="O42" s="38" t="s">
        <v>25</v>
      </c>
      <c r="P42" s="38">
        <v>257</v>
      </c>
      <c r="Q42" s="38">
        <v>23</v>
      </c>
      <c r="R42" s="38">
        <f t="shared" si="6"/>
        <v>5.0233463035019454</v>
      </c>
      <c r="S42" s="38">
        <f t="shared" si="7"/>
        <v>8.9494163424124515E-2</v>
      </c>
      <c r="T42" s="3" t="s">
        <v>555</v>
      </c>
      <c r="U42" s="18">
        <v>1291</v>
      </c>
    </row>
    <row r="43" spans="1:21" x14ac:dyDescent="0.35">
      <c r="H43" s="38" t="s">
        <v>26</v>
      </c>
      <c r="I43" s="38">
        <v>111</v>
      </c>
      <c r="J43" s="38">
        <v>6</v>
      </c>
      <c r="K43" s="38">
        <f t="shared" si="2"/>
        <v>5.2252252252252251</v>
      </c>
      <c r="L43" s="38">
        <f t="shared" si="3"/>
        <v>5.4054054054054057E-2</v>
      </c>
      <c r="M43" s="18">
        <v>580</v>
      </c>
      <c r="O43" s="38" t="s">
        <v>31</v>
      </c>
      <c r="P43" s="38">
        <v>290</v>
      </c>
      <c r="Q43" s="38">
        <v>24</v>
      </c>
      <c r="R43" s="38">
        <f t="shared" si="6"/>
        <v>5.0310344827586206</v>
      </c>
      <c r="S43" s="38">
        <f t="shared" si="7"/>
        <v>8.2758620689655171E-2</v>
      </c>
      <c r="T43" s="3" t="s">
        <v>555</v>
      </c>
      <c r="U43" s="18">
        <v>1459</v>
      </c>
    </row>
    <row r="44" spans="1:21" x14ac:dyDescent="0.35">
      <c r="H44" s="67" t="s">
        <v>90</v>
      </c>
      <c r="I44" s="67">
        <v>40</v>
      </c>
      <c r="J44" s="67">
        <v>3</v>
      </c>
      <c r="K44" s="67">
        <f t="shared" si="2"/>
        <v>5.35</v>
      </c>
      <c r="L44" s="67">
        <f t="shared" si="3"/>
        <v>7.4999999999999997E-2</v>
      </c>
      <c r="M44" s="73">
        <v>214</v>
      </c>
      <c r="O44" s="38" t="s">
        <v>87</v>
      </c>
      <c r="P44" s="38">
        <v>212</v>
      </c>
      <c r="Q44" s="38">
        <v>25</v>
      </c>
      <c r="R44" s="38">
        <f t="shared" si="6"/>
        <v>5.033018867924528</v>
      </c>
      <c r="S44" s="38">
        <f t="shared" si="7"/>
        <v>0.11792452830188679</v>
      </c>
      <c r="T44" s="3" t="s">
        <v>495</v>
      </c>
      <c r="U44" s="18">
        <v>1067</v>
      </c>
    </row>
    <row r="45" spans="1:21" x14ac:dyDescent="0.35">
      <c r="H45" s="67" t="s">
        <v>6</v>
      </c>
      <c r="I45" s="67">
        <v>45</v>
      </c>
      <c r="J45" s="67">
        <v>3</v>
      </c>
      <c r="K45" s="67">
        <f t="shared" si="2"/>
        <v>5.3555555555555552</v>
      </c>
      <c r="L45" s="67">
        <f t="shared" si="3"/>
        <v>6.6666666666666666E-2</v>
      </c>
      <c r="M45" s="18">
        <v>241</v>
      </c>
      <c r="O45" s="38" t="s">
        <v>56</v>
      </c>
      <c r="P45" s="38">
        <v>40</v>
      </c>
      <c r="Q45" s="38">
        <v>0</v>
      </c>
      <c r="R45" s="38">
        <f t="shared" si="6"/>
        <v>5.0750000000000002</v>
      </c>
      <c r="S45" s="38">
        <f t="shared" si="7"/>
        <v>0</v>
      </c>
      <c r="T45" s="3" t="s">
        <v>555</v>
      </c>
      <c r="U45" s="18">
        <v>203</v>
      </c>
    </row>
    <row r="46" spans="1:21" x14ac:dyDescent="0.35">
      <c r="H46" s="67" t="s">
        <v>401</v>
      </c>
      <c r="I46" s="67">
        <v>71</v>
      </c>
      <c r="J46" s="67">
        <v>3</v>
      </c>
      <c r="K46" s="67">
        <f t="shared" si="2"/>
        <v>5.3661971830985919</v>
      </c>
      <c r="L46" s="67">
        <f t="shared" si="3"/>
        <v>4.2253521126760563E-2</v>
      </c>
      <c r="M46" s="18">
        <v>381</v>
      </c>
      <c r="O46" s="38" t="s">
        <v>28</v>
      </c>
      <c r="P46" s="38">
        <v>124</v>
      </c>
      <c r="Q46" s="38">
        <v>9</v>
      </c>
      <c r="R46" s="38">
        <f t="shared" si="6"/>
        <v>5.104838709677419</v>
      </c>
      <c r="S46" s="38">
        <f t="shared" si="7"/>
        <v>7.2580645161290328E-2</v>
      </c>
      <c r="T46" s="3" t="s">
        <v>555</v>
      </c>
      <c r="U46" s="18">
        <v>633</v>
      </c>
    </row>
    <row r="47" spans="1:21" x14ac:dyDescent="0.35">
      <c r="H47" s="67" t="s">
        <v>34</v>
      </c>
      <c r="I47" s="67">
        <v>40</v>
      </c>
      <c r="J47" s="67">
        <v>3</v>
      </c>
      <c r="K47" s="67">
        <f t="shared" si="2"/>
        <v>5.4</v>
      </c>
      <c r="L47" s="67">
        <f t="shared" si="3"/>
        <v>7.4999999999999997E-2</v>
      </c>
      <c r="M47" s="18">
        <v>216</v>
      </c>
      <c r="O47" s="38" t="s">
        <v>30</v>
      </c>
      <c r="P47" s="38">
        <v>65</v>
      </c>
      <c r="Q47" s="38">
        <v>5</v>
      </c>
      <c r="R47" s="38">
        <f t="shared" si="6"/>
        <v>5.1230769230769226</v>
      </c>
      <c r="S47" s="38">
        <f t="shared" si="7"/>
        <v>7.6923076923076927E-2</v>
      </c>
      <c r="T47" s="3" t="s">
        <v>555</v>
      </c>
      <c r="U47" s="18">
        <v>333</v>
      </c>
    </row>
    <row r="48" spans="1:21" x14ac:dyDescent="0.35">
      <c r="H48" s="67" t="s">
        <v>33</v>
      </c>
      <c r="I48" s="67">
        <v>67</v>
      </c>
      <c r="J48" s="67">
        <v>4</v>
      </c>
      <c r="K48" s="67">
        <f t="shared" si="2"/>
        <v>5.5373134328358207</v>
      </c>
      <c r="L48" s="67">
        <f t="shared" si="3"/>
        <v>5.9701492537313432E-2</v>
      </c>
      <c r="M48" s="18">
        <v>371</v>
      </c>
      <c r="O48" s="38" t="s">
        <v>124</v>
      </c>
      <c r="P48" s="38">
        <v>40</v>
      </c>
      <c r="Q48" s="38">
        <v>1</v>
      </c>
      <c r="R48" s="38">
        <f t="shared" si="6"/>
        <v>5.15</v>
      </c>
      <c r="S48" s="38">
        <f t="shared" si="7"/>
        <v>2.5000000000000001E-2</v>
      </c>
      <c r="T48" s="79" t="s">
        <v>611</v>
      </c>
      <c r="U48" s="18">
        <v>206</v>
      </c>
    </row>
    <row r="49" spans="8:21" x14ac:dyDescent="0.35">
      <c r="H49" s="67" t="s">
        <v>253</v>
      </c>
      <c r="I49" s="67">
        <v>61</v>
      </c>
      <c r="J49" s="67">
        <v>4</v>
      </c>
      <c r="K49" s="67">
        <f t="shared" si="2"/>
        <v>5.6065573770491799</v>
      </c>
      <c r="L49" s="67">
        <f t="shared" si="3"/>
        <v>6.5573770491803282E-2</v>
      </c>
      <c r="M49" s="18">
        <v>342</v>
      </c>
      <c r="O49" s="38" t="s">
        <v>81</v>
      </c>
      <c r="P49" s="38">
        <v>89</v>
      </c>
      <c r="Q49" s="38">
        <v>6</v>
      </c>
      <c r="R49" s="38">
        <f t="shared" si="6"/>
        <v>5.1797752808988768</v>
      </c>
      <c r="S49" s="38">
        <f t="shared" si="7"/>
        <v>6.741573033707865E-2</v>
      </c>
      <c r="T49" s="3" t="s">
        <v>282</v>
      </c>
      <c r="U49" s="18">
        <v>461</v>
      </c>
    </row>
    <row r="50" spans="8:21" x14ac:dyDescent="0.35">
      <c r="O50" s="67" t="s">
        <v>26</v>
      </c>
      <c r="P50" s="67">
        <v>116</v>
      </c>
      <c r="Q50" s="67">
        <v>7</v>
      </c>
      <c r="R50" s="67">
        <f t="shared" si="6"/>
        <v>5.25</v>
      </c>
      <c r="S50" s="67">
        <f t="shared" si="7"/>
        <v>6.0344827586206899E-2</v>
      </c>
      <c r="T50" s="3" t="s">
        <v>282</v>
      </c>
      <c r="U50" s="18">
        <v>609</v>
      </c>
    </row>
    <row r="51" spans="8:21" x14ac:dyDescent="0.35">
      <c r="O51" s="67" t="s">
        <v>34</v>
      </c>
      <c r="P51" s="67">
        <v>41</v>
      </c>
      <c r="Q51" s="67">
        <v>3</v>
      </c>
      <c r="R51" s="67">
        <f t="shared" si="6"/>
        <v>5.3170731707317076</v>
      </c>
      <c r="S51" s="67">
        <f t="shared" si="7"/>
        <v>7.3170731707317069E-2</v>
      </c>
      <c r="T51" s="3" t="s">
        <v>55</v>
      </c>
      <c r="U51" s="18">
        <v>218</v>
      </c>
    </row>
    <row r="52" spans="8:21" x14ac:dyDescent="0.35">
      <c r="O52" s="67" t="s">
        <v>90</v>
      </c>
      <c r="P52" s="67">
        <v>40</v>
      </c>
      <c r="Q52" s="67">
        <v>3</v>
      </c>
      <c r="R52" s="67">
        <f t="shared" si="6"/>
        <v>5.35</v>
      </c>
      <c r="S52" s="67">
        <f t="shared" si="7"/>
        <v>7.4999999999999997E-2</v>
      </c>
      <c r="T52" s="3" t="s">
        <v>296</v>
      </c>
      <c r="U52" s="73">
        <v>214</v>
      </c>
    </row>
    <row r="53" spans="8:21" x14ac:dyDescent="0.35">
      <c r="O53" s="67" t="s">
        <v>6</v>
      </c>
      <c r="P53" s="67">
        <v>45</v>
      </c>
      <c r="Q53" s="67">
        <v>3</v>
      </c>
      <c r="R53" s="67">
        <f t="shared" si="6"/>
        <v>5.3555555555555552</v>
      </c>
      <c r="S53" s="67">
        <f t="shared" si="7"/>
        <v>6.6666666666666666E-2</v>
      </c>
      <c r="T53" s="3" t="s">
        <v>296</v>
      </c>
      <c r="U53" s="18">
        <v>241</v>
      </c>
    </row>
    <row r="54" spans="8:21" x14ac:dyDescent="0.35">
      <c r="O54" s="67" t="s">
        <v>401</v>
      </c>
      <c r="P54" s="67">
        <v>71</v>
      </c>
      <c r="Q54" s="67">
        <v>3</v>
      </c>
      <c r="R54" s="67">
        <f t="shared" si="6"/>
        <v>5.3661971830985919</v>
      </c>
      <c r="S54" s="67">
        <f t="shared" si="7"/>
        <v>4.2253521126760563E-2</v>
      </c>
      <c r="T54" s="3" t="s">
        <v>296</v>
      </c>
      <c r="U54" s="18">
        <v>381</v>
      </c>
    </row>
    <row r="55" spans="8:21" x14ac:dyDescent="0.35">
      <c r="O55" s="67" t="s">
        <v>33</v>
      </c>
      <c r="P55" s="67">
        <v>73</v>
      </c>
      <c r="Q55" s="67">
        <v>4</v>
      </c>
      <c r="R55" s="67">
        <f t="shared" si="6"/>
        <v>5.5342465753424657</v>
      </c>
      <c r="S55" s="67">
        <f t="shared" si="7"/>
        <v>5.4794520547945202E-2</v>
      </c>
      <c r="T55" s="3" t="s">
        <v>282</v>
      </c>
      <c r="U55" s="18">
        <v>404</v>
      </c>
    </row>
    <row r="56" spans="8:21" x14ac:dyDescent="0.35">
      <c r="O56" s="67" t="s">
        <v>253</v>
      </c>
      <c r="P56" s="67">
        <v>61</v>
      </c>
      <c r="Q56" s="67">
        <v>4</v>
      </c>
      <c r="R56" s="67">
        <f t="shared" si="6"/>
        <v>5.6065573770491799</v>
      </c>
      <c r="S56" s="67">
        <f t="shared" si="7"/>
        <v>6.5573770491803282E-2</v>
      </c>
      <c r="T56" s="3" t="s">
        <v>282</v>
      </c>
      <c r="U56" s="18">
        <v>342</v>
      </c>
    </row>
  </sheetData>
  <sortState ref="O2:U56">
    <sortCondition ref="R2:R5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2026-10-11T08:38:34Z</dcterms:modified>
</cp:coreProperties>
</file>